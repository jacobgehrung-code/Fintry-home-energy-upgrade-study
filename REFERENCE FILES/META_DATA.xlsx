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jakegehrung/Desktop/data_raw/REFERENCE FILES/"/>
    </mc:Choice>
  </mc:AlternateContent>
  <xr:revisionPtr revIDLastSave="0" documentId="13_ncr:1_{F2F1CE90-F026-134F-8DF0-9028D4BFB701}" xr6:coauthVersionLast="47" xr6:coauthVersionMax="47" xr10:uidLastSave="{00000000-0000-0000-0000-000000000000}"/>
  <bookViews>
    <workbookView xWindow="-28900" yWindow="3020" windowWidth="29400" windowHeight="16640" activeTab="1" xr2:uid="{9485393C-B923-3440-9319-BC2239962533}"/>
  </bookViews>
  <sheets>
    <sheet name="ALL" sheetId="1" r:id="rId1"/>
    <sheet name="Categorical For Modeling" sheetId="2" r:id="rId2"/>
    <sheet name="Unique Values" sheetId="3" r:id="rId3"/>
  </sheets>
  <definedNames>
    <definedName name="_xlnm._FilterDatabase" localSheetId="1" hidden="1">'Categorical For Modeling'!$A$1:$D$164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3" i="2" l="1"/>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2" i="2"/>
</calcChain>
</file>

<file path=xl/sharedStrings.xml><?xml version="1.0" encoding="utf-8"?>
<sst xmlns="http://schemas.openxmlformats.org/spreadsheetml/2006/main" count="953" uniqueCount="414">
  <si>
    <t>BUILDING_REFERENCE_NUMBER</t>
  </si>
  <si>
    <t>OSG_REFERENCE_NUMBER</t>
  </si>
  <si>
    <t>ADDRESS1</t>
  </si>
  <si>
    <t>ADDRESS2</t>
  </si>
  <si>
    <t>ADDRESS3</t>
  </si>
  <si>
    <t>POSTCODE</t>
  </si>
  <si>
    <t>LATITUDE</t>
  </si>
  <si>
    <t>LONGITUDE</t>
  </si>
  <si>
    <t>INSPECTION_DATE</t>
  </si>
  <si>
    <t>TYPE_OF_ASSESSMENT</t>
  </si>
  <si>
    <t>LODGEMENT_DATE</t>
  </si>
  <si>
    <t>ENERGY_CONSUMPTION_CURRENT</t>
  </si>
  <si>
    <t>TOTAL_FLOOR_AREA</t>
  </si>
  <si>
    <t>3_YR_ENERGY_COST_CURRENT</t>
  </si>
  <si>
    <t>3_YR_ENERGY_SAVINGS_POTENTIAL</t>
  </si>
  <si>
    <t>CURRENT_ENERGY_EFFICIENCY</t>
  </si>
  <si>
    <t>CURRENT_ENERGY_RATING</t>
  </si>
  <si>
    <t>POTENTIAL_ENERGY_EFFICIENCY</t>
  </si>
  <si>
    <t>POTENTIAL_ENERGY_RATING</t>
  </si>
  <si>
    <t>ENVIRONMENT_IMPACT_CURRENT</t>
  </si>
  <si>
    <t>CURRENT_ENVIRONMENTAL_RATING</t>
  </si>
  <si>
    <t>ENVIRONMENT_IMPACT_POTENTIAL</t>
  </si>
  <si>
    <t>POTENTIAL_ENVIRONMENTAL_RATING</t>
  </si>
  <si>
    <t>CO2_EMISS_CURR_PER_FLOOR_AREA</t>
  </si>
  <si>
    <t>IMPROVEMENTS</t>
  </si>
  <si>
    <t>WALL_DESCRIPTION</t>
  </si>
  <si>
    <t>WALL_ENERGY_EFF</t>
  </si>
  <si>
    <t>WALL_ENV_EFF</t>
  </si>
  <si>
    <t>ROOF_DESCRIPTION</t>
  </si>
  <si>
    <t>ROOF_ENERGY_EFF</t>
  </si>
  <si>
    <t>ROOF_ENV_EFF</t>
  </si>
  <si>
    <t>FLOOR_DESCRIPTION</t>
  </si>
  <si>
    <t>FLOOR_ENERGY_EFF</t>
  </si>
  <si>
    <t>FLOOR_ENV_EFF</t>
  </si>
  <si>
    <t>WINDOWS_DESCRIPTION</t>
  </si>
  <si>
    <t>WINDOWS_ENERGY_EFF</t>
  </si>
  <si>
    <t>WINDOWS_ENV_EFF</t>
  </si>
  <si>
    <t>MAINHEAT_DESCRIPTION</t>
  </si>
  <si>
    <t>MAINHEAT_ENERGY_EFF</t>
  </si>
  <si>
    <t>MAINHEAT_ENV_EFF</t>
  </si>
  <si>
    <t>MAINHEATCONT_DESCRIPTION</t>
  </si>
  <si>
    <t>MAINHEATC_ENERGY_EFF</t>
  </si>
  <si>
    <t>MAINHEATC_ENV_EFF</t>
  </si>
  <si>
    <t>SECONDHEAT_DESCRIPTION</t>
  </si>
  <si>
    <t>SHEATING_ENERGY_EFF</t>
  </si>
  <si>
    <t>SHEATING_ENV_EFF</t>
  </si>
  <si>
    <t>HOTWATER_DESCRIPTION</t>
  </si>
  <si>
    <t>HOT_WATER_ENERGY_EFF</t>
  </si>
  <si>
    <t>HOT_WATER_ENV_EFF</t>
  </si>
  <si>
    <t>LIGHTING_DESCRIPTION</t>
  </si>
  <si>
    <t>LIGHTING_ENERGY_EFF</t>
  </si>
  <si>
    <t>LIGHTING_ENV_EFF</t>
  </si>
  <si>
    <t>AIR_TIGHTNESS_DESCRIPTION</t>
  </si>
  <si>
    <t>AIR_TIGHTNESS_ENERGY_EFF</t>
  </si>
  <si>
    <t>AIR_TIGHTNESS_ENV_EFF</t>
  </si>
  <si>
    <t>CO2_EMISSIONS_CURRENT</t>
  </si>
  <si>
    <t>CO2_EMISSIONS_POTENTIAL</t>
  </si>
  <si>
    <t>HEATING_COST_CURRENT</t>
  </si>
  <si>
    <t>HEATING_COST_POTENTIAL</t>
  </si>
  <si>
    <t>HOT_WATER_COST_CURRENT</t>
  </si>
  <si>
    <t>HOT_WATER_COST_POTENTIAL</t>
  </si>
  <si>
    <t>LIGHTING_COST_CURRENT</t>
  </si>
  <si>
    <t>LIGHTING_COST_POTENTIAL</t>
  </si>
  <si>
    <t>ALTERNATIVE_IMPROVEMENTS</t>
  </si>
  <si>
    <t>LZC_ENERGY_SOURCES</t>
  </si>
  <si>
    <t>SPACE_HEATING_DEMAND</t>
  </si>
  <si>
    <t>WATER_HEATING_DEMAND</t>
  </si>
  <si>
    <t>IMPACT_LOFT_INSULATION</t>
  </si>
  <si>
    <t>IMPACT_CAVITY_WALL_INSULATION</t>
  </si>
  <si>
    <t>IMPACT_SOLID_WALL_INSULATION</t>
  </si>
  <si>
    <t>ADDENDUM_TEXT</t>
  </si>
  <si>
    <t>CONSTRUCTION_AGE_BAND</t>
  </si>
  <si>
    <t>FLOOR_HEIGHT</t>
  </si>
  <si>
    <t>DATA_ZONE</t>
  </si>
  <si>
    <t>ENERGY_CONSUMPTION_POTENTIAL</t>
  </si>
  <si>
    <t>EXTENSION_COUNT</t>
  </si>
  <si>
    <t>FIXED_LIGHTING_OUTLETS_COUNT</t>
  </si>
  <si>
    <t>LOW_ENERGY_FIXED_LIGHT_COUNT</t>
  </si>
  <si>
    <t>LOW_ENERGY_LIGHTING</t>
  </si>
  <si>
    <t>FLOOR_LEVEL</t>
  </si>
  <si>
    <t>FLAT_TOP_STOREY</t>
  </si>
  <si>
    <t>GLAZED_AREA</t>
  </si>
  <si>
    <t>NUMBER_HABITABLE_ROOMS</t>
  </si>
  <si>
    <t>HEAT_LOSS_CORRIDOOR</t>
  </si>
  <si>
    <t>NUMBER_HEATED_ROOMS</t>
  </si>
  <si>
    <t>LOCAL_AUTHORITY_LABEL</t>
  </si>
  <si>
    <t>MAINS_GAS_FLAG</t>
  </si>
  <si>
    <t>MAIN_HEATING_CATEGORY</t>
  </si>
  <si>
    <t>MAIN_FUEL</t>
  </si>
  <si>
    <t>MAIN_HEATING_CONTROLS</t>
  </si>
  <si>
    <t>MECHANICAL_VENTILATION</t>
  </si>
  <si>
    <t>ENERGY_TARIFF</t>
  </si>
  <si>
    <t>MULTI_GLAZE_PROPORTION</t>
  </si>
  <si>
    <t>GLAZED_TYPE</t>
  </si>
  <si>
    <t>NUMBER_OPEN_FIREPLACES</t>
  </si>
  <si>
    <t>PHOTO_SUPPLY</t>
  </si>
  <si>
    <t>SOLAR_WATER_HEATING_FLAG</t>
  </si>
  <si>
    <t>TENURE</t>
  </si>
  <si>
    <t>TRANSACTION_TYPE</t>
  </si>
  <si>
    <t>UNHEATED_CORRIDOR_LENGTH</t>
  </si>
  <si>
    <t>CONSTITUENCY</t>
  </si>
  <si>
    <t>CONSTITUENCY_LABEL</t>
  </si>
  <si>
    <t>WIND_TURBINE_COUNT</t>
  </si>
  <si>
    <t>BUILT_FORM</t>
  </si>
  <si>
    <t>PROPERTY_TYPE</t>
  </si>
  <si>
    <t>DATA_ZONE_2011</t>
  </si>
  <si>
    <t>CREATED_AT</t>
  </si>
  <si>
    <t>REPORT_REFERENCE_NUMBER</t>
  </si>
  <si>
    <t>dwelling_id</t>
  </si>
  <si>
    <t>IMPROVEMENTS_PARSED</t>
  </si>
  <si>
    <t>WALL_DESCRIPTION_PARSED</t>
  </si>
  <si>
    <t>ROOF_DESCRIPTION_PARSED</t>
  </si>
  <si>
    <t>FLOOR_DESCRIPTION_PARSED</t>
  </si>
  <si>
    <t>WINDOWS_DESCRIPTION_PARSED</t>
  </si>
  <si>
    <t>MAINHEAT_DESCRIPTION_PARSED</t>
  </si>
  <si>
    <t>MAINHEATCONT_DESCRIPTION_PARSED</t>
  </si>
  <si>
    <t>SECONDHEAT_DESCRIPTION_PARSED</t>
  </si>
  <si>
    <t>HOTWATER_DESCRIPTION_PARSED</t>
  </si>
  <si>
    <t>LIGHTING_DESCRIPTION_PARSED</t>
  </si>
  <si>
    <t>AIR_TIGHTNESS_DESCRIPTION_PARSED</t>
  </si>
  <si>
    <t>DELTA_ENERGY_EFFICIENCY</t>
  </si>
  <si>
    <t>DELTA_ENVIRONMENT_IMPACT</t>
  </si>
  <si>
    <t>DELTA_ENERGY_CONSUMPTION</t>
  </si>
  <si>
    <t>PCT_ENERGY_REDUCTION</t>
  </si>
  <si>
    <t>DELTA_CO2_EMISSIONS</t>
  </si>
  <si>
    <t>PCT_CO2_REDUCTION</t>
  </si>
  <si>
    <t>ANNUAL_ENERGY_COST_SAVINGS</t>
  </si>
  <si>
    <t>HAS_POTENTIAL_DATA</t>
  </si>
  <si>
    <t>POSITIVE_ENERGY_SAVINGS</t>
  </si>
  <si>
    <t>POSITIVE_CO2_SAVINGS</t>
  </si>
  <si>
    <t>IMPROVEMENTS_LIST</t>
  </si>
  <si>
    <t>CAPEX_MIN</t>
  </si>
  <si>
    <t>CAPEX_MAX</t>
  </si>
  <si>
    <t>CAPEX_MID</t>
  </si>
  <si>
    <t>PROJECT_LIFETIME_DYNAMIC</t>
  </si>
  <si>
    <t>ANNUAL_CASHFLOW</t>
  </si>
  <si>
    <t>NPV</t>
  </si>
  <si>
    <t>IRR</t>
  </si>
  <si>
    <t>IMPROVEMENTS_CLEAN</t>
  </si>
  <si>
    <t>IMPROVEMENTS_FINANCIALS</t>
  </si>
  <si>
    <t>SIMPLE_PAYBACK_YEARS</t>
  </si>
  <si>
    <t>COST_PER_KWH_REDUCED</t>
  </si>
  <si>
    <t>COST_PER_TON_CO2_REDUCED</t>
  </si>
  <si>
    <t>FINANCIAL_DATA_AVAILABLE</t>
  </si>
  <si>
    <t>ECONOMICALLY_POSITIVE</t>
  </si>
  <si>
    <t>HEATED_ROOM_RATIO</t>
  </si>
  <si>
    <t>ROOMS_PER_100M2</t>
  </si>
  <si>
    <t>GLAZED_AREA_PER_M2</t>
  </si>
  <si>
    <t>PERCENT_GLAZED</t>
  </si>
  <si>
    <t>IS_FLAT</t>
  </si>
  <si>
    <t>IS_TOP_STOREY_FLAT</t>
  </si>
  <si>
    <t>FLOOR_LEVEL_NUM</t>
  </si>
  <si>
    <t>FLOOR_LEVEL_SIMPLE</t>
  </si>
  <si>
    <t>MAIN_HEATING_CATEGORY_CLEAN</t>
  </si>
  <si>
    <t>MAIN_FUEL_CLEAN</t>
  </si>
  <si>
    <t>HEATING_FUEL_COMBO</t>
  </si>
  <si>
    <t>IS_GAS_HEATED</t>
  </si>
  <si>
    <t>DELTA_ENERGY_EFFICIENCY_scaled</t>
  </si>
  <si>
    <t>DELTA_ENVIRONMENT_IMPACT_scaled</t>
  </si>
  <si>
    <t>NPV_scaled</t>
  </si>
  <si>
    <t>COST_PER_KWH_REDUCED_scaled</t>
  </si>
  <si>
    <t>COST_PER_TON_CO2_REDUCED_scaled</t>
  </si>
  <si>
    <t>PRIORITY_INDEX</t>
  </si>
  <si>
    <t>Unique 10-digit identifier for the property, generated by the
SEPCR to enable the EPC lodgement process even where there is
no current matching UPRN for the assessed property extents
(building or building unit). Not the same as the Unique Property
Reference Number available from the One Scotland Gazetteer.</t>
  </si>
  <si>
    <t>Unique 9-12-digit property reference number assigned to a
building by local authority data custodians and recorded centrally
on the One Scotland Gazetteer: Energy Performance of Buildings
Data England and Wales (opendatacommunities.org).</t>
  </si>
  <si>
    <t>First line of the building address</t>
  </si>
  <si>
    <t>Second line of the building address</t>
  </si>
  <si>
    <t>Third line of the building address. Note that ADDRESS3 is assigned
as POST_TOWN</t>
  </si>
  <si>
    <t>The postcode of the property</t>
  </si>
  <si>
    <t>Date on which assessment of the energy performance of the
building was undertaken</t>
  </si>
  <si>
    <t>Tool used (SAP, RdSAP) and whether assessment is for new or
existing dwelling.</t>
  </si>
  <si>
    <t>Date on which the data from the energy performance assessment
was lodged to the Scottish EPC Register</t>
  </si>
  <si>
    <t>Reports Primary Energy - the amount of energy required at source,
before conversion and transmission, to meet the calculated
energy demand of the dwelling (Units: kWh/m²/year).</t>
  </si>
  <si>
    <t>The total floor area of the dwelling. This excludes any unheated
ancillary buildings. (Units: m²)</t>
  </si>
  <si>
    <t>Calculation illustrating the total energy cost for heating, cooling,
lighting, and ventilating the building. Based on standardised
occupancy patterns and fuel costs. (Units: £)</t>
  </si>
  <si>
    <t>Calculation illustrating the energy cost saving that may be
achieved if the listed improvement measures are carried out.
Based on standardised occupancy patterns and fuel costs. (Units:
£)</t>
  </si>
  <si>
    <t>Current energy cost rating (EER or ‘SAP rating’) for the building
which is calculated using both the energy efficiency of the building
and the cost of fuels used.</t>
  </si>
  <si>
    <t>Current Energy Efficiency Rating expressed on a Scale of G to A,
with A being the highest (best) rating band.</t>
  </si>
  <si>
    <t>Potential energy cost rating for the building, after application of
the listed improvement measures, which is again calculated using
both the energy efficiency of the improved building and the cost
of fuels used.</t>
  </si>
  <si>
    <t>Potential Energy Efficiency Rating expressed on a Scale of G to A,
with A being the highest (best) rating band.</t>
  </si>
  <si>
    <t>Current environmental impact for the building which is calculated
using the emissions associated with the energy use of the
building.</t>
  </si>
  <si>
    <t>Current Environmental Impact Rating expressed on a Scale of G to
A, with A being the highest (best) rating band.</t>
  </si>
  <si>
    <t>Potential environmental impact for the building, after application
of the listed improvement measures, which is again calculated
using the emissions associated with the energy use of the
building.</t>
  </si>
  <si>
    <t>Potential Environmental Impact Rating expressed on a Scale of G
to A, with A being the highest (best) rating band.</t>
  </si>
  <si>
    <t>Annual CO2 equivalent emissions per square metre of floor area
(units: kg.CO2e/m²/yr)</t>
  </si>
  <si>
    <t>A list of the improvement measures identified as relevant to the
building at the date of assessment. These measures are drawn
from the list of measures published in Appendix T of the current
SAP 2012 October 2013 with RdSAP 19 Dec 2014 specification. Improvement measures are listed sequentially under a single data
entry in the following format: ‘Description; Typical saving; Energy
Rating after improvement; Environmental Rating after
improvement; Green Deal eligible.’ Each measure reported is
separated by a vertical line [ “|” - ASCII (decimal) 124]</t>
  </si>
  <si>
    <t>Summary of the performance of this building element, reported in
the following format: ‘Description; Energy Efficiency Rating;
Environmental Efficiency Rating.’ Both ratings elements are
reported on a scale of 1 to 5 (very poor, poor, average, good, very
good). Note: where a dwelling has more than one type of this
element, multiple elements can be reported. Each element
reported is separated by “|” [ASCII (decimal) 124]</t>
  </si>
  <si>
    <t>The total annual emissions reduction for the building based upon
the calculated energy demand for heating, cooling, lighting, and
ventilating the building. (Units: tonnes per year)</t>
  </si>
  <si>
    <t>Calculation illustrating the total annual emissions reduction for the
building if the identified improvement measures are carried out.
(Units: tonnes per year)</t>
  </si>
  <si>
    <t>Calculation illustrating the total energy cost for heating over the
stated period. Based on standardised occupancy patterns and fuel
costs. (Units: £)</t>
  </si>
  <si>
    <t>Calculation illustrating the total energy cost for heating over the
stated period if recommended improvement measures are carried
out. Based on standardised occupancy patterns and fuel costs.
(Units: £)</t>
  </si>
  <si>
    <t>Calculation illustrating the total energy cost for hot water over the
stated period. Based on standardised occupancy patterns and fuel
costs. (Units: £)</t>
  </si>
  <si>
    <t>Calculation illustrating the total energy cost for hot water over the
stated period if recommended improvement measures are carried
out. Based on standardised occupancy patterns and fuel costs.
(Units: £)</t>
  </si>
  <si>
    <t>Calculation illustrating the total energy cost for lighting over the
stated period. Based on standardised occupancy patterns and fuel
costs. (Units: £)</t>
  </si>
  <si>
    <t>Calculation illustrating the total energy cost for lighting over the
stated period if recommended improvement measures are carried out. Based on standardised occupancy patterns and fuel costs.
(Units: £)</t>
  </si>
  <si>
    <t>List of further improvements to the building that can be
considered. Note that these measures are not used in calculation
of potential ratings or savings (description only).
Note: multiple measures can be reported. Each measure reported
is separated by a vertical line [ “|” - ASCII (decimal) 124]</t>
  </si>
  <si>
    <t>Recorded where a low or zero carbon technology (equipment that
either generates or otherwise provides energy with no or little
resulting emissions) is present in the dwelling. Examples include
photovoltaic panels, solar thermal panels, and wind turbines.</t>
  </si>
  <si>
    <t>Reports the calculated heat demand for space heating in the
current dwelling. Based upon the levels of insulation present and
how this limits heat loss. (Units: kWh per year)</t>
  </si>
  <si>
    <t>Reports the calculated heat demand for provision of hot water in
the current dwelling. Based upon the efficiency of the water
heating system. (Units: kWh per year)</t>
  </si>
  <si>
    <t>(if applicable) Reports the potential reduction in calculated heat
demand for space heating if the dwelling loft is insulated. (Units:
kWh per year)</t>
  </si>
  <si>
    <t>(if applicable) Reports the potential reduction in calculated heat
demand for space heating if the dwelling cavity walls are
insulated. (Units: kWh per year)</t>
  </si>
  <si>
    <t>(if applicable) Reports the potential reduction in calculated heat
demand for space heating if external or internal insulation applied
to the dwelling walls. (Units: kWh per year)</t>
  </si>
  <si>
    <t>Used to record a range of specific observations about the dwelling
construction that are relevant to the assessment. Current valid
options are listed in Section S15 in Appendix S of the current SAP
2012 October 2013 with RdSAP 19 Dec 2014 specification.</t>
  </si>
  <si>
    <t>Age band when building part constructed. For Scotland, one of:
before 1919; 1919-1929; 1930-1949; 1950-1964; 1965-1975;
1976-1983; 1984-1991; 1992-1998; 1999-2002; 2003-2007; 2008-
2011; 2012 onwards.</t>
  </si>
  <si>
    <t>Average height of the lowest storey of the dwelling (Units: m)</t>
  </si>
  <si>
    <t>Data Zone code and name - Data zones are the key geography for
the dissemination of small area statistics in Scotland.</t>
  </si>
  <si>
    <t>Reports Primary Energy - the amount of energy required at source,
before conversion and transmission, to meet the calculated
energy demand of the dwelling, if recommended improvement
measures are carried out (Units: kWh/m²/year).</t>
  </si>
  <si>
    <t>The number of extensions added to the property. Between 0 and 4
can be reported.</t>
  </si>
  <si>
    <t>The number of fixed lighting outlets in the dwelling.</t>
  </si>
  <si>
    <t>The number of low-energy fixed lighting outlets.</t>
  </si>
  <si>
    <t>The percentage of low energy lighting present in the property as a
percentage of the total fixed lights in the property. 0% indicates
that no low-energy lighting is present.</t>
  </si>
  <si>
    <t>Floor level relative to the lowest level of the building</t>
  </si>
  <si>
    <t>The number of storeys in the flatted block.</t>
  </si>
  <si>
    <t>Ranged estimate of the total glazed area of the Habitable Area:
0 – New dwelling
1 – Typical glazing
2 – More than typical
3 – Less than typical
4 – Much more than typical
5 – Much less than typical</t>
  </si>
  <si>
    <t>Habitable rooms include any living room, sitting room, dining
room, bedroom, study and similar. Excludes any room used solely
as a kitchen, utility room, sanitary accommodation and any
hallway, stairs, or landing; and also any conservatory or room
without a window.</t>
  </si>
  <si>
    <t>Flats and maisonettes only. Indicates that the flat contains a
corridor through which heat is lost. Heat loss corridor, one of: no
corridor; heated corridor; unheated corridor</t>
  </si>
  <si>
    <t>The number of heated habitable rooms in the property.</t>
  </si>
  <si>
    <t>The name of the local authority area in which the building is
located.</t>
  </si>
  <si>
    <t>Whether mains gas is available. Yes means that there is a gas
meter or a gas-burning appliance in the dwelling</t>
  </si>
  <si>
    <t>Reports the type of main heating system present in the dwelling.
Lists both heat source and heat emitters (e.g. gas boiler and
radiators).</t>
  </si>
  <si>
    <t>Reports the fuel type used by the main heating system present in
the dwelling.</t>
  </si>
  <si>
    <t>Type of main heating controls. Includes both main heating systems
if there are two.</t>
  </si>
  <si>
    <t>Identifies the type of mechanical ventilation the property has.</t>
  </si>
  <si>
    <t>Type of electricity tariff for the property (by meter type), e.g.
single.</t>
  </si>
  <si>
    <t>The estimated banded range (e.g. 0% - 10%) of the total glazed
area of the Property that is multiple glazed.</t>
  </si>
  <si>
    <t>The type of glazing. From British Fenestration Rating Council or
manufacturer declaration, one of; single; double; triple.</t>
  </si>
  <si>
    <t>The number of Open Fireplaces in the Property. An Open Fireplace
is a fireplace that still allows air to pass between the inside of the
Property and the outside.</t>
  </si>
  <si>
    <t>Photovoltaic area as a percentage of total roof area. 0% indicates
that a Photovoltaic Supply is not present in the property. Note:
multiple arrays can be reported. Each array reported is separated
by a vertical line [ “|” - ASCII (decimal) 124]</t>
  </si>
  <si>
    <t>Indicates whether the water heating in the property is served by
solar thermal panels.</t>
  </si>
  <si>
    <t>Describes the tenure type of the property. One of: Owner-
occupied; Rented (social); Rented (private); Unknown</t>
  </si>
  <si>
    <t>Type of transaction or purpose that triggered EPC assessment.
One of: - new dwelling; marketed sale; non-marketed sale; rental;
not sale or rental; assessment for Green Deal; following Green
Deal; FIT application; RHI application; ECO assessment; none of
the above. Where the reason for the assessment is unknown by
the energy assessor the transaction type will be recorded as 'none
of the above'.</t>
  </si>
  <si>
    <t>The total length of unheated corridor in the flat. Only populated if
flat or maisonette contains unheated corridor. If unheated
corridor, length of sheltered wall (m²).</t>
  </si>
  <si>
    <t>Code for Parliamentary constituency in which the building is
located. Scottish area defined as 'Ward', not 'constituency'</t>
  </si>
  <si>
    <t>Name of Parliamentary constituency in which the building is
located. Scottish area defined as 'Ward', not 'constituency'</t>
  </si>
  <si>
    <t>Number of wind turbines; 0 if none.</t>
  </si>
  <si>
    <t>The building type of the Property e.g. Detached, Semi-Detached,
Terrace etc. Together with the Property Type, the Build Form
produces a structured description of the property</t>
  </si>
  <si>
    <t>Describes the type of property such as House, Flat, Maisonette
etc. This is the type differentiator for dwellings.</t>
  </si>
  <si>
    <t>The date and time that the certificate was lodged on the register.</t>
  </si>
  <si>
    <t>Unique, auto-generated number produced on the lodgement of an
EPC to the SEPCR.</t>
  </si>
  <si>
    <t>This variable contains a structured representation of the EPC-recommended energy efficiency improvements for each dwelling. The original semi-structured text field is parsed into individual measures, each including the improvement description, indicative cost range, estimated annual savings, expected post-improvement energy and environmental ratings, and Green Deal eligibility. Multiple recommended measures are stored as a list for each property.</t>
  </si>
  <si>
    <t>This variable provides a structured representation of the dwelling’s external wall construction and associated EPC performance ratings. The parsed data captures the wall type (e.g., cavity wall, solid wall, insulated wall) along with the corresponding EPC energy efficiency and environmental impact ratings.</t>
  </si>
  <si>
    <t>This variable contains a structured representation of the roof construction and insulation characteristics reported in the EPC. Each entry includes the roof description and the associated EPC energy and environmental performance ratings.</t>
  </si>
  <si>
    <t>This variable represents the dwelling’s floor construction and insulation properties as described in the EPC. The parsed data includes the floor description (e.g., solid floor, suspended timber floor) along with its EPC energy and environmental ratings.</t>
  </si>
  <si>
    <t>This variable captures the glazing type and window performance characteristics of the dwelling. The parsed structure includes the EPC description of the windows (e.g., single glazing, double glazing, secondary glazing) and the corresponding energy and environmental ratings.</t>
  </si>
  <si>
    <t>This variable contains a structured representation of the dwelling’s primary space heating system as described in the EPC. The parsed entries include the heating system type (e.g., boiler, electric storage heaters, heat pump) and the associated energy and environmental efficiency ratings.</t>
  </si>
  <si>
    <t>This variable represents the heating control systems associated with the primary heating system. The parsed data includes descriptions of controls such as thermostats, programmers, or zone controls along with the EPC energy and environmental ratings.</t>
  </si>
  <si>
    <t>This variable describes any secondary heating systems present in the dwelling, such as open fireplaces or room heaters. The parsed structure includes the system description and the corresponding EPC energy and environmental ratings.</t>
  </si>
  <si>
    <t>This variable captures the domestic hot water system configuration reported in the EPC. The parsed entries include the system description (e.g., boiler-fed hot water, immersion heater, solar water heating) and the associated energy and environmental ratings.</t>
  </si>
  <si>
    <t>This variable provides a structured representation of the dwelling’s lighting efficiency. It includes the EPC description of lighting systems, typically reflecting the proportion of low-energy lighting installed, along with the corresponding energy and environmental ratings.</t>
  </si>
  <si>
    <t>This variable describes the air tightness or ventilation characteristics reported in the EPC. The parsed entries include the EPC description related to air leakage or ventilation assumptions and the associated energy and environmental performance ratings.</t>
  </si>
  <si>
    <t>This variable represents the difference between the potential and current EPC energy efficiency scores for each dwelling. It indicates the improvement in EPC energy efficiency that could be achieved if all recommended measures were implemented.</t>
  </si>
  <si>
    <t>This variable measures the difference between the potential and current environmental impact scores reported in the EPC. It represents the potential improvement in the dwelling’s environmental performance rating after implementing recommended energy efficiency measures.</t>
  </si>
  <si>
    <t>This variable represents the reduction in estimated annual energy consumption that could occur if all EPC-recommended improvements were implemented. It is calculated as the difference between current energy consumption and potential energy consumption.</t>
  </si>
  <si>
    <t>This variable expresses the potential reduction in energy consumption as a percentage of the dwelling’s current estimated energy consumption. It provides a normalized measure of improvement potential that allows comparisons across properties with different baseline energy use levels.</t>
  </si>
  <si>
    <t>This variable represents the potential reduction in annual carbon dioxide emissions associated with the dwelling if all recommended EPC improvements were implemented. It is calculated as the difference between current and potential CO₂ emissions.</t>
  </si>
  <si>
    <t>This variable expresses the potential reduction in CO₂ emissions as a percentage of the dwelling’s current emissions level. It provides a normalized indicator of potential carbon reduction across the housing stock.</t>
  </si>
  <si>
    <t>This variable estimates the annual household energy cost savings that could result from implementing the recommended EPC improvements. It is derived by dividing the EPC-reported three-year energy savings estimate by three.</t>
  </si>
  <si>
    <t>This Boolean indicator identifies whether the EPC record contains sufficient potential improvement data to calculate improvement metrics. It is true when both potential energy efficiency and potential energy consumption values are available.</t>
  </si>
  <si>
    <t>This Boolean variable indicates whether the EPC suggests that implementing recommended measures would result in a reduction in energy consumption. It is true when the calculated energy consumption improvement is positive.</t>
  </si>
  <si>
    <t>This Boolean variable indicates whether the recommended improvements would reduce the dwelling’s carbon dioxide emissions. It is true when the calculated reduction in CO₂ emissions is positive.</t>
  </si>
  <si>
    <t>This variable contains a structured list of recommended energy efficiency improvements extracted from the EPC record for each dwelling. Each entry in the list is represented as a dictionary containing attributes such as the measure description, estimated minimum and maximum costs, potential energy savings, and post-improvement energy ratings.</t>
  </si>
  <si>
    <t>This variable represents the total minimum estimated capital cost of implementing all EPC-recommended improvements for a dwelling. It is calculated by summing the minimum cost estimates for each individual improvement measure.</t>
  </si>
  <si>
    <t>This variable represents the total maximum estimated capital cost of implementing all EPC-recommended improvements for a dwelling. It is calculated by summing the maximum cost estimates associated with each improvement measure.</t>
  </si>
  <si>
    <t>This variable represents the estimated total capital expenditure required to implement all recommended improvements, calculated using a midpoint between the minimum and maximum cost estimates. The exact value is determined using a configurable cost uncertainty parameter that interpolates between the lower and upper bounds of the cost range.</t>
  </si>
  <si>
    <t>This variable represents the estimated lifetime of the improvement project for each dwelling. It is calculated dynamically as a cost-weighted average of the expected lifetimes of the individual improvement measures, based on a reference dataset mapping measures to typical lifetimes.</t>
  </si>
  <si>
    <t>This variable represents the annual financial benefit associated with implementing the recommended improvements. It is derived from the estimated annual energy cost savings reported in the EPC data.</t>
  </si>
  <si>
    <t>This variable represents the net present value of implementing all recommended improvements for a dwelling. It is calculated by discounting the stream of annual energy cost savings over the project lifetime and subtracting the initial capital investment.</t>
  </si>
  <si>
    <t>This variable represents the internal rate of return associated with implementing the recommended improvement measures. It indicates the annualized return on investment generated by the energy cost savings relative to the upfront capital cost.</t>
  </si>
  <si>
    <t>This variable contains a cleaned version of the improvement measures list, where invalid or incomplete entries are removed. Only improvement records containing valid descriptions are retained to ensure reliable downstream analysis.</t>
  </si>
  <si>
    <t>This variable stores a structured list of financial metrics calculated for each individual improvement measure. For each measure, it includes the estimated capital cost, expected lifetime, annual energy savings, and associated NPV and IRR where sufficient data is available.</t>
  </si>
  <si>
    <t>This variable represents the estimated number of years required for the energy cost savings from the improvements to recover the upfront capital investment. It is calculated by dividing the total capital cost by the annual financial savings.</t>
  </si>
  <si>
    <t>This variable represents the capital cost required to reduce one kilowatt-hour of annual energy consumption through the recommended improvements. It provides a measure of the cost-effectiveness of energy savings.</t>
  </si>
  <si>
    <t>This variable represents the capital cost required to reduce one metric ton of carbon dioxide emissions. It is calculated by dividing the total capital cost by the estimated reduction in annual CO₂ emissions.</t>
  </si>
  <si>
    <t>This Boolean variable indicates whether sufficient financial data is available to compute economic performance metrics for a dwelling. It is true when both capital cost estimates and annual energy savings values are present.</t>
  </si>
  <si>
    <t>This Boolean variable indicates whether the set of recommended improvements appears financially attractive under the assumed discount rate. A dwelling is flagged as economically positive if the calculated net present value is positive or if the internal rate of return exceeds the specified discount rate.</t>
  </si>
  <si>
    <t>This variable represents the proportion of habitable rooms in a dwelling that are heated. It is calculated by dividing the number of heated rooms by the total number of habitable rooms, providing an indicator of how extensively heating is used throughout the dwelling.</t>
  </si>
  <si>
    <t>This variable measures the density of rooms relative to the size of the dwelling. It is calculated as the number of habitable rooms per 100 square meters of floor area and serves as a proxy for dwelling layout density or internal spatial compactness.</t>
  </si>
  <si>
    <t>This variable represents the amount of glazed window area relative to the total floor area of the dwelling. It normalizes glazing exposure by dwelling size to allow meaningful comparison across properties of different scales.</t>
  </si>
  <si>
    <t>This variable expresses the glazing exposure of a dwelling as a percentage of its floor area. It is derived from the glazed area per square meter metric and provides a standardized indicator of the relative window area of the building.</t>
  </si>
  <si>
    <t>This Boolean variable identifies whether the dwelling is classified as a flat or apartment. It is derived from the EPC property type field and is used to distinguish flats from other housing types such as detached or terraced houses.</t>
  </si>
  <si>
    <t>This Boolean variable indicates whether a flat is located on the top storey of a building. This characteristic can influence heat loss and energy performance due to greater roof exposure.</t>
  </si>
  <si>
    <t>This variable converts the EPC floor level field into a numeric format to enable quantitative analysis. Non-numeric values are coerced to missing values, allowing consistent treatment of floor level data across the dataset.</t>
  </si>
  <si>
    <t>This variable categorizes dwellings into simplified floor-level groups based on the numeric floor level. The categories include ground floor, first floor, second floor, and third floor or higher, with an additional category used for unknown or missing data.</t>
  </si>
  <si>
    <t>This variable contains a standardized version of the main heating system category reported in the EPC. The text is normalized by converting to lowercase and removing extra whitespace to enable consistent grouping and analysis.</t>
  </si>
  <si>
    <t>This variable contains a cleaned and standardized version of the primary fuel used by the dwelling’s heating system. Similar to the heating category field, it is normalized to ensure consistent comparison across records.</t>
  </si>
  <si>
    <t>This variable combines the standardized heating system category and primary fuel type into a single label. The resulting field provides a clear description of the dwelling’s heating configuration (for example, boiler | mains gas) and supports grouping and analysis of heating system archetypes.</t>
  </si>
  <si>
    <t>This Boolean variable indicates whether the dwelling is connected to and heated by mains gas. It is derived from the EPC mains gas indicator and is used to distinguish gas-heated properties from those using other fuels such as electricity or oil.</t>
  </si>
  <si>
    <t>This variable represents the normalized value of the potential improvement in EPC energy efficiency for each dwelling. The original improvement metric is scaled to a 0–1 range using Min-Max normalization so it can be directly compared and combined with other metrics in the composite priority index.</t>
  </si>
  <si>
    <t>This variable represents the normalized value of the potential improvement in environmental impact, primarily reflecting reductions in carbon emissions associated with recommended energy efficiency measures. The metric is scaled to a 0–1 range to ensure consistency with other indicators used in the priority index.</t>
  </si>
  <si>
    <t>This variable represents the normalized value of the Net Present Value (NPV) associated with the recommended retrofit measures for each dwelling. By scaling the financial metric to a 0–1 range, it can be incorporated alongside energy and environmental indicators in the overall prioritization framework.</t>
  </si>
  <si>
    <t>This variable represents the normalized cost-effectiveness of retrofit measures in terms of the cost required to reduce one kilowatt-hour of energy consumption. The metric is scaled to a 0–1 range so it can contribute proportionally to the composite priority index.</t>
  </si>
  <si>
    <t>This variable represents the normalized cost-effectiveness of retrofit measures in terms of the cost required to reduce one metric ton of carbon dioxide emissions. Scaling this metric allows it to be directly combined with other performance indicators in the priority index calculation.</t>
  </si>
  <si>
    <t>This variable represents the composite retrofit prioritization score for each dwelling. It is calculated as a weighted combination of scaled energy improvement potential, environmental impact reduction, financial feasibility, and cost-effectiveness metrics. The resulting score ranges from 0 to 1, with higher values indicating dwellings that offer the greatest combined potential for energy efficiency improvements, carbon reduction, and economically viable retrofit measures.</t>
  </si>
  <si>
    <t xml:space="preserve">11 CULCREUCH AVENUE </t>
  </si>
  <si>
    <t xml:space="preserve">FINTRY </t>
  </si>
  <si>
    <t xml:space="preserve">GLASGOW </t>
  </si>
  <si>
    <t>G63 0YB</t>
  </si>
  <si>
    <t>56.05605329999999</t>
  </si>
  <si>
    <t>RdSAP, existing dwelling</t>
  </si>
  <si>
    <t>D</t>
  </si>
  <si>
    <t>B</t>
  </si>
  <si>
    <t>E</t>
  </si>
  <si>
    <t>C</t>
  </si>
  <si>
    <t xml:space="preserve">; Indicative Cost: ¬£300 - ¬£600; Typical Saving: 77; Energy Rating after improvement: D 64; Environmental Rating after improvement: D 55; Green Deal Eligible: Y | Description: Solar photovoltaic panels, 2.5 kWp; Indicative Cost: ¬£3,500 - ¬£5,500; Typical Saving: 389; Energy Rating after improvement: B 81; Environmental Rating after improvement: C 72; Green Deal Eligible: Y | Description: Floor insulation (solid floor); Indicative Cost: ¬£4,000 - ¬£6,000; Typical Saving: 186; Energy Rating after improvement: D 67; Environmental Rating after improvement: D 59; Green Deal Eligible: Y | Description: Solar water heating; Indicative Cost: ¬£4,000 - ¬£6,000; Typical Saving: 173; Energy Rating after improvement: C 71; Environmental Rating after improvement: D 64; Green Deal Eligible: Y | </t>
  </si>
  <si>
    <t xml:space="preserve">System built, with external insulation </t>
  </si>
  <si>
    <t xml:space="preserve">Good </t>
  </si>
  <si>
    <t xml:space="preserve">Pitched, 250 mm loft insulation </t>
  </si>
  <si>
    <t xml:space="preserve">Solid, no insulation (assumed) </t>
  </si>
  <si>
    <t xml:space="preserve">N/A </t>
  </si>
  <si>
    <t xml:space="preserve">Description: Fully double glazed </t>
  </si>
  <si>
    <t xml:space="preserve">Average </t>
  </si>
  <si>
    <t xml:space="preserve">Boiler and radiators, dual fuel (mineral and wood) </t>
  </si>
  <si>
    <t xml:space="preserve">TRVs and bypass </t>
  </si>
  <si>
    <t xml:space="preserve">Room heaters, dual fuel (mineral and wood) </t>
  </si>
  <si>
    <t xml:space="preserve">From main system, no cylinder thermostat </t>
  </si>
  <si>
    <t xml:space="preserve">Poor </t>
  </si>
  <si>
    <t xml:space="preserve">Low energy lighting in all fixed outlets </t>
  </si>
  <si>
    <t xml:space="preserve">Very Good </t>
  </si>
  <si>
    <t>1950-1964</t>
  </si>
  <si>
    <t>S01006074 (Strathendrick)</t>
  </si>
  <si>
    <t>Stirling</t>
  </si>
  <si>
    <t>boiler with radiators or underfloor heating</t>
  </si>
  <si>
    <t>dual fuel - mineral + wood</t>
  </si>
  <si>
    <t>natural</t>
  </si>
  <si>
    <t>Single</t>
  </si>
  <si>
    <t>double glazing installed before 2002</t>
  </si>
  <si>
    <t xml:space="preserve">Array: Roof Area: 0%; Connection: not applicable (FGHRS or no PV);  | </t>
  </si>
  <si>
    <t>owner-occupied</t>
  </si>
  <si>
    <t>marketed sale</t>
  </si>
  <si>
    <t>00RGMB</t>
  </si>
  <si>
    <t>Forth and Endrick</t>
  </si>
  <si>
    <t>Semi-Detached</t>
  </si>
  <si>
    <t>House</t>
  </si>
  <si>
    <t>S01013015 (Kippen and Fintry - 01)</t>
  </si>
  <si>
    <t>2899-1018-5205-0295-2200</t>
  </si>
  <si>
    <t>11 CULCREUCH AVENUE | G63 0YB</t>
  </si>
  <si>
    <t>[{'description': None, 'cost_min': 300, 'cost_max': 600, 'typical_saving': 77, 'energy_rating': 'D 64', 'env_rating': 'D 55', 'green_deal': 'Y'}, {'description': 'Solar photovoltaic panels, 2.5 kWp', 'cost_min': 3500, 'cost_max': 5500, 'typical_saving': 389, 'energy_rating': 'B 81', 'env_rating': 'C 72', 'green_deal': 'Y'}, {'description': 'Floor insulation (solid floor)', 'cost_min': 4000, 'cost_max': 6000, 'typical_saving': 186, 'energy_rating': 'D 67', 'env_rating': 'D 59', 'green_deal': 'Y'}, {'description': 'Solar water heating', 'cost_min': 4000, 'cost_max': 6000, 'typical_saving': 173, 'energy_rating': 'C 71', 'env_rating': 'D 64', 'green_deal': 'Y'}, {'description': None, 'cost_min': None, 'cost_max': None, 'typical_saving': None, 'energy_rating': None, 'env_rating': None, 'green_deal': None}]</t>
  </si>
  <si>
    <t>[{'description': 'System built, with external insulation', 'energy_rating': 'Good', 'env_rating': 'Good'}]</t>
  </si>
  <si>
    <t>[{'description': 'Pitched, 250 mm loft insulation', 'energy_rating': 'Good', 'env_rating': 'Good'}]</t>
  </si>
  <si>
    <t>[{'description': 'Solid, no insulation (assumed)', 'energy_rating': 'N/A', 'env_rating': 'N/A'}]</t>
  </si>
  <si>
    <t>[{'description': 'Description: Fully double glazed', 'energy_rating': 'Average', 'env_rating': 'Average'}]</t>
  </si>
  <si>
    <t>[{'description': 'Boiler and radiators, dual fuel (mineral and wood)', 'energy_rating': 'Average', 'env_rating': 'Average'}]</t>
  </si>
  <si>
    <t>[{'description': 'TRVs and bypass', 'energy_rating': 'Average', 'env_rating': 'Average'}]</t>
  </si>
  <si>
    <t>[{'description': 'Room heaters, dual fuel (mineral and wood)', 'energy_rating': 'N/A', 'env_rating': 'N/A'}]</t>
  </si>
  <si>
    <t>[{'description': 'From main system, no cylinder thermostat', 'energy_rating': 'Poor', 'env_rating': 'Poor'}]</t>
  </si>
  <si>
    <t>[{'description': 'Low energy lighting in all fixed outlets', 'energy_rating': 'Very Good', 'env_rating': 'Very Good'}]</t>
  </si>
  <si>
    <t>[]</t>
  </si>
  <si>
    <t>0.4059040590405904</t>
  </si>
  <si>
    <t>0.6363636363636364</t>
  </si>
  <si>
    <t>36.89655172413793</t>
  </si>
  <si>
    <t>[{'description': 'Solar photovoltaic panels, 2.5 kWp', 'cost_min': 3500, 'cost_max': 5500, 'typical_saving': 389, 'energy_rating': 'B 81', 'env_rating': 'C 72', 'green_deal': 'Y'}, {'description': 'Floor insulation (solid floor)', 'cost_min': 4000, 'cost_max': 6000, 'typical_saving': 186, 'energy_rating': 'D 67', 'env_rating': 'D 59', 'green_deal': 'Y'}, {'description': 'Solar water heating', 'cost_min': 4000, 'cost_max': 6000, 'typical_saving': 173, 'energy_rating': 'C 71', 'env_rating': 'D 64', 'green_deal': 'Y'}]</t>
  </si>
  <si>
    <t>[{'description': 'Solar photovoltaic panels, 2.5 kWp', 'capex_mid': np.float64(4500.0), 'lifetime': np.int64(30), 'annual_cashflow': 389, 'npv': np.float64(1479.883449457421), 'irr': 0.07714341080999954}, {'description': 'Floor insulation (solid floor)', 'capex_mid': np.float64(5000.0), 'lifetime': np.int64(50), 'annual_cashflow': 186, 'npv': np.float64(-1604.3978643372584), 'irr': 0.02772023532215706}, {'description': 'Solar water heating', 'capex_mid': np.float64(5000.0), 'lifetime': np.int64(30), 'annual_cashflow': 173, 'npv': np.float64(-2340.5659723492713), 'irr': 0.002423267312026134}]</t>
  </si>
  <si>
    <t>34.21052631578947</t>
  </si>
  <si>
    <t>135.9090909090909</t>
  </si>
  <si>
    <t>4271428.571428571</t>
  </si>
  <si>
    <t>4.301075268817205</t>
  </si>
  <si>
    <t>1.0752688172043012</t>
  </si>
  <si>
    <t>Unknown</t>
  </si>
  <si>
    <t>boiler with radiators or underfloor heating | dual fuel - mineral + wood</t>
  </si>
  <si>
    <t>0.2571428571428571</t>
  </si>
  <si>
    <t>0.34778492798185734</t>
  </si>
  <si>
    <t>0.2062068965517241</t>
  </si>
  <si>
    <t>0.6859725585149312</t>
  </si>
  <si>
    <t>0.33481076820104116</t>
  </si>
  <si>
    <t xml:space="preserve">Air permeability 5.0 m¬≥/h.m¬≤ (as tested) </t>
  </si>
  <si>
    <t xml:space="preserve">Description: Biomass boiler (Exempted Appliance if in Smoke Control Area) | Description: Air or ground source heat pump |  </t>
  </si>
  <si>
    <t xml:space="preserve">Description: Biomass secondary heating | </t>
  </si>
  <si>
    <t>top floor</t>
  </si>
  <si>
    <t>CSV PARAMETER</t>
  </si>
  <si>
    <t>DESCRIPTION</t>
  </si>
  <si>
    <t>Latitude of site (aquired with Google Maps API)</t>
  </si>
  <si>
    <t>Longitude of site (aquired with Google Maps API)</t>
  </si>
  <si>
    <t>SAMPLE (taken from different sites)</t>
  </si>
  <si>
    <t>Type of main heating controls (shown as an ID number for the type of controls. Includes both main heating systems
if there are two.</t>
  </si>
  <si>
    <t>Parameter</t>
  </si>
  <si>
    <t>Unique_Values</t>
  </si>
  <si>
    <t>A; B; C; D; E; F; G</t>
  </si>
  <si>
    <t>A; B; C; D; E</t>
  </si>
  <si>
    <t>Average thermal transmittance 0.12 W/m¬≤K; Average thermal transmittance 0.13 W/m¬≤K; Average thermal transmittance 0.21 W/m¬≤K; Cavity wall, as built, insulated (assumed); Cavity wall, as built, no insulation (assumed); Cavity wall, as built, partial insulation (assumed); Cavity wall, filled cavity; Cavity wall, with external insulation; Granite or whinstone, as built, insulated (assumed); Granite or whinstone, as built, no insulation (assumed); Granite or whinstone, with internal insulation; Park home wall, as built; Park home wall, with external insulation; Sandstone or limestone, as built, insulated (assumed); Sandstone or limestone, as built, no insulation (assumed); Sandstone or limestone, with internal insulation; Solid brick, as built, no insulation (assumed); System built, as built, insulated (assumed); System built, as built, no insulation (assumed); System built, with external insulation; Timber frame, as built, insulated (assumed); Timber frame, as built, partial insulation (assumed); Timber frame, with additional insulation</t>
  </si>
  <si>
    <t>Average; Good; Poor; Very Good; Very Poor</t>
  </si>
  <si>
    <t>(another dwelling above); Average thermal transmittance 0.10 W/m¬≤K; Average thermal transmittance 0.13 W/m¬≤K; Average thermal transmittance 0.15 W/m¬≤K; Flat, insulated; Flat, insulated (assumed); Flat, limited insulation (assumed); Flat, no insulation (assumed); Pitched, 100 mm loft insulation; Pitched, 150 mm loft insulation; Pitched, 200 mm loft insulation; Pitched, 250 mm loft insulation; Pitched, 270 mm loft insulation; Pitched, 300 mm loft insulation; Pitched, 350 mm loft insulation; Pitched, 400+ mm loft insulation; Pitched, insulated (assumed); Pitched, insulated at rafters; Pitched, limited insulation (assumed); Pitched, no insulation; Pitched, no insulation (assumed); Roof room(s), ceiling insulated; Roof room(s), insulated; Roof room(s), insulated (assumed); Roof room(s), limited insulation (assumed); Roof room(s), no insulation (assumed)</t>
  </si>
  <si>
    <t>Average; Good; N/A; Poor; Very Good; Very Poor</t>
  </si>
  <si>
    <t>(another dwelling below); Average thermal transmittance 0.12 W/m¬≤K; Average thermal transmittance 0.14 W/m¬≤K; Average thermal transmittance 0.15 W/m¬≤K; Solid, insulated; Solid, insulated (assumed); Solid, no insulation (assumed); Suspended, insulated; Suspended, insulated (assumed); Suspended, limited insulation (assumed); Suspended, no insulation (assumed); To unheated space, insulated (assumed); To unheated space, no insulation (assumed)</t>
  </si>
  <si>
    <t>N/A; Very Good</t>
  </si>
  <si>
    <t>Description: Fully double glazed; Description: Fully triple glazed; Description: High performance glazing; Description: Mostly double glazing; Description: Partial double glazing; Description: Some double glazing</t>
  </si>
  <si>
    <t>Air source heat pump, radiators, electric; Air source heat pump, underfloor, electric; Boiler and radiators, LPG; Boiler and radiators, dual fuel (mineral and wood); Boiler and radiators, electric; Boiler and radiators, mains gas; Boiler and radiators, oil; Boiler and radiators, wood logs; Boiler and radiators, wood pellets; Community scheme; Electric storage heaters; Ground source heat pump, radiators, electric; Ground source heat pump, underfloor, electric; No system present: electric heaters assumed; Room heaters, dual fuel (mineral and wood); Room heaters, electric</t>
  </si>
  <si>
    <t>Appliance thermostats; Automatic charge control; Charging system linked to use of community heating, programmer and TRVs; Charging system linked to use of community heating, programmer and at least two room thermostats; Charging system linked to use of community heating, programmer and room thermostat; Controls for high heat retention storage heaters; Flat rate charging, programmer and TRVs; Flat rate charging, programmer and room thermostat; Flat rate charging, programmer, no room thermostat; Flat rate charging, room thermostat only; Manual charge control; No thermostatic control of room temperature; None; Programmer and appliance thermostats; Programmer and at least two room thermostats; Programmer and room thermostat; Programmer, TRVs and bypass; Programmer, no room thermostat; Programmer, room thermostat and TRVs; TRVs and bypass; Time and temperature zone control</t>
  </si>
  <si>
    <t>None; Portable electric heaters (assumed); Room heaters, coal; Room heaters, dual fuel (mineral and wood); Room heaters, electric; Room heaters, wood logs; Room heaters, wood pellets</t>
  </si>
  <si>
    <t>N/A</t>
  </si>
  <si>
    <t>Community scheme; Electric immersion, off-peak; Electric immersion, standard tariff; Electric instantaneous at point of use; From main system; From main system, no cylinder thermostat; No system present: electric immersion assumed</t>
  </si>
  <si>
    <t>Average; Good; Poor; Very Poor</t>
  </si>
  <si>
    <t>Excellent lighting efficiency; Good lighting efficiency; Low energy lighting in 13% of fixed outlets; Low energy lighting in 14% of fixed outlets; Low energy lighting in 20% of fixed outlets; Low energy lighting in 25% of fixed outlets; Low energy lighting in 30% of fixed outlets; Low energy lighting in 33% of fixed outlets; Low energy lighting in 35% of fixed outlets; Low energy lighting in 38% of fixed outlets; Low energy lighting in 40% of fixed outlets; Low energy lighting in 44% of fixed outlets; Low energy lighting in 50% of fixed outlets; Low energy lighting in 53% of fixed outlets; Low energy lighting in 54% of fixed outlets; Low energy lighting in 55% of fixed outlets; Low energy lighting in 57% of fixed outlets; Low energy lighting in 60% of fixed outlets; Low energy lighting in 63% of fixed outlets; Low energy lighting in 67% of fixed outlets; Low energy lighting in 68% of fixed outlets; Low energy lighting in 69% of fixed outlets; Low energy lighting in 71% of fixed outlets; Low energy lighting in 78% of fixed outlets; Low energy lighting in 80% of fixed outlets; Low energy lighting in 81% of fixed outlets; Low energy lighting in 82% of fixed outlets; Low energy lighting in 83% of fixed outlets; Low energy lighting in 86% of fixed outlets; Low energy lighting in 88% of fixed outlets; Low energy lighting in 89% of fixed outlets; Low energy lighting in 91% of fixed outlets; Low energy lighting in 95% of fixed outlets; Low energy lighting in all fixed outlets; No low energy lighting</t>
  </si>
  <si>
    <t>Air permeability 0.3 m¬≥/h.m¬≤ (as tested); Air permeability 5.0 m¬≥/h.m¬≤ (as tested); Air permeability 6.7 m¬≥/h.m¬≤ (as tested); Air permeability 8.2 m¬≥/h.m¬≤ (as tested)</t>
  </si>
  <si>
    <t>Average; Good; Very Good</t>
  </si>
  <si>
    <t>; Description: Air source heat pump; Description: Biomass community heating; Description: Biomass community heating for some of heat generation; Description: Biomass main heating; Description: Biomass secondary heating; Description: Ground source heat pump; Description: Solar photovoltaics</t>
  </si>
  <si>
    <t>1930-1949; 1950-1964; 1965-1975; 1976-1983; 1984-1991; 1992-1998; 1999-2002; 2003-2007; 2008 onwards; before 1919</t>
  </si>
  <si>
    <t>0; 1; 2; 3; 4</t>
  </si>
  <si>
    <t>ground floor; top floor</t>
  </si>
  <si>
    <t>0.0; 1.0</t>
  </si>
  <si>
    <t>0; 1; 2; 4</t>
  </si>
  <si>
    <t>0; 10; 15; 2; 3; 4; 5; 6; 7; 8</t>
  </si>
  <si>
    <t>no corridor; unheated corridor</t>
  </si>
  <si>
    <t>0; 15; 2; 3; 4; 5; 6; 7; 8; 9</t>
  </si>
  <si>
    <t>boiler with radiators or underfloor heating; community heating system; electric storage heaters; heat pump with radiators or underfloor heating; none; room heaters</t>
  </si>
  <si>
    <t>biomass; bottled lpg; bulk wood pellets; dual fuel - mineral + wood; electricity; electricity: electricity, unspecified tariff; lpg; mains gas; no heating/hot-water system or data is from a community network; oil</t>
  </si>
  <si>
    <t>2102.0; 2104.0; 2106.0; 2107.0; 2111.0; 2204.0; 2205.0; 2206.0; 2207.0; 2302.0; 2303.0; 2304.0; 2305.0; 2306.0; 2309.0; 2312.0; 2401.0; 2402.0; 2404.0; 2601.0; 2602.0; 2603.0; 2605.0; 2699.0</t>
  </si>
  <si>
    <t>mechanical, extract only; mechanical, supply and extract; natural</t>
  </si>
  <si>
    <t>Single; Unknown; dual; dual (24 hour)</t>
  </si>
  <si>
    <t>double glazing installed before 2002; double glazing installed during or after 2002; double glazing, unknown install date; not defined; triple glazing</t>
  </si>
  <si>
    <t>owner-occupied; rented (private); rented (social); unknown</t>
  </si>
  <si>
    <t>ECO assessment; FiT application; RHI application; marketed sale; new dwelling; non marketed sale; none of the above; rental</t>
  </si>
  <si>
    <t>Detached; Enclosed End-Terrace; End-Terrace; Mid-Terrace; Semi-Detached</t>
  </si>
  <si>
    <t>Bungalow; Flat; House; Park home</t>
  </si>
  <si>
    <t>Categorical Values (complete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</si>
</sst>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scheme val="minor"/>
    </font>
    <font>
      <i/>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center"/>
    </xf>
    <xf numFmtId="0" fontId="1" fillId="0" borderId="0" xfId="0" applyFont="1" applyAlignment="1">
      <alignment horizontal="center"/>
    </xf>
    <xf numFmtId="0" fontId="1" fillId="0" borderId="0" xfId="0" applyFont="1" applyAlignment="1">
      <alignment horizontal="center" wrapText="1"/>
    </xf>
    <xf numFmtId="0" fontId="2" fillId="0" borderId="0" xfId="0" applyFont="1" applyAlignment="1">
      <alignment horizontal="left" vertical="center" wrapText="1"/>
    </xf>
    <xf numFmtId="0" fontId="2" fillId="0" borderId="0" xfId="0" quotePrefix="1" applyFont="1" applyAlignment="1">
      <alignment horizontal="left" vertical="center" wrapText="1"/>
    </xf>
    <xf numFmtId="14" fontId="2" fillId="0" borderId="0" xfId="0" applyNumberFormat="1" applyFont="1" applyAlignment="1">
      <alignment horizontal="left" vertical="center" wrapText="1"/>
    </xf>
    <xf numFmtId="22" fontId="2" fillId="0" borderId="0" xfId="0" applyNumberFormat="1" applyFont="1" applyAlignment="1">
      <alignment horizontal="lef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20971-9695-0B47-A664-F633A5E2F6D7}">
  <dimension ref="A1:C164"/>
  <sheetViews>
    <sheetView topLeftCell="A111" zoomScale="75" workbookViewId="0">
      <selection activeCell="C116" sqref="C116"/>
    </sheetView>
  </sheetViews>
  <sheetFormatPr baseColWidth="10" defaultRowHeight="16" x14ac:dyDescent="0.2"/>
  <cols>
    <col min="1" max="1" width="34.6640625" style="1" bestFit="1" customWidth="1"/>
    <col min="2" max="2" width="52.1640625" style="1" customWidth="1"/>
    <col min="3" max="3" width="48.5" style="6" customWidth="1"/>
    <col min="4" max="4" width="31" style="1" customWidth="1"/>
    <col min="5" max="16384" width="10.83203125" style="1"/>
  </cols>
  <sheetData>
    <row r="1" spans="1:3" s="3" customFormat="1" ht="17" x14ac:dyDescent="0.2">
      <c r="A1" s="4" t="s">
        <v>368</v>
      </c>
      <c r="B1" s="4" t="s">
        <v>369</v>
      </c>
      <c r="C1" s="5" t="s">
        <v>372</v>
      </c>
    </row>
    <row r="2" spans="1:3" ht="119" x14ac:dyDescent="0.2">
      <c r="A2" s="1" t="s">
        <v>0</v>
      </c>
      <c r="B2" s="2" t="s">
        <v>163</v>
      </c>
      <c r="C2" s="6">
        <v>1001829059</v>
      </c>
    </row>
    <row r="3" spans="1:3" ht="102" x14ac:dyDescent="0.2">
      <c r="A3" s="1" t="s">
        <v>1</v>
      </c>
      <c r="B3" s="2" t="s">
        <v>164</v>
      </c>
      <c r="C3" s="6">
        <v>122009928</v>
      </c>
    </row>
    <row r="4" spans="1:3" ht="17" x14ac:dyDescent="0.2">
      <c r="A4" s="1" t="s">
        <v>2</v>
      </c>
      <c r="B4" s="1" t="s">
        <v>165</v>
      </c>
      <c r="C4" s="6" t="s">
        <v>293</v>
      </c>
    </row>
    <row r="5" spans="1:3" ht="17" x14ac:dyDescent="0.2">
      <c r="A5" s="1" t="s">
        <v>3</v>
      </c>
      <c r="B5" s="1" t="s">
        <v>166</v>
      </c>
      <c r="C5" s="6" t="s">
        <v>294</v>
      </c>
    </row>
    <row r="6" spans="1:3" ht="51" x14ac:dyDescent="0.2">
      <c r="A6" s="1" t="s">
        <v>4</v>
      </c>
      <c r="B6" s="2" t="s">
        <v>167</v>
      </c>
      <c r="C6" s="6" t="s">
        <v>295</v>
      </c>
    </row>
    <row r="7" spans="1:3" ht="17" x14ac:dyDescent="0.2">
      <c r="A7" s="1" t="s">
        <v>5</v>
      </c>
      <c r="B7" s="2" t="s">
        <v>168</v>
      </c>
      <c r="C7" s="6" t="s">
        <v>296</v>
      </c>
    </row>
    <row r="8" spans="1:3" ht="17" x14ac:dyDescent="0.2">
      <c r="A8" s="1" t="s">
        <v>6</v>
      </c>
      <c r="B8" s="2" t="s">
        <v>370</v>
      </c>
      <c r="C8" s="7" t="s">
        <v>297</v>
      </c>
    </row>
    <row r="9" spans="1:3" ht="17" x14ac:dyDescent="0.2">
      <c r="A9" s="1" t="s">
        <v>7</v>
      </c>
      <c r="B9" s="2" t="s">
        <v>371</v>
      </c>
      <c r="C9" s="6">
        <v>-4.2246703999999999</v>
      </c>
    </row>
    <row r="10" spans="1:3" ht="34" x14ac:dyDescent="0.2">
      <c r="A10" s="1" t="s">
        <v>8</v>
      </c>
      <c r="B10" s="2" t="s">
        <v>169</v>
      </c>
      <c r="C10" s="8">
        <v>45798</v>
      </c>
    </row>
    <row r="11" spans="1:3" ht="34" x14ac:dyDescent="0.2">
      <c r="A11" s="1" t="s">
        <v>9</v>
      </c>
      <c r="B11" s="2" t="s">
        <v>170</v>
      </c>
      <c r="C11" s="6" t="s">
        <v>298</v>
      </c>
    </row>
    <row r="12" spans="1:3" ht="51" x14ac:dyDescent="0.2">
      <c r="A12" s="1" t="s">
        <v>10</v>
      </c>
      <c r="B12" s="2" t="s">
        <v>171</v>
      </c>
      <c r="C12" s="8">
        <v>45800</v>
      </c>
    </row>
    <row r="13" spans="1:3" ht="68" x14ac:dyDescent="0.2">
      <c r="A13" s="1" t="s">
        <v>11</v>
      </c>
      <c r="B13" s="2" t="s">
        <v>172</v>
      </c>
      <c r="C13" s="6">
        <v>271</v>
      </c>
    </row>
    <row r="14" spans="1:3" ht="34" x14ac:dyDescent="0.2">
      <c r="A14" s="1" t="s">
        <v>12</v>
      </c>
      <c r="B14" s="2" t="s">
        <v>173</v>
      </c>
      <c r="C14" s="6">
        <v>93</v>
      </c>
    </row>
    <row r="15" spans="1:3" ht="68" x14ac:dyDescent="0.2">
      <c r="A15" s="1" t="s">
        <v>13</v>
      </c>
      <c r="B15" s="2" t="s">
        <v>174</v>
      </c>
      <c r="C15" s="6">
        <v>6237</v>
      </c>
    </row>
    <row r="16" spans="1:3" ht="85" x14ac:dyDescent="0.2">
      <c r="A16" s="1" t="s">
        <v>14</v>
      </c>
      <c r="B16" s="2" t="s">
        <v>175</v>
      </c>
      <c r="C16" s="6">
        <v>1311</v>
      </c>
    </row>
    <row r="17" spans="1:3" ht="68" x14ac:dyDescent="0.2">
      <c r="A17" s="1" t="s">
        <v>15</v>
      </c>
      <c r="B17" s="2" t="s">
        <v>176</v>
      </c>
      <c r="C17" s="6">
        <v>63</v>
      </c>
    </row>
    <row r="18" spans="1:3" ht="51" x14ac:dyDescent="0.2">
      <c r="A18" s="1" t="s">
        <v>16</v>
      </c>
      <c r="B18" s="2" t="s">
        <v>177</v>
      </c>
      <c r="C18" s="6" t="s">
        <v>299</v>
      </c>
    </row>
    <row r="19" spans="1:3" ht="119" x14ac:dyDescent="0.2">
      <c r="A19" s="1" t="s">
        <v>17</v>
      </c>
      <c r="B19" s="2" t="s">
        <v>178</v>
      </c>
      <c r="C19" s="6">
        <v>81</v>
      </c>
    </row>
    <row r="20" spans="1:3" ht="51" x14ac:dyDescent="0.2">
      <c r="A20" s="1" t="s">
        <v>18</v>
      </c>
      <c r="B20" s="2" t="s">
        <v>179</v>
      </c>
      <c r="C20" s="6" t="s">
        <v>300</v>
      </c>
    </row>
    <row r="21" spans="1:3" ht="68" x14ac:dyDescent="0.2">
      <c r="A21" s="1" t="s">
        <v>19</v>
      </c>
      <c r="B21" s="2" t="s">
        <v>180</v>
      </c>
      <c r="C21" s="6">
        <v>53</v>
      </c>
    </row>
    <row r="22" spans="1:3" ht="51" x14ac:dyDescent="0.2">
      <c r="A22" s="1" t="s">
        <v>20</v>
      </c>
      <c r="B22" s="2" t="s">
        <v>181</v>
      </c>
      <c r="C22" s="6" t="s">
        <v>301</v>
      </c>
    </row>
    <row r="23" spans="1:3" ht="85" x14ac:dyDescent="0.2">
      <c r="A23" s="1" t="s">
        <v>21</v>
      </c>
      <c r="B23" s="2" t="s">
        <v>182</v>
      </c>
      <c r="C23" s="6">
        <v>72</v>
      </c>
    </row>
    <row r="24" spans="1:3" ht="51" x14ac:dyDescent="0.2">
      <c r="A24" s="1" t="s">
        <v>22</v>
      </c>
      <c r="B24" s="2" t="s">
        <v>183</v>
      </c>
      <c r="C24" s="6" t="s">
        <v>302</v>
      </c>
    </row>
    <row r="25" spans="1:3" ht="51" x14ac:dyDescent="0.2">
      <c r="A25" s="1" t="s">
        <v>23</v>
      </c>
      <c r="B25" s="2" t="s">
        <v>184</v>
      </c>
      <c r="C25" s="6">
        <v>59</v>
      </c>
    </row>
    <row r="26" spans="1:3" ht="255" x14ac:dyDescent="0.2">
      <c r="A26" s="1" t="s">
        <v>24</v>
      </c>
      <c r="B26" s="2" t="s">
        <v>185</v>
      </c>
      <c r="C26" s="6" t="s">
        <v>303</v>
      </c>
    </row>
    <row r="27" spans="1:3" ht="153" x14ac:dyDescent="0.2">
      <c r="A27" s="1" t="s">
        <v>25</v>
      </c>
      <c r="B27" s="2" t="s">
        <v>186</v>
      </c>
      <c r="C27" s="6" t="s">
        <v>304</v>
      </c>
    </row>
    <row r="28" spans="1:3" ht="153" x14ac:dyDescent="0.2">
      <c r="A28" s="1" t="s">
        <v>26</v>
      </c>
      <c r="B28" s="2" t="s">
        <v>186</v>
      </c>
      <c r="C28" s="6" t="s">
        <v>305</v>
      </c>
    </row>
    <row r="29" spans="1:3" ht="153" x14ac:dyDescent="0.2">
      <c r="A29" s="1" t="s">
        <v>27</v>
      </c>
      <c r="B29" s="2" t="s">
        <v>186</v>
      </c>
      <c r="C29" s="6" t="s">
        <v>305</v>
      </c>
    </row>
    <row r="30" spans="1:3" ht="153" x14ac:dyDescent="0.2">
      <c r="A30" s="1" t="s">
        <v>28</v>
      </c>
      <c r="B30" s="2" t="s">
        <v>186</v>
      </c>
      <c r="C30" s="6" t="s">
        <v>306</v>
      </c>
    </row>
    <row r="31" spans="1:3" ht="153" x14ac:dyDescent="0.2">
      <c r="A31" s="1" t="s">
        <v>29</v>
      </c>
      <c r="B31" s="2" t="s">
        <v>186</v>
      </c>
      <c r="C31" s="6" t="s">
        <v>305</v>
      </c>
    </row>
    <row r="32" spans="1:3" ht="153" x14ac:dyDescent="0.2">
      <c r="A32" s="1" t="s">
        <v>30</v>
      </c>
      <c r="B32" s="2" t="s">
        <v>186</v>
      </c>
      <c r="C32" s="6" t="s">
        <v>305</v>
      </c>
    </row>
    <row r="33" spans="1:3" ht="153" x14ac:dyDescent="0.2">
      <c r="A33" s="1" t="s">
        <v>31</v>
      </c>
      <c r="B33" s="2" t="s">
        <v>186</v>
      </c>
      <c r="C33" s="6" t="s">
        <v>307</v>
      </c>
    </row>
    <row r="34" spans="1:3" ht="153" x14ac:dyDescent="0.2">
      <c r="A34" s="1" t="s">
        <v>32</v>
      </c>
      <c r="B34" s="2" t="s">
        <v>186</v>
      </c>
      <c r="C34" s="6" t="s">
        <v>308</v>
      </c>
    </row>
    <row r="35" spans="1:3" ht="153" x14ac:dyDescent="0.2">
      <c r="A35" s="1" t="s">
        <v>33</v>
      </c>
      <c r="B35" s="2" t="s">
        <v>186</v>
      </c>
      <c r="C35" s="6" t="s">
        <v>308</v>
      </c>
    </row>
    <row r="36" spans="1:3" ht="153" x14ac:dyDescent="0.2">
      <c r="A36" s="1" t="s">
        <v>34</v>
      </c>
      <c r="B36" s="2" t="s">
        <v>186</v>
      </c>
      <c r="C36" s="6" t="s">
        <v>309</v>
      </c>
    </row>
    <row r="37" spans="1:3" ht="153" x14ac:dyDescent="0.2">
      <c r="A37" s="1" t="s">
        <v>35</v>
      </c>
      <c r="B37" s="2" t="s">
        <v>186</v>
      </c>
      <c r="C37" s="6" t="s">
        <v>310</v>
      </c>
    </row>
    <row r="38" spans="1:3" ht="153" x14ac:dyDescent="0.2">
      <c r="A38" s="1" t="s">
        <v>36</v>
      </c>
      <c r="B38" s="2" t="s">
        <v>186</v>
      </c>
      <c r="C38" s="6" t="s">
        <v>310</v>
      </c>
    </row>
    <row r="39" spans="1:3" ht="153" x14ac:dyDescent="0.2">
      <c r="A39" s="1" t="s">
        <v>37</v>
      </c>
      <c r="B39" s="2" t="s">
        <v>186</v>
      </c>
      <c r="C39" s="6" t="s">
        <v>311</v>
      </c>
    </row>
    <row r="40" spans="1:3" ht="153" x14ac:dyDescent="0.2">
      <c r="A40" s="1" t="s">
        <v>38</v>
      </c>
      <c r="B40" s="2" t="s">
        <v>186</v>
      </c>
      <c r="C40" s="6" t="s">
        <v>310</v>
      </c>
    </row>
    <row r="41" spans="1:3" ht="153" x14ac:dyDescent="0.2">
      <c r="A41" s="1" t="s">
        <v>39</v>
      </c>
      <c r="B41" s="2" t="s">
        <v>186</v>
      </c>
      <c r="C41" s="6" t="s">
        <v>310</v>
      </c>
    </row>
    <row r="42" spans="1:3" ht="153" x14ac:dyDescent="0.2">
      <c r="A42" s="1" t="s">
        <v>40</v>
      </c>
      <c r="B42" s="2" t="s">
        <v>186</v>
      </c>
      <c r="C42" s="6" t="s">
        <v>312</v>
      </c>
    </row>
    <row r="43" spans="1:3" ht="153" x14ac:dyDescent="0.2">
      <c r="A43" s="1" t="s">
        <v>41</v>
      </c>
      <c r="B43" s="2" t="s">
        <v>186</v>
      </c>
      <c r="C43" s="6" t="s">
        <v>310</v>
      </c>
    </row>
    <row r="44" spans="1:3" ht="153" x14ac:dyDescent="0.2">
      <c r="A44" s="1" t="s">
        <v>42</v>
      </c>
      <c r="B44" s="2" t="s">
        <v>186</v>
      </c>
      <c r="C44" s="6" t="s">
        <v>310</v>
      </c>
    </row>
    <row r="45" spans="1:3" ht="153" x14ac:dyDescent="0.2">
      <c r="A45" s="1" t="s">
        <v>43</v>
      </c>
      <c r="B45" s="2" t="s">
        <v>186</v>
      </c>
      <c r="C45" s="6" t="s">
        <v>313</v>
      </c>
    </row>
    <row r="46" spans="1:3" ht="153" x14ac:dyDescent="0.2">
      <c r="A46" s="1" t="s">
        <v>44</v>
      </c>
      <c r="B46" s="2" t="s">
        <v>186</v>
      </c>
      <c r="C46" s="6" t="s">
        <v>308</v>
      </c>
    </row>
    <row r="47" spans="1:3" ht="153" x14ac:dyDescent="0.2">
      <c r="A47" s="1" t="s">
        <v>45</v>
      </c>
      <c r="B47" s="2" t="s">
        <v>186</v>
      </c>
      <c r="C47" s="6" t="s">
        <v>308</v>
      </c>
    </row>
    <row r="48" spans="1:3" ht="153" x14ac:dyDescent="0.2">
      <c r="A48" s="1" t="s">
        <v>46</v>
      </c>
      <c r="B48" s="2" t="s">
        <v>186</v>
      </c>
      <c r="C48" s="6" t="s">
        <v>314</v>
      </c>
    </row>
    <row r="49" spans="1:3" ht="153" x14ac:dyDescent="0.2">
      <c r="A49" s="1" t="s">
        <v>47</v>
      </c>
      <c r="B49" s="2" t="s">
        <v>186</v>
      </c>
      <c r="C49" s="6" t="s">
        <v>315</v>
      </c>
    </row>
    <row r="50" spans="1:3" ht="153" x14ac:dyDescent="0.2">
      <c r="A50" s="1" t="s">
        <v>48</v>
      </c>
      <c r="B50" s="2" t="s">
        <v>186</v>
      </c>
      <c r="C50" s="6" t="s">
        <v>315</v>
      </c>
    </row>
    <row r="51" spans="1:3" ht="153" x14ac:dyDescent="0.2">
      <c r="A51" s="1" t="s">
        <v>49</v>
      </c>
      <c r="B51" s="2" t="s">
        <v>186</v>
      </c>
      <c r="C51" s="6" t="s">
        <v>316</v>
      </c>
    </row>
    <row r="52" spans="1:3" ht="153" x14ac:dyDescent="0.2">
      <c r="A52" s="1" t="s">
        <v>50</v>
      </c>
      <c r="B52" s="2" t="s">
        <v>186</v>
      </c>
      <c r="C52" s="6" t="s">
        <v>317</v>
      </c>
    </row>
    <row r="53" spans="1:3" ht="153" x14ac:dyDescent="0.2">
      <c r="A53" s="1" t="s">
        <v>51</v>
      </c>
      <c r="B53" s="2" t="s">
        <v>186</v>
      </c>
      <c r="C53" s="6" t="s">
        <v>317</v>
      </c>
    </row>
    <row r="54" spans="1:3" ht="153" x14ac:dyDescent="0.2">
      <c r="A54" s="1" t="s">
        <v>52</v>
      </c>
      <c r="B54" s="2" t="s">
        <v>186</v>
      </c>
      <c r="C54" s="6" t="s">
        <v>364</v>
      </c>
    </row>
    <row r="55" spans="1:3" ht="153" x14ac:dyDescent="0.2">
      <c r="A55" s="1" t="s">
        <v>53</v>
      </c>
      <c r="B55" s="2" t="s">
        <v>186</v>
      </c>
      <c r="C55" s="6" t="s">
        <v>305</v>
      </c>
    </row>
    <row r="56" spans="1:3" ht="153" x14ac:dyDescent="0.2">
      <c r="A56" s="1" t="s">
        <v>54</v>
      </c>
      <c r="B56" s="2" t="s">
        <v>186</v>
      </c>
      <c r="C56" s="6" t="s">
        <v>305</v>
      </c>
    </row>
    <row r="57" spans="1:3" ht="85" x14ac:dyDescent="0.2">
      <c r="A57" s="1" t="s">
        <v>55</v>
      </c>
      <c r="B57" s="2" t="s">
        <v>187</v>
      </c>
      <c r="C57" s="6">
        <v>5.5</v>
      </c>
    </row>
    <row r="58" spans="1:3" ht="85" x14ac:dyDescent="0.2">
      <c r="A58" s="1" t="s">
        <v>56</v>
      </c>
      <c r="B58" s="2" t="s">
        <v>188</v>
      </c>
      <c r="C58" s="6">
        <v>2</v>
      </c>
    </row>
    <row r="59" spans="1:3" ht="85" x14ac:dyDescent="0.2">
      <c r="A59" s="1" t="s">
        <v>57</v>
      </c>
      <c r="B59" s="2" t="s">
        <v>189</v>
      </c>
      <c r="C59" s="6">
        <v>4533</v>
      </c>
    </row>
    <row r="60" spans="1:3" ht="102" x14ac:dyDescent="0.2">
      <c r="A60" s="1" t="s">
        <v>58</v>
      </c>
      <c r="B60" s="2" t="s">
        <v>190</v>
      </c>
      <c r="C60" s="6">
        <v>3921</v>
      </c>
    </row>
    <row r="61" spans="1:3" ht="85" x14ac:dyDescent="0.2">
      <c r="A61" s="1" t="s">
        <v>59</v>
      </c>
      <c r="B61" s="2" t="s">
        <v>191</v>
      </c>
      <c r="C61" s="6">
        <v>1419</v>
      </c>
    </row>
    <row r="62" spans="1:3" ht="102" x14ac:dyDescent="0.2">
      <c r="A62" s="1" t="s">
        <v>60</v>
      </c>
      <c r="B62" s="2" t="s">
        <v>192</v>
      </c>
      <c r="C62" s="6">
        <v>720</v>
      </c>
    </row>
    <row r="63" spans="1:3" ht="85" x14ac:dyDescent="0.2">
      <c r="A63" s="1" t="s">
        <v>61</v>
      </c>
      <c r="B63" s="2" t="s">
        <v>193</v>
      </c>
      <c r="C63" s="6">
        <v>285</v>
      </c>
    </row>
    <row r="64" spans="1:3" ht="102" x14ac:dyDescent="0.2">
      <c r="A64" s="1" t="s">
        <v>62</v>
      </c>
      <c r="B64" s="2" t="s">
        <v>194</v>
      </c>
      <c r="C64" s="6">
        <v>285</v>
      </c>
    </row>
    <row r="65" spans="1:3" ht="119" x14ac:dyDescent="0.2">
      <c r="A65" s="1" t="s">
        <v>63</v>
      </c>
      <c r="B65" s="2" t="s">
        <v>195</v>
      </c>
      <c r="C65" s="6" t="s">
        <v>365</v>
      </c>
    </row>
    <row r="66" spans="1:3" ht="102" x14ac:dyDescent="0.2">
      <c r="A66" s="1" t="s">
        <v>64</v>
      </c>
      <c r="B66" s="2" t="s">
        <v>196</v>
      </c>
      <c r="C66" s="6" t="s">
        <v>366</v>
      </c>
    </row>
    <row r="67" spans="1:3" ht="68" x14ac:dyDescent="0.2">
      <c r="A67" s="1" t="s">
        <v>65</v>
      </c>
      <c r="B67" s="2" t="s">
        <v>197</v>
      </c>
      <c r="C67" s="6">
        <v>10523</v>
      </c>
    </row>
    <row r="68" spans="1:3" ht="68" x14ac:dyDescent="0.2">
      <c r="A68" s="1" t="s">
        <v>66</v>
      </c>
      <c r="B68" s="2" t="s">
        <v>198</v>
      </c>
      <c r="C68" s="6">
        <v>3377</v>
      </c>
    </row>
    <row r="69" spans="1:3" ht="85" x14ac:dyDescent="0.2">
      <c r="A69" s="1" t="s">
        <v>67</v>
      </c>
      <c r="B69" s="2" t="s">
        <v>199</v>
      </c>
      <c r="C69" s="6">
        <v>8848</v>
      </c>
    </row>
    <row r="70" spans="1:3" ht="68" x14ac:dyDescent="0.2">
      <c r="A70" s="1" t="s">
        <v>68</v>
      </c>
      <c r="B70" s="2" t="s">
        <v>200</v>
      </c>
      <c r="C70" s="6">
        <v>5875</v>
      </c>
    </row>
    <row r="71" spans="1:3" ht="85" x14ac:dyDescent="0.2">
      <c r="A71" s="1" t="s">
        <v>69</v>
      </c>
      <c r="B71" s="2" t="s">
        <v>201</v>
      </c>
      <c r="C71" s="6">
        <v>10395</v>
      </c>
    </row>
    <row r="72" spans="1:3" ht="119" x14ac:dyDescent="0.2">
      <c r="A72" s="1" t="s">
        <v>70</v>
      </c>
      <c r="B72" s="2" t="s">
        <v>202</v>
      </c>
    </row>
    <row r="73" spans="1:3" ht="85" x14ac:dyDescent="0.2">
      <c r="A73" s="1" t="s">
        <v>71</v>
      </c>
      <c r="B73" s="2" t="s">
        <v>203</v>
      </c>
      <c r="C73" s="6" t="s">
        <v>318</v>
      </c>
    </row>
    <row r="74" spans="1:3" ht="17" x14ac:dyDescent="0.2">
      <c r="A74" s="1" t="s">
        <v>72</v>
      </c>
      <c r="B74" s="2" t="s">
        <v>204</v>
      </c>
      <c r="C74" s="6">
        <v>2.39</v>
      </c>
    </row>
    <row r="75" spans="1:3" ht="51" x14ac:dyDescent="0.2">
      <c r="A75" s="1" t="s">
        <v>73</v>
      </c>
      <c r="B75" s="2" t="s">
        <v>205</v>
      </c>
      <c r="C75" s="6" t="s">
        <v>319</v>
      </c>
    </row>
    <row r="76" spans="1:3" ht="85" x14ac:dyDescent="0.2">
      <c r="A76" s="1" t="s">
        <v>74</v>
      </c>
      <c r="B76" s="2" t="s">
        <v>206</v>
      </c>
      <c r="C76" s="6">
        <v>161</v>
      </c>
    </row>
    <row r="77" spans="1:3" ht="51" x14ac:dyDescent="0.2">
      <c r="A77" s="1" t="s">
        <v>75</v>
      </c>
      <c r="B77" s="2" t="s">
        <v>207</v>
      </c>
      <c r="C77" s="6">
        <v>0</v>
      </c>
    </row>
    <row r="78" spans="1:3" ht="17" x14ac:dyDescent="0.2">
      <c r="A78" s="1" t="s">
        <v>76</v>
      </c>
      <c r="B78" s="2" t="s">
        <v>208</v>
      </c>
      <c r="C78" s="6">
        <v>12</v>
      </c>
    </row>
    <row r="79" spans="1:3" ht="17" x14ac:dyDescent="0.2">
      <c r="A79" s="1" t="s">
        <v>77</v>
      </c>
      <c r="B79" s="2" t="s">
        <v>209</v>
      </c>
      <c r="C79" s="6">
        <v>12</v>
      </c>
    </row>
    <row r="80" spans="1:3" ht="85" x14ac:dyDescent="0.2">
      <c r="A80" s="1" t="s">
        <v>78</v>
      </c>
      <c r="B80" s="2" t="s">
        <v>210</v>
      </c>
      <c r="C80" s="6">
        <v>100</v>
      </c>
    </row>
    <row r="81" spans="1:3" ht="17" x14ac:dyDescent="0.2">
      <c r="A81" s="1" t="s">
        <v>79</v>
      </c>
      <c r="B81" s="2" t="s">
        <v>211</v>
      </c>
      <c r="C81" s="6" t="s">
        <v>367</v>
      </c>
    </row>
    <row r="82" spans="1:3" ht="17" x14ac:dyDescent="0.2">
      <c r="A82" s="1" t="s">
        <v>80</v>
      </c>
      <c r="B82" s="2" t="s">
        <v>212</v>
      </c>
      <c r="C82" s="6">
        <v>1</v>
      </c>
    </row>
    <row r="83" spans="1:3" ht="119" x14ac:dyDescent="0.2">
      <c r="A83" s="1" t="s">
        <v>81</v>
      </c>
      <c r="B83" s="2" t="s">
        <v>213</v>
      </c>
      <c r="C83" s="6">
        <v>1</v>
      </c>
    </row>
    <row r="84" spans="1:3" ht="102" x14ac:dyDescent="0.2">
      <c r="A84" s="1" t="s">
        <v>82</v>
      </c>
      <c r="B84" s="2" t="s">
        <v>214</v>
      </c>
      <c r="C84" s="6">
        <v>4</v>
      </c>
    </row>
    <row r="85" spans="1:3" ht="68" x14ac:dyDescent="0.2">
      <c r="A85" s="1" t="s">
        <v>83</v>
      </c>
      <c r="B85" s="2" t="s">
        <v>215</v>
      </c>
    </row>
    <row r="86" spans="1:3" ht="17" x14ac:dyDescent="0.2">
      <c r="A86" s="1" t="s">
        <v>84</v>
      </c>
      <c r="B86" s="2" t="s">
        <v>216</v>
      </c>
      <c r="C86" s="6">
        <v>4</v>
      </c>
    </row>
    <row r="87" spans="1:3" ht="34" x14ac:dyDescent="0.2">
      <c r="A87" s="1" t="s">
        <v>85</v>
      </c>
      <c r="B87" s="2" t="s">
        <v>217</v>
      </c>
      <c r="C87" s="6" t="s">
        <v>320</v>
      </c>
    </row>
    <row r="88" spans="1:3" ht="34" x14ac:dyDescent="0.2">
      <c r="A88" s="1" t="s">
        <v>86</v>
      </c>
      <c r="B88" s="2" t="s">
        <v>218</v>
      </c>
    </row>
    <row r="89" spans="1:3" ht="68" x14ac:dyDescent="0.2">
      <c r="A89" s="1" t="s">
        <v>87</v>
      </c>
      <c r="B89" s="2" t="s">
        <v>219</v>
      </c>
      <c r="C89" s="6" t="s">
        <v>321</v>
      </c>
    </row>
    <row r="90" spans="1:3" ht="51" x14ac:dyDescent="0.2">
      <c r="A90" s="1" t="s">
        <v>88</v>
      </c>
      <c r="B90" s="2" t="s">
        <v>220</v>
      </c>
      <c r="C90" s="6" t="s">
        <v>322</v>
      </c>
    </row>
    <row r="91" spans="1:3" ht="51" x14ac:dyDescent="0.2">
      <c r="A91" s="1" t="s">
        <v>89</v>
      </c>
      <c r="B91" s="2" t="s">
        <v>221</v>
      </c>
      <c r="C91" s="6">
        <v>2111</v>
      </c>
    </row>
    <row r="92" spans="1:3" ht="17" x14ac:dyDescent="0.2">
      <c r="A92" s="1" t="s">
        <v>90</v>
      </c>
      <c r="B92" s="2" t="s">
        <v>222</v>
      </c>
      <c r="C92" s="6" t="s">
        <v>323</v>
      </c>
    </row>
    <row r="93" spans="1:3" ht="34" x14ac:dyDescent="0.2">
      <c r="A93" s="1" t="s">
        <v>91</v>
      </c>
      <c r="B93" s="2" t="s">
        <v>223</v>
      </c>
      <c r="C93" s="6" t="s">
        <v>324</v>
      </c>
    </row>
    <row r="94" spans="1:3" ht="34" x14ac:dyDescent="0.2">
      <c r="A94" s="1" t="s">
        <v>92</v>
      </c>
      <c r="B94" s="2" t="s">
        <v>224</v>
      </c>
      <c r="C94" s="6">
        <v>100</v>
      </c>
    </row>
    <row r="95" spans="1:3" ht="34" x14ac:dyDescent="0.2">
      <c r="A95" s="1" t="s">
        <v>93</v>
      </c>
      <c r="B95" s="2" t="s">
        <v>225</v>
      </c>
      <c r="C95" s="6" t="s">
        <v>325</v>
      </c>
    </row>
    <row r="96" spans="1:3" ht="85" x14ac:dyDescent="0.2">
      <c r="A96" s="1" t="s">
        <v>94</v>
      </c>
      <c r="B96" s="2" t="s">
        <v>226</v>
      </c>
      <c r="C96" s="6">
        <v>0</v>
      </c>
    </row>
    <row r="97" spans="1:3" ht="102" x14ac:dyDescent="0.2">
      <c r="A97" s="1" t="s">
        <v>95</v>
      </c>
      <c r="B97" s="2" t="s">
        <v>227</v>
      </c>
      <c r="C97" s="6" t="s">
        <v>326</v>
      </c>
    </row>
    <row r="98" spans="1:3" ht="51" x14ac:dyDescent="0.2">
      <c r="A98" s="1" t="s">
        <v>96</v>
      </c>
      <c r="B98" s="2" t="s">
        <v>228</v>
      </c>
      <c r="C98" s="6" t="b">
        <v>0</v>
      </c>
    </row>
    <row r="99" spans="1:3" ht="34" x14ac:dyDescent="0.2">
      <c r="A99" s="1" t="s">
        <v>97</v>
      </c>
      <c r="B99" s="2" t="s">
        <v>229</v>
      </c>
      <c r="C99" s="6" t="s">
        <v>327</v>
      </c>
    </row>
    <row r="100" spans="1:3" ht="170" x14ac:dyDescent="0.2">
      <c r="A100" s="1" t="s">
        <v>98</v>
      </c>
      <c r="B100" s="2" t="s">
        <v>230</v>
      </c>
      <c r="C100" s="6" t="s">
        <v>328</v>
      </c>
    </row>
    <row r="101" spans="1:3" ht="68" x14ac:dyDescent="0.2">
      <c r="A101" s="1" t="s">
        <v>99</v>
      </c>
      <c r="B101" s="2" t="s">
        <v>231</v>
      </c>
      <c r="C101" s="6">
        <v>8.3000000000000007</v>
      </c>
    </row>
    <row r="102" spans="1:3" ht="34" x14ac:dyDescent="0.2">
      <c r="A102" s="1" t="s">
        <v>100</v>
      </c>
      <c r="B102" s="2" t="s">
        <v>232</v>
      </c>
      <c r="C102" s="6" t="s">
        <v>329</v>
      </c>
    </row>
    <row r="103" spans="1:3" ht="34" x14ac:dyDescent="0.2">
      <c r="A103" s="1" t="s">
        <v>101</v>
      </c>
      <c r="B103" s="2" t="s">
        <v>233</v>
      </c>
      <c r="C103" s="6" t="s">
        <v>330</v>
      </c>
    </row>
    <row r="104" spans="1:3" ht="17" x14ac:dyDescent="0.2">
      <c r="A104" s="1" t="s">
        <v>102</v>
      </c>
      <c r="B104" s="2" t="s">
        <v>234</v>
      </c>
      <c r="C104" s="6">
        <v>0</v>
      </c>
    </row>
    <row r="105" spans="1:3" ht="68" x14ac:dyDescent="0.2">
      <c r="A105" s="1" t="s">
        <v>103</v>
      </c>
      <c r="B105" s="2" t="s">
        <v>235</v>
      </c>
      <c r="C105" s="6" t="s">
        <v>331</v>
      </c>
    </row>
    <row r="106" spans="1:3" ht="34" x14ac:dyDescent="0.2">
      <c r="A106" s="1" t="s">
        <v>104</v>
      </c>
      <c r="B106" s="2" t="s">
        <v>236</v>
      </c>
      <c r="C106" s="6" t="s">
        <v>332</v>
      </c>
    </row>
    <row r="107" spans="1:3" ht="17" x14ac:dyDescent="0.2">
      <c r="A107" s="1" t="s">
        <v>105</v>
      </c>
      <c r="C107" s="6" t="s">
        <v>333</v>
      </c>
    </row>
    <row r="108" spans="1:3" ht="34" x14ac:dyDescent="0.2">
      <c r="A108" s="1" t="s">
        <v>106</v>
      </c>
      <c r="B108" s="2" t="s">
        <v>237</v>
      </c>
      <c r="C108" s="9">
        <v>45800.496527777781</v>
      </c>
    </row>
    <row r="109" spans="1:3" ht="51" x14ac:dyDescent="0.2">
      <c r="A109" s="1" t="s">
        <v>107</v>
      </c>
      <c r="B109" s="2" t="s">
        <v>238</v>
      </c>
      <c r="C109" s="6" t="s">
        <v>334</v>
      </c>
    </row>
    <row r="110" spans="1:3" ht="17" x14ac:dyDescent="0.2">
      <c r="A110" s="1" t="s">
        <v>108</v>
      </c>
      <c r="C110" s="6" t="s">
        <v>335</v>
      </c>
    </row>
    <row r="111" spans="1:3" ht="238" x14ac:dyDescent="0.2">
      <c r="A111" s="1" t="s">
        <v>109</v>
      </c>
      <c r="B111" s="2" t="s">
        <v>239</v>
      </c>
      <c r="C111" s="6" t="s">
        <v>336</v>
      </c>
    </row>
    <row r="112" spans="1:3" ht="102" x14ac:dyDescent="0.2">
      <c r="A112" s="1" t="s">
        <v>110</v>
      </c>
      <c r="B112" s="2" t="s">
        <v>240</v>
      </c>
      <c r="C112" s="6" t="s">
        <v>337</v>
      </c>
    </row>
    <row r="113" spans="1:3" ht="85" x14ac:dyDescent="0.2">
      <c r="A113" s="1" t="s">
        <v>111</v>
      </c>
      <c r="B113" s="2" t="s">
        <v>241</v>
      </c>
      <c r="C113" s="6" t="s">
        <v>338</v>
      </c>
    </row>
    <row r="114" spans="1:3" ht="85" x14ac:dyDescent="0.2">
      <c r="A114" s="1" t="s">
        <v>112</v>
      </c>
      <c r="B114" s="2" t="s">
        <v>242</v>
      </c>
      <c r="C114" s="6" t="s">
        <v>339</v>
      </c>
    </row>
    <row r="115" spans="1:3" ht="85" x14ac:dyDescent="0.2">
      <c r="A115" s="1" t="s">
        <v>113</v>
      </c>
      <c r="B115" s="2" t="s">
        <v>243</v>
      </c>
      <c r="C115" s="6" t="s">
        <v>340</v>
      </c>
    </row>
    <row r="116" spans="1:3" ht="85" x14ac:dyDescent="0.2">
      <c r="A116" s="1" t="s">
        <v>114</v>
      </c>
      <c r="B116" s="2" t="s">
        <v>244</v>
      </c>
      <c r="C116" s="6" t="s">
        <v>341</v>
      </c>
    </row>
    <row r="117" spans="1:3" ht="85" x14ac:dyDescent="0.2">
      <c r="A117" s="1" t="s">
        <v>115</v>
      </c>
      <c r="B117" s="2" t="s">
        <v>245</v>
      </c>
      <c r="C117" s="6" t="s">
        <v>342</v>
      </c>
    </row>
    <row r="118" spans="1:3" ht="68" x14ac:dyDescent="0.2">
      <c r="A118" s="1" t="s">
        <v>116</v>
      </c>
      <c r="B118" s="2" t="s">
        <v>246</v>
      </c>
      <c r="C118" s="6" t="s">
        <v>343</v>
      </c>
    </row>
    <row r="119" spans="1:3" ht="85" x14ac:dyDescent="0.2">
      <c r="A119" s="1" t="s">
        <v>117</v>
      </c>
      <c r="B119" s="2" t="s">
        <v>247</v>
      </c>
      <c r="C119" s="6" t="s">
        <v>344</v>
      </c>
    </row>
    <row r="120" spans="1:3" ht="85" x14ac:dyDescent="0.2">
      <c r="A120" s="1" t="s">
        <v>118</v>
      </c>
      <c r="B120" s="2" t="s">
        <v>248</v>
      </c>
      <c r="C120" s="6" t="s">
        <v>345</v>
      </c>
    </row>
    <row r="121" spans="1:3" ht="85" x14ac:dyDescent="0.2">
      <c r="A121" s="1" t="s">
        <v>119</v>
      </c>
      <c r="B121" s="2" t="s">
        <v>249</v>
      </c>
      <c r="C121" s="6" t="s">
        <v>346</v>
      </c>
    </row>
    <row r="122" spans="1:3" ht="68" x14ac:dyDescent="0.2">
      <c r="A122" s="1" t="s">
        <v>120</v>
      </c>
      <c r="B122" s="2" t="s">
        <v>250</v>
      </c>
      <c r="C122" s="6">
        <v>18</v>
      </c>
    </row>
    <row r="123" spans="1:3" ht="85" x14ac:dyDescent="0.2">
      <c r="A123" s="1" t="s">
        <v>121</v>
      </c>
      <c r="B123" s="2" t="s">
        <v>251</v>
      </c>
      <c r="C123" s="6">
        <v>19</v>
      </c>
    </row>
    <row r="124" spans="1:3" ht="85" x14ac:dyDescent="0.2">
      <c r="A124" s="1" t="s">
        <v>122</v>
      </c>
      <c r="B124" s="2" t="s">
        <v>252</v>
      </c>
      <c r="C124" s="6">
        <v>110</v>
      </c>
    </row>
    <row r="125" spans="1:3" ht="85" x14ac:dyDescent="0.2">
      <c r="A125" s="1" t="s">
        <v>123</v>
      </c>
      <c r="B125" s="2" t="s">
        <v>253</v>
      </c>
      <c r="C125" s="7" t="s">
        <v>347</v>
      </c>
    </row>
    <row r="126" spans="1:3" ht="85" x14ac:dyDescent="0.2">
      <c r="A126" s="1" t="s">
        <v>124</v>
      </c>
      <c r="B126" s="2" t="s">
        <v>254</v>
      </c>
      <c r="C126" s="6">
        <v>3.5</v>
      </c>
    </row>
    <row r="127" spans="1:3" ht="68" x14ac:dyDescent="0.2">
      <c r="A127" s="1" t="s">
        <v>125</v>
      </c>
      <c r="B127" s="2" t="s">
        <v>255</v>
      </c>
      <c r="C127" s="7" t="s">
        <v>348</v>
      </c>
    </row>
    <row r="128" spans="1:3" ht="68" x14ac:dyDescent="0.2">
      <c r="A128" s="1" t="s">
        <v>126</v>
      </c>
      <c r="B128" s="2" t="s">
        <v>256</v>
      </c>
      <c r="C128" s="6">
        <v>437</v>
      </c>
    </row>
    <row r="129" spans="1:3" ht="85" x14ac:dyDescent="0.2">
      <c r="A129" s="1" t="s">
        <v>127</v>
      </c>
      <c r="B129" s="2" t="s">
        <v>257</v>
      </c>
      <c r="C129" s="6" t="b">
        <v>1</v>
      </c>
    </row>
    <row r="130" spans="1:3" ht="68" x14ac:dyDescent="0.2">
      <c r="A130" s="1" t="s">
        <v>128</v>
      </c>
      <c r="B130" s="2" t="s">
        <v>258</v>
      </c>
      <c r="C130" s="6" t="b">
        <v>1</v>
      </c>
    </row>
    <row r="131" spans="1:3" ht="68" x14ac:dyDescent="0.2">
      <c r="A131" s="1" t="s">
        <v>129</v>
      </c>
      <c r="B131" s="2" t="s">
        <v>259</v>
      </c>
      <c r="C131" s="6" t="b">
        <v>1</v>
      </c>
    </row>
    <row r="132" spans="1:3" ht="238" x14ac:dyDescent="0.2">
      <c r="A132" s="1" t="s">
        <v>130</v>
      </c>
      <c r="B132" s="2" t="s">
        <v>260</v>
      </c>
      <c r="C132" s="6" t="s">
        <v>336</v>
      </c>
    </row>
    <row r="133" spans="1:3" ht="68" x14ac:dyDescent="0.2">
      <c r="A133" s="1" t="s">
        <v>131</v>
      </c>
      <c r="B133" s="2" t="s">
        <v>261</v>
      </c>
      <c r="C133" s="6">
        <v>11800</v>
      </c>
    </row>
    <row r="134" spans="1:3" ht="68" x14ac:dyDescent="0.2">
      <c r="A134" s="1" t="s">
        <v>132</v>
      </c>
      <c r="B134" s="2" t="s">
        <v>262</v>
      </c>
      <c r="C134" s="6">
        <v>18100</v>
      </c>
    </row>
    <row r="135" spans="1:3" ht="119" x14ac:dyDescent="0.2">
      <c r="A135" s="1" t="s">
        <v>133</v>
      </c>
      <c r="B135" s="2" t="s">
        <v>263</v>
      </c>
      <c r="C135" s="6">
        <v>14950</v>
      </c>
    </row>
    <row r="136" spans="1:3" ht="85" x14ac:dyDescent="0.2">
      <c r="A136" s="1" t="s">
        <v>134</v>
      </c>
      <c r="B136" s="2" t="s">
        <v>264</v>
      </c>
      <c r="C136" s="7" t="s">
        <v>349</v>
      </c>
    </row>
    <row r="137" spans="1:3" ht="68" x14ac:dyDescent="0.2">
      <c r="A137" s="1" t="s">
        <v>135</v>
      </c>
      <c r="B137" s="2" t="s">
        <v>265</v>
      </c>
      <c r="C137" s="6">
        <v>437</v>
      </c>
    </row>
    <row r="138" spans="1:3" ht="85" x14ac:dyDescent="0.2">
      <c r="A138" s="1" t="s">
        <v>136</v>
      </c>
      <c r="B138" s="2" t="s">
        <v>266</v>
      </c>
      <c r="C138" s="6">
        <v>-7719.0258037919302</v>
      </c>
    </row>
    <row r="139" spans="1:3" ht="68" x14ac:dyDescent="0.2">
      <c r="A139" s="1" t="s">
        <v>137</v>
      </c>
      <c r="B139" s="2" t="s">
        <v>267</v>
      </c>
      <c r="C139" s="6">
        <v>2.7823543342376999E-3</v>
      </c>
    </row>
    <row r="140" spans="1:3" ht="153" x14ac:dyDescent="0.2">
      <c r="A140" s="1" t="s">
        <v>138</v>
      </c>
      <c r="B140" s="2" t="s">
        <v>268</v>
      </c>
      <c r="C140" s="6" t="s">
        <v>350</v>
      </c>
    </row>
    <row r="141" spans="1:3" ht="204" x14ac:dyDescent="0.2">
      <c r="A141" s="1" t="s">
        <v>139</v>
      </c>
      <c r="B141" s="2" t="s">
        <v>269</v>
      </c>
      <c r="C141" s="6" t="s">
        <v>351</v>
      </c>
    </row>
    <row r="142" spans="1:3" ht="68" x14ac:dyDescent="0.2">
      <c r="A142" s="1" t="s">
        <v>140</v>
      </c>
      <c r="B142" s="2" t="s">
        <v>270</v>
      </c>
      <c r="C142" s="7" t="s">
        <v>352</v>
      </c>
    </row>
    <row r="143" spans="1:3" ht="68" x14ac:dyDescent="0.2">
      <c r="A143" s="1" t="s">
        <v>141</v>
      </c>
      <c r="B143" s="2" t="s">
        <v>271</v>
      </c>
      <c r="C143" s="7" t="s">
        <v>353</v>
      </c>
    </row>
    <row r="144" spans="1:3" ht="68" x14ac:dyDescent="0.2">
      <c r="A144" s="1" t="s">
        <v>142</v>
      </c>
      <c r="B144" s="2" t="s">
        <v>272</v>
      </c>
      <c r="C144" s="7" t="s">
        <v>354</v>
      </c>
    </row>
    <row r="145" spans="1:3" ht="68" x14ac:dyDescent="0.2">
      <c r="A145" s="1" t="s">
        <v>143</v>
      </c>
      <c r="B145" s="2" t="s">
        <v>273</v>
      </c>
      <c r="C145" s="6" t="b">
        <v>1</v>
      </c>
    </row>
    <row r="146" spans="1:3" ht="102" x14ac:dyDescent="0.2">
      <c r="A146" s="1" t="s">
        <v>144</v>
      </c>
      <c r="B146" s="2" t="s">
        <v>274</v>
      </c>
      <c r="C146" s="6" t="b">
        <v>0</v>
      </c>
    </row>
    <row r="147" spans="1:3" ht="85" x14ac:dyDescent="0.2">
      <c r="A147" s="1" t="s">
        <v>145</v>
      </c>
      <c r="B147" s="2" t="s">
        <v>275</v>
      </c>
      <c r="C147" s="6">
        <v>1</v>
      </c>
    </row>
    <row r="148" spans="1:3" ht="85" x14ac:dyDescent="0.2">
      <c r="A148" s="1" t="s">
        <v>146</v>
      </c>
      <c r="B148" s="2" t="s">
        <v>276</v>
      </c>
      <c r="C148" s="7" t="s">
        <v>355</v>
      </c>
    </row>
    <row r="149" spans="1:3" ht="68" x14ac:dyDescent="0.2">
      <c r="A149" s="1" t="s">
        <v>147</v>
      </c>
      <c r="B149" s="2" t="s">
        <v>277</v>
      </c>
      <c r="C149" s="6">
        <v>1.0752688172042999E-2</v>
      </c>
    </row>
    <row r="150" spans="1:3" ht="68" x14ac:dyDescent="0.2">
      <c r="A150" s="1" t="s">
        <v>148</v>
      </c>
      <c r="B150" s="2" t="s">
        <v>278</v>
      </c>
      <c r="C150" s="7" t="s">
        <v>356</v>
      </c>
    </row>
    <row r="151" spans="1:3" ht="68" x14ac:dyDescent="0.2">
      <c r="A151" s="1" t="s">
        <v>149</v>
      </c>
      <c r="B151" s="2" t="s">
        <v>279</v>
      </c>
      <c r="C151" s="6" t="b">
        <v>0</v>
      </c>
    </row>
    <row r="152" spans="1:3" ht="68" x14ac:dyDescent="0.2">
      <c r="A152" s="1" t="s">
        <v>150</v>
      </c>
      <c r="B152" s="2" t="s">
        <v>280</v>
      </c>
      <c r="C152" s="6" t="b">
        <v>0</v>
      </c>
    </row>
    <row r="153" spans="1:3" ht="68" x14ac:dyDescent="0.2">
      <c r="A153" s="1" t="s">
        <v>151</v>
      </c>
      <c r="B153" s="2" t="s">
        <v>281</v>
      </c>
    </row>
    <row r="154" spans="1:3" ht="85" x14ac:dyDescent="0.2">
      <c r="A154" s="1" t="s">
        <v>152</v>
      </c>
      <c r="B154" s="2" t="s">
        <v>282</v>
      </c>
      <c r="C154" s="6" t="s">
        <v>357</v>
      </c>
    </row>
    <row r="155" spans="1:3" ht="68" x14ac:dyDescent="0.2">
      <c r="A155" s="1" t="s">
        <v>153</v>
      </c>
      <c r="B155" s="2" t="s">
        <v>283</v>
      </c>
      <c r="C155" s="6" t="s">
        <v>321</v>
      </c>
    </row>
    <row r="156" spans="1:3" ht="68" x14ac:dyDescent="0.2">
      <c r="A156" s="1" t="s">
        <v>154</v>
      </c>
      <c r="B156" s="2" t="s">
        <v>284</v>
      </c>
      <c r="C156" s="6" t="s">
        <v>322</v>
      </c>
    </row>
    <row r="157" spans="1:3" ht="85" x14ac:dyDescent="0.2">
      <c r="A157" s="1" t="s">
        <v>155</v>
      </c>
      <c r="B157" s="2" t="s">
        <v>285</v>
      </c>
      <c r="C157" s="6" t="s">
        <v>358</v>
      </c>
    </row>
    <row r="158" spans="1:3" ht="85" x14ac:dyDescent="0.2">
      <c r="A158" s="1" t="s">
        <v>156</v>
      </c>
      <c r="B158" s="2" t="s">
        <v>286</v>
      </c>
      <c r="C158" s="6" t="b">
        <v>1</v>
      </c>
    </row>
    <row r="159" spans="1:3" ht="85" x14ac:dyDescent="0.2">
      <c r="A159" s="1" t="s">
        <v>157</v>
      </c>
      <c r="B159" s="2" t="s">
        <v>287</v>
      </c>
      <c r="C159" s="7" t="s">
        <v>359</v>
      </c>
    </row>
    <row r="160" spans="1:3" ht="102" x14ac:dyDescent="0.2">
      <c r="A160" s="1" t="s">
        <v>158</v>
      </c>
      <c r="B160" s="2" t="s">
        <v>288</v>
      </c>
      <c r="C160" s="6">
        <v>0.296875</v>
      </c>
    </row>
    <row r="161" spans="1:3" ht="102" x14ac:dyDescent="0.2">
      <c r="A161" s="1" t="s">
        <v>159</v>
      </c>
      <c r="B161" s="2" t="s">
        <v>289</v>
      </c>
      <c r="C161" s="7" t="s">
        <v>360</v>
      </c>
    </row>
    <row r="162" spans="1:3" ht="85" x14ac:dyDescent="0.2">
      <c r="A162" s="1" t="s">
        <v>160</v>
      </c>
      <c r="B162" s="2" t="s">
        <v>290</v>
      </c>
      <c r="C162" s="7" t="s">
        <v>361</v>
      </c>
    </row>
    <row r="163" spans="1:3" ht="85" x14ac:dyDescent="0.2">
      <c r="A163" s="1" t="s">
        <v>161</v>
      </c>
      <c r="B163" s="2" t="s">
        <v>291</v>
      </c>
      <c r="C163" s="7" t="s">
        <v>362</v>
      </c>
    </row>
    <row r="164" spans="1:3" ht="153" x14ac:dyDescent="0.2">
      <c r="A164" s="1" t="s">
        <v>162</v>
      </c>
      <c r="B164" s="2" t="s">
        <v>292</v>
      </c>
      <c r="C164" s="7" t="s">
        <v>363</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BAC5F-3CCE-774C-82AB-9588F546EEB1}">
  <dimension ref="A1:D164"/>
  <sheetViews>
    <sheetView tabSelected="1" topLeftCell="A41" zoomScale="75" workbookViewId="0">
      <selection activeCell="D45" sqref="D45"/>
    </sheetView>
  </sheetViews>
  <sheetFormatPr baseColWidth="10" defaultRowHeight="16" x14ac:dyDescent="0.2"/>
  <cols>
    <col min="1" max="1" width="34.6640625" style="1" bestFit="1" customWidth="1"/>
    <col min="2" max="2" width="52.1640625" style="1" customWidth="1"/>
    <col min="3" max="3" width="48.5" style="6" customWidth="1"/>
    <col min="4" max="4" width="109.83203125" style="6" customWidth="1"/>
    <col min="5" max="16384" width="10.83203125" style="1"/>
  </cols>
  <sheetData>
    <row r="1" spans="1:4" s="3" customFormat="1" ht="17" x14ac:dyDescent="0.2">
      <c r="A1" s="4" t="s">
        <v>368</v>
      </c>
      <c r="B1" s="4" t="s">
        <v>369</v>
      </c>
      <c r="C1" s="5" t="s">
        <v>372</v>
      </c>
      <c r="D1" s="5" t="s">
        <v>413</v>
      </c>
    </row>
    <row r="2" spans="1:4" ht="119" x14ac:dyDescent="0.2">
      <c r="A2" s="1" t="s">
        <v>0</v>
      </c>
      <c r="B2" s="2" t="s">
        <v>163</v>
      </c>
      <c r="C2" s="6">
        <v>1001829059</v>
      </c>
      <c r="D2" s="6" t="str">
        <f>IFERROR(VLOOKUP(A2,'Unique Values'!$A$2:$B$57,2,FALSE),"")</f>
        <v/>
      </c>
    </row>
    <row r="3" spans="1:4" ht="102" x14ac:dyDescent="0.2">
      <c r="A3" s="1" t="s">
        <v>1</v>
      </c>
      <c r="B3" s="2" t="s">
        <v>164</v>
      </c>
      <c r="C3" s="6">
        <v>122009928</v>
      </c>
      <c r="D3" s="6" t="str">
        <f>IFERROR(VLOOKUP(A3,'Unique Values'!$A$2:$B$57,2,FALSE),"")</f>
        <v/>
      </c>
    </row>
    <row r="4" spans="1:4" ht="17" x14ac:dyDescent="0.2">
      <c r="A4" s="1" t="s">
        <v>2</v>
      </c>
      <c r="B4" s="1" t="s">
        <v>165</v>
      </c>
      <c r="C4" s="6" t="s">
        <v>293</v>
      </c>
      <c r="D4" s="6" t="str">
        <f>IFERROR(VLOOKUP(A4,'Unique Values'!$A$2:$B$57,2,FALSE),"")</f>
        <v/>
      </c>
    </row>
    <row r="5" spans="1:4" ht="17" x14ac:dyDescent="0.2">
      <c r="A5" s="1" t="s">
        <v>3</v>
      </c>
      <c r="B5" s="1" t="s">
        <v>166</v>
      </c>
      <c r="C5" s="6" t="s">
        <v>294</v>
      </c>
      <c r="D5" s="6" t="str">
        <f>IFERROR(VLOOKUP(A5,'Unique Values'!$A$2:$B$57,2,FALSE),"")</f>
        <v/>
      </c>
    </row>
    <row r="6" spans="1:4" ht="51" x14ac:dyDescent="0.2">
      <c r="A6" s="1" t="s">
        <v>4</v>
      </c>
      <c r="B6" s="2" t="s">
        <v>167</v>
      </c>
      <c r="C6" s="6" t="s">
        <v>295</v>
      </c>
      <c r="D6" s="6" t="str">
        <f>IFERROR(VLOOKUP(A6,'Unique Values'!$A$2:$B$57,2,FALSE),"")</f>
        <v/>
      </c>
    </row>
    <row r="7" spans="1:4" ht="17" x14ac:dyDescent="0.2">
      <c r="A7" s="1" t="s">
        <v>5</v>
      </c>
      <c r="B7" s="2" t="s">
        <v>168</v>
      </c>
      <c r="C7" s="6" t="s">
        <v>296</v>
      </c>
      <c r="D7" s="6" t="str">
        <f>IFERROR(VLOOKUP(A7,'Unique Values'!$A$2:$B$57,2,FALSE),"")</f>
        <v/>
      </c>
    </row>
    <row r="8" spans="1:4" ht="17" x14ac:dyDescent="0.2">
      <c r="A8" s="1" t="s">
        <v>6</v>
      </c>
      <c r="B8" s="2" t="s">
        <v>370</v>
      </c>
      <c r="C8" s="7" t="s">
        <v>297</v>
      </c>
      <c r="D8" s="6" t="str">
        <f>IFERROR(VLOOKUP(A8,'Unique Values'!$A$2:$B$57,2,FALSE),"")</f>
        <v/>
      </c>
    </row>
    <row r="9" spans="1:4" ht="17" x14ac:dyDescent="0.2">
      <c r="A9" s="1" t="s">
        <v>7</v>
      </c>
      <c r="B9" s="2" t="s">
        <v>371</v>
      </c>
      <c r="C9" s="6">
        <v>-4.2246703999999999</v>
      </c>
      <c r="D9" s="6" t="str">
        <f>IFERROR(VLOOKUP(A9,'Unique Values'!$A$2:$B$57,2,FALSE),"")</f>
        <v/>
      </c>
    </row>
    <row r="10" spans="1:4" ht="34" x14ac:dyDescent="0.2">
      <c r="A10" s="1" t="s">
        <v>8</v>
      </c>
      <c r="B10" s="2" t="s">
        <v>169</v>
      </c>
      <c r="C10" s="8">
        <v>45798</v>
      </c>
      <c r="D10" s="6" t="str">
        <f>IFERROR(VLOOKUP(A10,'Unique Values'!$A$2:$B$57,2,FALSE),"")</f>
        <v/>
      </c>
    </row>
    <row r="11" spans="1:4" ht="34" x14ac:dyDescent="0.2">
      <c r="A11" s="1" t="s">
        <v>9</v>
      </c>
      <c r="B11" s="2" t="s">
        <v>170</v>
      </c>
      <c r="C11" s="6" t="s">
        <v>298</v>
      </c>
      <c r="D11" s="6" t="str">
        <f>IFERROR(VLOOKUP(A11,'Unique Values'!$A$2:$B$57,2,FALSE),"")</f>
        <v/>
      </c>
    </row>
    <row r="12" spans="1:4" ht="51" x14ac:dyDescent="0.2">
      <c r="A12" s="1" t="s">
        <v>10</v>
      </c>
      <c r="B12" s="2" t="s">
        <v>171</v>
      </c>
      <c r="C12" s="8">
        <v>45800</v>
      </c>
      <c r="D12" s="6" t="str">
        <f>IFERROR(VLOOKUP(A12,'Unique Values'!$A$2:$B$57,2,FALSE),"")</f>
        <v/>
      </c>
    </row>
    <row r="13" spans="1:4" ht="68" x14ac:dyDescent="0.2">
      <c r="A13" s="1" t="s">
        <v>11</v>
      </c>
      <c r="B13" s="2" t="s">
        <v>172</v>
      </c>
      <c r="C13" s="6">
        <v>271</v>
      </c>
      <c r="D13" s="6" t="str">
        <f>IFERROR(VLOOKUP(A13,'Unique Values'!$A$2:$B$57,2,FALSE),"")</f>
        <v/>
      </c>
    </row>
    <row r="14" spans="1:4" ht="34" x14ac:dyDescent="0.2">
      <c r="A14" s="1" t="s">
        <v>12</v>
      </c>
      <c r="B14" s="2" t="s">
        <v>173</v>
      </c>
      <c r="C14" s="6">
        <v>93</v>
      </c>
      <c r="D14" s="6" t="str">
        <f>IFERROR(VLOOKUP(A14,'Unique Values'!$A$2:$B$57,2,FALSE),"")</f>
        <v/>
      </c>
    </row>
    <row r="15" spans="1:4" ht="68" x14ac:dyDescent="0.2">
      <c r="A15" s="1" t="s">
        <v>13</v>
      </c>
      <c r="B15" s="2" t="s">
        <v>174</v>
      </c>
      <c r="C15" s="6">
        <v>6237</v>
      </c>
      <c r="D15" s="6" t="str">
        <f>IFERROR(VLOOKUP(A15,'Unique Values'!$A$2:$B$57,2,FALSE),"")</f>
        <v/>
      </c>
    </row>
    <row r="16" spans="1:4" ht="85" x14ac:dyDescent="0.2">
      <c r="A16" s="1" t="s">
        <v>14</v>
      </c>
      <c r="B16" s="2" t="s">
        <v>175</v>
      </c>
      <c r="C16" s="6">
        <v>1311</v>
      </c>
      <c r="D16" s="6" t="str">
        <f>IFERROR(VLOOKUP(A16,'Unique Values'!$A$2:$B$57,2,FALSE),"")</f>
        <v/>
      </c>
    </row>
    <row r="17" spans="1:4" ht="68" x14ac:dyDescent="0.2">
      <c r="A17" s="1" t="s">
        <v>15</v>
      </c>
      <c r="B17" s="2" t="s">
        <v>176</v>
      </c>
      <c r="C17" s="6">
        <v>63</v>
      </c>
      <c r="D17" s="6" t="str">
        <f>IFERROR(VLOOKUP(A17,'Unique Values'!$A$2:$B$57,2,FALSE),"")</f>
        <v/>
      </c>
    </row>
    <row r="18" spans="1:4" ht="51" x14ac:dyDescent="0.2">
      <c r="A18" s="1" t="s">
        <v>16</v>
      </c>
      <c r="B18" s="2" t="s">
        <v>177</v>
      </c>
      <c r="C18" s="6" t="s">
        <v>299</v>
      </c>
      <c r="D18" s="6" t="str">
        <f>IFERROR(VLOOKUP(A18,'Unique Values'!$A$2:$B$57,2,FALSE),"")</f>
        <v>A; B; C; D; E; F; G</v>
      </c>
    </row>
    <row r="19" spans="1:4" ht="119" x14ac:dyDescent="0.2">
      <c r="A19" s="1" t="s">
        <v>17</v>
      </c>
      <c r="B19" s="2" t="s">
        <v>178</v>
      </c>
      <c r="C19" s="6">
        <v>81</v>
      </c>
      <c r="D19" s="6" t="str">
        <f>IFERROR(VLOOKUP(A19,'Unique Values'!$A$2:$B$57,2,FALSE),"")</f>
        <v/>
      </c>
    </row>
    <row r="20" spans="1:4" ht="51" x14ac:dyDescent="0.2">
      <c r="A20" s="1" t="s">
        <v>18</v>
      </c>
      <c r="B20" s="2" t="s">
        <v>179</v>
      </c>
      <c r="C20" s="6" t="s">
        <v>300</v>
      </c>
      <c r="D20" s="6" t="str">
        <f>IFERROR(VLOOKUP(A20,'Unique Values'!$A$2:$B$57,2,FALSE),"")</f>
        <v>A; B; C; D; E</v>
      </c>
    </row>
    <row r="21" spans="1:4" ht="68" x14ac:dyDescent="0.2">
      <c r="A21" s="1" t="s">
        <v>19</v>
      </c>
      <c r="B21" s="2" t="s">
        <v>180</v>
      </c>
      <c r="C21" s="6">
        <v>53</v>
      </c>
      <c r="D21" s="6" t="str">
        <f>IFERROR(VLOOKUP(A21,'Unique Values'!$A$2:$B$57,2,FALSE),"")</f>
        <v/>
      </c>
    </row>
    <row r="22" spans="1:4" ht="51" x14ac:dyDescent="0.2">
      <c r="A22" s="1" t="s">
        <v>20</v>
      </c>
      <c r="B22" s="2" t="s">
        <v>181</v>
      </c>
      <c r="C22" s="6" t="s">
        <v>301</v>
      </c>
      <c r="D22" s="6" t="str">
        <f>IFERROR(VLOOKUP(A22,'Unique Values'!$A$2:$B$57,2,FALSE),"")</f>
        <v>A; B; C; D; E; F; G</v>
      </c>
    </row>
    <row r="23" spans="1:4" ht="85" x14ac:dyDescent="0.2">
      <c r="A23" s="1" t="s">
        <v>21</v>
      </c>
      <c r="B23" s="2" t="s">
        <v>182</v>
      </c>
      <c r="C23" s="6">
        <v>72</v>
      </c>
      <c r="D23" s="6" t="str">
        <f>IFERROR(VLOOKUP(A23,'Unique Values'!$A$2:$B$57,2,FALSE),"")</f>
        <v/>
      </c>
    </row>
    <row r="24" spans="1:4" ht="51" x14ac:dyDescent="0.2">
      <c r="A24" s="1" t="s">
        <v>22</v>
      </c>
      <c r="B24" s="2" t="s">
        <v>183</v>
      </c>
      <c r="C24" s="6" t="s">
        <v>302</v>
      </c>
      <c r="D24" s="6" t="str">
        <f>IFERROR(VLOOKUP(A24,'Unique Values'!$A$2:$B$57,2,FALSE),"")</f>
        <v>A; B; C; D; E</v>
      </c>
    </row>
    <row r="25" spans="1:4" ht="51" x14ac:dyDescent="0.2">
      <c r="A25" s="1" t="s">
        <v>23</v>
      </c>
      <c r="B25" s="2" t="s">
        <v>184</v>
      </c>
      <c r="C25" s="6">
        <v>59</v>
      </c>
      <c r="D25" s="6" t="str">
        <f>IFERROR(VLOOKUP(A25,'Unique Values'!$A$2:$B$57,2,FALSE),"")</f>
        <v/>
      </c>
    </row>
    <row r="26" spans="1:4" ht="255" x14ac:dyDescent="0.2">
      <c r="A26" s="1" t="s">
        <v>24</v>
      </c>
      <c r="B26" s="2" t="s">
        <v>185</v>
      </c>
      <c r="C26" s="6" t="s">
        <v>303</v>
      </c>
      <c r="D26" s="6" t="str">
        <f>IFERROR(VLOOKUP(A26,'Unique Values'!$A$2:$B$57,2,FALSE),"")</f>
        <v/>
      </c>
    </row>
    <row r="27" spans="1:4" ht="153" x14ac:dyDescent="0.2">
      <c r="A27" s="1" t="s">
        <v>25</v>
      </c>
      <c r="B27" s="2" t="s">
        <v>186</v>
      </c>
      <c r="C27" s="6" t="s">
        <v>304</v>
      </c>
      <c r="D27" s="6" t="str">
        <f>IFERROR(VLOOKUP(A27,'Unique Values'!$A$2:$B$57,2,FALSE),"")</f>
        <v>Average thermal transmittance 0.12 W/m¬≤K; Average thermal transmittance 0.13 W/m¬≤K; Average thermal transmittance 0.21 W/m¬≤K; Cavity wall, as built, insulated (assumed); Cavity wall, as built, no insulation (assumed); Cavity wall, as built, partial insulation (assumed); Cavity wall, filled cavity; Cavity wall, with external insulation; Granite or whinstone, as built, insulated (assumed); Granite or whinstone, as built, no insulation (assumed); Granite or whinstone, with internal insulation; Park home wall, as built; Park home wall, with external insulation; Sandstone or limestone, as built, insulated (assumed); Sandstone or limestone, as built, no insulation (assumed); Sandstone or limestone, with internal insulation; Solid brick, as built, no insulation (assumed); System built, as built, insulated (assumed); System built, as built, no insulation (assumed); System built, with external insulation; Timber frame, as built, insulated (assumed); Timber frame, as built, partial insulation (assumed); Timber frame, with additional insulation</v>
      </c>
    </row>
    <row r="28" spans="1:4" ht="153" x14ac:dyDescent="0.2">
      <c r="A28" s="1" t="s">
        <v>26</v>
      </c>
      <c r="B28" s="2" t="s">
        <v>186</v>
      </c>
      <c r="C28" s="6" t="s">
        <v>305</v>
      </c>
      <c r="D28" s="6" t="str">
        <f>IFERROR(VLOOKUP(A28,'Unique Values'!$A$2:$B$57,2,FALSE),"")</f>
        <v>Average; Good; Poor; Very Good; Very Poor</v>
      </c>
    </row>
    <row r="29" spans="1:4" ht="153" x14ac:dyDescent="0.2">
      <c r="A29" s="1" t="s">
        <v>27</v>
      </c>
      <c r="B29" s="2" t="s">
        <v>186</v>
      </c>
      <c r="C29" s="6" t="s">
        <v>305</v>
      </c>
      <c r="D29" s="6" t="str">
        <f>IFERROR(VLOOKUP(A29,'Unique Values'!$A$2:$B$57,2,FALSE),"")</f>
        <v>Average; Good; Poor; Very Good; Very Poor</v>
      </c>
    </row>
    <row r="30" spans="1:4" ht="153" x14ac:dyDescent="0.2">
      <c r="A30" s="1" t="s">
        <v>28</v>
      </c>
      <c r="B30" s="2" t="s">
        <v>186</v>
      </c>
      <c r="C30" s="6" t="s">
        <v>306</v>
      </c>
      <c r="D30" s="6" t="str">
        <f>IFERROR(VLOOKUP(A30,'Unique Values'!$A$2:$B$57,2,FALSE),"")</f>
        <v>(another dwelling above); Average thermal transmittance 0.10 W/m¬≤K; Average thermal transmittance 0.13 W/m¬≤K; Average thermal transmittance 0.15 W/m¬≤K; Flat, insulated; Flat, insulated (assumed); Flat, limited insulation (assumed); Flat, no insulation (assumed); Pitched, 100 mm loft insulation; Pitched, 150 mm loft insulation; Pitched, 200 mm loft insulation; Pitched, 250 mm loft insulation; Pitched, 270 mm loft insulation; Pitched, 300 mm loft insulation; Pitched, 350 mm loft insulation; Pitched, 400+ mm loft insulation; Pitched, insulated (assumed); Pitched, insulated at rafters; Pitched, limited insulation (assumed); Pitched, no insulation; Pitched, no insulation (assumed); Roof room(s), ceiling insulated; Roof room(s), insulated; Roof room(s), insulated (assumed); Roof room(s), limited insulation (assumed); Roof room(s), no insulation (assumed)</v>
      </c>
    </row>
    <row r="31" spans="1:4" ht="153" x14ac:dyDescent="0.2">
      <c r="A31" s="1" t="s">
        <v>29</v>
      </c>
      <c r="B31" s="2" t="s">
        <v>186</v>
      </c>
      <c r="C31" s="6" t="s">
        <v>305</v>
      </c>
      <c r="D31" s="6" t="str">
        <f>IFERROR(VLOOKUP(A31,'Unique Values'!$A$2:$B$57,2,FALSE),"")</f>
        <v>Average; Good; N/A; Poor; Very Good; Very Poor</v>
      </c>
    </row>
    <row r="32" spans="1:4" ht="153" x14ac:dyDescent="0.2">
      <c r="A32" s="1" t="s">
        <v>30</v>
      </c>
      <c r="B32" s="2" t="s">
        <v>186</v>
      </c>
      <c r="C32" s="6" t="s">
        <v>305</v>
      </c>
      <c r="D32" s="6" t="str">
        <f>IFERROR(VLOOKUP(A32,'Unique Values'!$A$2:$B$57,2,FALSE),"")</f>
        <v>Average; Good; N/A; Poor; Very Good; Very Poor</v>
      </c>
    </row>
    <row r="33" spans="1:4" ht="153" x14ac:dyDescent="0.2">
      <c r="A33" s="1" t="s">
        <v>31</v>
      </c>
      <c r="B33" s="2" t="s">
        <v>186</v>
      </c>
      <c r="C33" s="6" t="s">
        <v>307</v>
      </c>
      <c r="D33" s="6" t="str">
        <f>IFERROR(VLOOKUP(A33,'Unique Values'!$A$2:$B$57,2,FALSE),"")</f>
        <v>(another dwelling below); Average thermal transmittance 0.12 W/m¬≤K; Average thermal transmittance 0.14 W/m¬≤K; Average thermal transmittance 0.15 W/m¬≤K; Solid, insulated; Solid, insulated (assumed); Solid, no insulation (assumed); Suspended, insulated; Suspended, insulated (assumed); Suspended, limited insulation (assumed); Suspended, no insulation (assumed); To unheated space, insulated (assumed); To unheated space, no insulation (assumed)</v>
      </c>
    </row>
    <row r="34" spans="1:4" ht="153" x14ac:dyDescent="0.2">
      <c r="A34" s="1" t="s">
        <v>32</v>
      </c>
      <c r="B34" s="2" t="s">
        <v>186</v>
      </c>
      <c r="C34" s="6" t="s">
        <v>308</v>
      </c>
      <c r="D34" s="6" t="str">
        <f>IFERROR(VLOOKUP(A34,'Unique Values'!$A$2:$B$57,2,FALSE),"")</f>
        <v>N/A; Very Good</v>
      </c>
    </row>
    <row r="35" spans="1:4" ht="153" x14ac:dyDescent="0.2">
      <c r="A35" s="1" t="s">
        <v>33</v>
      </c>
      <c r="B35" s="2" t="s">
        <v>186</v>
      </c>
      <c r="C35" s="6" t="s">
        <v>308</v>
      </c>
      <c r="D35" s="6" t="str">
        <f>IFERROR(VLOOKUP(A35,'Unique Values'!$A$2:$B$57,2,FALSE),"")</f>
        <v>N/A; Very Good</v>
      </c>
    </row>
    <row r="36" spans="1:4" ht="153" x14ac:dyDescent="0.2">
      <c r="A36" s="1" t="s">
        <v>34</v>
      </c>
      <c r="B36" s="2" t="s">
        <v>186</v>
      </c>
      <c r="C36" s="6" t="s">
        <v>309</v>
      </c>
      <c r="D36" s="6" t="str">
        <f>IFERROR(VLOOKUP(A36,'Unique Values'!$A$2:$B$57,2,FALSE),"")</f>
        <v>Description: Fully double glazed; Description: Fully triple glazed; Description: High performance glazing; Description: Mostly double glazing; Description: Partial double glazing; Description: Some double glazing</v>
      </c>
    </row>
    <row r="37" spans="1:4" ht="153" x14ac:dyDescent="0.2">
      <c r="A37" s="1" t="s">
        <v>35</v>
      </c>
      <c r="B37" s="2" t="s">
        <v>186</v>
      </c>
      <c r="C37" s="6" t="s">
        <v>310</v>
      </c>
      <c r="D37" s="6" t="str">
        <f>IFERROR(VLOOKUP(A37,'Unique Values'!$A$2:$B$57,2,FALSE),"")</f>
        <v>Average; Good; Poor; Very Good; Very Poor</v>
      </c>
    </row>
    <row r="38" spans="1:4" ht="153" x14ac:dyDescent="0.2">
      <c r="A38" s="1" t="s">
        <v>36</v>
      </c>
      <c r="B38" s="2" t="s">
        <v>186</v>
      </c>
      <c r="C38" s="6" t="s">
        <v>310</v>
      </c>
      <c r="D38" s="6" t="str">
        <f>IFERROR(VLOOKUP(A38,'Unique Values'!$A$2:$B$57,2,FALSE),"")</f>
        <v>Average; Good; Poor; Very Good; Very Poor</v>
      </c>
    </row>
    <row r="39" spans="1:4" ht="153" x14ac:dyDescent="0.2">
      <c r="A39" s="1" t="s">
        <v>37</v>
      </c>
      <c r="B39" s="2" t="s">
        <v>186</v>
      </c>
      <c r="C39" s="6" t="s">
        <v>311</v>
      </c>
      <c r="D39" s="6" t="str">
        <f>IFERROR(VLOOKUP(A39,'Unique Values'!$A$2:$B$57,2,FALSE),"")</f>
        <v>Air source heat pump, radiators, electric; Air source heat pump, underfloor, electric; Boiler and radiators, LPG; Boiler and radiators, dual fuel (mineral and wood); Boiler and radiators, electric; Boiler and radiators, mains gas; Boiler and radiators, oil; Boiler and radiators, wood logs; Boiler and radiators, wood pellets; Community scheme; Electric storage heaters; Ground source heat pump, radiators, electric; Ground source heat pump, underfloor, electric; No system present: electric heaters assumed; Room heaters, dual fuel (mineral and wood); Room heaters, electric</v>
      </c>
    </row>
    <row r="40" spans="1:4" ht="153" x14ac:dyDescent="0.2">
      <c r="A40" s="1" t="s">
        <v>38</v>
      </c>
      <c r="B40" s="2" t="s">
        <v>186</v>
      </c>
      <c r="C40" s="6" t="s">
        <v>310</v>
      </c>
      <c r="D40" s="6" t="str">
        <f>IFERROR(VLOOKUP(A40,'Unique Values'!$A$2:$B$57,2,FALSE),"")</f>
        <v>Average; Good; Poor; Very Good; Very Poor</v>
      </c>
    </row>
    <row r="41" spans="1:4" ht="153" x14ac:dyDescent="0.2">
      <c r="A41" s="1" t="s">
        <v>39</v>
      </c>
      <c r="B41" s="2" t="s">
        <v>186</v>
      </c>
      <c r="C41" s="6" t="s">
        <v>310</v>
      </c>
      <c r="D41" s="6" t="str">
        <f>IFERROR(VLOOKUP(A41,'Unique Values'!$A$2:$B$57,2,FALSE),"")</f>
        <v>Average; Good; Poor; Very Good; Very Poor</v>
      </c>
    </row>
    <row r="42" spans="1:4" ht="153" x14ac:dyDescent="0.2">
      <c r="A42" s="1" t="s">
        <v>40</v>
      </c>
      <c r="B42" s="2" t="s">
        <v>186</v>
      </c>
      <c r="C42" s="6" t="s">
        <v>312</v>
      </c>
      <c r="D42" s="6" t="str">
        <f>IFERROR(VLOOKUP(A42,'Unique Values'!$A$2:$B$57,2,FALSE),"")</f>
        <v>Appliance thermostats; Automatic charge control; Charging system linked to use of community heating, programmer and TRVs; Charging system linked to use of community heating, programmer and at least two room thermostats; Charging system linked to use of community heating, programmer and room thermostat; Controls for high heat retention storage heaters; Flat rate charging, programmer and TRVs; Flat rate charging, programmer and room thermostat; Flat rate charging, programmer, no room thermostat; Flat rate charging, room thermostat only; Manual charge control; No thermostatic control of room temperature; None; Programmer and appliance thermostats; Programmer and at least two room thermostats; Programmer and room thermostat; Programmer, TRVs and bypass; Programmer, no room thermostat; Programmer, room thermostat and TRVs; TRVs and bypass; Time and temperature zone control</v>
      </c>
    </row>
    <row r="43" spans="1:4" ht="153" x14ac:dyDescent="0.2">
      <c r="A43" s="1" t="s">
        <v>41</v>
      </c>
      <c r="B43" s="2" t="s">
        <v>186</v>
      </c>
      <c r="C43" s="6" t="s">
        <v>310</v>
      </c>
      <c r="D43" s="6" t="str">
        <f>IFERROR(VLOOKUP(A43,'Unique Values'!$A$2:$B$57,2,FALSE),"")</f>
        <v>Average; Good; Poor; Very Good; Very Poor</v>
      </c>
    </row>
    <row r="44" spans="1:4" ht="153" x14ac:dyDescent="0.2">
      <c r="A44" s="1" t="s">
        <v>42</v>
      </c>
      <c r="B44" s="2" t="s">
        <v>186</v>
      </c>
      <c r="C44" s="6" t="s">
        <v>310</v>
      </c>
      <c r="D44" s="6" t="str">
        <f>IFERROR(VLOOKUP(A44,'Unique Values'!$A$2:$B$57,2,FALSE),"")</f>
        <v>Average; Good; Poor; Very Good; Very Poor</v>
      </c>
    </row>
    <row r="45" spans="1:4" ht="153" x14ac:dyDescent="0.2">
      <c r="A45" s="1" t="s">
        <v>43</v>
      </c>
      <c r="B45" s="2" t="s">
        <v>186</v>
      </c>
      <c r="C45" s="6" t="s">
        <v>313</v>
      </c>
      <c r="D45" s="6" t="str">
        <f>IFERROR(VLOOKUP(A45,'Unique Values'!$A$2:$B$57,2,FALSE),"")</f>
        <v>None; Portable electric heaters (assumed); Room heaters, coal; Room heaters, dual fuel (mineral and wood); Room heaters, electric; Room heaters, wood logs; Room heaters, wood pellets</v>
      </c>
    </row>
    <row r="46" spans="1:4" ht="153" x14ac:dyDescent="0.2">
      <c r="A46" s="1" t="s">
        <v>44</v>
      </c>
      <c r="B46" s="2" t="s">
        <v>186</v>
      </c>
      <c r="C46" s="6" t="s">
        <v>308</v>
      </c>
      <c r="D46" s="6" t="str">
        <f>IFERROR(VLOOKUP(A46,'Unique Values'!$A$2:$B$57,2,FALSE),"")</f>
        <v>N/A</v>
      </c>
    </row>
    <row r="47" spans="1:4" ht="153" x14ac:dyDescent="0.2">
      <c r="A47" s="1" t="s">
        <v>45</v>
      </c>
      <c r="B47" s="2" t="s">
        <v>186</v>
      </c>
      <c r="C47" s="6" t="s">
        <v>308</v>
      </c>
      <c r="D47" s="6" t="str">
        <f>IFERROR(VLOOKUP(A47,'Unique Values'!$A$2:$B$57,2,FALSE),"")</f>
        <v>N/A</v>
      </c>
    </row>
    <row r="48" spans="1:4" ht="153" x14ac:dyDescent="0.2">
      <c r="A48" s="1" t="s">
        <v>46</v>
      </c>
      <c r="B48" s="2" t="s">
        <v>186</v>
      </c>
      <c r="C48" s="6" t="s">
        <v>314</v>
      </c>
      <c r="D48" s="6" t="str">
        <f>IFERROR(VLOOKUP(A48,'Unique Values'!$A$2:$B$57,2,FALSE),"")</f>
        <v>Community scheme; Electric immersion, off-peak; Electric immersion, standard tariff; Electric instantaneous at point of use; From main system; From main system, no cylinder thermostat; No system present: electric immersion assumed</v>
      </c>
    </row>
    <row r="49" spans="1:4" ht="153" x14ac:dyDescent="0.2">
      <c r="A49" s="1" t="s">
        <v>47</v>
      </c>
      <c r="B49" s="2" t="s">
        <v>186</v>
      </c>
      <c r="C49" s="6" t="s">
        <v>315</v>
      </c>
      <c r="D49" s="6" t="str">
        <f>IFERROR(VLOOKUP(A49,'Unique Values'!$A$2:$B$57,2,FALSE),"")</f>
        <v>Average; Good; Poor; Very Poor</v>
      </c>
    </row>
    <row r="50" spans="1:4" ht="153" x14ac:dyDescent="0.2">
      <c r="A50" s="1" t="s">
        <v>48</v>
      </c>
      <c r="B50" s="2" t="s">
        <v>186</v>
      </c>
      <c r="C50" s="6" t="s">
        <v>315</v>
      </c>
      <c r="D50" s="6" t="str">
        <f>IFERROR(VLOOKUP(A50,'Unique Values'!$A$2:$B$57,2,FALSE),"")</f>
        <v>Average; Good; Poor; Very Good; Very Poor</v>
      </c>
    </row>
    <row r="51" spans="1:4" ht="204" customHeight="1" x14ac:dyDescent="0.2">
      <c r="A51" s="1" t="s">
        <v>49</v>
      </c>
      <c r="B51" s="2" t="s">
        <v>186</v>
      </c>
      <c r="C51" s="6" t="s">
        <v>316</v>
      </c>
      <c r="D51" s="6" t="str">
        <f>IFERROR(VLOOKUP(A51,'Unique Values'!$A$2:$B$57,2,FALSE),"")</f>
        <v>Excellent lighting efficiency; Good lighting efficiency; Low energy lighting in 13% of fixed outlets; Low energy lighting in 14% of fixed outlets; Low energy lighting in 20% of fixed outlets; Low energy lighting in 25% of fixed outlets; Low energy lighting in 30% of fixed outlets; Low energy lighting in 33% of fixed outlets; Low energy lighting in 35% of fixed outlets; Low energy lighting in 38% of fixed outlets; Low energy lighting in 40% of fixed outlets; Low energy lighting in 44% of fixed outlets; Low energy lighting in 50% of fixed outlets; Low energy lighting in 53% of fixed outlets; Low energy lighting in 54% of fixed outlets; Low energy lighting in 55% of fixed outlets; Low energy lighting in 57% of fixed outlets; Low energy lighting in 60% of fixed outlets; Low energy lighting in 63% of fixed outlets; Low energy lighting in 67% of fixed outlets; Low energy lighting in 68% of fixed outlets; Low energy lighting in 69% of fixed outlets; Low energy lighting in 71% of fixed outlets; Low energy lighting in 78% of fixed outlets; Low energy lighting in 80% of fixed outlets; Low energy lighting in 81% of fixed outlets; Low energy lighting in 82% of fixed outlets; Low energy lighting in 83% of fixed outlets; Low energy lighting in 86% of fixed outlets; Low energy lighting in 88% of fixed outlets; Low energy lighting in 89% of fixed outlets; Low energy lighting in 91% of fixed outlets; Low energy lighting in 95% of fixed outlets; Low energy lighting in all fixed outlets; No low energy lighting</v>
      </c>
    </row>
    <row r="52" spans="1:4" ht="153" x14ac:dyDescent="0.2">
      <c r="A52" s="1" t="s">
        <v>50</v>
      </c>
      <c r="B52" s="2" t="s">
        <v>186</v>
      </c>
      <c r="C52" s="6" t="s">
        <v>317</v>
      </c>
      <c r="D52" s="6" t="str">
        <f>IFERROR(VLOOKUP(A52,'Unique Values'!$A$2:$B$57,2,FALSE),"")</f>
        <v>Average; Good; Poor; Very Good; Very Poor</v>
      </c>
    </row>
    <row r="53" spans="1:4" ht="153" x14ac:dyDescent="0.2">
      <c r="A53" s="1" t="s">
        <v>51</v>
      </c>
      <c r="B53" s="2" t="s">
        <v>186</v>
      </c>
      <c r="C53" s="6" t="s">
        <v>317</v>
      </c>
      <c r="D53" s="6" t="str">
        <f>IFERROR(VLOOKUP(A53,'Unique Values'!$A$2:$B$57,2,FALSE),"")</f>
        <v>Average; Good; Poor; Very Good; Very Poor</v>
      </c>
    </row>
    <row r="54" spans="1:4" ht="153" x14ac:dyDescent="0.2">
      <c r="A54" s="1" t="s">
        <v>52</v>
      </c>
      <c r="B54" s="2" t="s">
        <v>186</v>
      </c>
      <c r="C54" s="6" t="s">
        <v>364</v>
      </c>
      <c r="D54" s="6" t="str">
        <f>IFERROR(VLOOKUP(A54,'Unique Values'!$A$2:$B$57,2,FALSE),"")</f>
        <v>Air permeability 0.3 m¬≥/h.m¬≤ (as tested); Air permeability 5.0 m¬≥/h.m¬≤ (as tested); Air permeability 6.7 m¬≥/h.m¬≤ (as tested); Air permeability 8.2 m¬≥/h.m¬≤ (as tested)</v>
      </c>
    </row>
    <row r="55" spans="1:4" ht="153" x14ac:dyDescent="0.2">
      <c r="A55" s="1" t="s">
        <v>53</v>
      </c>
      <c r="B55" s="2" t="s">
        <v>186</v>
      </c>
      <c r="C55" s="6" t="s">
        <v>305</v>
      </c>
      <c r="D55" s="6" t="str">
        <f>IFERROR(VLOOKUP(A55,'Unique Values'!$A$2:$B$57,2,FALSE),"")</f>
        <v>Average; Good; Very Good</v>
      </c>
    </row>
    <row r="56" spans="1:4" ht="153" x14ac:dyDescent="0.2">
      <c r="A56" s="1" t="s">
        <v>54</v>
      </c>
      <c r="B56" s="2" t="s">
        <v>186</v>
      </c>
      <c r="C56" s="6" t="s">
        <v>305</v>
      </c>
      <c r="D56" s="6" t="str">
        <f>IFERROR(VLOOKUP(A56,'Unique Values'!$A$2:$B$57,2,FALSE),"")</f>
        <v>Average; Good; Very Good</v>
      </c>
    </row>
    <row r="57" spans="1:4" ht="85" x14ac:dyDescent="0.2">
      <c r="A57" s="1" t="s">
        <v>55</v>
      </c>
      <c r="B57" s="2" t="s">
        <v>187</v>
      </c>
      <c r="C57" s="6">
        <v>5.5</v>
      </c>
      <c r="D57" s="6" t="str">
        <f>IFERROR(VLOOKUP(A57,'Unique Values'!$A$2:$B$57,2,FALSE),"")</f>
        <v/>
      </c>
    </row>
    <row r="58" spans="1:4" ht="85" x14ac:dyDescent="0.2">
      <c r="A58" s="1" t="s">
        <v>56</v>
      </c>
      <c r="B58" s="2" t="s">
        <v>188</v>
      </c>
      <c r="C58" s="6">
        <v>2</v>
      </c>
      <c r="D58" s="6" t="str">
        <f>IFERROR(VLOOKUP(A58,'Unique Values'!$A$2:$B$57,2,FALSE),"")</f>
        <v/>
      </c>
    </row>
    <row r="59" spans="1:4" ht="85" x14ac:dyDescent="0.2">
      <c r="A59" s="1" t="s">
        <v>57</v>
      </c>
      <c r="B59" s="2" t="s">
        <v>189</v>
      </c>
      <c r="C59" s="6">
        <v>4533</v>
      </c>
      <c r="D59" s="6" t="str">
        <f>IFERROR(VLOOKUP(A59,'Unique Values'!$A$2:$B$57,2,FALSE),"")</f>
        <v/>
      </c>
    </row>
    <row r="60" spans="1:4" ht="102" x14ac:dyDescent="0.2">
      <c r="A60" s="1" t="s">
        <v>58</v>
      </c>
      <c r="B60" s="2" t="s">
        <v>190</v>
      </c>
      <c r="C60" s="6">
        <v>3921</v>
      </c>
      <c r="D60" s="6" t="str">
        <f>IFERROR(VLOOKUP(A60,'Unique Values'!$A$2:$B$57,2,FALSE),"")</f>
        <v/>
      </c>
    </row>
    <row r="61" spans="1:4" ht="85" x14ac:dyDescent="0.2">
      <c r="A61" s="1" t="s">
        <v>59</v>
      </c>
      <c r="B61" s="2" t="s">
        <v>191</v>
      </c>
      <c r="C61" s="6">
        <v>1419</v>
      </c>
      <c r="D61" s="6" t="str">
        <f>IFERROR(VLOOKUP(A61,'Unique Values'!$A$2:$B$57,2,FALSE),"")</f>
        <v/>
      </c>
    </row>
    <row r="62" spans="1:4" ht="102" x14ac:dyDescent="0.2">
      <c r="A62" s="1" t="s">
        <v>60</v>
      </c>
      <c r="B62" s="2" t="s">
        <v>192</v>
      </c>
      <c r="C62" s="6">
        <v>720</v>
      </c>
      <c r="D62" s="6" t="str">
        <f>IFERROR(VLOOKUP(A62,'Unique Values'!$A$2:$B$57,2,FALSE),"")</f>
        <v/>
      </c>
    </row>
    <row r="63" spans="1:4" ht="85" x14ac:dyDescent="0.2">
      <c r="A63" s="1" t="s">
        <v>61</v>
      </c>
      <c r="B63" s="2" t="s">
        <v>193</v>
      </c>
      <c r="C63" s="6">
        <v>285</v>
      </c>
      <c r="D63" s="6" t="str">
        <f>IFERROR(VLOOKUP(A63,'Unique Values'!$A$2:$B$57,2,FALSE),"")</f>
        <v/>
      </c>
    </row>
    <row r="64" spans="1:4" ht="102" x14ac:dyDescent="0.2">
      <c r="A64" s="1" t="s">
        <v>62</v>
      </c>
      <c r="B64" s="2" t="s">
        <v>194</v>
      </c>
      <c r="C64" s="6">
        <v>285</v>
      </c>
      <c r="D64" s="6" t="str">
        <f>IFERROR(VLOOKUP(A64,'Unique Values'!$A$2:$B$57,2,FALSE),"")</f>
        <v/>
      </c>
    </row>
    <row r="65" spans="1:4" ht="119" x14ac:dyDescent="0.2">
      <c r="A65" s="1" t="s">
        <v>63</v>
      </c>
      <c r="B65" s="2" t="s">
        <v>195</v>
      </c>
      <c r="C65" s="6" t="s">
        <v>365</v>
      </c>
      <c r="D65" s="6" t="str">
        <f>IFERROR(VLOOKUP(A65,'Unique Values'!$A$2:$B$57,2,FALSE),"")</f>
        <v/>
      </c>
    </row>
    <row r="66" spans="1:4" ht="102" x14ac:dyDescent="0.2">
      <c r="A66" s="1" t="s">
        <v>64</v>
      </c>
      <c r="B66" s="2" t="s">
        <v>196</v>
      </c>
      <c r="C66" s="6" t="s">
        <v>366</v>
      </c>
      <c r="D66" s="6" t="str">
        <f>IFERROR(VLOOKUP(A66,'Unique Values'!$A$2:$B$57,2,FALSE),"")</f>
        <v>; Description: Air source heat pump; Description: Biomass community heating; Description: Biomass community heating for some of heat generation; Description: Biomass main heating; Description: Biomass secondary heating; Description: Ground source heat pump; Description: Solar photovoltaics</v>
      </c>
    </row>
    <row r="67" spans="1:4" ht="68" x14ac:dyDescent="0.2">
      <c r="A67" s="1" t="s">
        <v>65</v>
      </c>
      <c r="B67" s="2" t="s">
        <v>197</v>
      </c>
      <c r="C67" s="6">
        <v>10523</v>
      </c>
      <c r="D67" s="6" t="str">
        <f>IFERROR(VLOOKUP(A67,'Unique Values'!$A$2:$B$57,2,FALSE),"")</f>
        <v/>
      </c>
    </row>
    <row r="68" spans="1:4" ht="68" x14ac:dyDescent="0.2">
      <c r="A68" s="1" t="s">
        <v>66</v>
      </c>
      <c r="B68" s="2" t="s">
        <v>198</v>
      </c>
      <c r="C68" s="6">
        <v>3377</v>
      </c>
      <c r="D68" s="6" t="str">
        <f>IFERROR(VLOOKUP(A68,'Unique Values'!$A$2:$B$57,2,FALSE),"")</f>
        <v/>
      </c>
    </row>
    <row r="69" spans="1:4" ht="85" x14ac:dyDescent="0.2">
      <c r="A69" s="1" t="s">
        <v>67</v>
      </c>
      <c r="B69" s="2" t="s">
        <v>199</v>
      </c>
      <c r="C69" s="6">
        <v>8848</v>
      </c>
      <c r="D69" s="6" t="str">
        <f>IFERROR(VLOOKUP(A69,'Unique Values'!$A$2:$B$57,2,FALSE),"")</f>
        <v/>
      </c>
    </row>
    <row r="70" spans="1:4" ht="68" x14ac:dyDescent="0.2">
      <c r="A70" s="1" t="s">
        <v>68</v>
      </c>
      <c r="B70" s="2" t="s">
        <v>200</v>
      </c>
      <c r="C70" s="6">
        <v>5875</v>
      </c>
      <c r="D70" s="6" t="str">
        <f>IFERROR(VLOOKUP(A70,'Unique Values'!$A$2:$B$57,2,FALSE),"")</f>
        <v/>
      </c>
    </row>
    <row r="71" spans="1:4" ht="85" x14ac:dyDescent="0.2">
      <c r="A71" s="1" t="s">
        <v>69</v>
      </c>
      <c r="B71" s="2" t="s">
        <v>201</v>
      </c>
      <c r="C71" s="6">
        <v>10395</v>
      </c>
      <c r="D71" s="6" t="str">
        <f>IFERROR(VLOOKUP(A71,'Unique Values'!$A$2:$B$57,2,FALSE),"")</f>
        <v/>
      </c>
    </row>
    <row r="72" spans="1:4" ht="119" x14ac:dyDescent="0.2">
      <c r="A72" s="1" t="s">
        <v>70</v>
      </c>
      <c r="B72" s="2" t="s">
        <v>202</v>
      </c>
      <c r="D72" s="6" t="str">
        <f>IFERROR(VLOOKUP(A72,'Unique Values'!$A$2:$B$57,2,FALSE),"")</f>
        <v/>
      </c>
    </row>
    <row r="73" spans="1:4" ht="85" x14ac:dyDescent="0.2">
      <c r="A73" s="1" t="s">
        <v>71</v>
      </c>
      <c r="B73" s="2" t="s">
        <v>203</v>
      </c>
      <c r="C73" s="6" t="s">
        <v>318</v>
      </c>
      <c r="D73" s="6" t="str">
        <f>IFERROR(VLOOKUP(A73,'Unique Values'!$A$2:$B$57,2,FALSE),"")</f>
        <v>1930-1949; 1950-1964; 1965-1975; 1976-1983; 1984-1991; 1992-1998; 1999-2002; 2003-2007; 2008 onwards; before 1919</v>
      </c>
    </row>
    <row r="74" spans="1:4" ht="17" x14ac:dyDescent="0.2">
      <c r="A74" s="1" t="s">
        <v>72</v>
      </c>
      <c r="B74" s="2" t="s">
        <v>204</v>
      </c>
      <c r="C74" s="6">
        <v>2.39</v>
      </c>
      <c r="D74" s="6" t="str">
        <f>IFERROR(VLOOKUP(A74,'Unique Values'!$A$2:$B$57,2,FALSE),"")</f>
        <v/>
      </c>
    </row>
    <row r="75" spans="1:4" ht="51" x14ac:dyDescent="0.2">
      <c r="A75" s="1" t="s">
        <v>73</v>
      </c>
      <c r="B75" s="2" t="s">
        <v>205</v>
      </c>
      <c r="C75" s="6" t="s">
        <v>319</v>
      </c>
      <c r="D75" s="6" t="str">
        <f>IFERROR(VLOOKUP(A75,'Unique Values'!$A$2:$B$57,2,FALSE),"")</f>
        <v/>
      </c>
    </row>
    <row r="76" spans="1:4" ht="85" x14ac:dyDescent="0.2">
      <c r="A76" s="1" t="s">
        <v>74</v>
      </c>
      <c r="B76" s="2" t="s">
        <v>206</v>
      </c>
      <c r="C76" s="6">
        <v>161</v>
      </c>
      <c r="D76" s="6" t="str">
        <f>IFERROR(VLOOKUP(A76,'Unique Values'!$A$2:$B$57,2,FALSE),"")</f>
        <v/>
      </c>
    </row>
    <row r="77" spans="1:4" ht="51" x14ac:dyDescent="0.2">
      <c r="A77" s="1" t="s">
        <v>75</v>
      </c>
      <c r="B77" s="2" t="s">
        <v>207</v>
      </c>
      <c r="C77" s="6">
        <v>0</v>
      </c>
      <c r="D77" s="6" t="str">
        <f>IFERROR(VLOOKUP(A77,'Unique Values'!$A$2:$B$57,2,FALSE),"")</f>
        <v>0; 1; 2; 3; 4</v>
      </c>
    </row>
    <row r="78" spans="1:4" ht="17" x14ac:dyDescent="0.2">
      <c r="A78" s="1" t="s">
        <v>76</v>
      </c>
      <c r="B78" s="2" t="s">
        <v>208</v>
      </c>
      <c r="C78" s="6">
        <v>12</v>
      </c>
      <c r="D78" s="6" t="str">
        <f>IFERROR(VLOOKUP(A78,'Unique Values'!$A$2:$B$57,2,FALSE),"")</f>
        <v/>
      </c>
    </row>
    <row r="79" spans="1:4" ht="17" x14ac:dyDescent="0.2">
      <c r="A79" s="1" t="s">
        <v>77</v>
      </c>
      <c r="B79" s="2" t="s">
        <v>209</v>
      </c>
      <c r="C79" s="6">
        <v>12</v>
      </c>
      <c r="D79" s="6" t="str">
        <f>IFERROR(VLOOKUP(A79,'Unique Values'!$A$2:$B$57,2,FALSE),"")</f>
        <v/>
      </c>
    </row>
    <row r="80" spans="1:4" ht="85" x14ac:dyDescent="0.2">
      <c r="A80" s="1" t="s">
        <v>78</v>
      </c>
      <c r="B80" s="2" t="s">
        <v>210</v>
      </c>
      <c r="C80" s="6">
        <v>100</v>
      </c>
      <c r="D80" s="6" t="str">
        <f>IFERROR(VLOOKUP(A80,'Unique Values'!$A$2:$B$57,2,FALSE),"")</f>
        <v/>
      </c>
    </row>
    <row r="81" spans="1:4" ht="17" x14ac:dyDescent="0.2">
      <c r="A81" s="1" t="s">
        <v>79</v>
      </c>
      <c r="B81" s="2" t="s">
        <v>211</v>
      </c>
      <c r="C81" s="6" t="s">
        <v>367</v>
      </c>
      <c r="D81" s="6" t="str">
        <f>IFERROR(VLOOKUP(A81,'Unique Values'!$A$2:$B$57,2,FALSE),"")</f>
        <v>ground floor; top floor</v>
      </c>
    </row>
    <row r="82" spans="1:4" ht="17" x14ac:dyDescent="0.2">
      <c r="A82" s="1" t="s">
        <v>80</v>
      </c>
      <c r="B82" s="2" t="s">
        <v>212</v>
      </c>
      <c r="C82" s="6">
        <v>1</v>
      </c>
      <c r="D82" s="6" t="str">
        <f>IFERROR(VLOOKUP(A82,'Unique Values'!$A$2:$B$57,2,FALSE),"")</f>
        <v>0.0; 1.0</v>
      </c>
    </row>
    <row r="83" spans="1:4" ht="119" x14ac:dyDescent="0.2">
      <c r="A83" s="1" t="s">
        <v>81</v>
      </c>
      <c r="B83" s="2" t="s">
        <v>213</v>
      </c>
      <c r="C83" s="6">
        <v>1</v>
      </c>
      <c r="D83" s="6" t="str">
        <f>IFERROR(VLOOKUP(A83,'Unique Values'!$A$2:$B$57,2,FALSE),"")</f>
        <v>0; 1; 2; 4</v>
      </c>
    </row>
    <row r="84" spans="1:4" ht="102" x14ac:dyDescent="0.2">
      <c r="A84" s="1" t="s">
        <v>82</v>
      </c>
      <c r="B84" s="2" t="s">
        <v>214</v>
      </c>
      <c r="C84" s="6">
        <v>4</v>
      </c>
      <c r="D84" s="6" t="str">
        <f>IFERROR(VLOOKUP(A84,'Unique Values'!$A$2:$B$57,2,FALSE),"")</f>
        <v>0; 10; 15; 2; 3; 4; 5; 6; 7; 8</v>
      </c>
    </row>
    <row r="85" spans="1:4" ht="68" x14ac:dyDescent="0.2">
      <c r="A85" s="1" t="s">
        <v>83</v>
      </c>
      <c r="B85" s="2" t="s">
        <v>215</v>
      </c>
      <c r="D85" s="6" t="str">
        <f>IFERROR(VLOOKUP(A85,'Unique Values'!$A$2:$B$57,2,FALSE),"")</f>
        <v>no corridor; unheated corridor</v>
      </c>
    </row>
    <row r="86" spans="1:4" ht="17" x14ac:dyDescent="0.2">
      <c r="A86" s="1" t="s">
        <v>84</v>
      </c>
      <c r="B86" s="2" t="s">
        <v>216</v>
      </c>
      <c r="C86" s="6">
        <v>4</v>
      </c>
      <c r="D86" s="6" t="str">
        <f>IFERROR(VLOOKUP(A86,'Unique Values'!$A$2:$B$57,2,FALSE),"")</f>
        <v>0; 15; 2; 3; 4; 5; 6; 7; 8; 9</v>
      </c>
    </row>
    <row r="87" spans="1:4" ht="34" x14ac:dyDescent="0.2">
      <c r="A87" s="1" t="s">
        <v>85</v>
      </c>
      <c r="B87" s="2" t="s">
        <v>217</v>
      </c>
      <c r="C87" s="6" t="s">
        <v>320</v>
      </c>
      <c r="D87" s="6" t="str">
        <f>IFERROR(VLOOKUP(A87,'Unique Values'!$A$2:$B$57,2,FALSE),"")</f>
        <v>Stirling</v>
      </c>
    </row>
    <row r="88" spans="1:4" ht="34" x14ac:dyDescent="0.2">
      <c r="A88" s="1" t="s">
        <v>86</v>
      </c>
      <c r="B88" s="2" t="s">
        <v>218</v>
      </c>
      <c r="D88" s="6">
        <f>IFERROR(VLOOKUP(A88,'Unique Values'!$A$2:$B$57,2,FALSE),"")</f>
        <v>0</v>
      </c>
    </row>
    <row r="89" spans="1:4" ht="68" x14ac:dyDescent="0.2">
      <c r="A89" s="1" t="s">
        <v>87</v>
      </c>
      <c r="B89" s="2" t="s">
        <v>219</v>
      </c>
      <c r="C89" s="6" t="s">
        <v>321</v>
      </c>
      <c r="D89" s="6" t="str">
        <f>IFERROR(VLOOKUP(A89,'Unique Values'!$A$2:$B$57,2,FALSE),"")</f>
        <v>boiler with radiators or underfloor heating; community heating system; electric storage heaters; heat pump with radiators or underfloor heating; none; room heaters</v>
      </c>
    </row>
    <row r="90" spans="1:4" ht="51" x14ac:dyDescent="0.2">
      <c r="A90" s="1" t="s">
        <v>88</v>
      </c>
      <c r="B90" s="2" t="s">
        <v>220</v>
      </c>
      <c r="C90" s="6" t="s">
        <v>322</v>
      </c>
      <c r="D90" s="6" t="str">
        <f>IFERROR(VLOOKUP(A90,'Unique Values'!$A$2:$B$57,2,FALSE),"")</f>
        <v>biomass; bottled lpg; bulk wood pellets; dual fuel - mineral + wood; electricity; electricity: electricity, unspecified tariff; lpg; mains gas; no heating/hot-water system or data is from a community network; oil</v>
      </c>
    </row>
    <row r="91" spans="1:4" ht="51" x14ac:dyDescent="0.2">
      <c r="A91" s="1" t="s">
        <v>89</v>
      </c>
      <c r="B91" s="2" t="s">
        <v>373</v>
      </c>
      <c r="C91" s="6">
        <v>2111</v>
      </c>
      <c r="D91" s="6" t="str">
        <f>IFERROR(VLOOKUP(A91,'Unique Values'!$A$2:$B$57,2,FALSE),"")</f>
        <v>2102.0; 2104.0; 2106.0; 2107.0; 2111.0; 2204.0; 2205.0; 2206.0; 2207.0; 2302.0; 2303.0; 2304.0; 2305.0; 2306.0; 2309.0; 2312.0; 2401.0; 2402.0; 2404.0; 2601.0; 2602.0; 2603.0; 2605.0; 2699.0</v>
      </c>
    </row>
    <row r="92" spans="1:4" ht="17" x14ac:dyDescent="0.2">
      <c r="A92" s="1" t="s">
        <v>90</v>
      </c>
      <c r="B92" s="2" t="s">
        <v>222</v>
      </c>
      <c r="C92" s="6" t="s">
        <v>323</v>
      </c>
      <c r="D92" s="6" t="str">
        <f>IFERROR(VLOOKUP(A92,'Unique Values'!$A$2:$B$57,2,FALSE),"")</f>
        <v>mechanical, extract only; mechanical, supply and extract; natural</v>
      </c>
    </row>
    <row r="93" spans="1:4" ht="34" x14ac:dyDescent="0.2">
      <c r="A93" s="1" t="s">
        <v>91</v>
      </c>
      <c r="B93" s="2" t="s">
        <v>223</v>
      </c>
      <c r="C93" s="6" t="s">
        <v>324</v>
      </c>
      <c r="D93" s="6" t="str">
        <f>IFERROR(VLOOKUP(A93,'Unique Values'!$A$2:$B$57,2,FALSE),"")</f>
        <v>Single; Unknown; dual; dual (24 hour)</v>
      </c>
    </row>
    <row r="94" spans="1:4" ht="34" x14ac:dyDescent="0.2">
      <c r="A94" s="1" t="s">
        <v>92</v>
      </c>
      <c r="B94" s="2" t="s">
        <v>224</v>
      </c>
      <c r="C94" s="6">
        <v>100</v>
      </c>
      <c r="D94" s="6" t="str">
        <f>IFERROR(VLOOKUP(A94,'Unique Values'!$A$2:$B$57,2,FALSE),"")</f>
        <v/>
      </c>
    </row>
    <row r="95" spans="1:4" ht="34" x14ac:dyDescent="0.2">
      <c r="A95" s="1" t="s">
        <v>93</v>
      </c>
      <c r="B95" s="2" t="s">
        <v>225</v>
      </c>
      <c r="C95" s="6" t="s">
        <v>325</v>
      </c>
      <c r="D95" s="6" t="str">
        <f>IFERROR(VLOOKUP(A95,'Unique Values'!$A$2:$B$57,2,FALSE),"")</f>
        <v>double glazing installed before 2002; double glazing installed during or after 2002; double glazing, unknown install date; not defined; triple glazing</v>
      </c>
    </row>
    <row r="96" spans="1:4" ht="85" x14ac:dyDescent="0.2">
      <c r="A96" s="1" t="s">
        <v>94</v>
      </c>
      <c r="B96" s="2" t="s">
        <v>226</v>
      </c>
      <c r="C96" s="6">
        <v>0</v>
      </c>
      <c r="D96" s="6" t="str">
        <f>IFERROR(VLOOKUP(A96,'Unique Values'!$A$2:$B$57,2,FALSE),"")</f>
        <v/>
      </c>
    </row>
    <row r="97" spans="1:4" ht="102" x14ac:dyDescent="0.2">
      <c r="A97" s="1" t="s">
        <v>95</v>
      </c>
      <c r="B97" s="2" t="s">
        <v>227</v>
      </c>
      <c r="C97" s="6" t="s">
        <v>326</v>
      </c>
      <c r="D97" s="6" t="str">
        <f>IFERROR(VLOOKUP(A97,'Unique Values'!$A$2:$B$57,2,FALSE),"")</f>
        <v/>
      </c>
    </row>
    <row r="98" spans="1:4" ht="51" x14ac:dyDescent="0.2">
      <c r="A98" s="1" t="s">
        <v>96</v>
      </c>
      <c r="B98" s="2" t="s">
        <v>228</v>
      </c>
      <c r="C98" s="6" t="b">
        <v>0</v>
      </c>
      <c r="D98" s="6" t="b">
        <f>IFERROR(VLOOKUP(A98,'Unique Values'!$A$2:$B$57,2,FALSE),"")</f>
        <v>0</v>
      </c>
    </row>
    <row r="99" spans="1:4" ht="34" x14ac:dyDescent="0.2">
      <c r="A99" s="1" t="s">
        <v>97</v>
      </c>
      <c r="B99" s="2" t="s">
        <v>229</v>
      </c>
      <c r="C99" s="6" t="s">
        <v>327</v>
      </c>
      <c r="D99" s="6" t="str">
        <f>IFERROR(VLOOKUP(A99,'Unique Values'!$A$2:$B$57,2,FALSE),"")</f>
        <v>owner-occupied; rented (private); rented (social); unknown</v>
      </c>
    </row>
    <row r="100" spans="1:4" ht="170" x14ac:dyDescent="0.2">
      <c r="A100" s="1" t="s">
        <v>98</v>
      </c>
      <c r="B100" s="2" t="s">
        <v>230</v>
      </c>
      <c r="C100" s="6" t="s">
        <v>328</v>
      </c>
      <c r="D100" s="6" t="str">
        <f>IFERROR(VLOOKUP(A100,'Unique Values'!$A$2:$B$57,2,FALSE),"")</f>
        <v>ECO assessment; FiT application; RHI application; marketed sale; new dwelling; non marketed sale; none of the above; rental</v>
      </c>
    </row>
    <row r="101" spans="1:4" ht="68" x14ac:dyDescent="0.2">
      <c r="A101" s="1" t="s">
        <v>99</v>
      </c>
      <c r="B101" s="2" t="s">
        <v>231</v>
      </c>
      <c r="C101" s="6">
        <v>8.3000000000000007</v>
      </c>
      <c r="D101" s="6" t="str">
        <f>IFERROR(VLOOKUP(A101,'Unique Values'!$A$2:$B$57,2,FALSE),"")</f>
        <v/>
      </c>
    </row>
    <row r="102" spans="1:4" ht="34" x14ac:dyDescent="0.2">
      <c r="A102" s="1" t="s">
        <v>100</v>
      </c>
      <c r="B102" s="2" t="s">
        <v>232</v>
      </c>
      <c r="C102" s="6" t="s">
        <v>329</v>
      </c>
      <c r="D102" s="6" t="str">
        <f>IFERROR(VLOOKUP(A102,'Unique Values'!$A$2:$B$57,2,FALSE),"")</f>
        <v/>
      </c>
    </row>
    <row r="103" spans="1:4" ht="34" x14ac:dyDescent="0.2">
      <c r="A103" s="1" t="s">
        <v>101</v>
      </c>
      <c r="B103" s="2" t="s">
        <v>233</v>
      </c>
      <c r="C103" s="6" t="s">
        <v>330</v>
      </c>
      <c r="D103" s="6" t="str">
        <f>IFERROR(VLOOKUP(A103,'Unique Values'!$A$2:$B$57,2,FALSE),"")</f>
        <v/>
      </c>
    </row>
    <row r="104" spans="1:4" ht="17" x14ac:dyDescent="0.2">
      <c r="A104" s="1" t="s">
        <v>102</v>
      </c>
      <c r="B104" s="2" t="s">
        <v>234</v>
      </c>
      <c r="C104" s="6">
        <v>0</v>
      </c>
      <c r="D104" s="6" t="str">
        <f>IFERROR(VLOOKUP(A104,'Unique Values'!$A$2:$B$57,2,FALSE),"")</f>
        <v/>
      </c>
    </row>
    <row r="105" spans="1:4" ht="68" x14ac:dyDescent="0.2">
      <c r="A105" s="1" t="s">
        <v>103</v>
      </c>
      <c r="B105" s="2" t="s">
        <v>235</v>
      </c>
      <c r="C105" s="6" t="s">
        <v>331</v>
      </c>
      <c r="D105" s="6" t="str">
        <f>IFERROR(VLOOKUP(A105,'Unique Values'!$A$2:$B$57,2,FALSE),"")</f>
        <v>Detached; Enclosed End-Terrace; End-Terrace; Mid-Terrace; Semi-Detached</v>
      </c>
    </row>
    <row r="106" spans="1:4" ht="34" x14ac:dyDescent="0.2">
      <c r="A106" s="1" t="s">
        <v>104</v>
      </c>
      <c r="B106" s="2" t="s">
        <v>236</v>
      </c>
      <c r="C106" s="6" t="s">
        <v>332</v>
      </c>
      <c r="D106" s="6" t="str">
        <f>IFERROR(VLOOKUP(A106,'Unique Values'!$A$2:$B$57,2,FALSE),"")</f>
        <v>Bungalow; Flat; House; Park home</v>
      </c>
    </row>
    <row r="107" spans="1:4" ht="17" x14ac:dyDescent="0.2">
      <c r="A107" s="1" t="s">
        <v>105</v>
      </c>
      <c r="C107" s="6" t="s">
        <v>333</v>
      </c>
      <c r="D107" s="6" t="str">
        <f>IFERROR(VLOOKUP(A107,'Unique Values'!$A$2:$B$57,2,FALSE),"")</f>
        <v/>
      </c>
    </row>
    <row r="108" spans="1:4" ht="34" x14ac:dyDescent="0.2">
      <c r="A108" s="1" t="s">
        <v>106</v>
      </c>
      <c r="B108" s="2" t="s">
        <v>237</v>
      </c>
      <c r="C108" s="9">
        <v>45800.496527777781</v>
      </c>
      <c r="D108" s="6" t="str">
        <f>IFERROR(VLOOKUP(A108,'Unique Values'!$A$2:$B$57,2,FALSE),"")</f>
        <v/>
      </c>
    </row>
    <row r="109" spans="1:4" ht="51" x14ac:dyDescent="0.2">
      <c r="A109" s="1" t="s">
        <v>107</v>
      </c>
      <c r="B109" s="2" t="s">
        <v>238</v>
      </c>
      <c r="C109" s="6" t="s">
        <v>334</v>
      </c>
      <c r="D109" s="6" t="str">
        <f>IFERROR(VLOOKUP(A109,'Unique Values'!$A$2:$B$57,2,FALSE),"")</f>
        <v/>
      </c>
    </row>
    <row r="110" spans="1:4" ht="17" x14ac:dyDescent="0.2">
      <c r="A110" s="1" t="s">
        <v>108</v>
      </c>
      <c r="C110" s="6" t="s">
        <v>335</v>
      </c>
      <c r="D110" s="6" t="str">
        <f>IFERROR(VLOOKUP(A110,'Unique Values'!$A$2:$B$57,2,FALSE),"")</f>
        <v/>
      </c>
    </row>
    <row r="111" spans="1:4" ht="238" x14ac:dyDescent="0.2">
      <c r="A111" s="1" t="s">
        <v>109</v>
      </c>
      <c r="B111" s="2" t="s">
        <v>239</v>
      </c>
      <c r="C111" s="6" t="s">
        <v>336</v>
      </c>
      <c r="D111" s="6" t="str">
        <f>IFERROR(VLOOKUP(A111,'Unique Values'!$A$2:$B$57,2,FALSE),"")</f>
        <v/>
      </c>
    </row>
    <row r="112" spans="1:4" ht="102" x14ac:dyDescent="0.2">
      <c r="A112" s="1" t="s">
        <v>110</v>
      </c>
      <c r="B112" s="2" t="s">
        <v>240</v>
      </c>
      <c r="C112" s="6" t="s">
        <v>337</v>
      </c>
      <c r="D112" s="6" t="str">
        <f>IFERROR(VLOOKUP(A112,'Unique Values'!$A$2:$B$57,2,FALSE),"")</f>
        <v/>
      </c>
    </row>
    <row r="113" spans="1:4" ht="85" x14ac:dyDescent="0.2">
      <c r="A113" s="1" t="s">
        <v>111</v>
      </c>
      <c r="B113" s="2" t="s">
        <v>241</v>
      </c>
      <c r="C113" s="6" t="s">
        <v>338</v>
      </c>
      <c r="D113" s="6" t="str">
        <f>IFERROR(VLOOKUP(A113,'Unique Values'!$A$2:$B$57,2,FALSE),"")</f>
        <v/>
      </c>
    </row>
    <row r="114" spans="1:4" ht="85" x14ac:dyDescent="0.2">
      <c r="A114" s="1" t="s">
        <v>112</v>
      </c>
      <c r="B114" s="2" t="s">
        <v>242</v>
      </c>
      <c r="C114" s="6" t="s">
        <v>339</v>
      </c>
      <c r="D114" s="6" t="str">
        <f>IFERROR(VLOOKUP(A114,'Unique Values'!$A$2:$B$57,2,FALSE),"")</f>
        <v/>
      </c>
    </row>
    <row r="115" spans="1:4" ht="85" x14ac:dyDescent="0.2">
      <c r="A115" s="1" t="s">
        <v>113</v>
      </c>
      <c r="B115" s="2" t="s">
        <v>243</v>
      </c>
      <c r="C115" s="6" t="s">
        <v>340</v>
      </c>
      <c r="D115" s="6" t="str">
        <f>IFERROR(VLOOKUP(A115,'Unique Values'!$A$2:$B$57,2,FALSE),"")</f>
        <v/>
      </c>
    </row>
    <row r="116" spans="1:4" ht="85" x14ac:dyDescent="0.2">
      <c r="A116" s="1" t="s">
        <v>114</v>
      </c>
      <c r="B116" s="2" t="s">
        <v>244</v>
      </c>
      <c r="C116" s="6" t="s">
        <v>341</v>
      </c>
      <c r="D116" s="6" t="str">
        <f>IFERROR(VLOOKUP(A116,'Unique Values'!$A$2:$B$57,2,FALSE),"")</f>
        <v/>
      </c>
    </row>
    <row r="117" spans="1:4" ht="85" x14ac:dyDescent="0.2">
      <c r="A117" s="1" t="s">
        <v>115</v>
      </c>
      <c r="B117" s="2" t="s">
        <v>245</v>
      </c>
      <c r="C117" s="6" t="s">
        <v>342</v>
      </c>
      <c r="D117" s="6" t="str">
        <f>IFERROR(VLOOKUP(A117,'Unique Values'!$A$2:$B$57,2,FALSE),"")</f>
        <v/>
      </c>
    </row>
    <row r="118" spans="1:4" ht="68" x14ac:dyDescent="0.2">
      <c r="A118" s="1" t="s">
        <v>116</v>
      </c>
      <c r="B118" s="2" t="s">
        <v>246</v>
      </c>
      <c r="C118" s="6" t="s">
        <v>343</v>
      </c>
      <c r="D118" s="6" t="str">
        <f>IFERROR(VLOOKUP(A118,'Unique Values'!$A$2:$B$57,2,FALSE),"")</f>
        <v/>
      </c>
    </row>
    <row r="119" spans="1:4" ht="85" x14ac:dyDescent="0.2">
      <c r="A119" s="1" t="s">
        <v>117</v>
      </c>
      <c r="B119" s="2" t="s">
        <v>247</v>
      </c>
      <c r="C119" s="6" t="s">
        <v>344</v>
      </c>
      <c r="D119" s="6" t="str">
        <f>IFERROR(VLOOKUP(A119,'Unique Values'!$A$2:$B$57,2,FALSE),"")</f>
        <v/>
      </c>
    </row>
    <row r="120" spans="1:4" ht="85" x14ac:dyDescent="0.2">
      <c r="A120" s="1" t="s">
        <v>118</v>
      </c>
      <c r="B120" s="2" t="s">
        <v>248</v>
      </c>
      <c r="C120" s="6" t="s">
        <v>345</v>
      </c>
      <c r="D120" s="6" t="str">
        <f>IFERROR(VLOOKUP(A120,'Unique Values'!$A$2:$B$57,2,FALSE),"")</f>
        <v/>
      </c>
    </row>
    <row r="121" spans="1:4" ht="85" x14ac:dyDescent="0.2">
      <c r="A121" s="1" t="s">
        <v>119</v>
      </c>
      <c r="B121" s="2" t="s">
        <v>249</v>
      </c>
      <c r="C121" s="6" t="s">
        <v>346</v>
      </c>
      <c r="D121" s="6" t="str">
        <f>IFERROR(VLOOKUP(A121,'Unique Values'!$A$2:$B$57,2,FALSE),"")</f>
        <v/>
      </c>
    </row>
    <row r="122" spans="1:4" ht="68" x14ac:dyDescent="0.2">
      <c r="A122" s="1" t="s">
        <v>120</v>
      </c>
      <c r="B122" s="2" t="s">
        <v>250</v>
      </c>
      <c r="C122" s="6">
        <v>18</v>
      </c>
      <c r="D122" s="6" t="str">
        <f>IFERROR(VLOOKUP(A122,'Unique Values'!$A$2:$B$57,2,FALSE),"")</f>
        <v/>
      </c>
    </row>
    <row r="123" spans="1:4" ht="85" x14ac:dyDescent="0.2">
      <c r="A123" s="1" t="s">
        <v>121</v>
      </c>
      <c r="B123" s="2" t="s">
        <v>251</v>
      </c>
      <c r="C123" s="6">
        <v>19</v>
      </c>
      <c r="D123" s="6" t="str">
        <f>IFERROR(VLOOKUP(A123,'Unique Values'!$A$2:$B$57,2,FALSE),"")</f>
        <v/>
      </c>
    </row>
    <row r="124" spans="1:4" ht="85" x14ac:dyDescent="0.2">
      <c r="A124" s="1" t="s">
        <v>122</v>
      </c>
      <c r="B124" s="2" t="s">
        <v>252</v>
      </c>
      <c r="C124" s="6">
        <v>110</v>
      </c>
      <c r="D124" s="6" t="str">
        <f>IFERROR(VLOOKUP(A124,'Unique Values'!$A$2:$B$57,2,FALSE),"")</f>
        <v/>
      </c>
    </row>
    <row r="125" spans="1:4" ht="85" x14ac:dyDescent="0.2">
      <c r="A125" s="1" t="s">
        <v>123</v>
      </c>
      <c r="B125" s="2" t="s">
        <v>253</v>
      </c>
      <c r="C125" s="7" t="s">
        <v>347</v>
      </c>
      <c r="D125" s="6" t="str">
        <f>IFERROR(VLOOKUP(A125,'Unique Values'!$A$2:$B$57,2,FALSE),"")</f>
        <v/>
      </c>
    </row>
    <row r="126" spans="1:4" ht="85" x14ac:dyDescent="0.2">
      <c r="A126" s="1" t="s">
        <v>124</v>
      </c>
      <c r="B126" s="2" t="s">
        <v>254</v>
      </c>
      <c r="C126" s="6">
        <v>3.5</v>
      </c>
      <c r="D126" s="6" t="str">
        <f>IFERROR(VLOOKUP(A126,'Unique Values'!$A$2:$B$57,2,FALSE),"")</f>
        <v/>
      </c>
    </row>
    <row r="127" spans="1:4" ht="68" x14ac:dyDescent="0.2">
      <c r="A127" s="1" t="s">
        <v>125</v>
      </c>
      <c r="B127" s="2" t="s">
        <v>255</v>
      </c>
      <c r="C127" s="7" t="s">
        <v>348</v>
      </c>
      <c r="D127" s="6" t="str">
        <f>IFERROR(VLOOKUP(A127,'Unique Values'!$A$2:$B$57,2,FALSE),"")</f>
        <v/>
      </c>
    </row>
    <row r="128" spans="1:4" ht="68" x14ac:dyDescent="0.2">
      <c r="A128" s="1" t="s">
        <v>126</v>
      </c>
      <c r="B128" s="2" t="s">
        <v>256</v>
      </c>
      <c r="C128" s="6">
        <v>437</v>
      </c>
      <c r="D128" s="6" t="str">
        <f>IFERROR(VLOOKUP(A128,'Unique Values'!$A$2:$B$57,2,FALSE),"")</f>
        <v/>
      </c>
    </row>
    <row r="129" spans="1:4" ht="85" x14ac:dyDescent="0.2">
      <c r="A129" s="1" t="s">
        <v>127</v>
      </c>
      <c r="B129" s="2" t="s">
        <v>257</v>
      </c>
      <c r="C129" s="6" t="b">
        <v>1</v>
      </c>
      <c r="D129" s="6" t="str">
        <f>IFERROR(VLOOKUP(A129,'Unique Values'!$A$2:$B$57,2,FALSE),"")</f>
        <v/>
      </c>
    </row>
    <row r="130" spans="1:4" ht="68" x14ac:dyDescent="0.2">
      <c r="A130" s="1" t="s">
        <v>128</v>
      </c>
      <c r="B130" s="2" t="s">
        <v>258</v>
      </c>
      <c r="C130" s="6" t="b">
        <v>1</v>
      </c>
      <c r="D130" s="6" t="str">
        <f>IFERROR(VLOOKUP(A130,'Unique Values'!$A$2:$B$57,2,FALSE),"")</f>
        <v/>
      </c>
    </row>
    <row r="131" spans="1:4" ht="68" x14ac:dyDescent="0.2">
      <c r="A131" s="1" t="s">
        <v>129</v>
      </c>
      <c r="B131" s="2" t="s">
        <v>259</v>
      </c>
      <c r="C131" s="6" t="b">
        <v>1</v>
      </c>
      <c r="D131" s="6" t="str">
        <f>IFERROR(VLOOKUP(A131,'Unique Values'!$A$2:$B$57,2,FALSE),"")</f>
        <v/>
      </c>
    </row>
    <row r="132" spans="1:4" ht="238" x14ac:dyDescent="0.2">
      <c r="A132" s="1" t="s">
        <v>130</v>
      </c>
      <c r="B132" s="2" t="s">
        <v>260</v>
      </c>
      <c r="C132" s="6" t="s">
        <v>336</v>
      </c>
      <c r="D132" s="6" t="str">
        <f>IFERROR(VLOOKUP(A132,'Unique Values'!$A$2:$B$57,2,FALSE),"")</f>
        <v/>
      </c>
    </row>
    <row r="133" spans="1:4" ht="68" x14ac:dyDescent="0.2">
      <c r="A133" s="1" t="s">
        <v>131</v>
      </c>
      <c r="B133" s="2" t="s">
        <v>261</v>
      </c>
      <c r="C133" s="6">
        <v>11800</v>
      </c>
      <c r="D133" s="6" t="str">
        <f>IFERROR(VLOOKUP(A133,'Unique Values'!$A$2:$B$57,2,FALSE),"")</f>
        <v/>
      </c>
    </row>
    <row r="134" spans="1:4" ht="68" x14ac:dyDescent="0.2">
      <c r="A134" s="1" t="s">
        <v>132</v>
      </c>
      <c r="B134" s="2" t="s">
        <v>262</v>
      </c>
      <c r="C134" s="6">
        <v>18100</v>
      </c>
      <c r="D134" s="6" t="str">
        <f>IFERROR(VLOOKUP(A134,'Unique Values'!$A$2:$B$57,2,FALSE),"")</f>
        <v/>
      </c>
    </row>
    <row r="135" spans="1:4" ht="119" x14ac:dyDescent="0.2">
      <c r="A135" s="1" t="s">
        <v>133</v>
      </c>
      <c r="B135" s="2" t="s">
        <v>263</v>
      </c>
      <c r="C135" s="6">
        <v>14950</v>
      </c>
      <c r="D135" s="6" t="str">
        <f>IFERROR(VLOOKUP(A135,'Unique Values'!$A$2:$B$57,2,FALSE),"")</f>
        <v/>
      </c>
    </row>
    <row r="136" spans="1:4" ht="85" x14ac:dyDescent="0.2">
      <c r="A136" s="1" t="s">
        <v>134</v>
      </c>
      <c r="B136" s="2" t="s">
        <v>264</v>
      </c>
      <c r="C136" s="7" t="s">
        <v>349</v>
      </c>
      <c r="D136" s="6" t="str">
        <f>IFERROR(VLOOKUP(A136,'Unique Values'!$A$2:$B$57,2,FALSE),"")</f>
        <v/>
      </c>
    </row>
    <row r="137" spans="1:4" ht="68" x14ac:dyDescent="0.2">
      <c r="A137" s="1" t="s">
        <v>135</v>
      </c>
      <c r="B137" s="2" t="s">
        <v>265</v>
      </c>
      <c r="C137" s="6">
        <v>437</v>
      </c>
      <c r="D137" s="6" t="str">
        <f>IFERROR(VLOOKUP(A137,'Unique Values'!$A$2:$B$57,2,FALSE),"")</f>
        <v/>
      </c>
    </row>
    <row r="138" spans="1:4" ht="85" x14ac:dyDescent="0.2">
      <c r="A138" s="1" t="s">
        <v>136</v>
      </c>
      <c r="B138" s="2" t="s">
        <v>266</v>
      </c>
      <c r="C138" s="6">
        <v>-7719.0258037919302</v>
      </c>
      <c r="D138" s="6" t="str">
        <f>IFERROR(VLOOKUP(A138,'Unique Values'!$A$2:$B$57,2,FALSE),"")</f>
        <v/>
      </c>
    </row>
    <row r="139" spans="1:4" ht="68" x14ac:dyDescent="0.2">
      <c r="A139" s="1" t="s">
        <v>137</v>
      </c>
      <c r="B139" s="2" t="s">
        <v>267</v>
      </c>
      <c r="C139" s="6">
        <v>2.7823543342376999E-3</v>
      </c>
      <c r="D139" s="6" t="str">
        <f>IFERROR(VLOOKUP(A139,'Unique Values'!$A$2:$B$57,2,FALSE),"")</f>
        <v/>
      </c>
    </row>
    <row r="140" spans="1:4" ht="153" x14ac:dyDescent="0.2">
      <c r="A140" s="1" t="s">
        <v>138</v>
      </c>
      <c r="B140" s="2" t="s">
        <v>268</v>
      </c>
      <c r="C140" s="6" t="s">
        <v>350</v>
      </c>
      <c r="D140" s="6" t="str">
        <f>IFERROR(VLOOKUP(A140,'Unique Values'!$A$2:$B$57,2,FALSE),"")</f>
        <v/>
      </c>
    </row>
    <row r="141" spans="1:4" ht="204" x14ac:dyDescent="0.2">
      <c r="A141" s="1" t="s">
        <v>139</v>
      </c>
      <c r="B141" s="2" t="s">
        <v>269</v>
      </c>
      <c r="C141" s="6" t="s">
        <v>351</v>
      </c>
      <c r="D141" s="6" t="str">
        <f>IFERROR(VLOOKUP(A141,'Unique Values'!$A$2:$B$57,2,FALSE),"")</f>
        <v/>
      </c>
    </row>
    <row r="142" spans="1:4" ht="68" x14ac:dyDescent="0.2">
      <c r="A142" s="1" t="s">
        <v>140</v>
      </c>
      <c r="B142" s="2" t="s">
        <v>270</v>
      </c>
      <c r="C142" s="7" t="s">
        <v>352</v>
      </c>
      <c r="D142" s="6" t="str">
        <f>IFERROR(VLOOKUP(A142,'Unique Values'!$A$2:$B$57,2,FALSE),"")</f>
        <v/>
      </c>
    </row>
    <row r="143" spans="1:4" ht="68" x14ac:dyDescent="0.2">
      <c r="A143" s="1" t="s">
        <v>141</v>
      </c>
      <c r="B143" s="2" t="s">
        <v>271</v>
      </c>
      <c r="C143" s="7" t="s">
        <v>353</v>
      </c>
      <c r="D143" s="6" t="str">
        <f>IFERROR(VLOOKUP(A143,'Unique Values'!$A$2:$B$57,2,FALSE),"")</f>
        <v/>
      </c>
    </row>
    <row r="144" spans="1:4" ht="68" x14ac:dyDescent="0.2">
      <c r="A144" s="1" t="s">
        <v>142</v>
      </c>
      <c r="B144" s="2" t="s">
        <v>272</v>
      </c>
      <c r="C144" s="7" t="s">
        <v>354</v>
      </c>
      <c r="D144" s="6" t="str">
        <f>IFERROR(VLOOKUP(A144,'Unique Values'!$A$2:$B$57,2,FALSE),"")</f>
        <v/>
      </c>
    </row>
    <row r="145" spans="1:4" ht="68" x14ac:dyDescent="0.2">
      <c r="A145" s="1" t="s">
        <v>143</v>
      </c>
      <c r="B145" s="2" t="s">
        <v>273</v>
      </c>
      <c r="C145" s="6" t="b">
        <v>1</v>
      </c>
      <c r="D145" s="6" t="str">
        <f>IFERROR(VLOOKUP(A145,'Unique Values'!$A$2:$B$57,2,FALSE),"")</f>
        <v/>
      </c>
    </row>
    <row r="146" spans="1:4" ht="102" x14ac:dyDescent="0.2">
      <c r="A146" s="1" t="s">
        <v>144</v>
      </c>
      <c r="B146" s="2" t="s">
        <v>274</v>
      </c>
      <c r="C146" s="6" t="b">
        <v>0</v>
      </c>
      <c r="D146" s="6" t="str">
        <f>IFERROR(VLOOKUP(A146,'Unique Values'!$A$2:$B$57,2,FALSE),"")</f>
        <v/>
      </c>
    </row>
    <row r="147" spans="1:4" ht="85" x14ac:dyDescent="0.2">
      <c r="A147" s="1" t="s">
        <v>145</v>
      </c>
      <c r="B147" s="2" t="s">
        <v>275</v>
      </c>
      <c r="C147" s="6">
        <v>1</v>
      </c>
      <c r="D147" s="6" t="str">
        <f>IFERROR(VLOOKUP(A147,'Unique Values'!$A$2:$B$57,2,FALSE),"")</f>
        <v/>
      </c>
    </row>
    <row r="148" spans="1:4" ht="85" x14ac:dyDescent="0.2">
      <c r="A148" s="1" t="s">
        <v>146</v>
      </c>
      <c r="B148" s="2" t="s">
        <v>276</v>
      </c>
      <c r="C148" s="7" t="s">
        <v>355</v>
      </c>
      <c r="D148" s="6" t="str">
        <f>IFERROR(VLOOKUP(A148,'Unique Values'!$A$2:$B$57,2,FALSE),"")</f>
        <v/>
      </c>
    </row>
    <row r="149" spans="1:4" ht="68" x14ac:dyDescent="0.2">
      <c r="A149" s="1" t="s">
        <v>147</v>
      </c>
      <c r="B149" s="2" t="s">
        <v>277</v>
      </c>
      <c r="C149" s="6">
        <v>1.0752688172042999E-2</v>
      </c>
      <c r="D149" s="6" t="str">
        <f>IFERROR(VLOOKUP(A149,'Unique Values'!$A$2:$B$57,2,FALSE),"")</f>
        <v/>
      </c>
    </row>
    <row r="150" spans="1:4" ht="68" x14ac:dyDescent="0.2">
      <c r="A150" s="1" t="s">
        <v>148</v>
      </c>
      <c r="B150" s="2" t="s">
        <v>278</v>
      </c>
      <c r="C150" s="7" t="s">
        <v>356</v>
      </c>
      <c r="D150" s="6" t="str">
        <f>IFERROR(VLOOKUP(A150,'Unique Values'!$A$2:$B$57,2,FALSE),"")</f>
        <v/>
      </c>
    </row>
    <row r="151" spans="1:4" ht="68" x14ac:dyDescent="0.2">
      <c r="A151" s="1" t="s">
        <v>149</v>
      </c>
      <c r="B151" s="2" t="s">
        <v>279</v>
      </c>
      <c r="C151" s="6" t="b">
        <v>0</v>
      </c>
      <c r="D151" s="6" t="str">
        <f>IFERROR(VLOOKUP(A151,'Unique Values'!$A$2:$B$57,2,FALSE),"")</f>
        <v/>
      </c>
    </row>
    <row r="152" spans="1:4" ht="51" x14ac:dyDescent="0.2">
      <c r="A152" s="1" t="s">
        <v>150</v>
      </c>
      <c r="B152" s="2" t="s">
        <v>280</v>
      </c>
      <c r="C152" s="6" t="b">
        <v>0</v>
      </c>
      <c r="D152" s="6" t="str">
        <f>IFERROR(VLOOKUP(A152,'Unique Values'!$A$2:$B$57,2,FALSE),"")</f>
        <v/>
      </c>
    </row>
    <row r="153" spans="1:4" ht="68" x14ac:dyDescent="0.2">
      <c r="A153" s="1" t="s">
        <v>151</v>
      </c>
      <c r="B153" s="2" t="s">
        <v>281</v>
      </c>
      <c r="D153" s="6" t="str">
        <f>IFERROR(VLOOKUP(A153,'Unique Values'!$A$2:$B$57,2,FALSE),"")</f>
        <v/>
      </c>
    </row>
    <row r="154" spans="1:4" ht="68" x14ac:dyDescent="0.2">
      <c r="A154" s="1" t="s">
        <v>152</v>
      </c>
      <c r="B154" s="2" t="s">
        <v>282</v>
      </c>
      <c r="C154" s="6" t="s">
        <v>357</v>
      </c>
      <c r="D154" s="6" t="str">
        <f>IFERROR(VLOOKUP(A154,'Unique Values'!$A$2:$B$57,2,FALSE),"")</f>
        <v/>
      </c>
    </row>
    <row r="155" spans="1:4" ht="68" x14ac:dyDescent="0.2">
      <c r="A155" s="1" t="s">
        <v>153</v>
      </c>
      <c r="B155" s="2" t="s">
        <v>283</v>
      </c>
      <c r="C155" s="6" t="s">
        <v>321</v>
      </c>
      <c r="D155" s="6" t="str">
        <f>IFERROR(VLOOKUP(A155,'Unique Values'!$A$2:$B$57,2,FALSE),"")</f>
        <v/>
      </c>
    </row>
    <row r="156" spans="1:4" ht="68" x14ac:dyDescent="0.2">
      <c r="A156" s="1" t="s">
        <v>154</v>
      </c>
      <c r="B156" s="2" t="s">
        <v>284</v>
      </c>
      <c r="C156" s="6" t="s">
        <v>322</v>
      </c>
      <c r="D156" s="6" t="str">
        <f>IFERROR(VLOOKUP(A156,'Unique Values'!$A$2:$B$57,2,FALSE),"")</f>
        <v/>
      </c>
    </row>
    <row r="157" spans="1:4" ht="85" x14ac:dyDescent="0.2">
      <c r="A157" s="1" t="s">
        <v>155</v>
      </c>
      <c r="B157" s="2" t="s">
        <v>285</v>
      </c>
      <c r="C157" s="6" t="s">
        <v>358</v>
      </c>
      <c r="D157" s="6" t="str">
        <f>IFERROR(VLOOKUP(A157,'Unique Values'!$A$2:$B$57,2,FALSE),"")</f>
        <v/>
      </c>
    </row>
    <row r="158" spans="1:4" ht="85" x14ac:dyDescent="0.2">
      <c r="A158" s="1" t="s">
        <v>156</v>
      </c>
      <c r="B158" s="2" t="s">
        <v>286</v>
      </c>
      <c r="C158" s="6" t="b">
        <v>1</v>
      </c>
      <c r="D158" s="6" t="str">
        <f>IFERROR(VLOOKUP(A158,'Unique Values'!$A$2:$B$57,2,FALSE),"")</f>
        <v/>
      </c>
    </row>
    <row r="159" spans="1:4" ht="85" x14ac:dyDescent="0.2">
      <c r="A159" s="1" t="s">
        <v>157</v>
      </c>
      <c r="B159" s="2" t="s">
        <v>287</v>
      </c>
      <c r="C159" s="7" t="s">
        <v>359</v>
      </c>
      <c r="D159" s="6" t="str">
        <f>IFERROR(VLOOKUP(A159,'Unique Values'!$A$2:$B$57,2,FALSE),"")</f>
        <v/>
      </c>
    </row>
    <row r="160" spans="1:4" ht="102" x14ac:dyDescent="0.2">
      <c r="A160" s="1" t="s">
        <v>158</v>
      </c>
      <c r="B160" s="2" t="s">
        <v>288</v>
      </c>
      <c r="C160" s="6">
        <v>0.296875</v>
      </c>
      <c r="D160" s="6" t="str">
        <f>IFERROR(VLOOKUP(A160,'Unique Values'!$A$2:$B$57,2,FALSE),"")</f>
        <v/>
      </c>
    </row>
    <row r="161" spans="1:4" ht="102" x14ac:dyDescent="0.2">
      <c r="A161" s="1" t="s">
        <v>159</v>
      </c>
      <c r="B161" s="2" t="s">
        <v>289</v>
      </c>
      <c r="C161" s="7" t="s">
        <v>360</v>
      </c>
      <c r="D161" s="6" t="str">
        <f>IFERROR(VLOOKUP(A161,'Unique Values'!$A$2:$B$57,2,FALSE),"")</f>
        <v/>
      </c>
    </row>
    <row r="162" spans="1:4" ht="85" x14ac:dyDescent="0.2">
      <c r="A162" s="1" t="s">
        <v>160</v>
      </c>
      <c r="B162" s="2" t="s">
        <v>290</v>
      </c>
      <c r="C162" s="7" t="s">
        <v>361</v>
      </c>
      <c r="D162" s="6" t="str">
        <f>IFERROR(VLOOKUP(A162,'Unique Values'!$A$2:$B$57,2,FALSE),"")</f>
        <v/>
      </c>
    </row>
    <row r="163" spans="1:4" ht="85" x14ac:dyDescent="0.2">
      <c r="A163" s="1" t="s">
        <v>161</v>
      </c>
      <c r="B163" s="2" t="s">
        <v>291</v>
      </c>
      <c r="C163" s="7" t="s">
        <v>362</v>
      </c>
      <c r="D163" s="6" t="str">
        <f>IFERROR(VLOOKUP(A163,'Unique Values'!$A$2:$B$57,2,FALSE),"")</f>
        <v/>
      </c>
    </row>
    <row r="164" spans="1:4" ht="136" x14ac:dyDescent="0.2">
      <c r="A164" s="1" t="s">
        <v>162</v>
      </c>
      <c r="B164" s="2" t="s">
        <v>292</v>
      </c>
      <c r="C164" s="7" t="s">
        <v>363</v>
      </c>
      <c r="D164" s="6" t="str">
        <f>IFERROR(VLOOKUP(A164,'Unique Values'!$A$2:$B$57,2,FALSE),"")</f>
        <v/>
      </c>
    </row>
  </sheetData>
  <autoFilter ref="A1:D164" xr:uid="{FFDBAC5F-3CCE-774C-82AB-9588F546EEB1}"/>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2F768-7C2A-9749-8FA4-3D5CA70A688C}">
  <dimension ref="A1:B57"/>
  <sheetViews>
    <sheetView topLeftCell="A31" workbookViewId="0">
      <selection sqref="A1:B1048576"/>
    </sheetView>
  </sheetViews>
  <sheetFormatPr baseColWidth="10" defaultRowHeight="16" x14ac:dyDescent="0.2"/>
  <cols>
    <col min="1" max="1" width="32.5" bestFit="1" customWidth="1"/>
    <col min="2" max="2" width="90.5" style="10" customWidth="1"/>
  </cols>
  <sheetData>
    <row r="1" spans="1:2" ht="17" x14ac:dyDescent="0.2">
      <c r="A1" t="s">
        <v>374</v>
      </c>
      <c r="B1" s="10" t="s">
        <v>375</v>
      </c>
    </row>
    <row r="2" spans="1:2" ht="17" x14ac:dyDescent="0.2">
      <c r="A2" t="s">
        <v>16</v>
      </c>
      <c r="B2" s="10" t="s">
        <v>376</v>
      </c>
    </row>
    <row r="3" spans="1:2" ht="17" x14ac:dyDescent="0.2">
      <c r="A3" t="s">
        <v>18</v>
      </c>
      <c r="B3" s="10" t="s">
        <v>377</v>
      </c>
    </row>
    <row r="4" spans="1:2" ht="17" x14ac:dyDescent="0.2">
      <c r="A4" t="s">
        <v>20</v>
      </c>
      <c r="B4" s="10" t="s">
        <v>376</v>
      </c>
    </row>
    <row r="5" spans="1:2" ht="17" x14ac:dyDescent="0.2">
      <c r="A5" t="s">
        <v>22</v>
      </c>
      <c r="B5" s="10" t="s">
        <v>377</v>
      </c>
    </row>
    <row r="6" spans="1:2" ht="170" x14ac:dyDescent="0.2">
      <c r="A6" t="s">
        <v>25</v>
      </c>
      <c r="B6" s="10" t="s">
        <v>378</v>
      </c>
    </row>
    <row r="7" spans="1:2" ht="17" x14ac:dyDescent="0.2">
      <c r="A7" t="s">
        <v>26</v>
      </c>
      <c r="B7" s="10" t="s">
        <v>379</v>
      </c>
    </row>
    <row r="8" spans="1:2" ht="17" x14ac:dyDescent="0.2">
      <c r="A8" t="s">
        <v>27</v>
      </c>
      <c r="B8" s="10" t="s">
        <v>379</v>
      </c>
    </row>
    <row r="9" spans="1:2" ht="153" x14ac:dyDescent="0.2">
      <c r="A9" t="s">
        <v>28</v>
      </c>
      <c r="B9" s="10" t="s">
        <v>380</v>
      </c>
    </row>
    <row r="10" spans="1:2" ht="17" x14ac:dyDescent="0.2">
      <c r="A10" t="s">
        <v>29</v>
      </c>
      <c r="B10" s="10" t="s">
        <v>381</v>
      </c>
    </row>
    <row r="11" spans="1:2" ht="17" x14ac:dyDescent="0.2">
      <c r="A11" t="s">
        <v>30</v>
      </c>
      <c r="B11" s="10" t="s">
        <v>381</v>
      </c>
    </row>
    <row r="12" spans="1:2" ht="85" x14ac:dyDescent="0.2">
      <c r="A12" t="s">
        <v>31</v>
      </c>
      <c r="B12" s="10" t="s">
        <v>382</v>
      </c>
    </row>
    <row r="13" spans="1:2" ht="17" x14ac:dyDescent="0.2">
      <c r="A13" t="s">
        <v>32</v>
      </c>
      <c r="B13" s="10" t="s">
        <v>383</v>
      </c>
    </row>
    <row r="14" spans="1:2" ht="17" x14ac:dyDescent="0.2">
      <c r="A14" t="s">
        <v>33</v>
      </c>
      <c r="B14" s="10" t="s">
        <v>383</v>
      </c>
    </row>
    <row r="15" spans="1:2" ht="34" x14ac:dyDescent="0.2">
      <c r="A15" t="s">
        <v>34</v>
      </c>
      <c r="B15" s="10" t="s">
        <v>384</v>
      </c>
    </row>
    <row r="16" spans="1:2" ht="17" x14ac:dyDescent="0.2">
      <c r="A16" t="s">
        <v>35</v>
      </c>
      <c r="B16" s="10" t="s">
        <v>379</v>
      </c>
    </row>
    <row r="17" spans="1:2" ht="17" x14ac:dyDescent="0.2">
      <c r="A17" t="s">
        <v>36</v>
      </c>
      <c r="B17" s="10" t="s">
        <v>379</v>
      </c>
    </row>
    <row r="18" spans="1:2" ht="102" x14ac:dyDescent="0.2">
      <c r="A18" t="s">
        <v>37</v>
      </c>
      <c r="B18" s="10" t="s">
        <v>385</v>
      </c>
    </row>
    <row r="19" spans="1:2" ht="17" x14ac:dyDescent="0.2">
      <c r="A19" t="s">
        <v>38</v>
      </c>
      <c r="B19" s="10" t="s">
        <v>379</v>
      </c>
    </row>
    <row r="20" spans="1:2" ht="17" x14ac:dyDescent="0.2">
      <c r="A20" t="s">
        <v>39</v>
      </c>
      <c r="B20" s="10" t="s">
        <v>379</v>
      </c>
    </row>
    <row r="21" spans="1:2" ht="153" x14ac:dyDescent="0.2">
      <c r="A21" t="s">
        <v>40</v>
      </c>
      <c r="B21" s="10" t="s">
        <v>386</v>
      </c>
    </row>
    <row r="22" spans="1:2" ht="17" x14ac:dyDescent="0.2">
      <c r="A22" t="s">
        <v>41</v>
      </c>
      <c r="B22" s="10" t="s">
        <v>379</v>
      </c>
    </row>
    <row r="23" spans="1:2" ht="17" x14ac:dyDescent="0.2">
      <c r="A23" t="s">
        <v>42</v>
      </c>
      <c r="B23" s="10" t="s">
        <v>379</v>
      </c>
    </row>
    <row r="24" spans="1:2" ht="34" x14ac:dyDescent="0.2">
      <c r="A24" t="s">
        <v>43</v>
      </c>
      <c r="B24" s="10" t="s">
        <v>387</v>
      </c>
    </row>
    <row r="25" spans="1:2" ht="17" x14ac:dyDescent="0.2">
      <c r="A25" t="s">
        <v>44</v>
      </c>
      <c r="B25" s="10" t="s">
        <v>388</v>
      </c>
    </row>
    <row r="26" spans="1:2" ht="17" x14ac:dyDescent="0.2">
      <c r="A26" t="s">
        <v>45</v>
      </c>
      <c r="B26" s="10" t="s">
        <v>388</v>
      </c>
    </row>
    <row r="27" spans="1:2" ht="51" x14ac:dyDescent="0.2">
      <c r="A27" t="s">
        <v>46</v>
      </c>
      <c r="B27" s="10" t="s">
        <v>389</v>
      </c>
    </row>
    <row r="28" spans="1:2" ht="17" x14ac:dyDescent="0.2">
      <c r="A28" t="s">
        <v>47</v>
      </c>
      <c r="B28" s="10" t="s">
        <v>390</v>
      </c>
    </row>
    <row r="29" spans="1:2" ht="17" x14ac:dyDescent="0.2">
      <c r="A29" t="s">
        <v>48</v>
      </c>
      <c r="B29" s="10" t="s">
        <v>379</v>
      </c>
    </row>
    <row r="30" spans="1:2" ht="238" x14ac:dyDescent="0.2">
      <c r="A30" t="s">
        <v>49</v>
      </c>
      <c r="B30" s="10" t="s">
        <v>391</v>
      </c>
    </row>
    <row r="31" spans="1:2" ht="17" x14ac:dyDescent="0.2">
      <c r="A31" t="s">
        <v>50</v>
      </c>
      <c r="B31" s="10" t="s">
        <v>379</v>
      </c>
    </row>
    <row r="32" spans="1:2" ht="17" x14ac:dyDescent="0.2">
      <c r="A32" t="s">
        <v>51</v>
      </c>
      <c r="B32" s="10" t="s">
        <v>379</v>
      </c>
    </row>
    <row r="33" spans="1:2" ht="34" x14ac:dyDescent="0.2">
      <c r="A33" t="s">
        <v>52</v>
      </c>
      <c r="B33" s="10" t="s">
        <v>392</v>
      </c>
    </row>
    <row r="34" spans="1:2" ht="17" x14ac:dyDescent="0.2">
      <c r="A34" t="s">
        <v>53</v>
      </c>
      <c r="B34" s="10" t="s">
        <v>393</v>
      </c>
    </row>
    <row r="35" spans="1:2" ht="17" x14ac:dyDescent="0.2">
      <c r="A35" t="s">
        <v>54</v>
      </c>
      <c r="B35" s="10" t="s">
        <v>393</v>
      </c>
    </row>
    <row r="36" spans="1:2" ht="51" x14ac:dyDescent="0.2">
      <c r="A36" t="s">
        <v>64</v>
      </c>
      <c r="B36" s="10" t="s">
        <v>394</v>
      </c>
    </row>
    <row r="37" spans="1:2" ht="34" x14ac:dyDescent="0.2">
      <c r="A37" t="s">
        <v>71</v>
      </c>
      <c r="B37" s="10" t="s">
        <v>395</v>
      </c>
    </row>
    <row r="38" spans="1:2" ht="17" x14ac:dyDescent="0.2">
      <c r="A38" t="s">
        <v>75</v>
      </c>
      <c r="B38" s="10" t="s">
        <v>396</v>
      </c>
    </row>
    <row r="39" spans="1:2" ht="17" x14ac:dyDescent="0.2">
      <c r="A39" t="s">
        <v>79</v>
      </c>
      <c r="B39" s="10" t="s">
        <v>397</v>
      </c>
    </row>
    <row r="40" spans="1:2" ht="17" x14ac:dyDescent="0.2">
      <c r="A40" t="s">
        <v>80</v>
      </c>
      <c r="B40" s="10" t="s">
        <v>398</v>
      </c>
    </row>
    <row r="41" spans="1:2" ht="17" x14ac:dyDescent="0.2">
      <c r="A41" t="s">
        <v>81</v>
      </c>
      <c r="B41" s="10" t="s">
        <v>399</v>
      </c>
    </row>
    <row r="42" spans="1:2" ht="17" x14ac:dyDescent="0.2">
      <c r="A42" t="s">
        <v>82</v>
      </c>
      <c r="B42" s="10" t="s">
        <v>400</v>
      </c>
    </row>
    <row r="43" spans="1:2" ht="17" x14ac:dyDescent="0.2">
      <c r="A43" t="s">
        <v>83</v>
      </c>
      <c r="B43" s="10" t="s">
        <v>401</v>
      </c>
    </row>
    <row r="44" spans="1:2" ht="17" x14ac:dyDescent="0.2">
      <c r="A44" t="s">
        <v>84</v>
      </c>
      <c r="B44" s="10" t="s">
        <v>402</v>
      </c>
    </row>
    <row r="45" spans="1:2" ht="17" x14ac:dyDescent="0.2">
      <c r="A45" t="s">
        <v>85</v>
      </c>
      <c r="B45" s="10" t="s">
        <v>320</v>
      </c>
    </row>
    <row r="46" spans="1:2" x14ac:dyDescent="0.2">
      <c r="A46" t="s">
        <v>86</v>
      </c>
    </row>
    <row r="47" spans="1:2" ht="34" x14ac:dyDescent="0.2">
      <c r="A47" t="s">
        <v>87</v>
      </c>
      <c r="B47" s="10" t="s">
        <v>403</v>
      </c>
    </row>
    <row r="48" spans="1:2" ht="34" x14ac:dyDescent="0.2">
      <c r="A48" t="s">
        <v>88</v>
      </c>
      <c r="B48" s="10" t="s">
        <v>404</v>
      </c>
    </row>
    <row r="49" spans="1:2" ht="34" x14ac:dyDescent="0.2">
      <c r="A49" t="s">
        <v>89</v>
      </c>
      <c r="B49" s="10" t="s">
        <v>405</v>
      </c>
    </row>
    <row r="50" spans="1:2" ht="17" x14ac:dyDescent="0.2">
      <c r="A50" t="s">
        <v>90</v>
      </c>
      <c r="B50" s="10" t="s">
        <v>406</v>
      </c>
    </row>
    <row r="51" spans="1:2" ht="17" x14ac:dyDescent="0.2">
      <c r="A51" t="s">
        <v>91</v>
      </c>
      <c r="B51" s="10" t="s">
        <v>407</v>
      </c>
    </row>
    <row r="52" spans="1:2" ht="34" x14ac:dyDescent="0.2">
      <c r="A52" t="s">
        <v>93</v>
      </c>
      <c r="B52" s="10" t="s">
        <v>408</v>
      </c>
    </row>
    <row r="53" spans="1:2" x14ac:dyDescent="0.2">
      <c r="A53" t="s">
        <v>96</v>
      </c>
      <c r="B53" s="10" t="b">
        <v>0</v>
      </c>
    </row>
    <row r="54" spans="1:2" ht="17" x14ac:dyDescent="0.2">
      <c r="A54" t="s">
        <v>97</v>
      </c>
      <c r="B54" s="10" t="s">
        <v>409</v>
      </c>
    </row>
    <row r="55" spans="1:2" ht="34" x14ac:dyDescent="0.2">
      <c r="A55" t="s">
        <v>98</v>
      </c>
      <c r="B55" s="10" t="s">
        <v>410</v>
      </c>
    </row>
    <row r="56" spans="1:2" ht="17" x14ac:dyDescent="0.2">
      <c r="A56" t="s">
        <v>103</v>
      </c>
      <c r="B56" s="10" t="s">
        <v>411</v>
      </c>
    </row>
    <row r="57" spans="1:2" ht="17" x14ac:dyDescent="0.2">
      <c r="A57" t="s">
        <v>104</v>
      </c>
      <c r="B57" s="10" t="s">
        <v>412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ALL</vt:lpstr>
      <vt:lpstr>Categorical For Modeling</vt:lpstr>
      <vt:lpstr>Unique 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Jake Gehrung</dc:creator>
  <cp:lastModifiedBy>Jake Gehrung</cp:lastModifiedBy>
  <dcterms:created xsi:type="dcterms:W3CDTF">2026-03-05T07:09:09Z</dcterms:created>
  <dcterms:modified xsi:type="dcterms:W3CDTF">2026-03-18T10:57:49Z</dcterms:modified>
</cp:coreProperties>
</file>