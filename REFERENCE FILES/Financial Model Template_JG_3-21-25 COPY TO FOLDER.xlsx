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bgnh.sharepoint.com/sites/RBG/Articles_Tools/Financial Modeling/Financial Modeling Tool/"/>
    </mc:Choice>
  </mc:AlternateContent>
  <xr:revisionPtr revIDLastSave="1272" documentId="8_{71FCC53D-343E-45EE-8741-94B10C80DAB9}" xr6:coauthVersionLast="47" xr6:coauthVersionMax="47" xr10:uidLastSave="{6073552A-3E65-4D8E-BD56-88CB058E6C74}"/>
  <bookViews>
    <workbookView xWindow="14120" yWindow="2430" windowWidth="22110" windowHeight="15290" xr2:uid="{EAF6B2FD-1E12-4F51-96A8-050DAAB8EBAC}"/>
  </bookViews>
  <sheets>
    <sheet name="INSTRUCTIONS" sheetId="54" r:id="rId1"/>
    <sheet name="EEM Data Entry" sheetId="42" r:id="rId2"/>
    <sheet name="EEM Lifetimes" sheetId="55" r:id="rId3"/>
    <sheet name="In-House Pricing" sheetId="39" state="hidden" r:id="rId4"/>
    <sheet name="Interest Rate" sheetId="53" r:id="rId5"/>
    <sheet name="RESULTS" sheetId="61" r:id="rId6"/>
    <sheet name="RESULTS kBtu" sheetId="52" r:id="rId7"/>
    <sheet name="RESULTS by Fuel" sheetId="59" r:id="rId8"/>
    <sheet name="RESULTS Eversource" sheetId="60" r:id="rId9"/>
    <sheet name="Individual Measure List" sheetId="34" r:id="rId10"/>
    <sheet name="Savings Summary" sheetId="33" r:id="rId11"/>
    <sheet name="Packaged EEMs" sheetId="46" r:id="rId12"/>
    <sheet name="Cascading Cap Cost &amp; Savings" sheetId="44" r:id="rId13"/>
    <sheet name="Cascading Savings" sheetId="43" r:id="rId14"/>
    <sheet name="Cascading Qualifying Test" sheetId="45" r:id="rId15"/>
    <sheet name="Cascading  for package" sheetId="49" r:id="rId16"/>
    <sheet name="Packaged with REBATES" sheetId="50" r:id="rId17"/>
  </sheets>
  <externalReferences>
    <externalReference r:id="rId18"/>
    <externalReference r:id="rId19"/>
  </externalReferences>
  <definedNames>
    <definedName name="_xlnm._FilterDatabase" localSheetId="2" hidden="1">'EEM Lifetimes'!$A$1:$G$89</definedName>
    <definedName name="_Hlk49843120" localSheetId="8">'RESULTS Eversource'!#REF!</definedName>
    <definedName name="_Hlk50967569" localSheetId="8">'RESULTS Eversource'!$A$8</definedName>
    <definedName name="_xlnm.Print_Area" localSheetId="14">'Cascading Qualifying Test'!$A$1:$L$82</definedName>
    <definedName name="_xlnm.Print_Area" localSheetId="9">'Individual Measure List'!$A$1:$K$82</definedName>
    <definedName name="_xlnm.Print_Area" localSheetId="11">'Packaged EEMs'!$A$1:$L$96</definedName>
    <definedName name="_xlnm.Print_Area" localSheetId="16">'Packaged with REBATES'!$A$1:$L$94</definedName>
    <definedName name="_xlnm.Print_Titles" localSheetId="12">'Cascading Cap Cost &amp; Savings'!$1:$1</definedName>
    <definedName name="_xlnm.Print_Titles" localSheetId="1">'EEM Data Entry'!$3:$3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5" i="42" l="1"/>
  <c r="N39" i="61" l="1"/>
  <c r="AF67" i="61"/>
  <c r="AE67" i="61"/>
  <c r="AD67" i="61"/>
  <c r="AC67" i="61"/>
  <c r="AB67" i="61"/>
  <c r="AA67" i="61"/>
  <c r="Z67" i="61"/>
  <c r="Y67" i="61"/>
  <c r="X67" i="61"/>
  <c r="W67" i="61"/>
  <c r="AF65" i="61"/>
  <c r="AE65" i="61"/>
  <c r="AD65" i="61"/>
  <c r="AC65" i="61"/>
  <c r="AB65" i="61"/>
  <c r="AA65" i="61"/>
  <c r="Z65" i="61"/>
  <c r="Y65" i="61"/>
  <c r="X65" i="61"/>
  <c r="AF50" i="61"/>
  <c r="AE50" i="61"/>
  <c r="AD50" i="61"/>
  <c r="AC50" i="61"/>
  <c r="AB50" i="61"/>
  <c r="AA50" i="61"/>
  <c r="Z50" i="61"/>
  <c r="Y50" i="61"/>
  <c r="X50" i="61"/>
  <c r="W50" i="61"/>
  <c r="V50" i="61"/>
  <c r="AQ39" i="61"/>
  <c r="AF35" i="61"/>
  <c r="AE35" i="61"/>
  <c r="AD35" i="61"/>
  <c r="AC35" i="61"/>
  <c r="AB35" i="61"/>
  <c r="AA35" i="61"/>
  <c r="Z35" i="61"/>
  <c r="Y35" i="61"/>
  <c r="X35" i="61"/>
  <c r="W35" i="61"/>
  <c r="V35" i="61"/>
  <c r="AF20" i="61"/>
  <c r="AE20" i="61"/>
  <c r="AD20" i="61"/>
  <c r="AC20" i="61"/>
  <c r="AB20" i="61"/>
  <c r="AA20" i="61"/>
  <c r="Z20" i="61"/>
  <c r="Y20" i="61"/>
  <c r="X20" i="61"/>
  <c r="W20" i="61"/>
  <c r="V20" i="61"/>
  <c r="T9" i="61"/>
  <c r="T8" i="61"/>
  <c r="T7" i="61"/>
  <c r="AF5" i="61"/>
  <c r="AE5" i="61"/>
  <c r="AD5" i="61"/>
  <c r="AC5" i="61"/>
  <c r="AB5" i="61"/>
  <c r="AA5" i="61"/>
  <c r="Z5" i="61"/>
  <c r="Y5" i="61"/>
  <c r="X5" i="61"/>
  <c r="W5" i="61"/>
  <c r="V5" i="61"/>
  <c r="H86" i="42"/>
  <c r="O86" i="42"/>
  <c r="H87" i="42"/>
  <c r="O87" i="42"/>
  <c r="H88" i="42"/>
  <c r="O88" i="42"/>
  <c r="H89" i="42"/>
  <c r="O89" i="42"/>
  <c r="H90" i="42"/>
  <c r="O90" i="42"/>
  <c r="H91" i="42"/>
  <c r="O91" i="42"/>
  <c r="H92" i="42"/>
  <c r="O92" i="42"/>
  <c r="H93" i="42"/>
  <c r="O93" i="42"/>
  <c r="H94" i="42"/>
  <c r="O94" i="42"/>
  <c r="H95" i="42"/>
  <c r="O95" i="42"/>
  <c r="H96" i="42"/>
  <c r="O96" i="42"/>
  <c r="H97" i="42"/>
  <c r="O97" i="42"/>
  <c r="H98" i="42"/>
  <c r="O98" i="42"/>
  <c r="H99" i="42"/>
  <c r="O99" i="42"/>
  <c r="H100" i="42"/>
  <c r="O100" i="42"/>
  <c r="H101" i="42"/>
  <c r="O101" i="42"/>
  <c r="H102" i="42"/>
  <c r="O102" i="42"/>
  <c r="H103" i="42"/>
  <c r="O103" i="42"/>
  <c r="H104" i="42"/>
  <c r="O104" i="42"/>
  <c r="H105" i="42"/>
  <c r="O105" i="42"/>
  <c r="H106" i="42"/>
  <c r="O106" i="42"/>
  <c r="H107" i="42"/>
  <c r="O107" i="42"/>
  <c r="H108" i="42"/>
  <c r="O108" i="42"/>
  <c r="H110" i="42"/>
  <c r="O110" i="42"/>
  <c r="H111" i="42"/>
  <c r="O111" i="42"/>
  <c r="H112" i="42"/>
  <c r="O112" i="42"/>
  <c r="H113" i="42"/>
  <c r="O113" i="42"/>
  <c r="H114" i="42"/>
  <c r="O114" i="42"/>
  <c r="H115" i="42"/>
  <c r="O115" i="42"/>
  <c r="H116" i="42"/>
  <c r="O116" i="42"/>
  <c r="H117" i="42"/>
  <c r="O117" i="42"/>
  <c r="H118" i="42"/>
  <c r="O118" i="42"/>
  <c r="H119" i="42"/>
  <c r="O119" i="42"/>
  <c r="H120" i="42"/>
  <c r="O120" i="42"/>
  <c r="H121" i="42"/>
  <c r="O121" i="42"/>
  <c r="H122" i="42"/>
  <c r="O122" i="42"/>
  <c r="H123" i="42"/>
  <c r="O123" i="42"/>
  <c r="H125" i="42"/>
  <c r="O125" i="42"/>
  <c r="H126" i="42"/>
  <c r="O126" i="42"/>
  <c r="H127" i="42"/>
  <c r="O127" i="42"/>
  <c r="H128" i="42"/>
  <c r="O128" i="42"/>
  <c r="H129" i="42"/>
  <c r="O129" i="42"/>
  <c r="H130" i="42"/>
  <c r="O130" i="42"/>
  <c r="H131" i="42"/>
  <c r="O131" i="42"/>
  <c r="H132" i="42"/>
  <c r="O132" i="42"/>
  <c r="H133" i="42"/>
  <c r="O133" i="42"/>
  <c r="H134" i="42"/>
  <c r="O134" i="42"/>
  <c r="H135" i="42"/>
  <c r="O135" i="42"/>
  <c r="H136" i="42"/>
  <c r="O136" i="42"/>
  <c r="H137" i="42"/>
  <c r="O137" i="42"/>
  <c r="H138" i="42"/>
  <c r="O138" i="42"/>
  <c r="H139" i="42"/>
  <c r="O139" i="42"/>
  <c r="H141" i="42"/>
  <c r="O141" i="42"/>
  <c r="H142" i="42"/>
  <c r="O142" i="42"/>
  <c r="H143" i="42"/>
  <c r="O143" i="42"/>
  <c r="H144" i="42"/>
  <c r="O144" i="42"/>
  <c r="H145" i="42"/>
  <c r="O145" i="42"/>
  <c r="H146" i="42"/>
  <c r="O146" i="42"/>
  <c r="H147" i="42"/>
  <c r="O147" i="42"/>
  <c r="H148" i="42"/>
  <c r="O148" i="42"/>
  <c r="H149" i="42"/>
  <c r="O149" i="42"/>
  <c r="H150" i="42"/>
  <c r="O150" i="42"/>
  <c r="H151" i="42"/>
  <c r="O151" i="42"/>
  <c r="H152" i="42"/>
  <c r="O152" i="42"/>
  <c r="H153" i="42"/>
  <c r="O153" i="42"/>
  <c r="H154" i="42"/>
  <c r="O154" i="42"/>
  <c r="O85" i="42"/>
  <c r="H85" i="42"/>
  <c r="F5" i="42" l="1"/>
  <c r="A139" i="42" l="1"/>
  <c r="B139" i="42"/>
  <c r="C139" i="42"/>
  <c r="D139" i="42"/>
  <c r="E139" i="42"/>
  <c r="G139" i="42"/>
  <c r="G154" i="42"/>
  <c r="E154" i="42"/>
  <c r="D154" i="42"/>
  <c r="C154" i="42"/>
  <c r="B154" i="42"/>
  <c r="A154" i="42"/>
  <c r="G153" i="42"/>
  <c r="E153" i="42"/>
  <c r="D153" i="42"/>
  <c r="C153" i="42"/>
  <c r="B153" i="42"/>
  <c r="A153" i="42"/>
  <c r="G152" i="42"/>
  <c r="E152" i="42"/>
  <c r="D152" i="42"/>
  <c r="C152" i="42"/>
  <c r="B152" i="42"/>
  <c r="A152" i="42"/>
  <c r="G151" i="42"/>
  <c r="E151" i="42"/>
  <c r="D151" i="42"/>
  <c r="C151" i="42"/>
  <c r="B151" i="42"/>
  <c r="A151" i="42"/>
  <c r="G150" i="42"/>
  <c r="G60" i="61" s="1"/>
  <c r="E150" i="42"/>
  <c r="F60" i="61" s="1"/>
  <c r="D150" i="42"/>
  <c r="E60" i="61" s="1"/>
  <c r="X60" i="61" s="1"/>
  <c r="C150" i="42"/>
  <c r="B150" i="42"/>
  <c r="A150" i="42"/>
  <c r="G149" i="42"/>
  <c r="G59" i="61" s="1"/>
  <c r="E149" i="42"/>
  <c r="F59" i="61" s="1"/>
  <c r="D149" i="42"/>
  <c r="E59" i="61" s="1"/>
  <c r="X59" i="61" s="1"/>
  <c r="C149" i="42"/>
  <c r="B149" i="42"/>
  <c r="A149" i="42"/>
  <c r="G148" i="42"/>
  <c r="G58" i="61" s="1"/>
  <c r="E148" i="42"/>
  <c r="F58" i="61" s="1"/>
  <c r="D148" i="42"/>
  <c r="E58" i="61" s="1"/>
  <c r="X58" i="61" s="1"/>
  <c r="C148" i="42"/>
  <c r="B148" i="42"/>
  <c r="A148" i="42"/>
  <c r="G147" i="42"/>
  <c r="G57" i="61" s="1"/>
  <c r="E147" i="42"/>
  <c r="F57" i="61" s="1"/>
  <c r="D147" i="42"/>
  <c r="E57" i="61" s="1"/>
  <c r="X57" i="61" s="1"/>
  <c r="C147" i="42"/>
  <c r="B147" i="42"/>
  <c r="A147" i="42"/>
  <c r="G146" i="42"/>
  <c r="G56" i="61" s="1"/>
  <c r="E146" i="42"/>
  <c r="F56" i="61" s="1"/>
  <c r="D146" i="42"/>
  <c r="E56" i="61" s="1"/>
  <c r="X56" i="61" s="1"/>
  <c r="C146" i="42"/>
  <c r="B146" i="42"/>
  <c r="A146" i="42"/>
  <c r="G145" i="42"/>
  <c r="G55" i="61" s="1"/>
  <c r="E145" i="42"/>
  <c r="F55" i="61" s="1"/>
  <c r="D145" i="42"/>
  <c r="E55" i="61" s="1"/>
  <c r="X55" i="61" s="1"/>
  <c r="C145" i="42"/>
  <c r="B145" i="42"/>
  <c r="A145" i="42"/>
  <c r="G144" i="42"/>
  <c r="G54" i="61" s="1"/>
  <c r="E144" i="42"/>
  <c r="F54" i="61" s="1"/>
  <c r="D144" i="42"/>
  <c r="E54" i="61" s="1"/>
  <c r="X54" i="61" s="1"/>
  <c r="C144" i="42"/>
  <c r="B144" i="42"/>
  <c r="A144" i="42"/>
  <c r="G143" i="42"/>
  <c r="G53" i="61" s="1"/>
  <c r="E143" i="42"/>
  <c r="F53" i="61" s="1"/>
  <c r="D143" i="42"/>
  <c r="E53" i="61" s="1"/>
  <c r="X53" i="61" s="1"/>
  <c r="C143" i="42"/>
  <c r="B143" i="42"/>
  <c r="A143" i="42"/>
  <c r="G142" i="42"/>
  <c r="G52" i="61" s="1"/>
  <c r="E142" i="42"/>
  <c r="F52" i="61" s="1"/>
  <c r="D142" i="42"/>
  <c r="E52" i="61" s="1"/>
  <c r="X52" i="61" s="1"/>
  <c r="C142" i="42"/>
  <c r="B142" i="42"/>
  <c r="A142" i="42"/>
  <c r="G141" i="42"/>
  <c r="G51" i="61" s="1"/>
  <c r="E141" i="42"/>
  <c r="F51" i="61" s="1"/>
  <c r="D141" i="42"/>
  <c r="E51" i="61" s="1"/>
  <c r="X51" i="61" s="1"/>
  <c r="C141" i="42"/>
  <c r="B141" i="42"/>
  <c r="A141" i="42"/>
  <c r="G138" i="42"/>
  <c r="E138" i="42"/>
  <c r="D138" i="42"/>
  <c r="C138" i="42"/>
  <c r="B138" i="42"/>
  <c r="A138" i="42"/>
  <c r="G137" i="42"/>
  <c r="E137" i="42"/>
  <c r="D137" i="42"/>
  <c r="C137" i="42"/>
  <c r="B137" i="42"/>
  <c r="A137" i="42"/>
  <c r="G136" i="42"/>
  <c r="E136" i="42"/>
  <c r="D136" i="42"/>
  <c r="C136" i="42"/>
  <c r="B136" i="42"/>
  <c r="A136" i="42"/>
  <c r="G135" i="42"/>
  <c r="E135" i="42"/>
  <c r="D135" i="42"/>
  <c r="C135" i="42"/>
  <c r="B135" i="42"/>
  <c r="A135" i="42"/>
  <c r="G134" i="42"/>
  <c r="G45" i="61" s="1"/>
  <c r="E134" i="42"/>
  <c r="F45" i="61" s="1"/>
  <c r="D134" i="42"/>
  <c r="E45" i="61" s="1"/>
  <c r="X45" i="61" s="1"/>
  <c r="C134" i="42"/>
  <c r="B134" i="42"/>
  <c r="A134" i="42"/>
  <c r="G133" i="42"/>
  <c r="G44" i="61" s="1"/>
  <c r="E133" i="42"/>
  <c r="F44" i="61" s="1"/>
  <c r="D133" i="42"/>
  <c r="E44" i="61" s="1"/>
  <c r="X44" i="61" s="1"/>
  <c r="C133" i="42"/>
  <c r="B133" i="42"/>
  <c r="A133" i="42"/>
  <c r="G132" i="42"/>
  <c r="G43" i="61" s="1"/>
  <c r="E132" i="42"/>
  <c r="F43" i="61" s="1"/>
  <c r="D132" i="42"/>
  <c r="E43" i="61" s="1"/>
  <c r="X43" i="61" s="1"/>
  <c r="C132" i="42"/>
  <c r="B132" i="42"/>
  <c r="A132" i="42"/>
  <c r="G131" i="42"/>
  <c r="G42" i="61" s="1"/>
  <c r="E131" i="42"/>
  <c r="F42" i="61" s="1"/>
  <c r="D131" i="42"/>
  <c r="E42" i="61" s="1"/>
  <c r="X42" i="61" s="1"/>
  <c r="C131" i="42"/>
  <c r="B131" i="42"/>
  <c r="A131" i="42"/>
  <c r="G130" i="42"/>
  <c r="G41" i="61" s="1"/>
  <c r="E130" i="42"/>
  <c r="F41" i="61" s="1"/>
  <c r="D130" i="42"/>
  <c r="E41" i="61" s="1"/>
  <c r="X41" i="61" s="1"/>
  <c r="C130" i="42"/>
  <c r="B130" i="42"/>
  <c r="A130" i="42"/>
  <c r="G129" i="42"/>
  <c r="G40" i="61" s="1"/>
  <c r="E129" i="42"/>
  <c r="F40" i="61" s="1"/>
  <c r="D129" i="42"/>
  <c r="E40" i="61" s="1"/>
  <c r="X40" i="61" s="1"/>
  <c r="C129" i="42"/>
  <c r="B129" i="42"/>
  <c r="A129" i="42"/>
  <c r="G128" i="42"/>
  <c r="G39" i="61" s="1"/>
  <c r="E128" i="42"/>
  <c r="F39" i="61" s="1"/>
  <c r="D128" i="42"/>
  <c r="E39" i="61" s="1"/>
  <c r="X39" i="61" s="1"/>
  <c r="C128" i="42"/>
  <c r="B128" i="42"/>
  <c r="A128" i="42"/>
  <c r="G127" i="42"/>
  <c r="G38" i="61" s="1"/>
  <c r="E127" i="42"/>
  <c r="F38" i="61" s="1"/>
  <c r="D127" i="42"/>
  <c r="E38" i="61" s="1"/>
  <c r="X38" i="61" s="1"/>
  <c r="C127" i="42"/>
  <c r="B127" i="42"/>
  <c r="A127" i="42"/>
  <c r="G126" i="42"/>
  <c r="G37" i="61" s="1"/>
  <c r="E126" i="42"/>
  <c r="F37" i="61" s="1"/>
  <c r="D126" i="42"/>
  <c r="E37" i="61" s="1"/>
  <c r="X37" i="61" s="1"/>
  <c r="C126" i="42"/>
  <c r="B126" i="42"/>
  <c r="A126" i="42"/>
  <c r="G125" i="42"/>
  <c r="G36" i="61" s="1"/>
  <c r="E125" i="42"/>
  <c r="F36" i="61" s="1"/>
  <c r="D125" i="42"/>
  <c r="E36" i="61" s="1"/>
  <c r="X36" i="61" s="1"/>
  <c r="C125" i="42"/>
  <c r="B125" i="42"/>
  <c r="A125" i="42"/>
  <c r="A111" i="42"/>
  <c r="B111" i="42"/>
  <c r="C111" i="42"/>
  <c r="D111" i="42"/>
  <c r="E22" i="61" s="1"/>
  <c r="X22" i="61" s="1"/>
  <c r="E111" i="42"/>
  <c r="F22" i="61" s="1"/>
  <c r="G111" i="42"/>
  <c r="G22" i="61" s="1"/>
  <c r="A112" i="42"/>
  <c r="B112" i="42"/>
  <c r="C112" i="42"/>
  <c r="D112" i="42"/>
  <c r="E23" i="61" s="1"/>
  <c r="X23" i="61" s="1"/>
  <c r="E112" i="42"/>
  <c r="F23" i="61" s="1"/>
  <c r="G112" i="42"/>
  <c r="G23" i="61" s="1"/>
  <c r="A113" i="42"/>
  <c r="B113" i="42"/>
  <c r="C113" i="42"/>
  <c r="D113" i="42"/>
  <c r="E24" i="61" s="1"/>
  <c r="X24" i="61" s="1"/>
  <c r="E113" i="42"/>
  <c r="F24" i="61" s="1"/>
  <c r="G113" i="42"/>
  <c r="G24" i="61" s="1"/>
  <c r="A114" i="42"/>
  <c r="B114" i="42"/>
  <c r="C114" i="42"/>
  <c r="D114" i="42"/>
  <c r="E25" i="61" s="1"/>
  <c r="X25" i="61" s="1"/>
  <c r="E114" i="42"/>
  <c r="F25" i="61" s="1"/>
  <c r="G114" i="42"/>
  <c r="G25" i="61" s="1"/>
  <c r="A115" i="42"/>
  <c r="B115" i="42"/>
  <c r="C115" i="42"/>
  <c r="D115" i="42"/>
  <c r="E26" i="61" s="1"/>
  <c r="X26" i="61" s="1"/>
  <c r="E115" i="42"/>
  <c r="F26" i="61" s="1"/>
  <c r="G115" i="42"/>
  <c r="G26" i="61" s="1"/>
  <c r="A116" i="42"/>
  <c r="B116" i="42"/>
  <c r="C116" i="42"/>
  <c r="D116" i="42"/>
  <c r="E27" i="61" s="1"/>
  <c r="X27" i="61" s="1"/>
  <c r="E116" i="42"/>
  <c r="F27" i="61" s="1"/>
  <c r="G116" i="42"/>
  <c r="G27" i="61" s="1"/>
  <c r="A117" i="42"/>
  <c r="B117" i="42"/>
  <c r="C117" i="42"/>
  <c r="D117" i="42"/>
  <c r="E28" i="61" s="1"/>
  <c r="X28" i="61" s="1"/>
  <c r="E117" i="42"/>
  <c r="F28" i="61" s="1"/>
  <c r="G117" i="42"/>
  <c r="G28" i="61" s="1"/>
  <c r="A118" i="42"/>
  <c r="B118" i="42"/>
  <c r="C118" i="42"/>
  <c r="D118" i="42"/>
  <c r="E29" i="61" s="1"/>
  <c r="X29" i="61" s="1"/>
  <c r="E118" i="42"/>
  <c r="F29" i="61" s="1"/>
  <c r="G118" i="42"/>
  <c r="G29" i="61" s="1"/>
  <c r="A119" i="42"/>
  <c r="B119" i="42"/>
  <c r="C119" i="42"/>
  <c r="D119" i="42"/>
  <c r="E30" i="61" s="1"/>
  <c r="X30" i="61" s="1"/>
  <c r="E119" i="42"/>
  <c r="F30" i="61" s="1"/>
  <c r="G119" i="42"/>
  <c r="G30" i="61" s="1"/>
  <c r="A120" i="42"/>
  <c r="B120" i="42"/>
  <c r="C120" i="42"/>
  <c r="D120" i="42"/>
  <c r="E120" i="42"/>
  <c r="G120" i="42"/>
  <c r="A121" i="42"/>
  <c r="B121" i="42"/>
  <c r="C121" i="42"/>
  <c r="D121" i="42"/>
  <c r="E121" i="42"/>
  <c r="G121" i="42"/>
  <c r="A122" i="42"/>
  <c r="B122" i="42"/>
  <c r="C122" i="42"/>
  <c r="D122" i="42"/>
  <c r="E122" i="42"/>
  <c r="G122" i="42"/>
  <c r="A123" i="42"/>
  <c r="B123" i="42"/>
  <c r="C123" i="42"/>
  <c r="D123" i="42"/>
  <c r="E123" i="42"/>
  <c r="G123" i="42"/>
  <c r="G110" i="42"/>
  <c r="G21" i="61" s="1"/>
  <c r="E110" i="42"/>
  <c r="F21" i="61" s="1"/>
  <c r="D110" i="42"/>
  <c r="E21" i="61" s="1"/>
  <c r="X21" i="61" s="1"/>
  <c r="C110" i="42"/>
  <c r="B110" i="42"/>
  <c r="A110" i="42"/>
  <c r="A86" i="42"/>
  <c r="B86" i="42"/>
  <c r="C86" i="42"/>
  <c r="D86" i="42"/>
  <c r="E7" i="61" s="1"/>
  <c r="X7" i="61" s="1"/>
  <c r="E86" i="42"/>
  <c r="F7" i="61" s="1"/>
  <c r="G86" i="42"/>
  <c r="G7" i="61" s="1"/>
  <c r="A87" i="42"/>
  <c r="B87" i="42"/>
  <c r="C87" i="42"/>
  <c r="D87" i="42"/>
  <c r="E8" i="61" s="1"/>
  <c r="X8" i="61" s="1"/>
  <c r="E87" i="42"/>
  <c r="F8" i="61" s="1"/>
  <c r="G87" i="42"/>
  <c r="G8" i="61" s="1"/>
  <c r="A88" i="42"/>
  <c r="B88" i="42"/>
  <c r="C88" i="42"/>
  <c r="D88" i="42"/>
  <c r="E9" i="61" s="1"/>
  <c r="X9" i="61" s="1"/>
  <c r="E88" i="42"/>
  <c r="F9" i="61" s="1"/>
  <c r="G88" i="42"/>
  <c r="G9" i="61" s="1"/>
  <c r="A89" i="42"/>
  <c r="B89" i="42"/>
  <c r="C89" i="42"/>
  <c r="D89" i="42"/>
  <c r="E10" i="61" s="1"/>
  <c r="X10" i="61" s="1"/>
  <c r="E89" i="42"/>
  <c r="F10" i="61" s="1"/>
  <c r="G89" i="42"/>
  <c r="G10" i="61" s="1"/>
  <c r="A90" i="42"/>
  <c r="B90" i="42"/>
  <c r="C90" i="42"/>
  <c r="D90" i="42"/>
  <c r="E11" i="61" s="1"/>
  <c r="X11" i="61" s="1"/>
  <c r="E90" i="42"/>
  <c r="F11" i="61" s="1"/>
  <c r="G90" i="42"/>
  <c r="G11" i="61" s="1"/>
  <c r="A91" i="42"/>
  <c r="B91" i="42"/>
  <c r="C91" i="42"/>
  <c r="D91" i="42"/>
  <c r="E12" i="61" s="1"/>
  <c r="X12" i="61" s="1"/>
  <c r="E91" i="42"/>
  <c r="F12" i="61" s="1"/>
  <c r="G91" i="42"/>
  <c r="G12" i="61" s="1"/>
  <c r="A92" i="42"/>
  <c r="B92" i="42"/>
  <c r="C92" i="42"/>
  <c r="D92" i="42"/>
  <c r="E13" i="61" s="1"/>
  <c r="X13" i="61" s="1"/>
  <c r="E92" i="42"/>
  <c r="F13" i="61" s="1"/>
  <c r="G92" i="42"/>
  <c r="G13" i="61" s="1"/>
  <c r="A93" i="42"/>
  <c r="B93" i="42"/>
  <c r="C93" i="42"/>
  <c r="D93" i="42"/>
  <c r="E14" i="61" s="1"/>
  <c r="X14" i="61" s="1"/>
  <c r="E93" i="42"/>
  <c r="F14" i="61" s="1"/>
  <c r="G93" i="42"/>
  <c r="G14" i="61" s="1"/>
  <c r="A94" i="42"/>
  <c r="B94" i="42"/>
  <c r="C94" i="42"/>
  <c r="D94" i="42"/>
  <c r="E15" i="61" s="1"/>
  <c r="X15" i="61" s="1"/>
  <c r="E94" i="42"/>
  <c r="F15" i="61" s="1"/>
  <c r="G94" i="42"/>
  <c r="G15" i="61" s="1"/>
  <c r="A95" i="42"/>
  <c r="B95" i="42"/>
  <c r="C95" i="42"/>
  <c r="D95" i="42"/>
  <c r="E95" i="42"/>
  <c r="G95" i="42"/>
  <c r="A96" i="42"/>
  <c r="B96" i="42"/>
  <c r="C96" i="42"/>
  <c r="D96" i="42"/>
  <c r="E96" i="42"/>
  <c r="G96" i="42"/>
  <c r="A97" i="42"/>
  <c r="B97" i="42"/>
  <c r="C97" i="42"/>
  <c r="D97" i="42"/>
  <c r="E97" i="42"/>
  <c r="G97" i="42"/>
  <c r="A98" i="42"/>
  <c r="B98" i="42"/>
  <c r="C98" i="42"/>
  <c r="D98" i="42"/>
  <c r="E98" i="42"/>
  <c r="G98" i="42"/>
  <c r="A99" i="42"/>
  <c r="B99" i="42"/>
  <c r="C99" i="42"/>
  <c r="D99" i="42"/>
  <c r="E99" i="42"/>
  <c r="G99" i="42"/>
  <c r="A100" i="42"/>
  <c r="B100" i="42"/>
  <c r="C100" i="42"/>
  <c r="D100" i="42"/>
  <c r="E100" i="42"/>
  <c r="G100" i="42"/>
  <c r="A101" i="42"/>
  <c r="B101" i="42"/>
  <c r="C101" i="42"/>
  <c r="D101" i="42"/>
  <c r="E101" i="42"/>
  <c r="G101" i="42"/>
  <c r="A102" i="42"/>
  <c r="B102" i="42"/>
  <c r="C102" i="42"/>
  <c r="D102" i="42"/>
  <c r="E102" i="42"/>
  <c r="G102" i="42"/>
  <c r="A103" i="42"/>
  <c r="B103" i="42"/>
  <c r="C103" i="42"/>
  <c r="D103" i="42"/>
  <c r="E103" i="42"/>
  <c r="G103" i="42"/>
  <c r="A104" i="42"/>
  <c r="B104" i="42"/>
  <c r="C104" i="42"/>
  <c r="D104" i="42"/>
  <c r="E104" i="42"/>
  <c r="G104" i="42"/>
  <c r="A105" i="42"/>
  <c r="B105" i="42"/>
  <c r="C105" i="42"/>
  <c r="D105" i="42"/>
  <c r="E105" i="42"/>
  <c r="G105" i="42"/>
  <c r="A106" i="42"/>
  <c r="B106" i="42"/>
  <c r="C106" i="42"/>
  <c r="D106" i="42"/>
  <c r="E106" i="42"/>
  <c r="G106" i="42"/>
  <c r="A107" i="42"/>
  <c r="B107" i="42"/>
  <c r="C107" i="42"/>
  <c r="D107" i="42"/>
  <c r="E107" i="42"/>
  <c r="G107" i="42"/>
  <c r="A108" i="42"/>
  <c r="B108" i="42"/>
  <c r="C108" i="42"/>
  <c r="D108" i="42"/>
  <c r="E108" i="42"/>
  <c r="G108" i="42"/>
  <c r="G85" i="42"/>
  <c r="G6" i="61" s="1"/>
  <c r="D85" i="42"/>
  <c r="E85" i="42"/>
  <c r="F85" i="42"/>
  <c r="C85" i="42"/>
  <c r="B85" i="42"/>
  <c r="A85" i="42"/>
  <c r="F74" i="42"/>
  <c r="F154" i="42" s="1"/>
  <c r="F73" i="42"/>
  <c r="F153" i="42" s="1"/>
  <c r="F72" i="42"/>
  <c r="F152" i="42" s="1"/>
  <c r="F71" i="42"/>
  <c r="F151" i="42" s="1"/>
  <c r="F70" i="42"/>
  <c r="F150" i="42" s="1"/>
  <c r="H60" i="61" s="1"/>
  <c r="F69" i="42"/>
  <c r="F149" i="42" s="1"/>
  <c r="H59" i="61" s="1"/>
  <c r="F68" i="42"/>
  <c r="F148" i="42" s="1"/>
  <c r="H58" i="61" s="1"/>
  <c r="F67" i="42"/>
  <c r="F147" i="42" s="1"/>
  <c r="H57" i="61" s="1"/>
  <c r="F66" i="42"/>
  <c r="F146" i="42" s="1"/>
  <c r="H56" i="61" s="1"/>
  <c r="F65" i="42"/>
  <c r="F145" i="42" s="1"/>
  <c r="H55" i="61" s="1"/>
  <c r="F64" i="42"/>
  <c r="F144" i="42" s="1"/>
  <c r="H54" i="61" s="1"/>
  <c r="F63" i="42"/>
  <c r="F143" i="42" s="1"/>
  <c r="H53" i="61" s="1"/>
  <c r="F62" i="42"/>
  <c r="F142" i="42" s="1"/>
  <c r="H52" i="61" s="1"/>
  <c r="F61" i="42"/>
  <c r="F141" i="42" s="1"/>
  <c r="H51" i="61" s="1"/>
  <c r="F59" i="42"/>
  <c r="F139" i="42" s="1"/>
  <c r="F58" i="42"/>
  <c r="F138" i="42" s="1"/>
  <c r="F57" i="42"/>
  <c r="F137" i="42" s="1"/>
  <c r="F56" i="42"/>
  <c r="F136" i="42" s="1"/>
  <c r="F55" i="42"/>
  <c r="F135" i="42" s="1"/>
  <c r="F54" i="42"/>
  <c r="F134" i="42" s="1"/>
  <c r="H45" i="61" s="1"/>
  <c r="F53" i="42"/>
  <c r="F133" i="42" s="1"/>
  <c r="H44" i="61" s="1"/>
  <c r="F52" i="42"/>
  <c r="F132" i="42" s="1"/>
  <c r="H43" i="61" s="1"/>
  <c r="F51" i="42"/>
  <c r="F131" i="42" s="1"/>
  <c r="H42" i="61" s="1"/>
  <c r="F50" i="42"/>
  <c r="F130" i="42" s="1"/>
  <c r="H41" i="61" s="1"/>
  <c r="F49" i="42"/>
  <c r="F129" i="42" s="1"/>
  <c r="H40" i="61" s="1"/>
  <c r="F48" i="42"/>
  <c r="F128" i="42" s="1"/>
  <c r="H39" i="61" s="1"/>
  <c r="F47" i="42"/>
  <c r="F127" i="42" s="1"/>
  <c r="H38" i="61" s="1"/>
  <c r="F46" i="42"/>
  <c r="F126" i="42" s="1"/>
  <c r="H37" i="61" s="1"/>
  <c r="F45" i="42"/>
  <c r="F125" i="42" s="1"/>
  <c r="H36" i="61" s="1"/>
  <c r="F43" i="42"/>
  <c r="F123" i="42" s="1"/>
  <c r="F42" i="42"/>
  <c r="F122" i="42" s="1"/>
  <c r="F41" i="42"/>
  <c r="F121" i="42" s="1"/>
  <c r="F40" i="42"/>
  <c r="F120" i="42" s="1"/>
  <c r="F39" i="42"/>
  <c r="F119" i="42" s="1"/>
  <c r="H30" i="61" s="1"/>
  <c r="F38" i="42"/>
  <c r="F118" i="42" s="1"/>
  <c r="H29" i="61" s="1"/>
  <c r="F37" i="42"/>
  <c r="F117" i="42" s="1"/>
  <c r="H28" i="61" s="1"/>
  <c r="F36" i="42"/>
  <c r="F116" i="42" s="1"/>
  <c r="H27" i="61" s="1"/>
  <c r="F35" i="42"/>
  <c r="F115" i="42" s="1"/>
  <c r="H26" i="61" s="1"/>
  <c r="F34" i="42"/>
  <c r="F114" i="42" s="1"/>
  <c r="H25" i="61" s="1"/>
  <c r="F33" i="42"/>
  <c r="F113" i="42" s="1"/>
  <c r="H24" i="61" s="1"/>
  <c r="F32" i="42"/>
  <c r="F112" i="42" s="1"/>
  <c r="H23" i="61" s="1"/>
  <c r="F31" i="42"/>
  <c r="F111" i="42" s="1"/>
  <c r="H22" i="61" s="1"/>
  <c r="F30" i="42"/>
  <c r="F110" i="42" s="1"/>
  <c r="H21" i="61" s="1"/>
  <c r="F28" i="42"/>
  <c r="F108" i="42" s="1"/>
  <c r="F27" i="42"/>
  <c r="F107" i="42" s="1"/>
  <c r="F26" i="42"/>
  <c r="F106" i="42" s="1"/>
  <c r="F25" i="42"/>
  <c r="F105" i="42" s="1"/>
  <c r="F24" i="42"/>
  <c r="F104" i="42" s="1"/>
  <c r="F23" i="42"/>
  <c r="F103" i="42" s="1"/>
  <c r="F22" i="42"/>
  <c r="F102" i="42" s="1"/>
  <c r="F21" i="42"/>
  <c r="F101" i="42" s="1"/>
  <c r="F20" i="42"/>
  <c r="F100" i="42" s="1"/>
  <c r="F19" i="42"/>
  <c r="F99" i="42" s="1"/>
  <c r="F18" i="42"/>
  <c r="F98" i="42" s="1"/>
  <c r="F17" i="42"/>
  <c r="F97" i="42" s="1"/>
  <c r="F16" i="42"/>
  <c r="F96" i="42" s="1"/>
  <c r="F15" i="42"/>
  <c r="F95" i="42" s="1"/>
  <c r="F14" i="42"/>
  <c r="F94" i="42" s="1"/>
  <c r="H15" i="61" s="1"/>
  <c r="F13" i="42"/>
  <c r="F93" i="42" s="1"/>
  <c r="H14" i="61" s="1"/>
  <c r="F12" i="42"/>
  <c r="F92" i="42" s="1"/>
  <c r="H13" i="61" s="1"/>
  <c r="F11" i="42"/>
  <c r="F91" i="42" s="1"/>
  <c r="H12" i="61" s="1"/>
  <c r="F10" i="42"/>
  <c r="F90" i="42" s="1"/>
  <c r="H11" i="61" s="1"/>
  <c r="F9" i="42"/>
  <c r="F89" i="42" s="1"/>
  <c r="H10" i="61" s="1"/>
  <c r="F8" i="42"/>
  <c r="F88" i="42" s="1"/>
  <c r="H9" i="61" s="1"/>
  <c r="F7" i="42"/>
  <c r="F87" i="42" s="1"/>
  <c r="H8" i="61" s="1"/>
  <c r="F6" i="42"/>
  <c r="F86" i="42" s="1"/>
  <c r="H7" i="61" s="1"/>
  <c r="G20" i="60"/>
  <c r="A20" i="60"/>
  <c r="G19" i="60"/>
  <c r="G18" i="60"/>
  <c r="G17" i="60"/>
  <c r="G16" i="60"/>
  <c r="G15" i="60"/>
  <c r="F66" i="61" l="1"/>
  <c r="F6" i="61"/>
  <c r="E6" i="61"/>
  <c r="X6" i="61" s="1"/>
  <c r="E66" i="61"/>
  <c r="X66" i="61" s="1"/>
  <c r="H66" i="61"/>
  <c r="H6" i="61"/>
  <c r="E52" i="52"/>
  <c r="E53" i="52"/>
  <c r="E54" i="52"/>
  <c r="E55" i="52"/>
  <c r="E56" i="52"/>
  <c r="E57" i="52"/>
  <c r="E58" i="52"/>
  <c r="E59" i="52"/>
  <c r="E60" i="52"/>
  <c r="E51" i="52"/>
  <c r="E37" i="52"/>
  <c r="E38" i="52"/>
  <c r="E39" i="52"/>
  <c r="E40" i="52"/>
  <c r="E41" i="52"/>
  <c r="E42" i="52"/>
  <c r="E43" i="52"/>
  <c r="E44" i="52"/>
  <c r="E45" i="52"/>
  <c r="E36" i="52"/>
  <c r="E22" i="52"/>
  <c r="E23" i="52"/>
  <c r="E24" i="52"/>
  <c r="E25" i="52"/>
  <c r="E26" i="52"/>
  <c r="E27" i="52"/>
  <c r="E28" i="52"/>
  <c r="E29" i="52"/>
  <c r="E30" i="52"/>
  <c r="E21" i="52"/>
  <c r="E7" i="52"/>
  <c r="E8" i="52"/>
  <c r="E9" i="52"/>
  <c r="E10" i="52"/>
  <c r="E11" i="52"/>
  <c r="E12" i="52"/>
  <c r="E13" i="52"/>
  <c r="E14" i="52"/>
  <c r="E15" i="52"/>
  <c r="E6" i="52"/>
  <c r="AE67" i="59"/>
  <c r="AD67" i="59"/>
  <c r="AC67" i="59"/>
  <c r="AB67" i="59"/>
  <c r="AA67" i="59"/>
  <c r="Z67" i="59"/>
  <c r="Y67" i="59"/>
  <c r="X67" i="59"/>
  <c r="W67" i="59"/>
  <c r="V67" i="59"/>
  <c r="AE65" i="59"/>
  <c r="AD65" i="59"/>
  <c r="AC65" i="59"/>
  <c r="AB65" i="59"/>
  <c r="AA65" i="59"/>
  <c r="Z65" i="59"/>
  <c r="Y65" i="59"/>
  <c r="X65" i="59"/>
  <c r="W65" i="59"/>
  <c r="AE50" i="59"/>
  <c r="AD50" i="59"/>
  <c r="AC50" i="59"/>
  <c r="AB50" i="59"/>
  <c r="AA50" i="59"/>
  <c r="Z50" i="59"/>
  <c r="Y50" i="59"/>
  <c r="X50" i="59"/>
  <c r="W50" i="59"/>
  <c r="V50" i="59"/>
  <c r="U50" i="59"/>
  <c r="AE35" i="59"/>
  <c r="AD35" i="59"/>
  <c r="AC35" i="59"/>
  <c r="AB35" i="59"/>
  <c r="AA35" i="59"/>
  <c r="Z35" i="59"/>
  <c r="Y35" i="59"/>
  <c r="X35" i="59"/>
  <c r="W35" i="59"/>
  <c r="V35" i="59"/>
  <c r="U35" i="59"/>
  <c r="AE20" i="59"/>
  <c r="AD20" i="59"/>
  <c r="AC20" i="59"/>
  <c r="AB20" i="59"/>
  <c r="AA20" i="59"/>
  <c r="Z20" i="59"/>
  <c r="Y20" i="59"/>
  <c r="X20" i="59"/>
  <c r="W20" i="59"/>
  <c r="V20" i="59"/>
  <c r="U20" i="59"/>
  <c r="U5" i="59"/>
  <c r="V5" i="59"/>
  <c r="W5" i="59"/>
  <c r="X5" i="59"/>
  <c r="Y5" i="59"/>
  <c r="Z5" i="59"/>
  <c r="AA5" i="59"/>
  <c r="AB5" i="59"/>
  <c r="AC5" i="59"/>
  <c r="AD5" i="59"/>
  <c r="AE5" i="59"/>
  <c r="R65" i="52"/>
  <c r="S65" i="52"/>
  <c r="T65" i="52"/>
  <c r="U65" i="52"/>
  <c r="V65" i="52"/>
  <c r="W65" i="52"/>
  <c r="P50" i="52"/>
  <c r="Q50" i="52"/>
  <c r="R50" i="52"/>
  <c r="S50" i="52"/>
  <c r="T50" i="52"/>
  <c r="U50" i="52"/>
  <c r="V50" i="52"/>
  <c r="W50" i="52"/>
  <c r="P35" i="52"/>
  <c r="Q35" i="52"/>
  <c r="R35" i="52"/>
  <c r="S35" i="52"/>
  <c r="T35" i="52"/>
  <c r="U35" i="52"/>
  <c r="V35" i="52"/>
  <c r="W35" i="52"/>
  <c r="W20" i="52"/>
  <c r="V20" i="52"/>
  <c r="U20" i="52"/>
  <c r="T20" i="52"/>
  <c r="S20" i="52"/>
  <c r="R20" i="52"/>
  <c r="Q20" i="52"/>
  <c r="P20" i="52"/>
  <c r="P5" i="52"/>
  <c r="Q5" i="52"/>
  <c r="R5" i="52"/>
  <c r="S5" i="52"/>
  <c r="T5" i="52"/>
  <c r="U5" i="52"/>
  <c r="V5" i="52"/>
  <c r="W5" i="52"/>
  <c r="G60" i="59"/>
  <c r="G59" i="59"/>
  <c r="G58" i="59"/>
  <c r="G57" i="59"/>
  <c r="G56" i="59"/>
  <c r="G55" i="59"/>
  <c r="G54" i="59"/>
  <c r="G53" i="59"/>
  <c r="G52" i="59"/>
  <c r="G51" i="59"/>
  <c r="G45" i="59"/>
  <c r="G44" i="59"/>
  <c r="G43" i="59"/>
  <c r="G42" i="59"/>
  <c r="G41" i="59"/>
  <c r="G40" i="59"/>
  <c r="G39" i="59"/>
  <c r="G38" i="59"/>
  <c r="G37" i="59"/>
  <c r="G36" i="59"/>
  <c r="G30" i="59"/>
  <c r="G29" i="59"/>
  <c r="G28" i="59"/>
  <c r="G27" i="59"/>
  <c r="G26" i="59"/>
  <c r="G25" i="59"/>
  <c r="G24" i="59"/>
  <c r="G23" i="59"/>
  <c r="G22" i="59"/>
  <c r="G21" i="59"/>
  <c r="G6" i="59"/>
  <c r="G7" i="59"/>
  <c r="G8" i="59"/>
  <c r="G9" i="59"/>
  <c r="G10" i="59"/>
  <c r="G11" i="59"/>
  <c r="G12" i="59"/>
  <c r="G13" i="59"/>
  <c r="G14" i="59"/>
  <c r="G15" i="59"/>
  <c r="F66" i="59" l="1"/>
  <c r="E66" i="59"/>
  <c r="B7" i="60" s="1"/>
  <c r="B20" i="60" s="1"/>
  <c r="F60" i="59"/>
  <c r="E60" i="59"/>
  <c r="W60" i="59" s="1"/>
  <c r="F59" i="59"/>
  <c r="E59" i="59"/>
  <c r="W59" i="59" s="1"/>
  <c r="F58" i="59"/>
  <c r="E58" i="59"/>
  <c r="W58" i="59" s="1"/>
  <c r="F57" i="59"/>
  <c r="E57" i="59"/>
  <c r="W57" i="59" s="1"/>
  <c r="F56" i="59"/>
  <c r="E56" i="59"/>
  <c r="W56" i="59" s="1"/>
  <c r="F55" i="59"/>
  <c r="E55" i="59"/>
  <c r="W55" i="59" s="1"/>
  <c r="F54" i="59"/>
  <c r="E54" i="59"/>
  <c r="W54" i="59" s="1"/>
  <c r="F53" i="59"/>
  <c r="E53" i="59"/>
  <c r="W53" i="59" s="1"/>
  <c r="F52" i="59"/>
  <c r="E52" i="59"/>
  <c r="W52" i="59" s="1"/>
  <c r="F51" i="59"/>
  <c r="E51" i="59"/>
  <c r="W51" i="59" s="1"/>
  <c r="F45" i="59"/>
  <c r="E45" i="59"/>
  <c r="W45" i="59" s="1"/>
  <c r="F44" i="59"/>
  <c r="E44" i="59"/>
  <c r="W44" i="59" s="1"/>
  <c r="F43" i="59"/>
  <c r="E43" i="59"/>
  <c r="W43" i="59" s="1"/>
  <c r="F42" i="59"/>
  <c r="E42" i="59"/>
  <c r="W42" i="59" s="1"/>
  <c r="F41" i="59"/>
  <c r="E41" i="59"/>
  <c r="W41" i="59" s="1"/>
  <c r="F40" i="59"/>
  <c r="E40" i="59"/>
  <c r="W40" i="59" s="1"/>
  <c r="AP39" i="59"/>
  <c r="F39" i="59"/>
  <c r="E39" i="59"/>
  <c r="W39" i="59" s="1"/>
  <c r="F38" i="59"/>
  <c r="E38" i="59"/>
  <c r="W38" i="59" s="1"/>
  <c r="F37" i="59"/>
  <c r="E37" i="59"/>
  <c r="W37" i="59" s="1"/>
  <c r="F36" i="59"/>
  <c r="E36" i="59"/>
  <c r="W36" i="59" s="1"/>
  <c r="F30" i="59"/>
  <c r="E30" i="59"/>
  <c r="W30" i="59" s="1"/>
  <c r="F29" i="59"/>
  <c r="E29" i="59"/>
  <c r="W29" i="59" s="1"/>
  <c r="F28" i="59"/>
  <c r="E28" i="59"/>
  <c r="W28" i="59" s="1"/>
  <c r="F27" i="59"/>
  <c r="E27" i="59"/>
  <c r="W27" i="59" s="1"/>
  <c r="F26" i="59"/>
  <c r="E26" i="59"/>
  <c r="W26" i="59" s="1"/>
  <c r="F25" i="59"/>
  <c r="E25" i="59"/>
  <c r="W25" i="59" s="1"/>
  <c r="F24" i="59"/>
  <c r="E24" i="59"/>
  <c r="W24" i="59" s="1"/>
  <c r="F23" i="59"/>
  <c r="E23" i="59"/>
  <c r="W23" i="59" s="1"/>
  <c r="F22" i="59"/>
  <c r="E22" i="59"/>
  <c r="W22" i="59" s="1"/>
  <c r="F21" i="59"/>
  <c r="E21" i="59"/>
  <c r="W21" i="59" s="1"/>
  <c r="F15" i="59"/>
  <c r="E15" i="59"/>
  <c r="W15" i="59" s="1"/>
  <c r="F14" i="59"/>
  <c r="E14" i="59"/>
  <c r="W14" i="59" s="1"/>
  <c r="F13" i="59"/>
  <c r="E13" i="59"/>
  <c r="W13" i="59" s="1"/>
  <c r="F12" i="59"/>
  <c r="E12" i="59"/>
  <c r="W12" i="59" s="1"/>
  <c r="F11" i="59"/>
  <c r="E11" i="59"/>
  <c r="W11" i="59" s="1"/>
  <c r="F10" i="59"/>
  <c r="E10" i="59"/>
  <c r="W10" i="59" s="1"/>
  <c r="S9" i="59"/>
  <c r="F9" i="59"/>
  <c r="E9" i="59"/>
  <c r="W9" i="59" s="1"/>
  <c r="S8" i="59"/>
  <c r="F8" i="59"/>
  <c r="E8" i="59"/>
  <c r="W8" i="59" s="1"/>
  <c r="S7" i="59"/>
  <c r="F7" i="59"/>
  <c r="E7" i="59"/>
  <c r="W7" i="59" s="1"/>
  <c r="F6" i="59"/>
  <c r="E6" i="59"/>
  <c r="W6" i="59" s="1"/>
  <c r="D66" i="52"/>
  <c r="C66" i="52"/>
  <c r="R66" i="52" s="1"/>
  <c r="C52" i="52"/>
  <c r="R52" i="52" s="1"/>
  <c r="D52" i="52"/>
  <c r="C53" i="52"/>
  <c r="R53" i="52" s="1"/>
  <c r="D53" i="52"/>
  <c r="C54" i="52"/>
  <c r="R54" i="52" s="1"/>
  <c r="D54" i="52"/>
  <c r="C55" i="52"/>
  <c r="R55" i="52" s="1"/>
  <c r="D55" i="52"/>
  <c r="C56" i="52"/>
  <c r="R56" i="52" s="1"/>
  <c r="D56" i="52"/>
  <c r="C57" i="52"/>
  <c r="R57" i="52" s="1"/>
  <c r="D57" i="52"/>
  <c r="C58" i="52"/>
  <c r="R58" i="52" s="1"/>
  <c r="D58" i="52"/>
  <c r="C59" i="52"/>
  <c r="R59" i="52" s="1"/>
  <c r="D59" i="52"/>
  <c r="C60" i="52"/>
  <c r="R60" i="52" s="1"/>
  <c r="D60" i="52"/>
  <c r="D51" i="52"/>
  <c r="C51" i="52"/>
  <c r="R51" i="52" s="1"/>
  <c r="C37" i="52"/>
  <c r="R37" i="52" s="1"/>
  <c r="D37" i="52"/>
  <c r="C38" i="52"/>
  <c r="R38" i="52" s="1"/>
  <c r="D38" i="52"/>
  <c r="C39" i="52"/>
  <c r="R39" i="52" s="1"/>
  <c r="D39" i="52"/>
  <c r="C40" i="52"/>
  <c r="R40" i="52" s="1"/>
  <c r="D40" i="52"/>
  <c r="C41" i="52"/>
  <c r="R41" i="52" s="1"/>
  <c r="D41" i="52"/>
  <c r="C42" i="52"/>
  <c r="R42" i="52" s="1"/>
  <c r="D42" i="52"/>
  <c r="C43" i="52"/>
  <c r="R43" i="52" s="1"/>
  <c r="D43" i="52"/>
  <c r="C44" i="52"/>
  <c r="R44" i="52" s="1"/>
  <c r="D44" i="52"/>
  <c r="C45" i="52"/>
  <c r="R45" i="52" s="1"/>
  <c r="D45" i="52"/>
  <c r="D36" i="52"/>
  <c r="C36" i="52"/>
  <c r="R36" i="52" s="1"/>
  <c r="D22" i="52"/>
  <c r="D23" i="52"/>
  <c r="D24" i="52"/>
  <c r="D25" i="52"/>
  <c r="D26" i="52"/>
  <c r="D27" i="52"/>
  <c r="D28" i="52"/>
  <c r="D29" i="52"/>
  <c r="D30" i="52"/>
  <c r="D21" i="52"/>
  <c r="C22" i="52"/>
  <c r="R22" i="52" s="1"/>
  <c r="C23" i="52"/>
  <c r="R23" i="52" s="1"/>
  <c r="C24" i="52"/>
  <c r="R24" i="52" s="1"/>
  <c r="C25" i="52"/>
  <c r="R25" i="52" s="1"/>
  <c r="C26" i="52"/>
  <c r="R26" i="52" s="1"/>
  <c r="C27" i="52"/>
  <c r="R27" i="52" s="1"/>
  <c r="C28" i="52"/>
  <c r="R28" i="52" s="1"/>
  <c r="C29" i="52"/>
  <c r="R29" i="52" s="1"/>
  <c r="C30" i="52"/>
  <c r="R30" i="52" s="1"/>
  <c r="C21" i="52"/>
  <c r="R21" i="52" s="1"/>
  <c r="D7" i="52"/>
  <c r="D8" i="52"/>
  <c r="D9" i="52"/>
  <c r="D10" i="52"/>
  <c r="D11" i="52"/>
  <c r="D12" i="52"/>
  <c r="D13" i="52"/>
  <c r="D14" i="52"/>
  <c r="D15" i="52"/>
  <c r="D6" i="52"/>
  <c r="C7" i="52"/>
  <c r="R7" i="52" s="1"/>
  <c r="C8" i="52"/>
  <c r="R8" i="52" s="1"/>
  <c r="C9" i="52"/>
  <c r="R9" i="52" s="1"/>
  <c r="C10" i="52"/>
  <c r="R10" i="52" s="1"/>
  <c r="C11" i="52"/>
  <c r="R11" i="52" s="1"/>
  <c r="C12" i="52"/>
  <c r="R12" i="52" s="1"/>
  <c r="C13" i="52"/>
  <c r="R13" i="52" s="1"/>
  <c r="C14" i="52"/>
  <c r="R14" i="52" s="1"/>
  <c r="C15" i="52"/>
  <c r="R15" i="52" s="1"/>
  <c r="C6" i="52"/>
  <c r="R6" i="52" s="1"/>
  <c r="V23" i="46"/>
  <c r="F21" i="52"/>
  <c r="H22" i="59"/>
  <c r="H23" i="59"/>
  <c r="F24" i="52"/>
  <c r="F25" i="52"/>
  <c r="H26" i="59"/>
  <c r="H27" i="59"/>
  <c r="H28" i="59"/>
  <c r="H29" i="59"/>
  <c r="H30" i="59"/>
  <c r="F36" i="52"/>
  <c r="F37" i="52"/>
  <c r="H38" i="59"/>
  <c r="H39" i="59"/>
  <c r="H40" i="59"/>
  <c r="H41" i="59"/>
  <c r="H42" i="59"/>
  <c r="F43" i="52"/>
  <c r="F44" i="52"/>
  <c r="F45" i="52"/>
  <c r="F51" i="52"/>
  <c r="F52" i="52"/>
  <c r="H53" i="59"/>
  <c r="H54" i="59"/>
  <c r="H55" i="59"/>
  <c r="F56" i="52"/>
  <c r="F57" i="52"/>
  <c r="F58" i="52"/>
  <c r="F59" i="52"/>
  <c r="H60" i="59"/>
  <c r="F6" i="52"/>
  <c r="D50" i="55"/>
  <c r="C50" i="55"/>
  <c r="D84" i="55"/>
  <c r="C84" i="55"/>
  <c r="D83" i="55"/>
  <c r="C83" i="55"/>
  <c r="D81" i="55"/>
  <c r="C81" i="55"/>
  <c r="D79" i="55"/>
  <c r="C79" i="55"/>
  <c r="D78" i="55"/>
  <c r="C78" i="55"/>
  <c r="D77" i="55"/>
  <c r="C77" i="55"/>
  <c r="D75" i="55"/>
  <c r="C75" i="55"/>
  <c r="D73" i="55"/>
  <c r="C73" i="55"/>
  <c r="D26" i="55"/>
  <c r="C26" i="55"/>
  <c r="D21" i="55"/>
  <c r="C21" i="55"/>
  <c r="D22" i="55"/>
  <c r="AE8" i="42"/>
  <c r="AC8" i="42"/>
  <c r="AA8" i="42"/>
  <c r="Y8" i="42"/>
  <c r="W8" i="42"/>
  <c r="U8" i="42"/>
  <c r="S8" i="42"/>
  <c r="S9" i="42" s="1"/>
  <c r="U9" i="42" l="1"/>
  <c r="I153" i="42"/>
  <c r="I87" i="42"/>
  <c r="I94" i="42"/>
  <c r="I101" i="42"/>
  <c r="I108" i="42"/>
  <c r="I116" i="42"/>
  <c r="I123" i="42"/>
  <c r="I131" i="42"/>
  <c r="I138" i="42"/>
  <c r="I146" i="42"/>
  <c r="I91" i="42"/>
  <c r="I98" i="42"/>
  <c r="I105" i="42"/>
  <c r="I113" i="42"/>
  <c r="I120" i="42"/>
  <c r="I128" i="42"/>
  <c r="I135" i="42"/>
  <c r="I143" i="42"/>
  <c r="I150" i="42"/>
  <c r="I85" i="42"/>
  <c r="I90" i="42"/>
  <c r="I97" i="42"/>
  <c r="I104" i="42"/>
  <c r="I112" i="42"/>
  <c r="I119" i="42"/>
  <c r="I127" i="42"/>
  <c r="I134" i="42"/>
  <c r="I142" i="42"/>
  <c r="I149" i="42"/>
  <c r="I96" i="42"/>
  <c r="I99" i="42"/>
  <c r="I111" i="42"/>
  <c r="I114" i="42"/>
  <c r="I126" i="42"/>
  <c r="I129" i="42"/>
  <c r="I141" i="42"/>
  <c r="I144" i="42"/>
  <c r="I132" i="42"/>
  <c r="I106" i="42"/>
  <c r="I118" i="42"/>
  <c r="I148" i="42"/>
  <c r="I89" i="42"/>
  <c r="I121" i="42"/>
  <c r="I133" i="42"/>
  <c r="I95" i="42"/>
  <c r="I125" i="42"/>
  <c r="I154" i="42"/>
  <c r="I86" i="42"/>
  <c r="I100" i="42"/>
  <c r="I115" i="42"/>
  <c r="I130" i="42"/>
  <c r="I145" i="42"/>
  <c r="I92" i="42"/>
  <c r="I103" i="42"/>
  <c r="I136" i="42"/>
  <c r="I151" i="42"/>
  <c r="I110" i="42"/>
  <c r="I139" i="42"/>
  <c r="I137" i="42"/>
  <c r="I117" i="42"/>
  <c r="I147" i="42"/>
  <c r="I88" i="42"/>
  <c r="I102" i="42"/>
  <c r="I93" i="42"/>
  <c r="I107" i="42"/>
  <c r="I122" i="42"/>
  <c r="I152" i="42"/>
  <c r="W9" i="42"/>
  <c r="J92" i="42"/>
  <c r="J99" i="42"/>
  <c r="J106" i="42"/>
  <c r="J114" i="42"/>
  <c r="J121" i="42"/>
  <c r="J129" i="42"/>
  <c r="J136" i="42"/>
  <c r="J144" i="42"/>
  <c r="J151" i="42"/>
  <c r="J91" i="42"/>
  <c r="J98" i="42"/>
  <c r="J105" i="42"/>
  <c r="J113" i="42"/>
  <c r="J120" i="42"/>
  <c r="J128" i="42"/>
  <c r="J135" i="42"/>
  <c r="J143" i="42"/>
  <c r="J150" i="42"/>
  <c r="J86" i="42"/>
  <c r="J93" i="42"/>
  <c r="J100" i="42"/>
  <c r="J107" i="42"/>
  <c r="J115" i="42"/>
  <c r="J122" i="42"/>
  <c r="J130" i="42"/>
  <c r="J137" i="42"/>
  <c r="J145" i="42"/>
  <c r="J152" i="42"/>
  <c r="J88" i="42"/>
  <c r="J95" i="42"/>
  <c r="J102" i="42"/>
  <c r="J110" i="42"/>
  <c r="J117" i="42"/>
  <c r="J125" i="42"/>
  <c r="J132" i="42"/>
  <c r="J139" i="42"/>
  <c r="J147" i="42"/>
  <c r="J154" i="42"/>
  <c r="J94" i="42"/>
  <c r="J108" i="42"/>
  <c r="J123" i="42"/>
  <c r="J138" i="42"/>
  <c r="J153" i="42"/>
  <c r="J89" i="42"/>
  <c r="J118" i="42"/>
  <c r="J97" i="42"/>
  <c r="J112" i="42"/>
  <c r="J127" i="42"/>
  <c r="J142" i="42"/>
  <c r="J148" i="42"/>
  <c r="J103" i="42"/>
  <c r="J133" i="42"/>
  <c r="J87" i="42"/>
  <c r="J101" i="42"/>
  <c r="J116" i="42"/>
  <c r="J131" i="42"/>
  <c r="J146" i="42"/>
  <c r="J104" i="42"/>
  <c r="J119" i="42"/>
  <c r="J134" i="42"/>
  <c r="J149" i="42"/>
  <c r="J96" i="42"/>
  <c r="J111" i="42"/>
  <c r="J126" i="42"/>
  <c r="J85" i="42"/>
  <c r="J90" i="42"/>
  <c r="J141" i="42"/>
  <c r="AE9" i="42"/>
  <c r="N88" i="42"/>
  <c r="N95" i="42"/>
  <c r="N102" i="42"/>
  <c r="N110" i="42"/>
  <c r="N117" i="42"/>
  <c r="N125" i="42"/>
  <c r="N132" i="42"/>
  <c r="N139" i="42"/>
  <c r="N147" i="42"/>
  <c r="N154" i="42"/>
  <c r="N87" i="42"/>
  <c r="N94" i="42"/>
  <c r="N101" i="42"/>
  <c r="N108" i="42"/>
  <c r="N116" i="42"/>
  <c r="N123" i="42"/>
  <c r="N131" i="42"/>
  <c r="N138" i="42"/>
  <c r="N146" i="42"/>
  <c r="N153" i="42"/>
  <c r="N89" i="42"/>
  <c r="N96" i="42"/>
  <c r="N103" i="42"/>
  <c r="N111" i="42"/>
  <c r="N118" i="42"/>
  <c r="N126" i="42"/>
  <c r="N133" i="42"/>
  <c r="N141" i="42"/>
  <c r="N148" i="42"/>
  <c r="N91" i="42"/>
  <c r="N98" i="42"/>
  <c r="N105" i="42"/>
  <c r="N113" i="42"/>
  <c r="N120" i="42"/>
  <c r="N128" i="42"/>
  <c r="N135" i="42"/>
  <c r="N143" i="42"/>
  <c r="N150" i="42"/>
  <c r="N90" i="42"/>
  <c r="N104" i="42"/>
  <c r="N119" i="42"/>
  <c r="N134" i="42"/>
  <c r="N149" i="42"/>
  <c r="N85" i="42"/>
  <c r="N93" i="42"/>
  <c r="N152" i="42"/>
  <c r="N97" i="42"/>
  <c r="N112" i="42"/>
  <c r="N127" i="42"/>
  <c r="N130" i="42"/>
  <c r="N145" i="42"/>
  <c r="N99" i="42"/>
  <c r="N129" i="42"/>
  <c r="N142" i="42"/>
  <c r="N86" i="42"/>
  <c r="N100" i="42"/>
  <c r="N115" i="42"/>
  <c r="N144" i="42"/>
  <c r="N114" i="42"/>
  <c r="N92" i="42"/>
  <c r="N106" i="42"/>
  <c r="N121" i="42"/>
  <c r="N136" i="42"/>
  <c r="N151" i="42"/>
  <c r="N107" i="42"/>
  <c r="N122" i="42"/>
  <c r="N137" i="42"/>
  <c r="K144" i="42"/>
  <c r="K92" i="42"/>
  <c r="K99" i="42"/>
  <c r="K106" i="42"/>
  <c r="K114" i="42"/>
  <c r="K121" i="42"/>
  <c r="K129" i="42"/>
  <c r="K136" i="42"/>
  <c r="K151" i="42"/>
  <c r="K89" i="42"/>
  <c r="K96" i="42"/>
  <c r="K103" i="42"/>
  <c r="K111" i="42"/>
  <c r="K118" i="42"/>
  <c r="K126" i="42"/>
  <c r="K133" i="42"/>
  <c r="K141" i="42"/>
  <c r="K148" i="42"/>
  <c r="K85" i="42"/>
  <c r="K88" i="42"/>
  <c r="K95" i="42"/>
  <c r="K102" i="42"/>
  <c r="K110" i="42"/>
  <c r="K117" i="42"/>
  <c r="K125" i="42"/>
  <c r="K132" i="42"/>
  <c r="K139" i="42"/>
  <c r="K147" i="42"/>
  <c r="K154" i="42"/>
  <c r="K93" i="42"/>
  <c r="K107" i="42"/>
  <c r="K122" i="42"/>
  <c r="K137" i="42"/>
  <c r="K152" i="42"/>
  <c r="K86" i="42"/>
  <c r="K100" i="42"/>
  <c r="K130" i="42"/>
  <c r="K94" i="42"/>
  <c r="K108" i="42"/>
  <c r="K123" i="42"/>
  <c r="K138" i="42"/>
  <c r="K153" i="42"/>
  <c r="K145" i="42"/>
  <c r="K91" i="42"/>
  <c r="K135" i="42"/>
  <c r="K150" i="42"/>
  <c r="K97" i="42"/>
  <c r="K112" i="42"/>
  <c r="K127" i="42"/>
  <c r="K142" i="42"/>
  <c r="K115" i="42"/>
  <c r="K98" i="42"/>
  <c r="K113" i="42"/>
  <c r="K128" i="42"/>
  <c r="K143" i="42"/>
  <c r="K131" i="42"/>
  <c r="K149" i="42"/>
  <c r="K87" i="42"/>
  <c r="K101" i="42"/>
  <c r="K116" i="42"/>
  <c r="K146" i="42"/>
  <c r="K105" i="42"/>
  <c r="K90" i="42"/>
  <c r="K104" i="42"/>
  <c r="K119" i="42"/>
  <c r="K134" i="42"/>
  <c r="K120" i="42"/>
  <c r="AA9" i="42"/>
  <c r="L90" i="42"/>
  <c r="L97" i="42"/>
  <c r="L104" i="42"/>
  <c r="L112" i="42"/>
  <c r="L119" i="42"/>
  <c r="L127" i="42"/>
  <c r="L134" i="42"/>
  <c r="L142" i="42"/>
  <c r="L149" i="42"/>
  <c r="L85" i="42"/>
  <c r="L89" i="42"/>
  <c r="L96" i="42"/>
  <c r="L103" i="42"/>
  <c r="L111" i="42"/>
  <c r="L118" i="42"/>
  <c r="L126" i="42"/>
  <c r="L133" i="42"/>
  <c r="L141" i="42"/>
  <c r="L148" i="42"/>
  <c r="L91" i="42"/>
  <c r="L98" i="42"/>
  <c r="L105" i="42"/>
  <c r="L113" i="42"/>
  <c r="L120" i="42"/>
  <c r="L128" i="42"/>
  <c r="L135" i="42"/>
  <c r="L143" i="42"/>
  <c r="L150" i="42"/>
  <c r="L86" i="42"/>
  <c r="L93" i="42"/>
  <c r="L100" i="42"/>
  <c r="L107" i="42"/>
  <c r="L115" i="42"/>
  <c r="L122" i="42"/>
  <c r="L130" i="42"/>
  <c r="L137" i="42"/>
  <c r="L145" i="42"/>
  <c r="L152" i="42"/>
  <c r="L114" i="42"/>
  <c r="L129" i="42"/>
  <c r="L144" i="42"/>
  <c r="L106" i="42"/>
  <c r="L136" i="42"/>
  <c r="L132" i="42"/>
  <c r="L94" i="42"/>
  <c r="L108" i="42"/>
  <c r="L123" i="42"/>
  <c r="L138" i="42"/>
  <c r="L153" i="42"/>
  <c r="L92" i="42"/>
  <c r="L121" i="42"/>
  <c r="L151" i="42"/>
  <c r="L88" i="42"/>
  <c r="L102" i="42"/>
  <c r="L147" i="42"/>
  <c r="L95" i="42"/>
  <c r="L110" i="42"/>
  <c r="L125" i="42"/>
  <c r="L139" i="42"/>
  <c r="L154" i="42"/>
  <c r="L117" i="42"/>
  <c r="L146" i="42"/>
  <c r="L99" i="42"/>
  <c r="L87" i="42"/>
  <c r="L101" i="42"/>
  <c r="L116" i="42"/>
  <c r="L131" i="42"/>
  <c r="AC9" i="42"/>
  <c r="M90" i="42"/>
  <c r="M97" i="42"/>
  <c r="M104" i="42"/>
  <c r="M112" i="42"/>
  <c r="M119" i="42"/>
  <c r="M127" i="42"/>
  <c r="M134" i="42"/>
  <c r="M142" i="42"/>
  <c r="M149" i="42"/>
  <c r="M87" i="42"/>
  <c r="M94" i="42"/>
  <c r="M101" i="42"/>
  <c r="M108" i="42"/>
  <c r="M116" i="42"/>
  <c r="M123" i="42"/>
  <c r="M131" i="42"/>
  <c r="M138" i="42"/>
  <c r="M146" i="42"/>
  <c r="M153" i="42"/>
  <c r="M86" i="42"/>
  <c r="M93" i="42"/>
  <c r="M100" i="42"/>
  <c r="M107" i="42"/>
  <c r="M115" i="42"/>
  <c r="M122" i="42"/>
  <c r="M130" i="42"/>
  <c r="M137" i="42"/>
  <c r="M145" i="42"/>
  <c r="M152" i="42"/>
  <c r="M114" i="42"/>
  <c r="M141" i="42"/>
  <c r="M88" i="42"/>
  <c r="M91" i="42"/>
  <c r="M102" i="42"/>
  <c r="M105" i="42"/>
  <c r="M117" i="42"/>
  <c r="M120" i="42"/>
  <c r="M132" i="42"/>
  <c r="M135" i="42"/>
  <c r="M147" i="42"/>
  <c r="M150" i="42"/>
  <c r="M92" i="42"/>
  <c r="M136" i="42"/>
  <c r="M151" i="42"/>
  <c r="M103" i="42"/>
  <c r="M106" i="42"/>
  <c r="M118" i="42"/>
  <c r="M133" i="42"/>
  <c r="M89" i="42"/>
  <c r="M121" i="42"/>
  <c r="M148" i="42"/>
  <c r="M96" i="42"/>
  <c r="M95" i="42"/>
  <c r="M98" i="42"/>
  <c r="M110" i="42"/>
  <c r="M113" i="42"/>
  <c r="M125" i="42"/>
  <c r="M128" i="42"/>
  <c r="M139" i="42"/>
  <c r="M143" i="42"/>
  <c r="M154" i="42"/>
  <c r="M85" i="42"/>
  <c r="M99" i="42"/>
  <c r="M111" i="42"/>
  <c r="M129" i="42"/>
  <c r="M144" i="42"/>
  <c r="M126" i="42"/>
  <c r="Y9" i="42"/>
  <c r="F30" i="52"/>
  <c r="F29" i="52"/>
  <c r="F28" i="52"/>
  <c r="W66" i="59"/>
  <c r="H44" i="59"/>
  <c r="H21" i="59"/>
  <c r="F39" i="52"/>
  <c r="H56" i="59"/>
  <c r="H24" i="59"/>
  <c r="F60" i="52"/>
  <c r="F27" i="52"/>
  <c r="H25" i="59"/>
  <c r="F40" i="52"/>
  <c r="F55" i="52"/>
  <c r="H37" i="59"/>
  <c r="H52" i="59"/>
  <c r="H59" i="59"/>
  <c r="H36" i="59"/>
  <c r="H43" i="59"/>
  <c r="F26" i="52"/>
  <c r="F54" i="52"/>
  <c r="F38" i="52"/>
  <c r="H51" i="59"/>
  <c r="H58" i="59"/>
  <c r="H6" i="59"/>
  <c r="F23" i="52"/>
  <c r="F42" i="52"/>
  <c r="F53" i="52"/>
  <c r="F22" i="52"/>
  <c r="H45" i="59"/>
  <c r="H57" i="59"/>
  <c r="F41" i="52"/>
  <c r="R57" i="43" l="1"/>
  <c r="AG7" i="42"/>
  <c r="AE7" i="42"/>
  <c r="AC7" i="42"/>
  <c r="AA7" i="42"/>
  <c r="Y7" i="42"/>
  <c r="W7" i="42"/>
  <c r="U7" i="42"/>
  <c r="S7" i="42"/>
  <c r="AI6" i="42"/>
  <c r="M66" i="34"/>
  <c r="M67" i="34"/>
  <c r="M68" i="34"/>
  <c r="M69" i="34"/>
  <c r="M70" i="34"/>
  <c r="M71" i="34"/>
  <c r="M72" i="34"/>
  <c r="M73" i="34"/>
  <c r="M74" i="34"/>
  <c r="M75" i="34"/>
  <c r="M76" i="34"/>
  <c r="M77" i="34"/>
  <c r="M78" i="34"/>
  <c r="M79" i="34"/>
  <c r="M49" i="34"/>
  <c r="M50" i="34"/>
  <c r="M51" i="34"/>
  <c r="M52" i="34"/>
  <c r="M53" i="34"/>
  <c r="M54" i="34"/>
  <c r="M55" i="34"/>
  <c r="M56" i="34"/>
  <c r="M57" i="34"/>
  <c r="M58" i="34"/>
  <c r="M59" i="34"/>
  <c r="M60" i="34"/>
  <c r="M61" i="34"/>
  <c r="M62" i="34"/>
  <c r="M63" i="34"/>
  <c r="M33" i="34"/>
  <c r="M34" i="34"/>
  <c r="M35" i="34"/>
  <c r="M36" i="34"/>
  <c r="M37" i="34"/>
  <c r="M38" i="34"/>
  <c r="M39" i="34"/>
  <c r="M40" i="34"/>
  <c r="M41" i="34"/>
  <c r="M42" i="34"/>
  <c r="M43" i="34"/>
  <c r="M44" i="34"/>
  <c r="M45" i="34"/>
  <c r="M46" i="34"/>
  <c r="O67" i="46" l="1"/>
  <c r="O68" i="46"/>
  <c r="O69" i="46"/>
  <c r="O70" i="46"/>
  <c r="O71" i="46"/>
  <c r="O72" i="46"/>
  <c r="O73" i="46"/>
  <c r="O74" i="46"/>
  <c r="O75" i="46"/>
  <c r="O76" i="46"/>
  <c r="O77" i="46"/>
  <c r="O78" i="46"/>
  <c r="O79" i="46"/>
  <c r="O80" i="46"/>
  <c r="O50" i="46"/>
  <c r="O51" i="46"/>
  <c r="O52" i="46"/>
  <c r="O53" i="46"/>
  <c r="O54" i="46"/>
  <c r="O55" i="46"/>
  <c r="O56" i="46"/>
  <c r="O57" i="46"/>
  <c r="O58" i="46"/>
  <c r="O59" i="46"/>
  <c r="O60" i="46"/>
  <c r="O61" i="46"/>
  <c r="O62" i="46"/>
  <c r="O63" i="46"/>
  <c r="O64" i="46"/>
  <c r="O33" i="46"/>
  <c r="O34" i="46"/>
  <c r="O35" i="46"/>
  <c r="O36" i="46"/>
  <c r="O37" i="46"/>
  <c r="O38" i="46"/>
  <c r="O39" i="46"/>
  <c r="O40" i="46"/>
  <c r="O41" i="46"/>
  <c r="O42" i="46"/>
  <c r="O43" i="46"/>
  <c r="O44" i="46"/>
  <c r="O45" i="46"/>
  <c r="O46" i="46"/>
  <c r="B82" i="46" l="1"/>
  <c r="N9" i="52"/>
  <c r="N8" i="52"/>
  <c r="N7" i="52"/>
  <c r="B17" i="53"/>
  <c r="S10" i="59" l="1"/>
  <c r="T10" i="61"/>
  <c r="D66" i="59"/>
  <c r="V66" i="59" s="1"/>
  <c r="D66" i="61"/>
  <c r="W66" i="61" s="1"/>
  <c r="H12" i="59"/>
  <c r="F12" i="52"/>
  <c r="H14" i="59"/>
  <c r="F14" i="52"/>
  <c r="H11" i="59"/>
  <c r="F11" i="52"/>
  <c r="H10" i="59"/>
  <c r="F10" i="52"/>
  <c r="H9" i="59"/>
  <c r="F9" i="52"/>
  <c r="F15" i="52"/>
  <c r="H15" i="59"/>
  <c r="F13" i="52"/>
  <c r="H13" i="59"/>
  <c r="H8" i="59"/>
  <c r="F8" i="52"/>
  <c r="H7" i="59"/>
  <c r="F7" i="52"/>
  <c r="F66" i="52"/>
  <c r="H66" i="59"/>
  <c r="N10" i="52"/>
  <c r="B66" i="52"/>
  <c r="Q66" i="52" s="1"/>
  <c r="H39" i="52"/>
  <c r="T39" i="52" s="1"/>
  <c r="D82" i="46"/>
  <c r="D4" i="33"/>
  <c r="D3" i="33"/>
  <c r="F4" i="33"/>
  <c r="F3" i="33"/>
  <c r="F69" i="33" s="1"/>
  <c r="K51" i="59" l="1"/>
  <c r="K51" i="61"/>
  <c r="AA51" i="61" s="1"/>
  <c r="D69" i="33"/>
  <c r="D7" i="33"/>
  <c r="J6" i="59" s="1"/>
  <c r="D34" i="33"/>
  <c r="J21" i="61" s="1"/>
  <c r="Z21" i="61" s="1"/>
  <c r="D51" i="33"/>
  <c r="J36" i="61" s="1"/>
  <c r="Z36" i="61" s="1"/>
  <c r="D42" i="33"/>
  <c r="J29" i="61" s="1"/>
  <c r="Z29" i="61" s="1"/>
  <c r="D37" i="33"/>
  <c r="J24" i="61" s="1"/>
  <c r="Z24" i="61" s="1"/>
  <c r="D41" i="33"/>
  <c r="J28" i="61" s="1"/>
  <c r="Z28" i="61" s="1"/>
  <c r="D39" i="33"/>
  <c r="J26" i="61" s="1"/>
  <c r="Z26" i="61" s="1"/>
  <c r="D36" i="33"/>
  <c r="J23" i="61" s="1"/>
  <c r="Z23" i="61" s="1"/>
  <c r="D40" i="33"/>
  <c r="J27" i="61" s="1"/>
  <c r="Z27" i="61" s="1"/>
  <c r="D38" i="33"/>
  <c r="J25" i="61" s="1"/>
  <c r="Z25" i="61" s="1"/>
  <c r="F40" i="33"/>
  <c r="K27" i="61" s="1"/>
  <c r="AA27" i="61" s="1"/>
  <c r="F36" i="33"/>
  <c r="K23" i="61" s="1"/>
  <c r="AA23" i="61" s="1"/>
  <c r="F38" i="33"/>
  <c r="K25" i="61" s="1"/>
  <c r="AA25" i="61" s="1"/>
  <c r="F37" i="33"/>
  <c r="K24" i="61" s="1"/>
  <c r="AA24" i="61" s="1"/>
  <c r="F39" i="33"/>
  <c r="K26" i="61" s="1"/>
  <c r="AA26" i="61" s="1"/>
  <c r="F41" i="33"/>
  <c r="K28" i="61" s="1"/>
  <c r="AA28" i="61" s="1"/>
  <c r="C11" i="34"/>
  <c r="H3" i="33"/>
  <c r="H13" i="33" s="1"/>
  <c r="L12" i="59" l="1"/>
  <c r="L12" i="61"/>
  <c r="AB12" i="61" s="1"/>
  <c r="J6" i="61"/>
  <c r="Z6" i="61" s="1"/>
  <c r="J51" i="59"/>
  <c r="J51" i="61"/>
  <c r="Z51" i="61" s="1"/>
  <c r="F38" i="43"/>
  <c r="K26" i="59"/>
  <c r="F36" i="43"/>
  <c r="K24" i="59"/>
  <c r="F35" i="43"/>
  <c r="K23" i="59"/>
  <c r="D50" i="43"/>
  <c r="J36" i="59"/>
  <c r="F39" i="43"/>
  <c r="K27" i="59"/>
  <c r="F40" i="43"/>
  <c r="K28" i="59"/>
  <c r="D37" i="43"/>
  <c r="J25" i="59"/>
  <c r="D33" i="43"/>
  <c r="J21" i="59"/>
  <c r="D39" i="43"/>
  <c r="J27" i="59"/>
  <c r="D35" i="43"/>
  <c r="J23" i="59"/>
  <c r="D38" i="43"/>
  <c r="J26" i="59"/>
  <c r="D40" i="43"/>
  <c r="J28" i="59"/>
  <c r="D36" i="43"/>
  <c r="J24" i="59"/>
  <c r="D41" i="43"/>
  <c r="J29" i="59"/>
  <c r="F37" i="43"/>
  <c r="K25" i="59"/>
  <c r="D69" i="43"/>
  <c r="H69" i="33"/>
  <c r="L51" i="61" s="1"/>
  <c r="AB51" i="61" s="1"/>
  <c r="H70" i="33"/>
  <c r="L52" i="61" s="1"/>
  <c r="AB52" i="61" s="1"/>
  <c r="H71" i="33"/>
  <c r="L53" i="61" s="1"/>
  <c r="AB53" i="61" s="1"/>
  <c r="H72" i="33"/>
  <c r="L54" i="61" s="1"/>
  <c r="AB54" i="61" s="1"/>
  <c r="H39" i="33"/>
  <c r="L26" i="61" s="1"/>
  <c r="AB26" i="61" s="1"/>
  <c r="H37" i="33"/>
  <c r="L24" i="61" s="1"/>
  <c r="AB24" i="61" s="1"/>
  <c r="H40" i="33"/>
  <c r="L27" i="61" s="1"/>
  <c r="AB27" i="61" s="1"/>
  <c r="H36" i="33"/>
  <c r="L23" i="61" s="1"/>
  <c r="AB23" i="61" s="1"/>
  <c r="H38" i="33"/>
  <c r="L25" i="61" s="1"/>
  <c r="AB25" i="61" s="1"/>
  <c r="D35" i="33"/>
  <c r="J22" i="61" s="1"/>
  <c r="Z22" i="61" s="1"/>
  <c r="D43" i="33"/>
  <c r="J30" i="61" s="1"/>
  <c r="Z30" i="61" s="1"/>
  <c r="D44" i="33"/>
  <c r="D43" i="43" s="1"/>
  <c r="D45" i="33"/>
  <c r="D44" i="43" s="1"/>
  <c r="D46" i="33"/>
  <c r="D45" i="43" s="1"/>
  <c r="D47" i="33"/>
  <c r="D46" i="43" s="1"/>
  <c r="H35" i="43" l="1"/>
  <c r="L23" i="59"/>
  <c r="H38" i="43"/>
  <c r="L26" i="59"/>
  <c r="H71" i="43"/>
  <c r="L53" i="59"/>
  <c r="D42" i="43"/>
  <c r="J30" i="59"/>
  <c r="H39" i="43"/>
  <c r="L27" i="59"/>
  <c r="H72" i="43"/>
  <c r="L54" i="59"/>
  <c r="H70" i="43"/>
  <c r="L52" i="59"/>
  <c r="D34" i="43"/>
  <c r="J22" i="59"/>
  <c r="H37" i="43"/>
  <c r="L25" i="59"/>
  <c r="H69" i="43"/>
  <c r="L51" i="59"/>
  <c r="H36" i="43"/>
  <c r="L24" i="59"/>
  <c r="D47" i="43"/>
  <c r="C47" i="46"/>
  <c r="D9" i="33" l="1"/>
  <c r="D8" i="33"/>
  <c r="Z32" i="33"/>
  <c r="U3" i="46"/>
  <c r="U2" i="46"/>
  <c r="X4" i="34"/>
  <c r="W4" i="34"/>
  <c r="X2" i="34"/>
  <c r="R4" i="33"/>
  <c r="U4" i="45"/>
  <c r="T4" i="45"/>
  <c r="U3" i="45"/>
  <c r="U2" i="45"/>
  <c r="J7" i="59" l="1"/>
  <c r="J7" i="61"/>
  <c r="Z7" i="61" s="1"/>
  <c r="J8" i="59"/>
  <c r="J8" i="61"/>
  <c r="Z8" i="61" s="1"/>
  <c r="Z31" i="33"/>
  <c r="R3" i="43"/>
  <c r="S4" i="45" l="1"/>
  <c r="Q4" i="45"/>
  <c r="O4" i="45"/>
  <c r="M4" i="45"/>
  <c r="S3" i="45"/>
  <c r="Q3" i="45"/>
  <c r="O3" i="45"/>
  <c r="M3" i="45"/>
  <c r="S2" i="45"/>
  <c r="Q2" i="45"/>
  <c r="O2" i="45"/>
  <c r="M2" i="45"/>
  <c r="L28" i="44" l="1"/>
  <c r="C11" i="50" l="1"/>
  <c r="D11" i="50"/>
  <c r="D62" i="50"/>
  <c r="C46" i="50"/>
  <c r="D46" i="50"/>
  <c r="E46" i="50"/>
  <c r="C45" i="50"/>
  <c r="D45" i="50"/>
  <c r="E45" i="50"/>
  <c r="J24" i="50"/>
  <c r="C30" i="50"/>
  <c r="D30" i="50"/>
  <c r="E30" i="50"/>
  <c r="C31" i="50"/>
  <c r="D31" i="50"/>
  <c r="E31" i="50"/>
  <c r="C29" i="50"/>
  <c r="D29" i="50"/>
  <c r="E29" i="50"/>
  <c r="D8" i="50"/>
  <c r="D9" i="50"/>
  <c r="E7" i="50"/>
  <c r="E8" i="50"/>
  <c r="E9" i="50"/>
  <c r="E10" i="50"/>
  <c r="E11" i="50"/>
  <c r="E12" i="50"/>
  <c r="E13" i="50"/>
  <c r="E14" i="50"/>
  <c r="E15" i="50"/>
  <c r="E16" i="50"/>
  <c r="E17" i="50"/>
  <c r="E18" i="50"/>
  <c r="E19" i="50"/>
  <c r="E20" i="50"/>
  <c r="E21" i="50"/>
  <c r="E22" i="50"/>
  <c r="E23" i="50"/>
  <c r="E24" i="50"/>
  <c r="D7" i="50"/>
  <c r="C7" i="50"/>
  <c r="E43" i="44"/>
  <c r="D77" i="50" l="1"/>
  <c r="A49" i="34"/>
  <c r="C36" i="61" s="1"/>
  <c r="V36" i="61" s="1"/>
  <c r="C49" i="45"/>
  <c r="C63" i="45"/>
  <c r="B51" i="45"/>
  <c r="L46" i="46"/>
  <c r="C34" i="46"/>
  <c r="C35" i="46"/>
  <c r="C36" i="46"/>
  <c r="C37" i="46"/>
  <c r="C38" i="46"/>
  <c r="C39" i="46"/>
  <c r="C40" i="46"/>
  <c r="C41" i="46"/>
  <c r="C42" i="46"/>
  <c r="C43" i="46"/>
  <c r="C44" i="46"/>
  <c r="C45" i="46"/>
  <c r="C46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A34" i="46"/>
  <c r="A35" i="46"/>
  <c r="A36" i="46"/>
  <c r="A37" i="46"/>
  <c r="A38" i="46"/>
  <c r="A39" i="46"/>
  <c r="A40" i="46"/>
  <c r="A41" i="46"/>
  <c r="A42" i="46"/>
  <c r="A43" i="46"/>
  <c r="A44" i="46"/>
  <c r="A45" i="46"/>
  <c r="A46" i="46"/>
  <c r="L33" i="46"/>
  <c r="L34" i="46"/>
  <c r="L35" i="46"/>
  <c r="L36" i="46"/>
  <c r="L37" i="46"/>
  <c r="L38" i="46"/>
  <c r="L39" i="46"/>
  <c r="L40" i="46"/>
  <c r="L41" i="46"/>
  <c r="L42" i="46"/>
  <c r="L43" i="46"/>
  <c r="L44" i="46"/>
  <c r="L45" i="46"/>
  <c r="L41" i="44"/>
  <c r="D3" i="46"/>
  <c r="B70" i="43"/>
  <c r="B71" i="43"/>
  <c r="B72" i="43"/>
  <c r="B73" i="43"/>
  <c r="B74" i="43"/>
  <c r="B75" i="43"/>
  <c r="B76" i="43"/>
  <c r="B77" i="43"/>
  <c r="B78" i="43"/>
  <c r="B79" i="43"/>
  <c r="B80" i="43"/>
  <c r="B81" i="43"/>
  <c r="B82" i="43"/>
  <c r="C78" i="43"/>
  <c r="C79" i="43"/>
  <c r="C80" i="43"/>
  <c r="C81" i="43"/>
  <c r="C82" i="43"/>
  <c r="C75" i="45"/>
  <c r="C76" i="45"/>
  <c r="C77" i="45"/>
  <c r="E77" i="45" s="1"/>
  <c r="C78" i="45"/>
  <c r="E78" i="45" s="1"/>
  <c r="C79" i="45"/>
  <c r="E79" i="45" s="1"/>
  <c r="A75" i="45"/>
  <c r="A76" i="45"/>
  <c r="A77" i="45"/>
  <c r="A78" i="45"/>
  <c r="A79" i="45"/>
  <c r="B75" i="45"/>
  <c r="B44" i="34"/>
  <c r="C44" i="34"/>
  <c r="E44" i="34" s="1"/>
  <c r="Q44" i="34" s="1"/>
  <c r="L44" i="34"/>
  <c r="N44" i="34" s="1"/>
  <c r="A7" i="46"/>
  <c r="S4" i="46"/>
  <c r="Q4" i="46"/>
  <c r="O4" i="46"/>
  <c r="M4" i="46"/>
  <c r="K4" i="46"/>
  <c r="I4" i="46"/>
  <c r="G4" i="46"/>
  <c r="E4" i="46"/>
  <c r="S3" i="46"/>
  <c r="Q3" i="46"/>
  <c r="O3" i="46"/>
  <c r="M3" i="46"/>
  <c r="K3" i="46"/>
  <c r="I3" i="46"/>
  <c r="G3" i="46"/>
  <c r="E3" i="46"/>
  <c r="S2" i="46"/>
  <c r="Q2" i="46"/>
  <c r="O2" i="46"/>
  <c r="M2" i="46"/>
  <c r="K2" i="46"/>
  <c r="I2" i="46"/>
  <c r="G2" i="46"/>
  <c r="E2" i="46"/>
  <c r="K4" i="45"/>
  <c r="I4" i="45"/>
  <c r="G4" i="45"/>
  <c r="E4" i="45"/>
  <c r="K3" i="45"/>
  <c r="I3" i="45"/>
  <c r="G3" i="45"/>
  <c r="E3" i="45"/>
  <c r="K2" i="45"/>
  <c r="I2" i="45"/>
  <c r="G2" i="45"/>
  <c r="E2" i="45"/>
  <c r="B63" i="45"/>
  <c r="C43" i="33"/>
  <c r="C44" i="33"/>
  <c r="C45" i="33"/>
  <c r="C46" i="33"/>
  <c r="B29" i="44"/>
  <c r="B30" i="44"/>
  <c r="B31" i="44"/>
  <c r="B32" i="44"/>
  <c r="B33" i="44"/>
  <c r="B34" i="44"/>
  <c r="B35" i="44"/>
  <c r="B36" i="44"/>
  <c r="B37" i="44"/>
  <c r="B38" i="44"/>
  <c r="B39" i="44"/>
  <c r="B40" i="44"/>
  <c r="B41" i="44"/>
  <c r="A29" i="44"/>
  <c r="A30" i="44"/>
  <c r="A31" i="44"/>
  <c r="A32" i="44"/>
  <c r="A33" i="44"/>
  <c r="A34" i="44"/>
  <c r="A35" i="44"/>
  <c r="A36" i="44"/>
  <c r="A37" i="44"/>
  <c r="A38" i="44"/>
  <c r="A39" i="44"/>
  <c r="A40" i="44"/>
  <c r="A41" i="44"/>
  <c r="B34" i="34"/>
  <c r="D22" i="61" s="1"/>
  <c r="B35" i="34"/>
  <c r="D23" i="61" s="1"/>
  <c r="B36" i="34"/>
  <c r="D24" i="61" s="1"/>
  <c r="B37" i="34"/>
  <c r="D25" i="61" s="1"/>
  <c r="B38" i="34"/>
  <c r="D26" i="61" s="1"/>
  <c r="B39" i="34"/>
  <c r="D27" i="61" s="1"/>
  <c r="B40" i="34"/>
  <c r="D28" i="61" s="1"/>
  <c r="B41" i="34"/>
  <c r="D29" i="61" s="1"/>
  <c r="B42" i="34"/>
  <c r="D30" i="61" s="1"/>
  <c r="B43" i="34"/>
  <c r="B45" i="34"/>
  <c r="B46" i="34"/>
  <c r="E3" i="34"/>
  <c r="E2" i="34"/>
  <c r="E4" i="34"/>
  <c r="G4" i="34"/>
  <c r="I4" i="34"/>
  <c r="K4" i="34"/>
  <c r="M4" i="34"/>
  <c r="R4" i="34"/>
  <c r="T4" i="34"/>
  <c r="V4" i="34"/>
  <c r="G3" i="34"/>
  <c r="I3" i="34"/>
  <c r="K3" i="34"/>
  <c r="M3" i="34"/>
  <c r="R3" i="34"/>
  <c r="T3" i="34"/>
  <c r="V3" i="34"/>
  <c r="G2" i="34"/>
  <c r="I2" i="34"/>
  <c r="K2" i="34"/>
  <c r="M2" i="34"/>
  <c r="R2" i="34"/>
  <c r="T2" i="34"/>
  <c r="V2" i="34"/>
  <c r="D2" i="46"/>
  <c r="L3" i="33"/>
  <c r="P4" i="33"/>
  <c r="P3" i="45" s="1"/>
  <c r="N4" i="33"/>
  <c r="N3" i="45" s="1"/>
  <c r="L4" i="33"/>
  <c r="J4" i="33"/>
  <c r="J3" i="46" s="1"/>
  <c r="H4" i="33"/>
  <c r="F3" i="46"/>
  <c r="R3" i="33"/>
  <c r="P3" i="33"/>
  <c r="N3" i="33"/>
  <c r="J3" i="33"/>
  <c r="W29" i="61" l="1"/>
  <c r="B29" i="61"/>
  <c r="W26" i="61"/>
  <c r="B26" i="61"/>
  <c r="W24" i="61"/>
  <c r="B24" i="61"/>
  <c r="W28" i="61"/>
  <c r="B28" i="61"/>
  <c r="W27" i="61"/>
  <c r="B27" i="61"/>
  <c r="W23" i="61"/>
  <c r="B23" i="61"/>
  <c r="W22" i="61"/>
  <c r="B22" i="61"/>
  <c r="W25" i="61"/>
  <c r="B25" i="61"/>
  <c r="W30" i="61"/>
  <c r="B30" i="61"/>
  <c r="B28" i="52"/>
  <c r="Q28" i="52" s="1"/>
  <c r="D28" i="59"/>
  <c r="P42" i="46"/>
  <c r="B24" i="52"/>
  <c r="Q24" i="52" s="1"/>
  <c r="D24" i="59"/>
  <c r="B23" i="52"/>
  <c r="Q23" i="52" s="1"/>
  <c r="D23" i="59"/>
  <c r="P37" i="46"/>
  <c r="B26" i="52"/>
  <c r="Q26" i="52" s="1"/>
  <c r="D26" i="59"/>
  <c r="P36" i="46"/>
  <c r="P46" i="46"/>
  <c r="P43" i="46"/>
  <c r="B27" i="52"/>
  <c r="Q27" i="52" s="1"/>
  <c r="D27" i="59"/>
  <c r="P39" i="46"/>
  <c r="P41" i="46"/>
  <c r="P40" i="46"/>
  <c r="B25" i="52"/>
  <c r="Q25" i="52" s="1"/>
  <c r="D25" i="59"/>
  <c r="B29" i="52"/>
  <c r="Q29" i="52" s="1"/>
  <c r="D29" i="59"/>
  <c r="P38" i="46"/>
  <c r="P45" i="46"/>
  <c r="A36" i="52"/>
  <c r="P36" i="52" s="1"/>
  <c r="C36" i="59"/>
  <c r="U36" i="59" s="1"/>
  <c r="B22" i="52"/>
  <c r="Q22" i="52" s="1"/>
  <c r="D22" i="59"/>
  <c r="B30" i="52"/>
  <c r="Q30" i="52" s="1"/>
  <c r="D30" i="59"/>
  <c r="P44" i="46"/>
  <c r="P35" i="46"/>
  <c r="P33" i="46"/>
  <c r="P34" i="46"/>
  <c r="J70" i="33"/>
  <c r="M52" i="61" s="1"/>
  <c r="AC52" i="61" s="1"/>
  <c r="J72" i="33"/>
  <c r="M54" i="61" s="1"/>
  <c r="AC54" i="61" s="1"/>
  <c r="J71" i="33"/>
  <c r="M53" i="61" s="1"/>
  <c r="AC53" i="61" s="1"/>
  <c r="J69" i="33"/>
  <c r="M51" i="61" s="1"/>
  <c r="AC51" i="61" s="1"/>
  <c r="N71" i="33"/>
  <c r="N71" i="43" s="1"/>
  <c r="N70" i="33"/>
  <c r="N70" i="43" s="1"/>
  <c r="N69" i="33"/>
  <c r="N69" i="43" s="1"/>
  <c r="L69" i="33"/>
  <c r="L69" i="43" s="1"/>
  <c r="L70" i="33"/>
  <c r="L70" i="43" s="1"/>
  <c r="L71" i="33"/>
  <c r="L71" i="43" s="1"/>
  <c r="N37" i="33"/>
  <c r="N36" i="43" s="1"/>
  <c r="N40" i="33"/>
  <c r="N39" i="43" s="1"/>
  <c r="N36" i="33"/>
  <c r="N35" i="43" s="1"/>
  <c r="N38" i="33"/>
  <c r="N37" i="43" s="1"/>
  <c r="N39" i="33"/>
  <c r="N38" i="43" s="1"/>
  <c r="N41" i="33"/>
  <c r="N40" i="43" s="1"/>
  <c r="J2" i="45"/>
  <c r="J36" i="33"/>
  <c r="M23" i="61" s="1"/>
  <c r="AC23" i="61" s="1"/>
  <c r="J37" i="33"/>
  <c r="M24" i="61" s="1"/>
  <c r="AC24" i="61" s="1"/>
  <c r="J38" i="33"/>
  <c r="M25" i="61" s="1"/>
  <c r="AC25" i="61" s="1"/>
  <c r="J39" i="33"/>
  <c r="M26" i="61" s="1"/>
  <c r="AC26" i="61" s="1"/>
  <c r="P2" i="45"/>
  <c r="P36" i="33"/>
  <c r="P35" i="43" s="1"/>
  <c r="P37" i="33"/>
  <c r="P36" i="43" s="1"/>
  <c r="P39" i="33"/>
  <c r="P38" i="43" s="1"/>
  <c r="P38" i="33"/>
  <c r="P37" i="43" s="1"/>
  <c r="P40" i="33"/>
  <c r="P39" i="43" s="1"/>
  <c r="P41" i="33"/>
  <c r="P40" i="43" s="1"/>
  <c r="P42" i="33"/>
  <c r="P41" i="43" s="1"/>
  <c r="R2" i="45"/>
  <c r="R41" i="33"/>
  <c r="R40" i="43" s="1"/>
  <c r="R36" i="33"/>
  <c r="R35" i="43" s="1"/>
  <c r="R37" i="33"/>
  <c r="R36" i="43" s="1"/>
  <c r="R40" i="33"/>
  <c r="R39" i="43" s="1"/>
  <c r="R38" i="33"/>
  <c r="R37" i="43" s="1"/>
  <c r="R39" i="33"/>
  <c r="R38" i="43" s="1"/>
  <c r="L2" i="45"/>
  <c r="L39" i="33"/>
  <c r="L38" i="43" s="1"/>
  <c r="L37" i="33"/>
  <c r="L36" i="43" s="1"/>
  <c r="L38" i="33"/>
  <c r="L37" i="43" s="1"/>
  <c r="L40" i="33"/>
  <c r="L39" i="43" s="1"/>
  <c r="L36" i="33"/>
  <c r="L35" i="43" s="1"/>
  <c r="N2" i="45"/>
  <c r="N5" i="33"/>
  <c r="H3" i="46"/>
  <c r="T4" i="33"/>
  <c r="L3" i="34"/>
  <c r="L3" i="45"/>
  <c r="E75" i="45"/>
  <c r="L3" i="46"/>
  <c r="N2" i="46"/>
  <c r="P3" i="46"/>
  <c r="J2" i="34"/>
  <c r="L2" i="46"/>
  <c r="P2" i="46"/>
  <c r="U2" i="34"/>
  <c r="J3" i="34"/>
  <c r="R2" i="46"/>
  <c r="S2" i="34"/>
  <c r="H3" i="34"/>
  <c r="J2" i="46"/>
  <c r="E76" i="45"/>
  <c r="Q2" i="34"/>
  <c r="F3" i="45"/>
  <c r="Q3" i="34"/>
  <c r="N3" i="46"/>
  <c r="L2" i="34"/>
  <c r="J3" i="45"/>
  <c r="H3" i="45"/>
  <c r="F3" i="34"/>
  <c r="S3" i="34"/>
  <c r="D2" i="34"/>
  <c r="D2" i="45"/>
  <c r="D3" i="45"/>
  <c r="C7" i="46"/>
  <c r="E36" i="46"/>
  <c r="V36" i="46" s="1"/>
  <c r="E37" i="46"/>
  <c r="V37" i="46" s="1"/>
  <c r="E39" i="46"/>
  <c r="V39" i="46" s="1"/>
  <c r="E44" i="46"/>
  <c r="V44" i="46" s="1"/>
  <c r="E45" i="46"/>
  <c r="V45" i="46" s="1"/>
  <c r="E34" i="46"/>
  <c r="V34" i="46" s="1"/>
  <c r="E40" i="46"/>
  <c r="V40" i="46" s="1"/>
  <c r="E41" i="46"/>
  <c r="V41" i="46" s="1"/>
  <c r="E42" i="46"/>
  <c r="V42" i="46" s="1"/>
  <c r="C66" i="34"/>
  <c r="C74" i="43"/>
  <c r="C77" i="43"/>
  <c r="C76" i="43"/>
  <c r="C75" i="43"/>
  <c r="C73" i="43"/>
  <c r="C72" i="43"/>
  <c r="C71" i="43"/>
  <c r="C70" i="43"/>
  <c r="C69" i="43"/>
  <c r="B69" i="43"/>
  <c r="B51" i="43"/>
  <c r="B52" i="43"/>
  <c r="B53" i="43"/>
  <c r="B54" i="43"/>
  <c r="B55" i="43"/>
  <c r="B56" i="43"/>
  <c r="B57" i="43"/>
  <c r="B58" i="43"/>
  <c r="B59" i="43"/>
  <c r="B60" i="43"/>
  <c r="B61" i="43"/>
  <c r="B62" i="43"/>
  <c r="B63" i="43"/>
  <c r="B64" i="43"/>
  <c r="L68" i="46"/>
  <c r="L69" i="46"/>
  <c r="L70" i="46"/>
  <c r="L71" i="46"/>
  <c r="L72" i="46"/>
  <c r="L73" i="46"/>
  <c r="L74" i="46"/>
  <c r="L75" i="46"/>
  <c r="L76" i="46"/>
  <c r="L77" i="46"/>
  <c r="L78" i="46"/>
  <c r="L79" i="46"/>
  <c r="L80" i="46"/>
  <c r="A68" i="46"/>
  <c r="A69" i="46"/>
  <c r="A70" i="46"/>
  <c r="A71" i="46"/>
  <c r="A72" i="46"/>
  <c r="A73" i="46"/>
  <c r="A74" i="46"/>
  <c r="A75" i="46"/>
  <c r="A76" i="46"/>
  <c r="A77" i="46"/>
  <c r="A78" i="46"/>
  <c r="A79" i="46"/>
  <c r="A80" i="46"/>
  <c r="B75" i="46"/>
  <c r="B76" i="46"/>
  <c r="C68" i="46"/>
  <c r="C69" i="46"/>
  <c r="C70" i="46"/>
  <c r="C71" i="46"/>
  <c r="C72" i="46"/>
  <c r="C73" i="46"/>
  <c r="C74" i="46"/>
  <c r="C75" i="46"/>
  <c r="C76" i="46"/>
  <c r="C77" i="46"/>
  <c r="C78" i="46"/>
  <c r="C79" i="46"/>
  <c r="C80" i="46"/>
  <c r="N67" i="45"/>
  <c r="N68" i="45"/>
  <c r="N69" i="45"/>
  <c r="C33" i="45"/>
  <c r="L66" i="34"/>
  <c r="N66" i="34" s="1"/>
  <c r="L16" i="46"/>
  <c r="L17" i="46"/>
  <c r="L18" i="46"/>
  <c r="L19" i="46"/>
  <c r="L20" i="46"/>
  <c r="L21" i="46"/>
  <c r="L22" i="46"/>
  <c r="L23" i="46"/>
  <c r="L24" i="46"/>
  <c r="L25" i="46"/>
  <c r="L26" i="46"/>
  <c r="L27" i="46"/>
  <c r="L28" i="46"/>
  <c r="L29" i="46"/>
  <c r="L30" i="46"/>
  <c r="L4" i="44"/>
  <c r="L8" i="45" s="1"/>
  <c r="L5" i="44"/>
  <c r="L9" i="45" s="1"/>
  <c r="L6" i="44"/>
  <c r="L10" i="45" s="1"/>
  <c r="L7" i="44"/>
  <c r="L11" i="45" s="1"/>
  <c r="L8" i="44"/>
  <c r="L12" i="45" s="1"/>
  <c r="L9" i="44"/>
  <c r="L13" i="45" s="1"/>
  <c r="L10" i="44"/>
  <c r="L14" i="45" s="1"/>
  <c r="L11" i="44"/>
  <c r="L15" i="45" s="1"/>
  <c r="L12" i="44"/>
  <c r="L16" i="45" s="1"/>
  <c r="L13" i="44"/>
  <c r="L17" i="45" s="1"/>
  <c r="L14" i="44"/>
  <c r="L18" i="45" s="1"/>
  <c r="L15" i="44"/>
  <c r="L19" i="45" s="1"/>
  <c r="L16" i="44"/>
  <c r="L20" i="45" s="1"/>
  <c r="L17" i="44"/>
  <c r="L21" i="45" s="1"/>
  <c r="L18" i="44"/>
  <c r="L22" i="45" s="1"/>
  <c r="L19" i="44"/>
  <c r="L23" i="45" s="1"/>
  <c r="L20" i="44"/>
  <c r="L24" i="45" s="1"/>
  <c r="L21" i="44"/>
  <c r="L25" i="45" s="1"/>
  <c r="L22" i="44"/>
  <c r="L26" i="45" s="1"/>
  <c r="L23" i="44"/>
  <c r="L27" i="45" s="1"/>
  <c r="L24" i="44"/>
  <c r="L28" i="45" s="1"/>
  <c r="L25" i="44"/>
  <c r="L29" i="45" s="1"/>
  <c r="L26" i="44"/>
  <c r="L30" i="45" s="1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7" i="45"/>
  <c r="A28" i="45"/>
  <c r="A29" i="45"/>
  <c r="A30" i="45"/>
  <c r="C9" i="34"/>
  <c r="C10" i="34"/>
  <c r="C12" i="34"/>
  <c r="C13" i="34"/>
  <c r="C14" i="34"/>
  <c r="C15" i="34"/>
  <c r="C16" i="34"/>
  <c r="C17" i="34"/>
  <c r="C18" i="34"/>
  <c r="C19" i="34"/>
  <c r="E19" i="34" s="1"/>
  <c r="Q19" i="34" s="1"/>
  <c r="C20" i="34"/>
  <c r="E20" i="34" s="1"/>
  <c r="Q20" i="34" s="1"/>
  <c r="C21" i="34"/>
  <c r="E21" i="34" s="1"/>
  <c r="Q21" i="34" s="1"/>
  <c r="C22" i="34"/>
  <c r="C23" i="34"/>
  <c r="C24" i="34"/>
  <c r="E24" i="34" s="1"/>
  <c r="Q24" i="34" s="1"/>
  <c r="C25" i="34"/>
  <c r="E25" i="34" s="1"/>
  <c r="Q25" i="34" s="1"/>
  <c r="C26" i="34"/>
  <c r="E26" i="34" s="1"/>
  <c r="Q26" i="34" s="1"/>
  <c r="C27" i="34"/>
  <c r="E27" i="34" s="1"/>
  <c r="Q27" i="34" s="1"/>
  <c r="C28" i="34"/>
  <c r="E28" i="34" s="1"/>
  <c r="Q28" i="34" s="1"/>
  <c r="C29" i="34"/>
  <c r="E29" i="34" s="1"/>
  <c r="Q29" i="34" s="1"/>
  <c r="C30" i="34"/>
  <c r="E30" i="34" s="1"/>
  <c r="Q30" i="34" s="1"/>
  <c r="C31" i="34"/>
  <c r="E31" i="34" s="1"/>
  <c r="Q31" i="34" s="1"/>
  <c r="B9" i="34"/>
  <c r="D7" i="61" s="1"/>
  <c r="B10" i="34"/>
  <c r="D8" i="61" s="1"/>
  <c r="B11" i="34"/>
  <c r="D9" i="61" s="1"/>
  <c r="B12" i="34"/>
  <c r="D10" i="61" s="1"/>
  <c r="B13" i="34"/>
  <c r="D11" i="61" s="1"/>
  <c r="B14" i="34"/>
  <c r="D12" i="61" s="1"/>
  <c r="B15" i="34"/>
  <c r="D13" i="61" s="1"/>
  <c r="B16" i="34"/>
  <c r="D14" i="61" s="1"/>
  <c r="B17" i="34"/>
  <c r="D15" i="61" s="1"/>
  <c r="B18" i="34"/>
  <c r="B19" i="34"/>
  <c r="B20" i="34"/>
  <c r="B21" i="34"/>
  <c r="B22" i="34"/>
  <c r="B23" i="34"/>
  <c r="B24" i="34"/>
  <c r="B25" i="34"/>
  <c r="B26" i="34"/>
  <c r="B27" i="34"/>
  <c r="B28" i="34"/>
  <c r="B29" i="34"/>
  <c r="B30" i="34"/>
  <c r="B31" i="34"/>
  <c r="A9" i="34"/>
  <c r="C7" i="61" s="1"/>
  <c r="V7" i="61" s="1"/>
  <c r="A10" i="34"/>
  <c r="C8" i="61" s="1"/>
  <c r="V8" i="61" s="1"/>
  <c r="A11" i="34"/>
  <c r="C9" i="61" s="1"/>
  <c r="V9" i="61" s="1"/>
  <c r="A12" i="34"/>
  <c r="C10" i="61" s="1"/>
  <c r="V10" i="61" s="1"/>
  <c r="A13" i="34"/>
  <c r="C11" i="61" s="1"/>
  <c r="V11" i="61" s="1"/>
  <c r="A14" i="34"/>
  <c r="C12" i="61" s="1"/>
  <c r="V12" i="61" s="1"/>
  <c r="A15" i="34"/>
  <c r="C13" i="61" s="1"/>
  <c r="V13" i="61" s="1"/>
  <c r="A16" i="34"/>
  <c r="C14" i="61" s="1"/>
  <c r="V14" i="61" s="1"/>
  <c r="A17" i="34"/>
  <c r="C15" i="61" s="1"/>
  <c r="V15" i="61" s="1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C8" i="34"/>
  <c r="E8" i="34" s="1"/>
  <c r="Q8" i="34" s="1"/>
  <c r="C21" i="46"/>
  <c r="C22" i="46"/>
  <c r="C23" i="46"/>
  <c r="C24" i="46"/>
  <c r="C25" i="46"/>
  <c r="C26" i="46"/>
  <c r="C27" i="46"/>
  <c r="C28" i="46"/>
  <c r="C29" i="46"/>
  <c r="C30" i="46"/>
  <c r="B21" i="46"/>
  <c r="B22" i="46"/>
  <c r="B23" i="46"/>
  <c r="B24" i="46"/>
  <c r="B25" i="46"/>
  <c r="B26" i="46"/>
  <c r="B27" i="46"/>
  <c r="B28" i="46"/>
  <c r="B29" i="46"/>
  <c r="B30" i="46"/>
  <c r="A22" i="46"/>
  <c r="A23" i="46"/>
  <c r="A24" i="46"/>
  <c r="A25" i="46"/>
  <c r="A26" i="46"/>
  <c r="A27" i="46"/>
  <c r="A28" i="46"/>
  <c r="A29" i="46"/>
  <c r="A30" i="46"/>
  <c r="A21" i="46"/>
  <c r="C18" i="49"/>
  <c r="C19" i="49"/>
  <c r="C20" i="49"/>
  <c r="C21" i="49"/>
  <c r="C22" i="49"/>
  <c r="C23" i="49"/>
  <c r="C24" i="49"/>
  <c r="C25" i="49"/>
  <c r="C26" i="49"/>
  <c r="C27" i="49"/>
  <c r="C28" i="49"/>
  <c r="C29" i="49"/>
  <c r="B18" i="49"/>
  <c r="B19" i="49"/>
  <c r="B20" i="49"/>
  <c r="B21" i="49"/>
  <c r="B22" i="49"/>
  <c r="B23" i="49"/>
  <c r="B24" i="49"/>
  <c r="B25" i="49"/>
  <c r="B26" i="49"/>
  <c r="B27" i="49"/>
  <c r="B28" i="49"/>
  <c r="B29" i="49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B7" i="43"/>
  <c r="B8" i="43"/>
  <c r="B9" i="43"/>
  <c r="B10" i="43"/>
  <c r="B11" i="43"/>
  <c r="B12" i="43"/>
  <c r="B13" i="43"/>
  <c r="B14" i="43"/>
  <c r="B15" i="43"/>
  <c r="B16" i="43"/>
  <c r="B17" i="43"/>
  <c r="B18" i="43"/>
  <c r="B19" i="43"/>
  <c r="B20" i="43"/>
  <c r="B21" i="43"/>
  <c r="B22" i="43"/>
  <c r="B23" i="43"/>
  <c r="B24" i="43"/>
  <c r="B25" i="43"/>
  <c r="B26" i="43"/>
  <c r="B27" i="43"/>
  <c r="B28" i="43"/>
  <c r="B29" i="43"/>
  <c r="R8" i="33"/>
  <c r="R9" i="33"/>
  <c r="R10" i="33"/>
  <c r="R11" i="33"/>
  <c r="R12" i="33"/>
  <c r="R13" i="33"/>
  <c r="R14" i="33"/>
  <c r="R15" i="33"/>
  <c r="R16" i="33"/>
  <c r="R17" i="33"/>
  <c r="R18" i="33"/>
  <c r="R19" i="33"/>
  <c r="R20" i="33"/>
  <c r="R21" i="33"/>
  <c r="R22" i="33"/>
  <c r="R23" i="33"/>
  <c r="R24" i="33"/>
  <c r="R25" i="33"/>
  <c r="R26" i="33"/>
  <c r="R27" i="33"/>
  <c r="R28" i="33"/>
  <c r="R29" i="33"/>
  <c r="R30" i="33"/>
  <c r="R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7" i="33"/>
  <c r="N8" i="33"/>
  <c r="N9" i="33"/>
  <c r="N10" i="33"/>
  <c r="N11" i="33"/>
  <c r="N12" i="33"/>
  <c r="N13" i="33"/>
  <c r="N14" i="33"/>
  <c r="N15" i="33"/>
  <c r="N16" i="33"/>
  <c r="N17" i="33"/>
  <c r="N18" i="33"/>
  <c r="N19" i="33"/>
  <c r="N20" i="33"/>
  <c r="N21" i="33"/>
  <c r="N22" i="33"/>
  <c r="N23" i="33"/>
  <c r="N24" i="33"/>
  <c r="N25" i="33"/>
  <c r="N26" i="33"/>
  <c r="N27" i="33"/>
  <c r="N28" i="33"/>
  <c r="N29" i="33"/>
  <c r="N30" i="33"/>
  <c r="N7" i="33"/>
  <c r="L34" i="33"/>
  <c r="L33" i="43" s="1"/>
  <c r="N34" i="33"/>
  <c r="N33" i="43" s="1"/>
  <c r="K4" i="44"/>
  <c r="K5" i="44"/>
  <c r="K6" i="44"/>
  <c r="K7" i="44"/>
  <c r="K8" i="44"/>
  <c r="K9" i="44"/>
  <c r="K10" i="44"/>
  <c r="K11" i="44"/>
  <c r="K12" i="44"/>
  <c r="K13" i="44"/>
  <c r="K14" i="44"/>
  <c r="K15" i="44"/>
  <c r="K16" i="44"/>
  <c r="K17" i="44"/>
  <c r="K18" i="44"/>
  <c r="K19" i="44"/>
  <c r="K20" i="44"/>
  <c r="K21" i="44"/>
  <c r="K22" i="44"/>
  <c r="K23" i="44"/>
  <c r="K24" i="44"/>
  <c r="K25" i="44"/>
  <c r="K26" i="44"/>
  <c r="J4" i="44"/>
  <c r="J5" i="44"/>
  <c r="J6" i="44"/>
  <c r="J7" i="44"/>
  <c r="J8" i="44"/>
  <c r="J9" i="44"/>
  <c r="J10" i="44"/>
  <c r="J11" i="44"/>
  <c r="J12" i="44"/>
  <c r="J13" i="44"/>
  <c r="J14" i="44"/>
  <c r="J15" i="44"/>
  <c r="J16" i="44"/>
  <c r="J17" i="44"/>
  <c r="J18" i="44"/>
  <c r="J19" i="44"/>
  <c r="J20" i="44"/>
  <c r="J21" i="44"/>
  <c r="J22" i="44"/>
  <c r="J23" i="44"/>
  <c r="J24" i="44"/>
  <c r="J25" i="44"/>
  <c r="J26" i="44"/>
  <c r="I4" i="44"/>
  <c r="I5" i="44"/>
  <c r="I6" i="44"/>
  <c r="I7" i="44"/>
  <c r="I8" i="44"/>
  <c r="I9" i="44"/>
  <c r="I10" i="44"/>
  <c r="I11" i="44"/>
  <c r="I12" i="44"/>
  <c r="I13" i="44"/>
  <c r="I14" i="44"/>
  <c r="I15" i="44"/>
  <c r="I16" i="44"/>
  <c r="I17" i="44"/>
  <c r="I18" i="44"/>
  <c r="I19" i="44"/>
  <c r="I20" i="44"/>
  <c r="I21" i="44"/>
  <c r="I22" i="44"/>
  <c r="I23" i="44"/>
  <c r="I24" i="44"/>
  <c r="I25" i="44"/>
  <c r="I26" i="44"/>
  <c r="H4" i="44"/>
  <c r="H5" i="44"/>
  <c r="H6" i="44"/>
  <c r="H7" i="44"/>
  <c r="H8" i="44"/>
  <c r="H9" i="44"/>
  <c r="H10" i="44"/>
  <c r="H11" i="44"/>
  <c r="H12" i="44"/>
  <c r="H13" i="44"/>
  <c r="H14" i="44"/>
  <c r="H15" i="44"/>
  <c r="H16" i="44"/>
  <c r="H17" i="44"/>
  <c r="H18" i="44"/>
  <c r="H19" i="44"/>
  <c r="H20" i="44"/>
  <c r="H21" i="44"/>
  <c r="H22" i="44"/>
  <c r="H23" i="44"/>
  <c r="H24" i="44"/>
  <c r="H25" i="44"/>
  <c r="H26" i="44"/>
  <c r="G4" i="44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F4" i="44"/>
  <c r="F5" i="44"/>
  <c r="F6" i="44"/>
  <c r="F7" i="44"/>
  <c r="F8" i="44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E4" i="44"/>
  <c r="E5" i="44"/>
  <c r="E6" i="44"/>
  <c r="E7" i="44"/>
  <c r="E8" i="44"/>
  <c r="E9" i="44"/>
  <c r="E10" i="44"/>
  <c r="E11" i="44"/>
  <c r="E12" i="44"/>
  <c r="E13" i="44"/>
  <c r="E14" i="44"/>
  <c r="E15" i="44"/>
  <c r="E16" i="44"/>
  <c r="E17" i="44"/>
  <c r="E18" i="44"/>
  <c r="E19" i="44"/>
  <c r="E20" i="44"/>
  <c r="E21" i="44"/>
  <c r="E22" i="44"/>
  <c r="E23" i="44"/>
  <c r="E24" i="44"/>
  <c r="E25" i="44"/>
  <c r="E26" i="44"/>
  <c r="D4" i="44"/>
  <c r="D5" i="44"/>
  <c r="D6" i="44"/>
  <c r="D7" i="44"/>
  <c r="D8" i="44"/>
  <c r="D9" i="44"/>
  <c r="D10" i="44"/>
  <c r="D11" i="44"/>
  <c r="D12" i="44"/>
  <c r="D13" i="44"/>
  <c r="D14" i="44"/>
  <c r="D15" i="44"/>
  <c r="D16" i="44"/>
  <c r="D17" i="44"/>
  <c r="D18" i="44"/>
  <c r="D19" i="44"/>
  <c r="D20" i="44"/>
  <c r="D21" i="44"/>
  <c r="D22" i="44"/>
  <c r="D23" i="44"/>
  <c r="D24" i="44"/>
  <c r="D25" i="44"/>
  <c r="D26" i="44"/>
  <c r="C4" i="44"/>
  <c r="C5" i="44"/>
  <c r="C6" i="44"/>
  <c r="C10" i="45" s="1"/>
  <c r="E10" i="45" s="1"/>
  <c r="P10" i="45" s="1"/>
  <c r="C7" i="44"/>
  <c r="C11" i="45" s="1"/>
  <c r="C8" i="44"/>
  <c r="C12" i="45" s="1"/>
  <c r="C9" i="44"/>
  <c r="C13" i="45" s="1"/>
  <c r="C10" i="44"/>
  <c r="C14" i="45" s="1"/>
  <c r="C11" i="44"/>
  <c r="C15" i="45" s="1"/>
  <c r="C12" i="44"/>
  <c r="C16" i="45" s="1"/>
  <c r="C13" i="44"/>
  <c r="C17" i="45" s="1"/>
  <c r="C14" i="44"/>
  <c r="C18" i="45" s="1"/>
  <c r="C15" i="44"/>
  <c r="C19" i="45" s="1"/>
  <c r="C16" i="44"/>
  <c r="C20" i="45" s="1"/>
  <c r="C17" i="44"/>
  <c r="C21" i="45" s="1"/>
  <c r="C18" i="44"/>
  <c r="C22" i="45" s="1"/>
  <c r="C19" i="44"/>
  <c r="C23" i="45" s="1"/>
  <c r="C20" i="44"/>
  <c r="C24" i="45" s="1"/>
  <c r="C21" i="44"/>
  <c r="C25" i="45" s="1"/>
  <c r="C22" i="44"/>
  <c r="C26" i="45" s="1"/>
  <c r="C23" i="44"/>
  <c r="C27" i="45" s="1"/>
  <c r="C24" i="44"/>
  <c r="C28" i="45" s="1"/>
  <c r="C25" i="44"/>
  <c r="C29" i="45" s="1"/>
  <c r="C26" i="44"/>
  <c r="C30" i="45" s="1"/>
  <c r="B4" i="44"/>
  <c r="B5" i="44"/>
  <c r="B6" i="44"/>
  <c r="B7" i="44"/>
  <c r="B8" i="44"/>
  <c r="B9" i="44"/>
  <c r="B10" i="44"/>
  <c r="B11" i="44"/>
  <c r="B12" i="44"/>
  <c r="B13" i="44"/>
  <c r="B14" i="44"/>
  <c r="B15" i="44"/>
  <c r="B16" i="44"/>
  <c r="B20" i="45" s="1"/>
  <c r="B17" i="44"/>
  <c r="B18" i="44"/>
  <c r="B19" i="44"/>
  <c r="B20" i="44"/>
  <c r="B21" i="44"/>
  <c r="B22" i="44"/>
  <c r="B23" i="44"/>
  <c r="B24" i="44"/>
  <c r="B25" i="44"/>
  <c r="B26" i="44"/>
  <c r="A4" i="44"/>
  <c r="A5" i="44"/>
  <c r="A6" i="44"/>
  <c r="A7" i="44"/>
  <c r="A8" i="44"/>
  <c r="A9" i="44"/>
  <c r="A10" i="44"/>
  <c r="A11" i="44"/>
  <c r="A12" i="44"/>
  <c r="A13" i="44"/>
  <c r="A14" i="44"/>
  <c r="A15" i="44"/>
  <c r="A16" i="44"/>
  <c r="A17" i="44"/>
  <c r="A18" i="44"/>
  <c r="A19" i="44"/>
  <c r="A20" i="44"/>
  <c r="A21" i="44"/>
  <c r="A22" i="44"/>
  <c r="A23" i="44"/>
  <c r="A24" i="44"/>
  <c r="A25" i="44"/>
  <c r="A26" i="44"/>
  <c r="F3" i="44"/>
  <c r="L25" i="34"/>
  <c r="N25" i="34" s="1"/>
  <c r="L26" i="34"/>
  <c r="N26" i="34" s="1"/>
  <c r="L27" i="34"/>
  <c r="N27" i="34" s="1"/>
  <c r="L28" i="34"/>
  <c r="N28" i="34" s="1"/>
  <c r="L29" i="34"/>
  <c r="N29" i="34" s="1"/>
  <c r="L30" i="34"/>
  <c r="N30" i="34" s="1"/>
  <c r="L31" i="34"/>
  <c r="N31" i="34" s="1"/>
  <c r="L24" i="34"/>
  <c r="N24" i="34" s="1"/>
  <c r="P35" i="33"/>
  <c r="P34" i="43" s="1"/>
  <c r="J8" i="33"/>
  <c r="J9" i="33"/>
  <c r="J10" i="33"/>
  <c r="J11" i="33"/>
  <c r="J12" i="33"/>
  <c r="J13" i="33"/>
  <c r="J14" i="33"/>
  <c r="J15" i="33"/>
  <c r="J16" i="33"/>
  <c r="J17" i="33"/>
  <c r="J18" i="33"/>
  <c r="J19" i="33"/>
  <c r="J20" i="33"/>
  <c r="J21" i="33"/>
  <c r="J22" i="33"/>
  <c r="J23" i="33"/>
  <c r="J24" i="33"/>
  <c r="J25" i="33"/>
  <c r="J26" i="33"/>
  <c r="J27" i="33"/>
  <c r="J28" i="33"/>
  <c r="J29" i="33"/>
  <c r="J30" i="33"/>
  <c r="L20" i="34"/>
  <c r="N20" i="34" s="1"/>
  <c r="L21" i="34"/>
  <c r="N21" i="34" s="1"/>
  <c r="L22" i="34"/>
  <c r="N22" i="34" s="1"/>
  <c r="D23" i="33"/>
  <c r="D24" i="33"/>
  <c r="D25" i="33"/>
  <c r="D26" i="33"/>
  <c r="D27" i="33"/>
  <c r="D28" i="33"/>
  <c r="D29" i="33"/>
  <c r="D30" i="33"/>
  <c r="C23" i="33"/>
  <c r="C24" i="33"/>
  <c r="C25" i="33"/>
  <c r="C26" i="33"/>
  <c r="C27" i="33"/>
  <c r="C28" i="33"/>
  <c r="C29" i="33"/>
  <c r="C30" i="33"/>
  <c r="B28" i="33"/>
  <c r="B29" i="33"/>
  <c r="B30" i="33"/>
  <c r="B23" i="33"/>
  <c r="B24" i="33"/>
  <c r="B25" i="33"/>
  <c r="B26" i="33"/>
  <c r="B27" i="33"/>
  <c r="B8" i="33"/>
  <c r="B9" i="33"/>
  <c r="B10" i="33"/>
  <c r="B11" i="33"/>
  <c r="B12" i="33"/>
  <c r="B13" i="33"/>
  <c r="B14" i="33"/>
  <c r="B15" i="33"/>
  <c r="B16" i="33"/>
  <c r="B17" i="33"/>
  <c r="B18" i="33"/>
  <c r="B19" i="33"/>
  <c r="B20" i="33"/>
  <c r="B21" i="33"/>
  <c r="B22" i="33"/>
  <c r="C8" i="33"/>
  <c r="C9" i="33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L67" i="46"/>
  <c r="C67" i="46"/>
  <c r="C50" i="46"/>
  <c r="A51" i="46"/>
  <c r="A52" i="46"/>
  <c r="A53" i="46"/>
  <c r="A54" i="46"/>
  <c r="A55" i="46"/>
  <c r="A56" i="46"/>
  <c r="A57" i="46"/>
  <c r="A58" i="46"/>
  <c r="A59" i="46"/>
  <c r="A60" i="46"/>
  <c r="A61" i="46"/>
  <c r="A62" i="46"/>
  <c r="A63" i="46"/>
  <c r="A64" i="46"/>
  <c r="B51" i="46"/>
  <c r="B52" i="46"/>
  <c r="B53" i="46"/>
  <c r="B54" i="46"/>
  <c r="B55" i="46"/>
  <c r="B56" i="46"/>
  <c r="B57" i="46"/>
  <c r="B58" i="46"/>
  <c r="B68" i="46" s="1"/>
  <c r="B78" i="46" s="1"/>
  <c r="B59" i="46"/>
  <c r="B69" i="46" s="1"/>
  <c r="B79" i="46" s="1"/>
  <c r="B60" i="46"/>
  <c r="B70" i="46" s="1"/>
  <c r="B80" i="46" s="1"/>
  <c r="B61" i="46"/>
  <c r="B71" i="46" s="1"/>
  <c r="B62" i="46"/>
  <c r="B72" i="46" s="1"/>
  <c r="B63" i="46"/>
  <c r="B73" i="46" s="1"/>
  <c r="B64" i="46"/>
  <c r="B74" i="46" s="1"/>
  <c r="C51" i="46"/>
  <c r="C52" i="46"/>
  <c r="C53" i="46"/>
  <c r="C54" i="46"/>
  <c r="C55" i="46"/>
  <c r="C56" i="46"/>
  <c r="C57" i="46"/>
  <c r="C58" i="46"/>
  <c r="C59" i="46"/>
  <c r="C60" i="46"/>
  <c r="C61" i="46"/>
  <c r="C62" i="46"/>
  <c r="C63" i="46"/>
  <c r="C64" i="46"/>
  <c r="L50" i="46"/>
  <c r="L51" i="46"/>
  <c r="L52" i="46"/>
  <c r="L53" i="46"/>
  <c r="L54" i="46"/>
  <c r="L55" i="46"/>
  <c r="L56" i="46"/>
  <c r="L57" i="46"/>
  <c r="L58" i="46"/>
  <c r="L59" i="46"/>
  <c r="L60" i="46"/>
  <c r="L61" i="46"/>
  <c r="L62" i="46"/>
  <c r="L63" i="46"/>
  <c r="L64" i="46"/>
  <c r="L12" i="46"/>
  <c r="L7" i="46"/>
  <c r="L8" i="46"/>
  <c r="L9" i="46"/>
  <c r="L10" i="46"/>
  <c r="L11" i="46"/>
  <c r="L13" i="46"/>
  <c r="L14" i="46"/>
  <c r="L15" i="46"/>
  <c r="A7" i="45"/>
  <c r="A8" i="45"/>
  <c r="A9" i="45"/>
  <c r="A60" i="44"/>
  <c r="A61" i="44"/>
  <c r="A62" i="44"/>
  <c r="A63" i="44"/>
  <c r="A64" i="44"/>
  <c r="A65" i="44"/>
  <c r="A66" i="44"/>
  <c r="A67" i="44"/>
  <c r="A68" i="44"/>
  <c r="A69" i="44"/>
  <c r="A70" i="44"/>
  <c r="A71" i="44"/>
  <c r="A72" i="44"/>
  <c r="A59" i="44"/>
  <c r="A44" i="44"/>
  <c r="A45" i="44"/>
  <c r="A46" i="44"/>
  <c r="A47" i="44"/>
  <c r="A48" i="44"/>
  <c r="A49" i="44"/>
  <c r="A50" i="44"/>
  <c r="A51" i="44"/>
  <c r="A52" i="44"/>
  <c r="A53" i="44"/>
  <c r="A54" i="44"/>
  <c r="A55" i="44"/>
  <c r="A56" i="44"/>
  <c r="A57" i="44"/>
  <c r="A43" i="44"/>
  <c r="L60" i="44"/>
  <c r="L67" i="45" s="1"/>
  <c r="L61" i="44"/>
  <c r="L68" i="45" s="1"/>
  <c r="L62" i="44"/>
  <c r="L63" i="44"/>
  <c r="L64" i="44"/>
  <c r="L65" i="44"/>
  <c r="L66" i="44"/>
  <c r="L67" i="44"/>
  <c r="L68" i="44"/>
  <c r="L75" i="45" s="1"/>
  <c r="L69" i="44"/>
  <c r="L70" i="44"/>
  <c r="L71" i="44"/>
  <c r="L78" i="45" s="1"/>
  <c r="L72" i="44"/>
  <c r="L59" i="44"/>
  <c r="L66" i="45" s="1"/>
  <c r="K43" i="44"/>
  <c r="L44" i="44"/>
  <c r="L50" i="45" s="1"/>
  <c r="L45" i="44"/>
  <c r="L51" i="45" s="1"/>
  <c r="L46" i="44"/>
  <c r="L47" i="44"/>
  <c r="L53" i="45" s="1"/>
  <c r="L48" i="44"/>
  <c r="L54" i="45" s="1"/>
  <c r="L49" i="44"/>
  <c r="L50" i="44"/>
  <c r="L56" i="45" s="1"/>
  <c r="L51" i="44"/>
  <c r="L57" i="45" s="1"/>
  <c r="L52" i="44"/>
  <c r="L58" i="45" s="1"/>
  <c r="L53" i="44"/>
  <c r="L54" i="44"/>
  <c r="L60" i="45" s="1"/>
  <c r="L55" i="44"/>
  <c r="L61" i="45" s="1"/>
  <c r="L56" i="44"/>
  <c r="L57" i="44"/>
  <c r="L63" i="45" s="1"/>
  <c r="L43" i="44"/>
  <c r="L29" i="44"/>
  <c r="L34" i="45" s="1"/>
  <c r="L30" i="44"/>
  <c r="L35" i="45" s="1"/>
  <c r="L31" i="44"/>
  <c r="L36" i="45" s="1"/>
  <c r="L32" i="44"/>
  <c r="L37" i="45" s="1"/>
  <c r="L33" i="44"/>
  <c r="L38" i="45" s="1"/>
  <c r="L34" i="44"/>
  <c r="L39" i="45" s="1"/>
  <c r="L35" i="44"/>
  <c r="L40" i="45" s="1"/>
  <c r="L36" i="44"/>
  <c r="L41" i="45" s="1"/>
  <c r="L37" i="44"/>
  <c r="L42" i="45" s="1"/>
  <c r="L38" i="44"/>
  <c r="L43" i="45" s="1"/>
  <c r="L39" i="44"/>
  <c r="L44" i="45" s="1"/>
  <c r="L40" i="44"/>
  <c r="L45" i="45" s="1"/>
  <c r="L46" i="45"/>
  <c r="L33" i="45"/>
  <c r="L3" i="44"/>
  <c r="L7" i="45" s="1"/>
  <c r="B7" i="46"/>
  <c r="D74" i="33"/>
  <c r="J56" i="61" s="1"/>
  <c r="Z56" i="61" s="1"/>
  <c r="D75" i="33"/>
  <c r="J57" i="61" s="1"/>
  <c r="Z57" i="61" s="1"/>
  <c r="D72" i="33"/>
  <c r="J54" i="61" s="1"/>
  <c r="Z54" i="61" s="1"/>
  <c r="D71" i="33"/>
  <c r="J53" i="61" s="1"/>
  <c r="Z53" i="61" s="1"/>
  <c r="D70" i="33"/>
  <c r="J52" i="61" s="1"/>
  <c r="Z52" i="61" s="1"/>
  <c r="B7" i="49"/>
  <c r="B8" i="49"/>
  <c r="B9" i="49"/>
  <c r="B10" i="49"/>
  <c r="B11" i="49"/>
  <c r="B12" i="49"/>
  <c r="B13" i="49"/>
  <c r="B14" i="49"/>
  <c r="B15" i="49"/>
  <c r="B16" i="49"/>
  <c r="B17" i="49"/>
  <c r="C14" i="49"/>
  <c r="C15" i="49"/>
  <c r="C16" i="49"/>
  <c r="C17" i="49"/>
  <c r="C34" i="45"/>
  <c r="D81" i="45"/>
  <c r="D82" i="45"/>
  <c r="C69" i="34"/>
  <c r="Y6" i="59"/>
  <c r="M7" i="59" l="1"/>
  <c r="M7" i="61"/>
  <c r="AC7" i="61" s="1"/>
  <c r="J12" i="59"/>
  <c r="J12" i="61"/>
  <c r="Z12" i="61" s="1"/>
  <c r="W10" i="61"/>
  <c r="B10" i="61"/>
  <c r="W11" i="61"/>
  <c r="B11" i="61"/>
  <c r="J11" i="59"/>
  <c r="J11" i="61"/>
  <c r="Z11" i="61" s="1"/>
  <c r="W9" i="61"/>
  <c r="B9" i="61"/>
  <c r="W12" i="61"/>
  <c r="B12" i="61"/>
  <c r="J10" i="59"/>
  <c r="J10" i="61"/>
  <c r="Z10" i="61" s="1"/>
  <c r="J14" i="59"/>
  <c r="J14" i="61"/>
  <c r="Z14" i="61" s="1"/>
  <c r="M8" i="59"/>
  <c r="M8" i="61"/>
  <c r="AC8" i="61" s="1"/>
  <c r="M15" i="59"/>
  <c r="M15" i="61"/>
  <c r="AC15" i="61" s="1"/>
  <c r="J13" i="59"/>
  <c r="J13" i="61"/>
  <c r="Z13" i="61" s="1"/>
  <c r="J9" i="59"/>
  <c r="J9" i="61"/>
  <c r="Z9" i="61" s="1"/>
  <c r="W7" i="61"/>
  <c r="B7" i="61"/>
  <c r="M13" i="59"/>
  <c r="M13" i="61"/>
  <c r="AC13" i="61" s="1"/>
  <c r="M12" i="59"/>
  <c r="M12" i="61"/>
  <c r="AC12" i="61" s="1"/>
  <c r="W8" i="61"/>
  <c r="B8" i="61"/>
  <c r="M14" i="59"/>
  <c r="M14" i="61"/>
  <c r="AC14" i="61" s="1"/>
  <c r="M11" i="59"/>
  <c r="M11" i="61"/>
  <c r="AC11" i="61" s="1"/>
  <c r="W15" i="61"/>
  <c r="B15" i="61"/>
  <c r="W14" i="61"/>
  <c r="B14" i="61"/>
  <c r="M10" i="59"/>
  <c r="M10" i="61"/>
  <c r="AC10" i="61" s="1"/>
  <c r="J15" i="59"/>
  <c r="J15" i="61"/>
  <c r="Z15" i="61" s="1"/>
  <c r="M9" i="59"/>
  <c r="M9" i="61"/>
  <c r="AC9" i="61" s="1"/>
  <c r="W13" i="61"/>
  <c r="B13" i="61"/>
  <c r="J71" i="43"/>
  <c r="M53" i="59"/>
  <c r="D72" i="43"/>
  <c r="J54" i="59"/>
  <c r="J38" i="43"/>
  <c r="M26" i="59"/>
  <c r="J72" i="43"/>
  <c r="M54" i="59"/>
  <c r="J70" i="43"/>
  <c r="M52" i="59"/>
  <c r="J37" i="43"/>
  <c r="M25" i="59"/>
  <c r="D71" i="43"/>
  <c r="J53" i="59"/>
  <c r="J36" i="43"/>
  <c r="M24" i="59"/>
  <c r="D75" i="43"/>
  <c r="J57" i="59"/>
  <c r="D74" i="43"/>
  <c r="J56" i="59"/>
  <c r="J35" i="43"/>
  <c r="M23" i="59"/>
  <c r="J69" i="43"/>
  <c r="M51" i="59"/>
  <c r="D70" i="43"/>
  <c r="J52" i="59"/>
  <c r="V30" i="59"/>
  <c r="B30" i="59"/>
  <c r="V26" i="59"/>
  <c r="B26" i="59"/>
  <c r="V23" i="59"/>
  <c r="B23" i="59"/>
  <c r="V27" i="59"/>
  <c r="B27" i="59"/>
  <c r="V24" i="59"/>
  <c r="B24" i="59"/>
  <c r="V29" i="59"/>
  <c r="B29" i="59"/>
  <c r="V28" i="59"/>
  <c r="B28" i="59"/>
  <c r="V25" i="59"/>
  <c r="B25" i="59"/>
  <c r="V22" i="59"/>
  <c r="B22" i="59"/>
  <c r="B15" i="52"/>
  <c r="Q15" i="52" s="1"/>
  <c r="D15" i="59"/>
  <c r="P21" i="46"/>
  <c r="P77" i="46"/>
  <c r="P58" i="46"/>
  <c r="P13" i="46"/>
  <c r="P10" i="46"/>
  <c r="P55" i="46"/>
  <c r="B14" i="52"/>
  <c r="Q14" i="52" s="1"/>
  <c r="D14" i="59"/>
  <c r="P20" i="46"/>
  <c r="P76" i="46"/>
  <c r="P11" i="46"/>
  <c r="P56" i="46"/>
  <c r="P9" i="46"/>
  <c r="P54" i="46"/>
  <c r="B13" i="52"/>
  <c r="Q13" i="52" s="1"/>
  <c r="D13" i="59"/>
  <c r="P19" i="46"/>
  <c r="P75" i="46"/>
  <c r="P52" i="46"/>
  <c r="B11" i="52"/>
  <c r="Q11" i="52" s="1"/>
  <c r="D11" i="59"/>
  <c r="P17" i="46"/>
  <c r="P73" i="46"/>
  <c r="P18" i="46"/>
  <c r="P74" i="46"/>
  <c r="P12" i="46"/>
  <c r="A15" i="52"/>
  <c r="P15" i="52" s="1"/>
  <c r="C15" i="59"/>
  <c r="U15" i="59" s="1"/>
  <c r="B10" i="52"/>
  <c r="Q10" i="52" s="1"/>
  <c r="D10" i="59"/>
  <c r="P30" i="46"/>
  <c r="P16" i="46"/>
  <c r="P72" i="46"/>
  <c r="P64" i="46"/>
  <c r="A14" i="52"/>
  <c r="P14" i="52" s="1"/>
  <c r="C14" i="59"/>
  <c r="U14" i="59" s="1"/>
  <c r="B9" i="52"/>
  <c r="Q9" i="52" s="1"/>
  <c r="D9" i="59"/>
  <c r="P29" i="46"/>
  <c r="P71" i="46"/>
  <c r="P78" i="46"/>
  <c r="P28" i="46"/>
  <c r="P70" i="46"/>
  <c r="B8" i="52"/>
  <c r="Q8" i="52" s="1"/>
  <c r="D8" i="59"/>
  <c r="A12" i="52"/>
  <c r="P12" i="52" s="1"/>
  <c r="C12" i="59"/>
  <c r="U12" i="59" s="1"/>
  <c r="B7" i="52"/>
  <c r="Q7" i="52" s="1"/>
  <c r="D7" i="59"/>
  <c r="P27" i="46"/>
  <c r="P14" i="46"/>
  <c r="A7" i="52"/>
  <c r="P7" i="52" s="1"/>
  <c r="C7" i="59"/>
  <c r="U7" i="59" s="1"/>
  <c r="P22" i="46"/>
  <c r="B12" i="52"/>
  <c r="Q12" i="52" s="1"/>
  <c r="D12" i="59"/>
  <c r="P61" i="46"/>
  <c r="A11" i="52"/>
  <c r="P11" i="52" s="1"/>
  <c r="C11" i="59"/>
  <c r="U11" i="59" s="1"/>
  <c r="P26" i="46"/>
  <c r="P57" i="46"/>
  <c r="P8" i="46"/>
  <c r="P53" i="46"/>
  <c r="P63" i="46"/>
  <c r="A13" i="52"/>
  <c r="P13" i="52" s="1"/>
  <c r="C13" i="59"/>
  <c r="U13" i="59" s="1"/>
  <c r="P60" i="46"/>
  <c r="A10" i="52"/>
  <c r="P10" i="52" s="1"/>
  <c r="C10" i="59"/>
  <c r="U10" i="59" s="1"/>
  <c r="P25" i="46"/>
  <c r="P62" i="46"/>
  <c r="P15" i="46"/>
  <c r="P59" i="46"/>
  <c r="A9" i="52"/>
  <c r="P9" i="52" s="1"/>
  <c r="C9" i="59"/>
  <c r="U9" i="59" s="1"/>
  <c r="P24" i="46"/>
  <c r="P80" i="46"/>
  <c r="A8" i="52"/>
  <c r="P8" i="52" s="1"/>
  <c r="C8" i="59"/>
  <c r="U8" i="59" s="1"/>
  <c r="P23" i="46"/>
  <c r="P79" i="46"/>
  <c r="P69" i="46"/>
  <c r="P68" i="46"/>
  <c r="P51" i="46"/>
  <c r="P67" i="46"/>
  <c r="P50" i="46"/>
  <c r="P7" i="46"/>
  <c r="L59" i="45"/>
  <c r="L77" i="45"/>
  <c r="L76" i="45"/>
  <c r="L74" i="45"/>
  <c r="L55" i="45"/>
  <c r="L73" i="45"/>
  <c r="T39" i="33"/>
  <c r="L71" i="45"/>
  <c r="L52" i="45"/>
  <c r="L70" i="45"/>
  <c r="T38" i="33"/>
  <c r="L69" i="45"/>
  <c r="T37" i="33"/>
  <c r="L72" i="45"/>
  <c r="T36" i="33"/>
  <c r="L62" i="45"/>
  <c r="L79" i="45"/>
  <c r="E24" i="46"/>
  <c r="V24" i="46" s="1"/>
  <c r="E73" i="46"/>
  <c r="E25" i="46"/>
  <c r="V25" i="46" s="1"/>
  <c r="E60" i="46"/>
  <c r="E52" i="46"/>
  <c r="E80" i="46"/>
  <c r="E72" i="46"/>
  <c r="V72" i="46" s="1"/>
  <c r="E63" i="46"/>
  <c r="E59" i="46"/>
  <c r="E51" i="46"/>
  <c r="V51" i="46" s="1"/>
  <c r="E30" i="46"/>
  <c r="V30" i="46" s="1"/>
  <c r="E71" i="46"/>
  <c r="E26" i="46"/>
  <c r="V26" i="46" s="1"/>
  <c r="E67" i="46"/>
  <c r="V67" i="46" s="1"/>
  <c r="E58" i="46"/>
  <c r="E29" i="46"/>
  <c r="V29" i="46" s="1"/>
  <c r="E21" i="46"/>
  <c r="V21" i="46" s="1"/>
  <c r="E78" i="46"/>
  <c r="E75" i="46"/>
  <c r="V75" i="46" s="1"/>
  <c r="E53" i="46"/>
  <c r="C62" i="50"/>
  <c r="E28" i="46"/>
  <c r="V28" i="46" s="1"/>
  <c r="E77" i="46"/>
  <c r="E69" i="46"/>
  <c r="V69" i="46" s="1"/>
  <c r="E55" i="46"/>
  <c r="E64" i="46"/>
  <c r="E56" i="46"/>
  <c r="E27" i="46"/>
  <c r="V27" i="46" s="1"/>
  <c r="N4" i="45"/>
  <c r="N4" i="46"/>
  <c r="Q4" i="34"/>
  <c r="E24" i="45"/>
  <c r="P24" i="45" s="1"/>
  <c r="E16" i="45"/>
  <c r="P16" i="45" s="1"/>
  <c r="E25" i="45"/>
  <c r="P25" i="45" s="1"/>
  <c r="E15" i="45"/>
  <c r="P15" i="45" s="1"/>
  <c r="E17" i="45"/>
  <c r="P17" i="45" s="1"/>
  <c r="E30" i="45"/>
  <c r="P30" i="45" s="1"/>
  <c r="E22" i="45"/>
  <c r="P22" i="45" s="1"/>
  <c r="E14" i="45"/>
  <c r="P14" i="45" s="1"/>
  <c r="E29" i="45"/>
  <c r="P29" i="45" s="1"/>
  <c r="E21" i="45"/>
  <c r="P21" i="45" s="1"/>
  <c r="E13" i="45"/>
  <c r="P13" i="45" s="1"/>
  <c r="T3" i="45"/>
  <c r="W3" i="34"/>
  <c r="T3" i="46"/>
  <c r="E26" i="45"/>
  <c r="P26" i="45" s="1"/>
  <c r="E18" i="45"/>
  <c r="P18" i="45" s="1"/>
  <c r="E74" i="46"/>
  <c r="E79" i="46"/>
  <c r="E70" i="46"/>
  <c r="E76" i="46"/>
  <c r="E68" i="46"/>
  <c r="V68" i="46" s="1"/>
  <c r="R3" i="45"/>
  <c r="U3" i="34"/>
  <c r="E23" i="45"/>
  <c r="P23" i="45" s="1"/>
  <c r="L49" i="45"/>
  <c r="R3" i="46"/>
  <c r="E38" i="46"/>
  <c r="V38" i="46" s="1"/>
  <c r="E43" i="46"/>
  <c r="V43" i="46" s="1"/>
  <c r="E35" i="46"/>
  <c r="V35" i="46" s="1"/>
  <c r="E57" i="46"/>
  <c r="V57" i="46" s="1"/>
  <c r="E22" i="46"/>
  <c r="V22" i="46" s="1"/>
  <c r="E28" i="45"/>
  <c r="P28" i="45" s="1"/>
  <c r="E20" i="45"/>
  <c r="P20" i="45" s="1"/>
  <c r="E12" i="45"/>
  <c r="P12" i="45" s="1"/>
  <c r="E27" i="45"/>
  <c r="P27" i="45" s="1"/>
  <c r="E19" i="45"/>
  <c r="P19" i="45" s="1"/>
  <c r="E11" i="45"/>
  <c r="P11" i="45" s="1"/>
  <c r="E61" i="46"/>
  <c r="E62" i="46"/>
  <c r="E23" i="34"/>
  <c r="Q23" i="34" s="1"/>
  <c r="E22" i="34"/>
  <c r="Q22" i="34" s="1"/>
  <c r="E54" i="46"/>
  <c r="V15" i="59" l="1"/>
  <c r="B15" i="59"/>
  <c r="V13" i="59"/>
  <c r="B13" i="59"/>
  <c r="V10" i="59"/>
  <c r="B10" i="59"/>
  <c r="V11" i="59"/>
  <c r="B11" i="59"/>
  <c r="V7" i="59"/>
  <c r="B7" i="59"/>
  <c r="V12" i="59"/>
  <c r="B12" i="59"/>
  <c r="V8" i="59"/>
  <c r="B8" i="59"/>
  <c r="V9" i="59"/>
  <c r="B9" i="59"/>
  <c r="V14" i="59"/>
  <c r="B14" i="59"/>
  <c r="V76" i="46"/>
  <c r="V77" i="46"/>
  <c r="V59" i="46"/>
  <c r="V63" i="46"/>
  <c r="V70" i="46"/>
  <c r="V79" i="46"/>
  <c r="V74" i="46"/>
  <c r="V52" i="46"/>
  <c r="V60" i="46"/>
  <c r="V54" i="46"/>
  <c r="V73" i="46"/>
  <c r="V80" i="46"/>
  <c r="V78" i="46"/>
  <c r="V58" i="46"/>
  <c r="V62" i="46"/>
  <c r="V61" i="46"/>
  <c r="V56" i="46"/>
  <c r="V71" i="46"/>
  <c r="V53" i="46"/>
  <c r="V64" i="46"/>
  <c r="V55" i="46"/>
  <c r="E62" i="50"/>
  <c r="D59" i="44" l="1"/>
  <c r="D45" i="44"/>
  <c r="B34" i="43"/>
  <c r="B35" i="43"/>
  <c r="B36" i="43"/>
  <c r="B37" i="43"/>
  <c r="B38" i="43"/>
  <c r="B39" i="43"/>
  <c r="B40" i="43"/>
  <c r="B41" i="43"/>
  <c r="B42" i="43"/>
  <c r="B43" i="43"/>
  <c r="B44" i="43"/>
  <c r="B45" i="43"/>
  <c r="B46" i="43"/>
  <c r="B33" i="43"/>
  <c r="E60" i="44"/>
  <c r="E61" i="44"/>
  <c r="E62" i="44"/>
  <c r="E63" i="44"/>
  <c r="E64" i="44"/>
  <c r="E65" i="44"/>
  <c r="E66" i="44"/>
  <c r="E67" i="44"/>
  <c r="E68" i="44"/>
  <c r="E69" i="44"/>
  <c r="E70" i="44"/>
  <c r="E71" i="44"/>
  <c r="E72" i="44"/>
  <c r="D60" i="44"/>
  <c r="D61" i="44"/>
  <c r="D62" i="44"/>
  <c r="D63" i="44"/>
  <c r="D64" i="44"/>
  <c r="D65" i="44"/>
  <c r="D66" i="44"/>
  <c r="D67" i="44"/>
  <c r="D68" i="44"/>
  <c r="D69" i="44"/>
  <c r="D70" i="44"/>
  <c r="D71" i="44"/>
  <c r="D72" i="44"/>
  <c r="C60" i="44"/>
  <c r="C61" i="44"/>
  <c r="C62" i="44"/>
  <c r="C63" i="44"/>
  <c r="C64" i="44"/>
  <c r="C65" i="44"/>
  <c r="C66" i="44"/>
  <c r="C67" i="44"/>
  <c r="C68" i="44"/>
  <c r="C69" i="44"/>
  <c r="C70" i="44"/>
  <c r="C71" i="44"/>
  <c r="C72" i="44"/>
  <c r="B60" i="44"/>
  <c r="B61" i="44"/>
  <c r="B62" i="44"/>
  <c r="B63" i="44"/>
  <c r="B64" i="44"/>
  <c r="B65" i="44"/>
  <c r="B66" i="44"/>
  <c r="B67" i="44"/>
  <c r="B68" i="44"/>
  <c r="B69" i="44"/>
  <c r="C77" i="49" s="1"/>
  <c r="B70" i="44"/>
  <c r="C78" i="49" s="1"/>
  <c r="B71" i="44"/>
  <c r="C79" i="49" s="1"/>
  <c r="B72" i="44"/>
  <c r="C80" i="49" s="1"/>
  <c r="I60" i="44"/>
  <c r="I61" i="44"/>
  <c r="I62" i="44"/>
  <c r="I63" i="44"/>
  <c r="I64" i="44"/>
  <c r="I65" i="44"/>
  <c r="I66" i="44"/>
  <c r="I67" i="44"/>
  <c r="I68" i="44"/>
  <c r="I69" i="44"/>
  <c r="I70" i="44"/>
  <c r="I71" i="44"/>
  <c r="I72" i="44"/>
  <c r="J60" i="44"/>
  <c r="J61" i="44"/>
  <c r="J62" i="44"/>
  <c r="J63" i="44"/>
  <c r="J64" i="44"/>
  <c r="J65" i="44"/>
  <c r="J66" i="44"/>
  <c r="J67" i="44"/>
  <c r="J68" i="44"/>
  <c r="J69" i="44"/>
  <c r="J70" i="44"/>
  <c r="J71" i="44"/>
  <c r="J72" i="44"/>
  <c r="K60" i="44"/>
  <c r="K61" i="44"/>
  <c r="K62" i="44"/>
  <c r="K63" i="44"/>
  <c r="K64" i="44"/>
  <c r="K65" i="44"/>
  <c r="K66" i="44"/>
  <c r="K67" i="44"/>
  <c r="K68" i="44"/>
  <c r="K69" i="44"/>
  <c r="K70" i="44"/>
  <c r="K71" i="44"/>
  <c r="K72" i="44"/>
  <c r="C44" i="44"/>
  <c r="C45" i="44"/>
  <c r="C46" i="44"/>
  <c r="C47" i="44"/>
  <c r="C48" i="44"/>
  <c r="C49" i="44"/>
  <c r="C50" i="44"/>
  <c r="C51" i="44"/>
  <c r="C52" i="44"/>
  <c r="C53" i="44"/>
  <c r="C54" i="44"/>
  <c r="C55" i="44"/>
  <c r="C56" i="44"/>
  <c r="C57" i="44"/>
  <c r="D44" i="44"/>
  <c r="D46" i="44"/>
  <c r="D47" i="44"/>
  <c r="D48" i="44"/>
  <c r="D49" i="44"/>
  <c r="D50" i="44"/>
  <c r="D51" i="44"/>
  <c r="D52" i="44"/>
  <c r="D53" i="44"/>
  <c r="D54" i="44"/>
  <c r="D55" i="44"/>
  <c r="D56" i="44"/>
  <c r="D57" i="44"/>
  <c r="E44" i="44"/>
  <c r="E45" i="44"/>
  <c r="E46" i="44"/>
  <c r="E47" i="44"/>
  <c r="E48" i="44"/>
  <c r="E49" i="44"/>
  <c r="E50" i="44"/>
  <c r="E51" i="44"/>
  <c r="E52" i="44"/>
  <c r="E53" i="44"/>
  <c r="E54" i="44"/>
  <c r="E55" i="44"/>
  <c r="E56" i="44"/>
  <c r="E57" i="44"/>
  <c r="F44" i="44"/>
  <c r="F45" i="44"/>
  <c r="F46" i="44"/>
  <c r="F47" i="44"/>
  <c r="F48" i="44"/>
  <c r="F49" i="44"/>
  <c r="F50" i="44"/>
  <c r="F51" i="44"/>
  <c r="F52" i="44"/>
  <c r="F53" i="44"/>
  <c r="F54" i="44"/>
  <c r="F55" i="44"/>
  <c r="F56" i="44"/>
  <c r="F57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H44" i="44"/>
  <c r="H45" i="44"/>
  <c r="H46" i="44"/>
  <c r="H47" i="44"/>
  <c r="H48" i="44"/>
  <c r="H49" i="44"/>
  <c r="H50" i="44"/>
  <c r="H51" i="44"/>
  <c r="H52" i="44"/>
  <c r="H53" i="44"/>
  <c r="H54" i="44"/>
  <c r="H55" i="44"/>
  <c r="H56" i="44"/>
  <c r="H57" i="44"/>
  <c r="I44" i="44"/>
  <c r="I45" i="44"/>
  <c r="I46" i="44"/>
  <c r="I47" i="44"/>
  <c r="I48" i="44"/>
  <c r="I49" i="44"/>
  <c r="I50" i="44"/>
  <c r="I51" i="44"/>
  <c r="I52" i="44"/>
  <c r="I53" i="44"/>
  <c r="I54" i="44"/>
  <c r="I55" i="44"/>
  <c r="I56" i="44"/>
  <c r="I57" i="44"/>
  <c r="J44" i="44"/>
  <c r="J45" i="44"/>
  <c r="J46" i="44"/>
  <c r="J47" i="44"/>
  <c r="J48" i="44"/>
  <c r="J49" i="44"/>
  <c r="J50" i="44"/>
  <c r="J51" i="44"/>
  <c r="J52" i="44"/>
  <c r="J53" i="44"/>
  <c r="J54" i="44"/>
  <c r="J55" i="44"/>
  <c r="J56" i="44"/>
  <c r="J57" i="44"/>
  <c r="K44" i="44"/>
  <c r="K45" i="44"/>
  <c r="K46" i="44"/>
  <c r="K47" i="44"/>
  <c r="K48" i="44"/>
  <c r="K49" i="44"/>
  <c r="K50" i="44"/>
  <c r="K51" i="44"/>
  <c r="K52" i="44"/>
  <c r="K53" i="44"/>
  <c r="K54" i="44"/>
  <c r="K55" i="44"/>
  <c r="K56" i="44"/>
  <c r="K57" i="44"/>
  <c r="C74" i="49" l="1"/>
  <c r="B28" i="45"/>
  <c r="C73" i="49"/>
  <c r="B27" i="45"/>
  <c r="C71" i="49"/>
  <c r="B25" i="45"/>
  <c r="C70" i="49"/>
  <c r="B24" i="45"/>
  <c r="C69" i="49"/>
  <c r="B23" i="45"/>
  <c r="C76" i="49"/>
  <c r="B30" i="45"/>
  <c r="C68" i="49"/>
  <c r="B22" i="45"/>
  <c r="C72" i="49"/>
  <c r="B26" i="45"/>
  <c r="C75" i="49"/>
  <c r="B29" i="45"/>
  <c r="C43" i="44"/>
  <c r="D43" i="44"/>
  <c r="F43" i="44"/>
  <c r="G43" i="44"/>
  <c r="H43" i="44"/>
  <c r="I43" i="44"/>
  <c r="J43" i="44"/>
  <c r="E29" i="44"/>
  <c r="E30" i="44"/>
  <c r="E31" i="44"/>
  <c r="E32" i="44"/>
  <c r="E33" i="44"/>
  <c r="E34" i="44"/>
  <c r="E35" i="44"/>
  <c r="E36" i="44"/>
  <c r="E37" i="44"/>
  <c r="E38" i="44"/>
  <c r="E39" i="44"/>
  <c r="F29" i="44"/>
  <c r="F30" i="44"/>
  <c r="F31" i="44"/>
  <c r="F32" i="44"/>
  <c r="F33" i="44"/>
  <c r="F34" i="44"/>
  <c r="F35" i="44"/>
  <c r="F36" i="44"/>
  <c r="F37" i="44"/>
  <c r="F38" i="44"/>
  <c r="G29" i="44"/>
  <c r="G30" i="44"/>
  <c r="G31" i="44"/>
  <c r="G32" i="44"/>
  <c r="G33" i="44"/>
  <c r="G34" i="44"/>
  <c r="G35" i="44"/>
  <c r="G36" i="44"/>
  <c r="G37" i="44"/>
  <c r="G38" i="44"/>
  <c r="G39" i="44"/>
  <c r="H29" i="44"/>
  <c r="H30" i="44"/>
  <c r="H31" i="44"/>
  <c r="H32" i="44"/>
  <c r="H33" i="44"/>
  <c r="H34" i="44"/>
  <c r="H35" i="44"/>
  <c r="H36" i="44"/>
  <c r="H37" i="44"/>
  <c r="H38" i="44"/>
  <c r="H39" i="44"/>
  <c r="I29" i="44"/>
  <c r="I30" i="44"/>
  <c r="I31" i="44"/>
  <c r="I32" i="44"/>
  <c r="I33" i="44"/>
  <c r="I34" i="44"/>
  <c r="I35" i="44"/>
  <c r="I36" i="44"/>
  <c r="I37" i="44"/>
  <c r="I38" i="44"/>
  <c r="I39" i="44"/>
  <c r="J29" i="44"/>
  <c r="J30" i="44"/>
  <c r="J31" i="44"/>
  <c r="J32" i="44"/>
  <c r="J33" i="44"/>
  <c r="J34" i="44"/>
  <c r="J35" i="44"/>
  <c r="J36" i="44"/>
  <c r="J37" i="44"/>
  <c r="J38" i="44"/>
  <c r="J39" i="44"/>
  <c r="J40" i="44"/>
  <c r="J41" i="44"/>
  <c r="K29" i="44"/>
  <c r="K30" i="44"/>
  <c r="K31" i="44"/>
  <c r="K32" i="44"/>
  <c r="K33" i="44"/>
  <c r="K34" i="44"/>
  <c r="K35" i="44"/>
  <c r="K36" i="44"/>
  <c r="K37" i="44"/>
  <c r="K38" i="44"/>
  <c r="K39" i="44"/>
  <c r="J3" i="44"/>
  <c r="K3" i="44"/>
  <c r="G40" i="44"/>
  <c r="G41" i="44"/>
  <c r="F39" i="44"/>
  <c r="F40" i="44"/>
  <c r="F41" i="44"/>
  <c r="D29" i="44"/>
  <c r="D30" i="44"/>
  <c r="D31" i="44"/>
  <c r="D32" i="44"/>
  <c r="D33" i="44"/>
  <c r="D34" i="44"/>
  <c r="D35" i="44"/>
  <c r="D36" i="44"/>
  <c r="D37" i="44"/>
  <c r="D38" i="44"/>
  <c r="D39" i="44"/>
  <c r="G28" i="44"/>
  <c r="L67" i="34"/>
  <c r="N67" i="34" s="1"/>
  <c r="L68" i="34"/>
  <c r="N68" i="34" s="1"/>
  <c r="L69" i="34"/>
  <c r="N69" i="34" s="1"/>
  <c r="L70" i="34"/>
  <c r="N70" i="34" s="1"/>
  <c r="L71" i="34"/>
  <c r="N71" i="34" s="1"/>
  <c r="L72" i="34"/>
  <c r="N72" i="34" s="1"/>
  <c r="L73" i="34"/>
  <c r="N73" i="34" s="1"/>
  <c r="L74" i="34"/>
  <c r="N74" i="34" s="1"/>
  <c r="L75" i="34"/>
  <c r="N75" i="34" s="1"/>
  <c r="L76" i="34"/>
  <c r="N76" i="34" s="1"/>
  <c r="L77" i="34"/>
  <c r="N77" i="34" s="1"/>
  <c r="L78" i="34"/>
  <c r="N78" i="34" s="1"/>
  <c r="L79" i="34"/>
  <c r="N79" i="34" s="1"/>
  <c r="L50" i="34"/>
  <c r="N50" i="34" s="1"/>
  <c r="L51" i="34"/>
  <c r="N51" i="34" s="1"/>
  <c r="L52" i="34"/>
  <c r="N52" i="34" s="1"/>
  <c r="L53" i="34"/>
  <c r="N53" i="34" s="1"/>
  <c r="L54" i="34"/>
  <c r="N54" i="34" s="1"/>
  <c r="L55" i="34"/>
  <c r="N55" i="34" s="1"/>
  <c r="L56" i="34"/>
  <c r="N56" i="34" s="1"/>
  <c r="L57" i="34"/>
  <c r="N57" i="34" s="1"/>
  <c r="L58" i="34"/>
  <c r="N58" i="34" s="1"/>
  <c r="L59" i="34"/>
  <c r="N59" i="34" s="1"/>
  <c r="L60" i="34"/>
  <c r="N60" i="34" s="1"/>
  <c r="L61" i="34"/>
  <c r="N61" i="34" s="1"/>
  <c r="L62" i="34"/>
  <c r="N62" i="34" s="1"/>
  <c r="L63" i="34"/>
  <c r="N63" i="34" s="1"/>
  <c r="L49" i="34"/>
  <c r="N49" i="34" s="1"/>
  <c r="L34" i="34"/>
  <c r="N34" i="34" s="1"/>
  <c r="L35" i="34"/>
  <c r="N35" i="34" s="1"/>
  <c r="L36" i="34"/>
  <c r="N36" i="34" s="1"/>
  <c r="L37" i="34"/>
  <c r="N37" i="34" s="1"/>
  <c r="L38" i="34"/>
  <c r="N38" i="34" s="1"/>
  <c r="L39" i="34"/>
  <c r="N39" i="34" s="1"/>
  <c r="L40" i="34"/>
  <c r="N40" i="34" s="1"/>
  <c r="L41" i="34"/>
  <c r="N41" i="34" s="1"/>
  <c r="L42" i="34"/>
  <c r="N42" i="34" s="1"/>
  <c r="L43" i="34"/>
  <c r="N43" i="34" s="1"/>
  <c r="L45" i="34"/>
  <c r="N45" i="34" s="1"/>
  <c r="L46" i="34"/>
  <c r="N46" i="34" s="1"/>
  <c r="L33" i="34"/>
  <c r="N33" i="34" s="1"/>
  <c r="L15" i="34"/>
  <c r="N15" i="34" s="1"/>
  <c r="L16" i="34"/>
  <c r="N16" i="34" s="1"/>
  <c r="L17" i="34"/>
  <c r="N17" i="34" s="1"/>
  <c r="L18" i="34"/>
  <c r="N18" i="34" s="1"/>
  <c r="L19" i="34"/>
  <c r="N19" i="34" s="1"/>
  <c r="L23" i="34"/>
  <c r="N23" i="34" s="1"/>
  <c r="L9" i="34"/>
  <c r="N9" i="34" s="1"/>
  <c r="L10" i="34"/>
  <c r="N10" i="34" s="1"/>
  <c r="L11" i="34"/>
  <c r="N11" i="34" s="1"/>
  <c r="L12" i="34"/>
  <c r="N12" i="34" s="1"/>
  <c r="L13" i="34"/>
  <c r="N13" i="34" s="1"/>
  <c r="L14" i="34"/>
  <c r="N14" i="34" s="1"/>
  <c r="L8" i="34"/>
  <c r="N8" i="34" s="1"/>
  <c r="G3" i="44"/>
  <c r="B67" i="34"/>
  <c r="D52" i="61" s="1"/>
  <c r="B68" i="34"/>
  <c r="D53" i="61" s="1"/>
  <c r="B69" i="34"/>
  <c r="D54" i="61" s="1"/>
  <c r="B70" i="34"/>
  <c r="D55" i="61" s="1"/>
  <c r="B71" i="34"/>
  <c r="D56" i="61" s="1"/>
  <c r="B72" i="34"/>
  <c r="D57" i="61" s="1"/>
  <c r="B73" i="34"/>
  <c r="D58" i="61" s="1"/>
  <c r="B74" i="34"/>
  <c r="D59" i="61" s="1"/>
  <c r="B75" i="34"/>
  <c r="D60" i="61" s="1"/>
  <c r="B76" i="34"/>
  <c r="B77" i="34"/>
  <c r="B78" i="34"/>
  <c r="B79" i="34"/>
  <c r="B66" i="34"/>
  <c r="D51" i="61" s="1"/>
  <c r="B49" i="34"/>
  <c r="D36" i="61" s="1"/>
  <c r="D73" i="33"/>
  <c r="J55" i="61" s="1"/>
  <c r="Z55" i="61" s="1"/>
  <c r="A67" i="34"/>
  <c r="C52" i="61" s="1"/>
  <c r="V52" i="61" s="1"/>
  <c r="A68" i="34"/>
  <c r="C53" i="61" s="1"/>
  <c r="V53" i="61" s="1"/>
  <c r="A69" i="34"/>
  <c r="C54" i="61" s="1"/>
  <c r="V54" i="61" s="1"/>
  <c r="A70" i="34"/>
  <c r="C55" i="61" s="1"/>
  <c r="V55" i="61" s="1"/>
  <c r="A71" i="34"/>
  <c r="C56" i="61" s="1"/>
  <c r="V56" i="61" s="1"/>
  <c r="A72" i="34"/>
  <c r="C57" i="61" s="1"/>
  <c r="V57" i="61" s="1"/>
  <c r="A73" i="34"/>
  <c r="C58" i="61" s="1"/>
  <c r="V58" i="61" s="1"/>
  <c r="A74" i="34"/>
  <c r="C59" i="61" s="1"/>
  <c r="V59" i="61" s="1"/>
  <c r="A75" i="34"/>
  <c r="C60" i="61" s="1"/>
  <c r="V60" i="61" s="1"/>
  <c r="A76" i="34"/>
  <c r="A77" i="34"/>
  <c r="A78" i="34"/>
  <c r="A7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A50" i="34"/>
  <c r="C37" i="61" s="1"/>
  <c r="V37" i="61" s="1"/>
  <c r="A51" i="34"/>
  <c r="C38" i="61" s="1"/>
  <c r="V38" i="61" s="1"/>
  <c r="A52" i="34"/>
  <c r="C39" i="61" s="1"/>
  <c r="V39" i="61" s="1"/>
  <c r="A53" i="34"/>
  <c r="C40" i="61" s="1"/>
  <c r="V40" i="61" s="1"/>
  <c r="A54" i="34"/>
  <c r="C41" i="61" s="1"/>
  <c r="V41" i="61" s="1"/>
  <c r="A55" i="34"/>
  <c r="C42" i="61" s="1"/>
  <c r="V42" i="61" s="1"/>
  <c r="A56" i="34"/>
  <c r="C43" i="61" s="1"/>
  <c r="V43" i="61" s="1"/>
  <c r="A57" i="34"/>
  <c r="C44" i="61" s="1"/>
  <c r="V44" i="61" s="1"/>
  <c r="A58" i="34"/>
  <c r="C45" i="61" s="1"/>
  <c r="V45" i="61" s="1"/>
  <c r="A59" i="34"/>
  <c r="A60" i="34"/>
  <c r="A61" i="34"/>
  <c r="A62" i="34"/>
  <c r="A63" i="34"/>
  <c r="A34" i="34"/>
  <c r="C22" i="61" s="1"/>
  <c r="V22" i="61" s="1"/>
  <c r="A35" i="34"/>
  <c r="C23" i="61" s="1"/>
  <c r="V23" i="61" s="1"/>
  <c r="A36" i="34"/>
  <c r="C24" i="61" s="1"/>
  <c r="V24" i="61" s="1"/>
  <c r="A37" i="34"/>
  <c r="C25" i="61" s="1"/>
  <c r="V25" i="61" s="1"/>
  <c r="A38" i="34"/>
  <c r="C26" i="61" s="1"/>
  <c r="V26" i="61" s="1"/>
  <c r="A39" i="34"/>
  <c r="C27" i="61" s="1"/>
  <c r="V27" i="61" s="1"/>
  <c r="A40" i="34"/>
  <c r="C28" i="61" s="1"/>
  <c r="V28" i="61" s="1"/>
  <c r="A41" i="34"/>
  <c r="C29" i="61" s="1"/>
  <c r="V29" i="61" s="1"/>
  <c r="A42" i="34"/>
  <c r="C30" i="61" s="1"/>
  <c r="V30" i="61" s="1"/>
  <c r="A43" i="34"/>
  <c r="A44" i="34"/>
  <c r="A45" i="34"/>
  <c r="A46" i="34"/>
  <c r="C40" i="34"/>
  <c r="C41" i="34"/>
  <c r="C42" i="34"/>
  <c r="C43" i="34"/>
  <c r="E43" i="34" s="1"/>
  <c r="C45" i="34"/>
  <c r="C46" i="34"/>
  <c r="C34" i="34"/>
  <c r="C35" i="34"/>
  <c r="C36" i="34"/>
  <c r="C37" i="34"/>
  <c r="C38" i="34"/>
  <c r="C39" i="34"/>
  <c r="B33" i="34"/>
  <c r="D21" i="61" s="1"/>
  <c r="A33" i="34"/>
  <c r="C21" i="61" s="1"/>
  <c r="V21" i="61" s="1"/>
  <c r="W55" i="61" l="1"/>
  <c r="B55" i="61"/>
  <c r="W54" i="61"/>
  <c r="B54" i="61"/>
  <c r="W53" i="61"/>
  <c r="B53" i="61"/>
  <c r="W52" i="61"/>
  <c r="B52" i="61"/>
  <c r="W56" i="61"/>
  <c r="B56" i="61"/>
  <c r="W36" i="61"/>
  <c r="B36" i="61"/>
  <c r="W21" i="61"/>
  <c r="B21" i="61"/>
  <c r="W60" i="61"/>
  <c r="B60" i="61"/>
  <c r="W51" i="61"/>
  <c r="B51" i="61"/>
  <c r="W59" i="61"/>
  <c r="B59" i="61"/>
  <c r="W58" i="61"/>
  <c r="B58" i="61"/>
  <c r="W57" i="61"/>
  <c r="B57" i="61"/>
  <c r="D73" i="43"/>
  <c r="J55" i="59"/>
  <c r="A39" i="52"/>
  <c r="P39" i="52" s="1"/>
  <c r="C39" i="59"/>
  <c r="U39" i="59" s="1"/>
  <c r="A54" i="52"/>
  <c r="P54" i="52" s="1"/>
  <c r="C54" i="59"/>
  <c r="U54" i="59" s="1"/>
  <c r="B56" i="52"/>
  <c r="Q56" i="52" s="1"/>
  <c r="D56" i="59"/>
  <c r="A38" i="52"/>
  <c r="P38" i="52" s="1"/>
  <c r="C38" i="59"/>
  <c r="U38" i="59" s="1"/>
  <c r="A52" i="52"/>
  <c r="P52" i="52" s="1"/>
  <c r="C52" i="59"/>
  <c r="U52" i="59" s="1"/>
  <c r="B55" i="52"/>
  <c r="Q55" i="52" s="1"/>
  <c r="D55" i="59"/>
  <c r="B53" i="52"/>
  <c r="Q53" i="52" s="1"/>
  <c r="D53" i="59"/>
  <c r="B36" i="52"/>
  <c r="Q36" i="52" s="1"/>
  <c r="D36" i="59"/>
  <c r="B52" i="52"/>
  <c r="Q52" i="52" s="1"/>
  <c r="D52" i="59"/>
  <c r="A22" i="52"/>
  <c r="P22" i="52" s="1"/>
  <c r="C22" i="59"/>
  <c r="U22" i="59" s="1"/>
  <c r="B21" i="52"/>
  <c r="Q21" i="52" s="1"/>
  <c r="D21" i="59"/>
  <c r="A25" i="52"/>
  <c r="P25" i="52" s="1"/>
  <c r="C25" i="59"/>
  <c r="U25" i="59" s="1"/>
  <c r="B51" i="52"/>
  <c r="Q51" i="52" s="1"/>
  <c r="D51" i="59"/>
  <c r="A24" i="52"/>
  <c r="P24" i="52" s="1"/>
  <c r="C24" i="59"/>
  <c r="U24" i="59" s="1"/>
  <c r="A23" i="52"/>
  <c r="P23" i="52" s="1"/>
  <c r="C23" i="59"/>
  <c r="U23" i="59" s="1"/>
  <c r="A37" i="52"/>
  <c r="P37" i="52" s="1"/>
  <c r="C37" i="59"/>
  <c r="U37" i="59" s="1"/>
  <c r="A21" i="52"/>
  <c r="P21" i="52" s="1"/>
  <c r="C21" i="59"/>
  <c r="U21" i="59" s="1"/>
  <c r="A60" i="52"/>
  <c r="P60" i="52" s="1"/>
  <c r="C60" i="59"/>
  <c r="U60" i="59" s="1"/>
  <c r="A30" i="52"/>
  <c r="P30" i="52" s="1"/>
  <c r="C30" i="59"/>
  <c r="U30" i="59" s="1"/>
  <c r="A45" i="52"/>
  <c r="P45" i="52" s="1"/>
  <c r="C45" i="59"/>
  <c r="U45" i="59" s="1"/>
  <c r="A59" i="52"/>
  <c r="P59" i="52" s="1"/>
  <c r="C59" i="59"/>
  <c r="U59" i="59" s="1"/>
  <c r="A53" i="52"/>
  <c r="P53" i="52" s="1"/>
  <c r="C53" i="59"/>
  <c r="U53" i="59" s="1"/>
  <c r="B60" i="52"/>
  <c r="Q60" i="52" s="1"/>
  <c r="D60" i="59"/>
  <c r="A29" i="52"/>
  <c r="P29" i="52" s="1"/>
  <c r="C29" i="59"/>
  <c r="U29" i="59" s="1"/>
  <c r="A28" i="52"/>
  <c r="P28" i="52" s="1"/>
  <c r="C28" i="59"/>
  <c r="U28" i="59" s="1"/>
  <c r="A43" i="52"/>
  <c r="P43" i="52" s="1"/>
  <c r="C43" i="59"/>
  <c r="U43" i="59" s="1"/>
  <c r="A57" i="52"/>
  <c r="P57" i="52" s="1"/>
  <c r="C57" i="59"/>
  <c r="U57" i="59" s="1"/>
  <c r="B59" i="52"/>
  <c r="Q59" i="52" s="1"/>
  <c r="D59" i="59"/>
  <c r="A27" i="52"/>
  <c r="P27" i="52" s="1"/>
  <c r="C27" i="59"/>
  <c r="U27" i="59" s="1"/>
  <c r="A42" i="52"/>
  <c r="P42" i="52" s="1"/>
  <c r="C42" i="59"/>
  <c r="U42" i="59" s="1"/>
  <c r="A56" i="52"/>
  <c r="P56" i="52" s="1"/>
  <c r="C56" i="59"/>
  <c r="U56" i="59" s="1"/>
  <c r="B58" i="52"/>
  <c r="Q58" i="52" s="1"/>
  <c r="D58" i="59"/>
  <c r="A40" i="52"/>
  <c r="P40" i="52" s="1"/>
  <c r="C40" i="59"/>
  <c r="U40" i="59" s="1"/>
  <c r="Q43" i="34"/>
  <c r="B54" i="52"/>
  <c r="Q54" i="52" s="1"/>
  <c r="D54" i="59"/>
  <c r="A44" i="52"/>
  <c r="P44" i="52" s="1"/>
  <c r="C44" i="59"/>
  <c r="U44" i="59" s="1"/>
  <c r="A58" i="52"/>
  <c r="P58" i="52" s="1"/>
  <c r="C58" i="59"/>
  <c r="U58" i="59" s="1"/>
  <c r="A26" i="52"/>
  <c r="P26" i="52" s="1"/>
  <c r="C26" i="59"/>
  <c r="U26" i="59" s="1"/>
  <c r="A41" i="52"/>
  <c r="P41" i="52" s="1"/>
  <c r="C41" i="59"/>
  <c r="U41" i="59" s="1"/>
  <c r="A55" i="52"/>
  <c r="P55" i="52" s="1"/>
  <c r="C55" i="59"/>
  <c r="U55" i="59" s="1"/>
  <c r="B57" i="52"/>
  <c r="Q57" i="52" s="1"/>
  <c r="D57" i="59"/>
  <c r="E34" i="34"/>
  <c r="Q34" i="34" s="1"/>
  <c r="E39" i="34"/>
  <c r="E36" i="34"/>
  <c r="E38" i="34"/>
  <c r="E37" i="34"/>
  <c r="E42" i="34"/>
  <c r="E45" i="34"/>
  <c r="E46" i="34"/>
  <c r="E40" i="34"/>
  <c r="E41" i="34"/>
  <c r="E35" i="34"/>
  <c r="Q35" i="34" s="1"/>
  <c r="V54" i="59" l="1"/>
  <c r="B54" i="59"/>
  <c r="V51" i="59"/>
  <c r="B51" i="59"/>
  <c r="V57" i="59"/>
  <c r="B57" i="59"/>
  <c r="V52" i="59"/>
  <c r="B52" i="59"/>
  <c r="V36" i="59"/>
  <c r="B36" i="59"/>
  <c r="V56" i="59"/>
  <c r="B56" i="59"/>
  <c r="V53" i="59"/>
  <c r="B53" i="59"/>
  <c r="V59" i="59"/>
  <c r="B59" i="59"/>
  <c r="V60" i="59"/>
  <c r="B60" i="59"/>
  <c r="V58" i="59"/>
  <c r="B58" i="59"/>
  <c r="V21" i="59"/>
  <c r="B21" i="59"/>
  <c r="V55" i="59"/>
  <c r="B55" i="59"/>
  <c r="Q40" i="34"/>
  <c r="Q46" i="34"/>
  <c r="Q45" i="34"/>
  <c r="Q41" i="34"/>
  <c r="Q42" i="34"/>
  <c r="Q37" i="34"/>
  <c r="Q38" i="34"/>
  <c r="Q36" i="34"/>
  <c r="Q39" i="34"/>
  <c r="M47" i="33"/>
  <c r="O47" i="33"/>
  <c r="O46" i="33"/>
  <c r="Q46" i="33"/>
  <c r="M46" i="33"/>
  <c r="K75" i="50" l="1"/>
  <c r="J75" i="50"/>
  <c r="C75" i="50"/>
  <c r="E75" i="50" s="1"/>
  <c r="P58" i="50" s="1"/>
  <c r="A75" i="50"/>
  <c r="K74" i="50"/>
  <c r="J74" i="50"/>
  <c r="C74" i="50"/>
  <c r="A74" i="50"/>
  <c r="K73" i="50"/>
  <c r="J73" i="50"/>
  <c r="C73" i="50"/>
  <c r="E73" i="50" s="1"/>
  <c r="P56" i="50" s="1"/>
  <c r="A73" i="50"/>
  <c r="K72" i="50"/>
  <c r="J72" i="50"/>
  <c r="C72" i="50"/>
  <c r="B72" i="50"/>
  <c r="A72" i="50"/>
  <c r="K71" i="50"/>
  <c r="J71" i="50"/>
  <c r="C71" i="50"/>
  <c r="E71" i="50" s="1"/>
  <c r="P54" i="50" s="1"/>
  <c r="B71" i="50"/>
  <c r="A71" i="50"/>
  <c r="K70" i="50"/>
  <c r="J70" i="50"/>
  <c r="C70" i="50"/>
  <c r="B70" i="50"/>
  <c r="A70" i="50"/>
  <c r="K69" i="50"/>
  <c r="J69" i="50"/>
  <c r="C69" i="50"/>
  <c r="E69" i="50" s="1"/>
  <c r="P52" i="50" s="1"/>
  <c r="A69" i="50"/>
  <c r="K68" i="50"/>
  <c r="J68" i="50"/>
  <c r="C68" i="50"/>
  <c r="A68" i="50"/>
  <c r="K67" i="50"/>
  <c r="J67" i="50"/>
  <c r="C67" i="50"/>
  <c r="E67" i="50" s="1"/>
  <c r="P50" i="50" s="1"/>
  <c r="A67" i="50"/>
  <c r="K66" i="50"/>
  <c r="J66" i="50"/>
  <c r="C66" i="50"/>
  <c r="A66" i="50"/>
  <c r="K65" i="50"/>
  <c r="J65" i="50"/>
  <c r="C65" i="50"/>
  <c r="E65" i="50" s="1"/>
  <c r="P48" i="50" s="1"/>
  <c r="A65" i="50"/>
  <c r="K64" i="50"/>
  <c r="J64" i="50"/>
  <c r="C64" i="50"/>
  <c r="A64" i="50"/>
  <c r="K63" i="50"/>
  <c r="J63" i="50"/>
  <c r="C63" i="50"/>
  <c r="E63" i="50" s="1"/>
  <c r="B63" i="50"/>
  <c r="A63" i="50"/>
  <c r="P62" i="50"/>
  <c r="B62" i="50"/>
  <c r="A62" i="50"/>
  <c r="C59" i="50"/>
  <c r="E59" i="50" s="1"/>
  <c r="P41" i="50" s="1"/>
  <c r="B59" i="50"/>
  <c r="A59" i="50"/>
  <c r="C58" i="50"/>
  <c r="B58" i="50"/>
  <c r="A58" i="50"/>
  <c r="C57" i="50"/>
  <c r="E57" i="50" s="1"/>
  <c r="P39" i="50" s="1"/>
  <c r="B57" i="50"/>
  <c r="A57" i="50"/>
  <c r="C56" i="50"/>
  <c r="B56" i="50"/>
  <c r="A56" i="50"/>
  <c r="C55" i="50"/>
  <c r="E55" i="50" s="1"/>
  <c r="P37" i="50" s="1"/>
  <c r="B55" i="50"/>
  <c r="A55" i="50"/>
  <c r="C54" i="50"/>
  <c r="B54" i="50"/>
  <c r="A54" i="50"/>
  <c r="C47" i="50"/>
  <c r="E47" i="50" s="1"/>
  <c r="B47" i="50"/>
  <c r="B46" i="50"/>
  <c r="A46" i="50"/>
  <c r="P45" i="50"/>
  <c r="B45" i="50"/>
  <c r="A45" i="50"/>
  <c r="K41" i="50"/>
  <c r="J41" i="50"/>
  <c r="C41" i="50"/>
  <c r="B41" i="50"/>
  <c r="A41" i="50"/>
  <c r="K40" i="50"/>
  <c r="J40" i="50"/>
  <c r="C40" i="50"/>
  <c r="E40" i="50" s="1"/>
  <c r="B40" i="50"/>
  <c r="A40" i="50"/>
  <c r="K39" i="50"/>
  <c r="J39" i="50"/>
  <c r="C39" i="50"/>
  <c r="E39" i="50" s="1"/>
  <c r="B39" i="50"/>
  <c r="A39" i="50"/>
  <c r="K38" i="50"/>
  <c r="J38" i="50"/>
  <c r="C38" i="50"/>
  <c r="B38" i="50"/>
  <c r="A38" i="50"/>
  <c r="K37" i="50"/>
  <c r="I37" i="50"/>
  <c r="C37" i="50"/>
  <c r="E37" i="50" s="1"/>
  <c r="B37" i="50"/>
  <c r="A37" i="50"/>
  <c r="K36" i="50"/>
  <c r="J36" i="50"/>
  <c r="C36" i="50"/>
  <c r="E36" i="50" s="1"/>
  <c r="B36" i="50"/>
  <c r="A36" i="50"/>
  <c r="Q35" i="50"/>
  <c r="R35" i="50" s="1"/>
  <c r="S35" i="50" s="1"/>
  <c r="T35" i="50" s="1"/>
  <c r="U35" i="50" s="1"/>
  <c r="V35" i="50" s="1"/>
  <c r="W35" i="50" s="1"/>
  <c r="X35" i="50" s="1"/>
  <c r="Y35" i="50" s="1"/>
  <c r="Z35" i="50" s="1"/>
  <c r="AA35" i="50" s="1"/>
  <c r="AB35" i="50" s="1"/>
  <c r="AC35" i="50" s="1"/>
  <c r="AD35" i="50" s="1"/>
  <c r="AE35" i="50" s="1"/>
  <c r="AF35" i="50" s="1"/>
  <c r="AG35" i="50" s="1"/>
  <c r="AH35" i="50" s="1"/>
  <c r="AI35" i="50" s="1"/>
  <c r="AJ35" i="50" s="1"/>
  <c r="AK35" i="50" s="1"/>
  <c r="AL35" i="50" s="1"/>
  <c r="AM35" i="50" s="1"/>
  <c r="AN35" i="50" s="1"/>
  <c r="AO35" i="50" s="1"/>
  <c r="AP35" i="50" s="1"/>
  <c r="AQ35" i="50" s="1"/>
  <c r="AR35" i="50" s="1"/>
  <c r="AS35" i="50" s="1"/>
  <c r="AT35" i="50" s="1"/>
  <c r="P35" i="50"/>
  <c r="K35" i="50"/>
  <c r="J35" i="50"/>
  <c r="C35" i="50"/>
  <c r="E35" i="50" s="1"/>
  <c r="B35" i="50"/>
  <c r="A35" i="50"/>
  <c r="Q34" i="50"/>
  <c r="R34" i="50" s="1"/>
  <c r="S34" i="50" s="1"/>
  <c r="T34" i="50" s="1"/>
  <c r="U34" i="50" s="1"/>
  <c r="V34" i="50" s="1"/>
  <c r="W34" i="50" s="1"/>
  <c r="X34" i="50" s="1"/>
  <c r="Y34" i="50" s="1"/>
  <c r="Z34" i="50" s="1"/>
  <c r="AA34" i="50" s="1"/>
  <c r="AB34" i="50" s="1"/>
  <c r="AC34" i="50" s="1"/>
  <c r="AD34" i="50" s="1"/>
  <c r="AE34" i="50" s="1"/>
  <c r="AF34" i="50" s="1"/>
  <c r="AG34" i="50" s="1"/>
  <c r="AH34" i="50" s="1"/>
  <c r="AI34" i="50" s="1"/>
  <c r="AJ34" i="50" s="1"/>
  <c r="AK34" i="50" s="1"/>
  <c r="AL34" i="50" s="1"/>
  <c r="AM34" i="50" s="1"/>
  <c r="AN34" i="50" s="1"/>
  <c r="AO34" i="50" s="1"/>
  <c r="AP34" i="50" s="1"/>
  <c r="AQ34" i="50" s="1"/>
  <c r="AR34" i="50" s="1"/>
  <c r="AS34" i="50" s="1"/>
  <c r="AT34" i="50" s="1"/>
  <c r="P34" i="50"/>
  <c r="K34" i="50"/>
  <c r="J34" i="50"/>
  <c r="C34" i="50"/>
  <c r="E34" i="50" s="1"/>
  <c r="B34" i="50"/>
  <c r="A34" i="50"/>
  <c r="C33" i="50"/>
  <c r="E33" i="50" s="1"/>
  <c r="B33" i="50"/>
  <c r="A33" i="50"/>
  <c r="C32" i="50"/>
  <c r="E32" i="50" s="1"/>
  <c r="P32" i="50" s="1"/>
  <c r="B32" i="50"/>
  <c r="A32" i="50"/>
  <c r="P31" i="50"/>
  <c r="B31" i="50"/>
  <c r="A31" i="50"/>
  <c r="P30" i="50"/>
  <c r="B30" i="50"/>
  <c r="A30" i="50"/>
  <c r="P29" i="50"/>
  <c r="B29" i="50"/>
  <c r="A29" i="50"/>
  <c r="C28" i="50"/>
  <c r="E28" i="50" s="1"/>
  <c r="P28" i="50" s="1"/>
  <c r="B28" i="50"/>
  <c r="A28" i="50"/>
  <c r="C27" i="50"/>
  <c r="E27" i="50" s="1"/>
  <c r="P27" i="50" s="1"/>
  <c r="B27" i="50"/>
  <c r="A27" i="50"/>
  <c r="K24" i="50"/>
  <c r="C24" i="50"/>
  <c r="B24" i="50"/>
  <c r="A24" i="50"/>
  <c r="Q23" i="50"/>
  <c r="R23" i="50" s="1"/>
  <c r="S23" i="50" s="1"/>
  <c r="T23" i="50" s="1"/>
  <c r="U23" i="50" s="1"/>
  <c r="V23" i="50" s="1"/>
  <c r="W23" i="50" s="1"/>
  <c r="X23" i="50" s="1"/>
  <c r="Y23" i="50" s="1"/>
  <c r="Z23" i="50" s="1"/>
  <c r="AA23" i="50" s="1"/>
  <c r="AB23" i="50" s="1"/>
  <c r="AC23" i="50" s="1"/>
  <c r="AD23" i="50" s="1"/>
  <c r="AE23" i="50" s="1"/>
  <c r="AF23" i="50" s="1"/>
  <c r="AG23" i="50" s="1"/>
  <c r="AH23" i="50" s="1"/>
  <c r="AI23" i="50" s="1"/>
  <c r="AJ23" i="50" s="1"/>
  <c r="AK23" i="50" s="1"/>
  <c r="AL23" i="50" s="1"/>
  <c r="AM23" i="50" s="1"/>
  <c r="AN23" i="50" s="1"/>
  <c r="AO23" i="50" s="1"/>
  <c r="AP23" i="50" s="1"/>
  <c r="AQ23" i="50" s="1"/>
  <c r="AR23" i="50" s="1"/>
  <c r="AS23" i="50" s="1"/>
  <c r="AT23" i="50" s="1"/>
  <c r="P23" i="50"/>
  <c r="J23" i="50" s="1"/>
  <c r="G23" i="50"/>
  <c r="C23" i="50"/>
  <c r="B23" i="50"/>
  <c r="A23" i="50"/>
  <c r="R22" i="50"/>
  <c r="S22" i="50" s="1"/>
  <c r="T22" i="50" s="1"/>
  <c r="U22" i="50" s="1"/>
  <c r="V22" i="50" s="1"/>
  <c r="W22" i="50" s="1"/>
  <c r="X22" i="50" s="1"/>
  <c r="Y22" i="50" s="1"/>
  <c r="Z22" i="50" s="1"/>
  <c r="AA22" i="50" s="1"/>
  <c r="AB22" i="50" s="1"/>
  <c r="AC22" i="50" s="1"/>
  <c r="AD22" i="50" s="1"/>
  <c r="AE22" i="50" s="1"/>
  <c r="AF22" i="50" s="1"/>
  <c r="AG22" i="50" s="1"/>
  <c r="AH22" i="50" s="1"/>
  <c r="AI22" i="50" s="1"/>
  <c r="AJ22" i="50" s="1"/>
  <c r="AK22" i="50" s="1"/>
  <c r="AL22" i="50" s="1"/>
  <c r="AM22" i="50" s="1"/>
  <c r="AN22" i="50" s="1"/>
  <c r="AO22" i="50" s="1"/>
  <c r="AP22" i="50" s="1"/>
  <c r="AQ22" i="50" s="1"/>
  <c r="AR22" i="50" s="1"/>
  <c r="AS22" i="50" s="1"/>
  <c r="AT22" i="50" s="1"/>
  <c r="Q22" i="50"/>
  <c r="P22" i="50"/>
  <c r="G22" i="50"/>
  <c r="C22" i="50"/>
  <c r="B22" i="50"/>
  <c r="A22" i="50"/>
  <c r="Q21" i="50"/>
  <c r="R21" i="50" s="1"/>
  <c r="S21" i="50" s="1"/>
  <c r="T21" i="50" s="1"/>
  <c r="U21" i="50" s="1"/>
  <c r="V21" i="50" s="1"/>
  <c r="W21" i="50" s="1"/>
  <c r="X21" i="50" s="1"/>
  <c r="Y21" i="50" s="1"/>
  <c r="Z21" i="50" s="1"/>
  <c r="AA21" i="50" s="1"/>
  <c r="AB21" i="50" s="1"/>
  <c r="AC21" i="50" s="1"/>
  <c r="AD21" i="50" s="1"/>
  <c r="AE21" i="50" s="1"/>
  <c r="AF21" i="50" s="1"/>
  <c r="AG21" i="50" s="1"/>
  <c r="AH21" i="50" s="1"/>
  <c r="AI21" i="50" s="1"/>
  <c r="AJ21" i="50" s="1"/>
  <c r="AK21" i="50" s="1"/>
  <c r="AL21" i="50" s="1"/>
  <c r="AM21" i="50" s="1"/>
  <c r="AN21" i="50" s="1"/>
  <c r="AO21" i="50" s="1"/>
  <c r="AP21" i="50" s="1"/>
  <c r="AQ21" i="50" s="1"/>
  <c r="AR21" i="50" s="1"/>
  <c r="AS21" i="50" s="1"/>
  <c r="AT21" i="50" s="1"/>
  <c r="P21" i="50"/>
  <c r="J21" i="50" s="1"/>
  <c r="C21" i="50"/>
  <c r="B21" i="50"/>
  <c r="A21" i="50"/>
  <c r="Q20" i="50"/>
  <c r="R20" i="50" s="1"/>
  <c r="S20" i="50" s="1"/>
  <c r="T20" i="50" s="1"/>
  <c r="U20" i="50" s="1"/>
  <c r="V20" i="50" s="1"/>
  <c r="W20" i="50" s="1"/>
  <c r="X20" i="50" s="1"/>
  <c r="Y20" i="50" s="1"/>
  <c r="Z20" i="50" s="1"/>
  <c r="AA20" i="50" s="1"/>
  <c r="AB20" i="50" s="1"/>
  <c r="AC20" i="50" s="1"/>
  <c r="AD20" i="50" s="1"/>
  <c r="AE20" i="50" s="1"/>
  <c r="AF20" i="50" s="1"/>
  <c r="AG20" i="50" s="1"/>
  <c r="AH20" i="50" s="1"/>
  <c r="AI20" i="50" s="1"/>
  <c r="AJ20" i="50" s="1"/>
  <c r="AK20" i="50" s="1"/>
  <c r="AL20" i="50" s="1"/>
  <c r="AM20" i="50" s="1"/>
  <c r="AN20" i="50" s="1"/>
  <c r="AO20" i="50" s="1"/>
  <c r="AP20" i="50" s="1"/>
  <c r="AQ20" i="50" s="1"/>
  <c r="AR20" i="50" s="1"/>
  <c r="AS20" i="50" s="1"/>
  <c r="AT20" i="50" s="1"/>
  <c r="P20" i="50"/>
  <c r="J20" i="50" s="1"/>
  <c r="C20" i="50"/>
  <c r="B20" i="50"/>
  <c r="A20" i="50"/>
  <c r="Q19" i="50"/>
  <c r="R19" i="50" s="1"/>
  <c r="S19" i="50" s="1"/>
  <c r="T19" i="50" s="1"/>
  <c r="U19" i="50" s="1"/>
  <c r="V19" i="50" s="1"/>
  <c r="W19" i="50" s="1"/>
  <c r="X19" i="50" s="1"/>
  <c r="Y19" i="50" s="1"/>
  <c r="Z19" i="50" s="1"/>
  <c r="AA19" i="50" s="1"/>
  <c r="AB19" i="50" s="1"/>
  <c r="AC19" i="50" s="1"/>
  <c r="AD19" i="50" s="1"/>
  <c r="AE19" i="50" s="1"/>
  <c r="AF19" i="50" s="1"/>
  <c r="AG19" i="50" s="1"/>
  <c r="AH19" i="50" s="1"/>
  <c r="AI19" i="50" s="1"/>
  <c r="AJ19" i="50" s="1"/>
  <c r="AK19" i="50" s="1"/>
  <c r="AL19" i="50" s="1"/>
  <c r="AM19" i="50" s="1"/>
  <c r="AN19" i="50" s="1"/>
  <c r="AO19" i="50" s="1"/>
  <c r="AP19" i="50" s="1"/>
  <c r="AQ19" i="50" s="1"/>
  <c r="AR19" i="50" s="1"/>
  <c r="AS19" i="50" s="1"/>
  <c r="AT19" i="50" s="1"/>
  <c r="P19" i="50"/>
  <c r="J19" i="50" s="1"/>
  <c r="C19" i="50"/>
  <c r="B19" i="50"/>
  <c r="A19" i="50"/>
  <c r="Q18" i="50"/>
  <c r="R18" i="50" s="1"/>
  <c r="S18" i="50" s="1"/>
  <c r="T18" i="50" s="1"/>
  <c r="U18" i="50" s="1"/>
  <c r="V18" i="50" s="1"/>
  <c r="W18" i="50" s="1"/>
  <c r="X18" i="50" s="1"/>
  <c r="Y18" i="50" s="1"/>
  <c r="Z18" i="50" s="1"/>
  <c r="AA18" i="50" s="1"/>
  <c r="AB18" i="50" s="1"/>
  <c r="AC18" i="50" s="1"/>
  <c r="AD18" i="50" s="1"/>
  <c r="AE18" i="50" s="1"/>
  <c r="AF18" i="50" s="1"/>
  <c r="AG18" i="50" s="1"/>
  <c r="AH18" i="50" s="1"/>
  <c r="AI18" i="50" s="1"/>
  <c r="AJ18" i="50" s="1"/>
  <c r="AK18" i="50" s="1"/>
  <c r="AL18" i="50" s="1"/>
  <c r="AM18" i="50" s="1"/>
  <c r="AN18" i="50" s="1"/>
  <c r="AO18" i="50" s="1"/>
  <c r="AP18" i="50" s="1"/>
  <c r="AQ18" i="50" s="1"/>
  <c r="AR18" i="50" s="1"/>
  <c r="AS18" i="50" s="1"/>
  <c r="AT18" i="50" s="1"/>
  <c r="P18" i="50"/>
  <c r="J18" i="50" s="1"/>
  <c r="C18" i="50"/>
  <c r="B18" i="50"/>
  <c r="A18" i="50"/>
  <c r="Q17" i="50"/>
  <c r="R17" i="50" s="1"/>
  <c r="S17" i="50" s="1"/>
  <c r="T17" i="50" s="1"/>
  <c r="U17" i="50" s="1"/>
  <c r="V17" i="50" s="1"/>
  <c r="W17" i="50" s="1"/>
  <c r="X17" i="50" s="1"/>
  <c r="Y17" i="50" s="1"/>
  <c r="Z17" i="50" s="1"/>
  <c r="AA17" i="50" s="1"/>
  <c r="AB17" i="50" s="1"/>
  <c r="AC17" i="50" s="1"/>
  <c r="AD17" i="50" s="1"/>
  <c r="AE17" i="50" s="1"/>
  <c r="AF17" i="50" s="1"/>
  <c r="AG17" i="50" s="1"/>
  <c r="AH17" i="50" s="1"/>
  <c r="AI17" i="50" s="1"/>
  <c r="AJ17" i="50" s="1"/>
  <c r="AK17" i="50" s="1"/>
  <c r="AL17" i="50" s="1"/>
  <c r="AM17" i="50" s="1"/>
  <c r="AN17" i="50" s="1"/>
  <c r="AO17" i="50" s="1"/>
  <c r="AP17" i="50" s="1"/>
  <c r="AQ17" i="50" s="1"/>
  <c r="AR17" i="50" s="1"/>
  <c r="AS17" i="50" s="1"/>
  <c r="AT17" i="50" s="1"/>
  <c r="P17" i="50"/>
  <c r="J17" i="50" s="1"/>
  <c r="K17" i="50"/>
  <c r="C17" i="50"/>
  <c r="B17" i="50"/>
  <c r="A17" i="50"/>
  <c r="Q16" i="50"/>
  <c r="R16" i="50" s="1"/>
  <c r="S16" i="50" s="1"/>
  <c r="T16" i="50" s="1"/>
  <c r="U16" i="50" s="1"/>
  <c r="V16" i="50" s="1"/>
  <c r="W16" i="50" s="1"/>
  <c r="X16" i="50" s="1"/>
  <c r="Y16" i="50" s="1"/>
  <c r="Z16" i="50" s="1"/>
  <c r="AA16" i="50" s="1"/>
  <c r="AB16" i="50" s="1"/>
  <c r="AC16" i="50" s="1"/>
  <c r="AD16" i="50" s="1"/>
  <c r="AE16" i="50" s="1"/>
  <c r="AF16" i="50" s="1"/>
  <c r="AG16" i="50" s="1"/>
  <c r="AH16" i="50" s="1"/>
  <c r="AI16" i="50" s="1"/>
  <c r="AJ16" i="50" s="1"/>
  <c r="AK16" i="50" s="1"/>
  <c r="AL16" i="50" s="1"/>
  <c r="AM16" i="50" s="1"/>
  <c r="AN16" i="50" s="1"/>
  <c r="AO16" i="50" s="1"/>
  <c r="AP16" i="50" s="1"/>
  <c r="AQ16" i="50" s="1"/>
  <c r="AR16" i="50" s="1"/>
  <c r="AS16" i="50" s="1"/>
  <c r="AT16" i="50" s="1"/>
  <c r="P16" i="50"/>
  <c r="J16" i="50" s="1"/>
  <c r="K16" i="50"/>
  <c r="C16" i="50"/>
  <c r="B16" i="50"/>
  <c r="A16" i="50"/>
  <c r="Q15" i="50"/>
  <c r="R15" i="50" s="1"/>
  <c r="S15" i="50" s="1"/>
  <c r="T15" i="50" s="1"/>
  <c r="U15" i="50" s="1"/>
  <c r="V15" i="50" s="1"/>
  <c r="W15" i="50" s="1"/>
  <c r="X15" i="50" s="1"/>
  <c r="Y15" i="50" s="1"/>
  <c r="Z15" i="50" s="1"/>
  <c r="AA15" i="50" s="1"/>
  <c r="AB15" i="50" s="1"/>
  <c r="AC15" i="50" s="1"/>
  <c r="AD15" i="50" s="1"/>
  <c r="AE15" i="50" s="1"/>
  <c r="AF15" i="50" s="1"/>
  <c r="AG15" i="50" s="1"/>
  <c r="AH15" i="50" s="1"/>
  <c r="AI15" i="50" s="1"/>
  <c r="AJ15" i="50" s="1"/>
  <c r="AK15" i="50" s="1"/>
  <c r="AL15" i="50" s="1"/>
  <c r="AM15" i="50" s="1"/>
  <c r="AN15" i="50" s="1"/>
  <c r="AO15" i="50" s="1"/>
  <c r="AP15" i="50" s="1"/>
  <c r="AQ15" i="50" s="1"/>
  <c r="AR15" i="50" s="1"/>
  <c r="AS15" i="50" s="1"/>
  <c r="AT15" i="50" s="1"/>
  <c r="P15" i="50"/>
  <c r="J15" i="50" s="1"/>
  <c r="K15" i="50"/>
  <c r="C15" i="50"/>
  <c r="B15" i="50"/>
  <c r="A15" i="50"/>
  <c r="C14" i="50"/>
  <c r="P14" i="50" s="1"/>
  <c r="B14" i="50"/>
  <c r="A14" i="50"/>
  <c r="C13" i="50"/>
  <c r="B13" i="50"/>
  <c r="A13" i="50"/>
  <c r="C12" i="50"/>
  <c r="B12" i="50"/>
  <c r="A12" i="50"/>
  <c r="P11" i="50"/>
  <c r="B11" i="50"/>
  <c r="A11" i="50"/>
  <c r="C10" i="50"/>
  <c r="P10" i="50" s="1"/>
  <c r="B10" i="50"/>
  <c r="A10" i="50"/>
  <c r="C9" i="50"/>
  <c r="P9" i="50" s="1"/>
  <c r="B9" i="50"/>
  <c r="A9" i="50"/>
  <c r="C8" i="50"/>
  <c r="B8" i="50"/>
  <c r="A8" i="50"/>
  <c r="B7" i="50"/>
  <c r="A7" i="50"/>
  <c r="G4" i="50"/>
  <c r="E4" i="50"/>
  <c r="G3" i="50"/>
  <c r="F3" i="50"/>
  <c r="E3" i="50"/>
  <c r="G2" i="50"/>
  <c r="E2" i="50"/>
  <c r="D2" i="50"/>
  <c r="K19" i="50" l="1"/>
  <c r="E72" i="50"/>
  <c r="P55" i="50" s="1"/>
  <c r="K22" i="50"/>
  <c r="J22" i="50"/>
  <c r="E68" i="50"/>
  <c r="P51" i="50" s="1"/>
  <c r="K20" i="50"/>
  <c r="H21" i="50"/>
  <c r="I21" i="50" s="1"/>
  <c r="E74" i="50"/>
  <c r="P57" i="50" s="1"/>
  <c r="E56" i="50"/>
  <c r="P38" i="50" s="1"/>
  <c r="E58" i="50"/>
  <c r="P40" i="50" s="1"/>
  <c r="E66" i="50"/>
  <c r="P49" i="50" s="1"/>
  <c r="E41" i="50"/>
  <c r="E70" i="50"/>
  <c r="P53" i="50" s="1"/>
  <c r="P13" i="50"/>
  <c r="E54" i="50"/>
  <c r="P36" i="50" s="1"/>
  <c r="E64" i="50"/>
  <c r="K18" i="50"/>
  <c r="H24" i="50"/>
  <c r="I24" i="50" s="1"/>
  <c r="P7" i="50"/>
  <c r="P46" i="50"/>
  <c r="C77" i="50"/>
  <c r="P12" i="50"/>
  <c r="K21" i="50"/>
  <c r="E38" i="50"/>
  <c r="K23" i="50"/>
  <c r="P33" i="50"/>
  <c r="P47" i="50"/>
  <c r="E77" i="50" l="1"/>
  <c r="P8" i="50"/>
  <c r="C10" i="46"/>
  <c r="C11" i="49"/>
  <c r="C10" i="49"/>
  <c r="E28" i="44"/>
  <c r="P77" i="50" l="1"/>
  <c r="D3" i="44" l="1"/>
  <c r="D3" i="50" l="1"/>
  <c r="J7" i="33" l="1"/>
  <c r="M6" i="59" l="1"/>
  <c r="M6" i="61"/>
  <c r="AC6" i="61" s="1"/>
  <c r="E50" i="46"/>
  <c r="V50" i="46" s="1"/>
  <c r="C33" i="46"/>
  <c r="C14" i="46"/>
  <c r="C13" i="46"/>
  <c r="C12" i="46"/>
  <c r="C11" i="46"/>
  <c r="E10" i="46"/>
  <c r="V10" i="46" s="1"/>
  <c r="C9" i="46"/>
  <c r="C8" i="46"/>
  <c r="C20" i="46"/>
  <c r="C19" i="46"/>
  <c r="C18" i="46"/>
  <c r="C17" i="46"/>
  <c r="C16" i="46"/>
  <c r="C15" i="46"/>
  <c r="B20" i="46"/>
  <c r="B19" i="46"/>
  <c r="B18" i="46"/>
  <c r="B17" i="46"/>
  <c r="B16" i="46"/>
  <c r="B15" i="46"/>
  <c r="B14" i="46"/>
  <c r="B13" i="46"/>
  <c r="B12" i="46"/>
  <c r="B11" i="46"/>
  <c r="B10" i="46"/>
  <c r="B9" i="46"/>
  <c r="B8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C38" i="45"/>
  <c r="E38" i="45" s="1"/>
  <c r="P38" i="45" s="1"/>
  <c r="C37" i="45"/>
  <c r="E37" i="45" s="1"/>
  <c r="P37" i="45" s="1"/>
  <c r="C36" i="45"/>
  <c r="E36" i="45" s="1"/>
  <c r="P36" i="45" s="1"/>
  <c r="C35" i="45"/>
  <c r="E35" i="45" s="1"/>
  <c r="P35" i="45" s="1"/>
  <c r="E34" i="45"/>
  <c r="P34" i="45" s="1"/>
  <c r="B39" i="45"/>
  <c r="B38" i="45"/>
  <c r="B37" i="45"/>
  <c r="B36" i="45"/>
  <c r="B35" i="45"/>
  <c r="B34" i="45"/>
  <c r="B33" i="45"/>
  <c r="A38" i="45"/>
  <c r="A37" i="45"/>
  <c r="A36" i="45"/>
  <c r="A35" i="45"/>
  <c r="A34" i="45"/>
  <c r="C28" i="44"/>
  <c r="C29" i="44"/>
  <c r="C30" i="44"/>
  <c r="E3" i="44"/>
  <c r="H3" i="44"/>
  <c r="I3" i="44"/>
  <c r="D28" i="44"/>
  <c r="F28" i="44"/>
  <c r="H28" i="44"/>
  <c r="I28" i="44"/>
  <c r="J28" i="44"/>
  <c r="K28" i="44"/>
  <c r="C33" i="44"/>
  <c r="C32" i="44"/>
  <c r="C31" i="44"/>
  <c r="C38" i="43"/>
  <c r="C37" i="43"/>
  <c r="C36" i="43"/>
  <c r="C35" i="43"/>
  <c r="C34" i="43"/>
  <c r="E10" i="34"/>
  <c r="Q10" i="34" s="1"/>
  <c r="E11" i="34"/>
  <c r="Q11" i="34" s="1"/>
  <c r="E12" i="34"/>
  <c r="Q12" i="34" s="1"/>
  <c r="E13" i="34"/>
  <c r="Q13" i="34" s="1"/>
  <c r="C39" i="33"/>
  <c r="C38" i="33"/>
  <c r="C37" i="33"/>
  <c r="C36" i="33"/>
  <c r="C35" i="33"/>
  <c r="C3" i="44"/>
  <c r="C7" i="45" s="1"/>
  <c r="D2" i="43"/>
  <c r="D3" i="43"/>
  <c r="H3" i="43"/>
  <c r="J2" i="43"/>
  <c r="L2" i="43"/>
  <c r="N2" i="43"/>
  <c r="P2" i="43"/>
  <c r="R2" i="43"/>
  <c r="D5" i="33"/>
  <c r="J34" i="33"/>
  <c r="M21" i="61" s="1"/>
  <c r="AC21" i="61" s="1"/>
  <c r="J5" i="33"/>
  <c r="L5" i="33"/>
  <c r="L4" i="45" s="1"/>
  <c r="P34" i="33"/>
  <c r="P33" i="43" s="1"/>
  <c r="P5" i="33"/>
  <c r="P4" i="45" s="1"/>
  <c r="R34" i="33"/>
  <c r="R33" i="43" s="1"/>
  <c r="R5" i="33"/>
  <c r="J35" i="33"/>
  <c r="M22" i="61" s="1"/>
  <c r="AC22" i="61" s="1"/>
  <c r="L35" i="33"/>
  <c r="L34" i="43" s="1"/>
  <c r="N35" i="33"/>
  <c r="N34" i="43" s="1"/>
  <c r="R35" i="33"/>
  <c r="R34" i="43" s="1"/>
  <c r="J40" i="33"/>
  <c r="M27" i="61" s="1"/>
  <c r="AC27" i="61" s="1"/>
  <c r="J41" i="33"/>
  <c r="M28" i="61" s="1"/>
  <c r="AC28" i="61" s="1"/>
  <c r="L41" i="33"/>
  <c r="L40" i="43" s="1"/>
  <c r="J42" i="33"/>
  <c r="M29" i="61" s="1"/>
  <c r="AC29" i="61" s="1"/>
  <c r="L42" i="33"/>
  <c r="L41" i="43" s="1"/>
  <c r="N42" i="33"/>
  <c r="N41" i="43" s="1"/>
  <c r="R42" i="33"/>
  <c r="R41" i="43" s="1"/>
  <c r="J43" i="33"/>
  <c r="M30" i="61" s="1"/>
  <c r="AC30" i="61" s="1"/>
  <c r="L43" i="33"/>
  <c r="L42" i="43" s="1"/>
  <c r="N43" i="33"/>
  <c r="N42" i="43" s="1"/>
  <c r="P43" i="33"/>
  <c r="P42" i="43" s="1"/>
  <c r="R43" i="33"/>
  <c r="R42" i="43" s="1"/>
  <c r="J44" i="33"/>
  <c r="J43" i="43" s="1"/>
  <c r="L44" i="33"/>
  <c r="L43" i="43" s="1"/>
  <c r="N44" i="33"/>
  <c r="N43" i="43" s="1"/>
  <c r="P44" i="33"/>
  <c r="P43" i="43" s="1"/>
  <c r="R44" i="33"/>
  <c r="R43" i="43" s="1"/>
  <c r="J45" i="33"/>
  <c r="J44" i="43" s="1"/>
  <c r="L45" i="33"/>
  <c r="L44" i="43" s="1"/>
  <c r="N45" i="33"/>
  <c r="N44" i="43" s="1"/>
  <c r="P45" i="33"/>
  <c r="P44" i="43" s="1"/>
  <c r="R45" i="33"/>
  <c r="R44" i="43" s="1"/>
  <c r="J51" i="33"/>
  <c r="M36" i="61" s="1"/>
  <c r="AC36" i="61" s="1"/>
  <c r="L51" i="33"/>
  <c r="L50" i="43" s="1"/>
  <c r="N51" i="33"/>
  <c r="N50" i="43" s="1"/>
  <c r="P51" i="33"/>
  <c r="P50" i="43" s="1"/>
  <c r="R51" i="33"/>
  <c r="R50" i="43" s="1"/>
  <c r="D52" i="33"/>
  <c r="J37" i="61" s="1"/>
  <c r="Z37" i="61" s="1"/>
  <c r="J52" i="33"/>
  <c r="M37" i="61" s="1"/>
  <c r="AC37" i="61" s="1"/>
  <c r="L52" i="33"/>
  <c r="L51" i="43" s="1"/>
  <c r="N52" i="33"/>
  <c r="N51" i="43" s="1"/>
  <c r="P52" i="33"/>
  <c r="P51" i="43" s="1"/>
  <c r="R52" i="33"/>
  <c r="R51" i="43" s="1"/>
  <c r="D53" i="33"/>
  <c r="J38" i="61" s="1"/>
  <c r="Z38" i="61" s="1"/>
  <c r="J53" i="33"/>
  <c r="M38" i="61" s="1"/>
  <c r="AC38" i="61" s="1"/>
  <c r="L53" i="33"/>
  <c r="L52" i="43" s="1"/>
  <c r="N53" i="33"/>
  <c r="N52" i="43" s="1"/>
  <c r="P53" i="33"/>
  <c r="P52" i="43" s="1"/>
  <c r="R53" i="33"/>
  <c r="R52" i="43" s="1"/>
  <c r="D54" i="33"/>
  <c r="J39" i="61" s="1"/>
  <c r="Z39" i="61" s="1"/>
  <c r="J54" i="33"/>
  <c r="M39" i="61" s="1"/>
  <c r="AC39" i="61" s="1"/>
  <c r="L54" i="33"/>
  <c r="L53" i="43" s="1"/>
  <c r="N54" i="33"/>
  <c r="N53" i="43" s="1"/>
  <c r="P54" i="33"/>
  <c r="P53" i="43" s="1"/>
  <c r="R54" i="33"/>
  <c r="R53" i="43" s="1"/>
  <c r="D55" i="33"/>
  <c r="J40" i="61" s="1"/>
  <c r="Z40" i="61" s="1"/>
  <c r="J55" i="33"/>
  <c r="M40" i="61" s="1"/>
  <c r="AC40" i="61" s="1"/>
  <c r="L55" i="33"/>
  <c r="L54" i="43" s="1"/>
  <c r="N55" i="33"/>
  <c r="N54" i="43" s="1"/>
  <c r="P55" i="33"/>
  <c r="P54" i="43" s="1"/>
  <c r="R55" i="33"/>
  <c r="R54" i="43" s="1"/>
  <c r="D56" i="33"/>
  <c r="J41" i="61" s="1"/>
  <c r="Z41" i="61" s="1"/>
  <c r="J56" i="33"/>
  <c r="M41" i="61" s="1"/>
  <c r="AC41" i="61" s="1"/>
  <c r="L56" i="33"/>
  <c r="L55" i="43" s="1"/>
  <c r="N56" i="33"/>
  <c r="N55" i="43" s="1"/>
  <c r="P56" i="33"/>
  <c r="P55" i="43" s="1"/>
  <c r="R56" i="33"/>
  <c r="R55" i="43" s="1"/>
  <c r="D57" i="33"/>
  <c r="J42" i="61" s="1"/>
  <c r="Z42" i="61" s="1"/>
  <c r="J57" i="33"/>
  <c r="M42" i="61" s="1"/>
  <c r="AC42" i="61" s="1"/>
  <c r="L57" i="33"/>
  <c r="L56" i="43" s="1"/>
  <c r="N57" i="33"/>
  <c r="N56" i="43" s="1"/>
  <c r="P57" i="33"/>
  <c r="P56" i="43" s="1"/>
  <c r="R57" i="33"/>
  <c r="R56" i="43" s="1"/>
  <c r="D58" i="33"/>
  <c r="J43" i="61" s="1"/>
  <c r="Z43" i="61" s="1"/>
  <c r="J58" i="33"/>
  <c r="M43" i="61" s="1"/>
  <c r="AC43" i="61" s="1"/>
  <c r="L58" i="33"/>
  <c r="L57" i="43" s="1"/>
  <c r="N58" i="33"/>
  <c r="N57" i="43" s="1"/>
  <c r="P58" i="33"/>
  <c r="P57" i="43" s="1"/>
  <c r="D60" i="33"/>
  <c r="J45" i="61" s="1"/>
  <c r="Z45" i="61" s="1"/>
  <c r="J60" i="33"/>
  <c r="M45" i="61" s="1"/>
  <c r="AC45" i="61" s="1"/>
  <c r="L60" i="33"/>
  <c r="L59" i="43" s="1"/>
  <c r="N60" i="33"/>
  <c r="N59" i="43" s="1"/>
  <c r="P60" i="33"/>
  <c r="P59" i="43" s="1"/>
  <c r="R60" i="33"/>
  <c r="R59" i="43" s="1"/>
  <c r="D61" i="33"/>
  <c r="D60" i="43" s="1"/>
  <c r="J61" i="33"/>
  <c r="J60" i="43" s="1"/>
  <c r="L61" i="33"/>
  <c r="L60" i="43" s="1"/>
  <c r="N61" i="33"/>
  <c r="N60" i="43" s="1"/>
  <c r="P61" i="33"/>
  <c r="P60" i="43" s="1"/>
  <c r="R61" i="33"/>
  <c r="R60" i="43" s="1"/>
  <c r="D62" i="33"/>
  <c r="D61" i="43" s="1"/>
  <c r="J62" i="33"/>
  <c r="J61" i="43" s="1"/>
  <c r="L62" i="33"/>
  <c r="L61" i="43" s="1"/>
  <c r="N62" i="33"/>
  <c r="N61" i="43" s="1"/>
  <c r="P62" i="33"/>
  <c r="P61" i="43" s="1"/>
  <c r="R62" i="33"/>
  <c r="R61" i="43" s="1"/>
  <c r="D63" i="33"/>
  <c r="D62" i="43" s="1"/>
  <c r="J63" i="33"/>
  <c r="J62" i="43" s="1"/>
  <c r="L63" i="33"/>
  <c r="L62" i="43" s="1"/>
  <c r="N63" i="33"/>
  <c r="N62" i="43" s="1"/>
  <c r="P63" i="33"/>
  <c r="P62" i="43" s="1"/>
  <c r="R63" i="33"/>
  <c r="R62" i="43" s="1"/>
  <c r="D64" i="33"/>
  <c r="D63" i="43" s="1"/>
  <c r="J64" i="33"/>
  <c r="J63" i="43" s="1"/>
  <c r="L64" i="33"/>
  <c r="L63" i="43" s="1"/>
  <c r="N64" i="33"/>
  <c r="N63" i="43" s="1"/>
  <c r="P64" i="33"/>
  <c r="P63" i="43" s="1"/>
  <c r="R64" i="33"/>
  <c r="R63" i="43" s="1"/>
  <c r="D65" i="33"/>
  <c r="D64" i="43" s="1"/>
  <c r="J65" i="33"/>
  <c r="J64" i="43" s="1"/>
  <c r="L65" i="33"/>
  <c r="L64" i="43" s="1"/>
  <c r="N65" i="33"/>
  <c r="N64" i="43" s="1"/>
  <c r="P65" i="33"/>
  <c r="P64" i="43" s="1"/>
  <c r="R65" i="33"/>
  <c r="R64" i="43" s="1"/>
  <c r="P69" i="33"/>
  <c r="P69" i="43" s="1"/>
  <c r="R69" i="33"/>
  <c r="R69" i="43" s="1"/>
  <c r="D40" i="44"/>
  <c r="D41" i="44"/>
  <c r="B67" i="46"/>
  <c r="B77" i="46" s="1"/>
  <c r="D2" i="49"/>
  <c r="J2" i="49"/>
  <c r="L2" i="49"/>
  <c r="P2" i="49"/>
  <c r="B56" i="49"/>
  <c r="C8" i="45"/>
  <c r="E8" i="45" s="1"/>
  <c r="P8" i="45" s="1"/>
  <c r="C9" i="45"/>
  <c r="E9" i="45" s="1"/>
  <c r="P9" i="45" s="1"/>
  <c r="E33" i="45"/>
  <c r="C39" i="45"/>
  <c r="E39" i="45" s="1"/>
  <c r="P39" i="45" s="1"/>
  <c r="C40" i="45"/>
  <c r="E40" i="45" s="1"/>
  <c r="P40" i="45" s="1"/>
  <c r="C41" i="45"/>
  <c r="E41" i="45" s="1"/>
  <c r="P41" i="45" s="1"/>
  <c r="C42" i="45"/>
  <c r="E42" i="45" s="1"/>
  <c r="P42" i="45" s="1"/>
  <c r="C43" i="45"/>
  <c r="E43" i="45" s="1"/>
  <c r="P43" i="45" s="1"/>
  <c r="C44" i="45"/>
  <c r="E44" i="45" s="1"/>
  <c r="P44" i="45" s="1"/>
  <c r="E49" i="45"/>
  <c r="C50" i="45"/>
  <c r="C51" i="45"/>
  <c r="C52" i="45"/>
  <c r="C53" i="45"/>
  <c r="C54" i="45"/>
  <c r="C55" i="45"/>
  <c r="C56" i="45"/>
  <c r="C66" i="45"/>
  <c r="A56" i="45"/>
  <c r="B56" i="45"/>
  <c r="B66" i="45" s="1"/>
  <c r="B76" i="45" s="1"/>
  <c r="B50" i="43"/>
  <c r="B50" i="44"/>
  <c r="J46" i="33"/>
  <c r="J45" i="43" s="1"/>
  <c r="C33" i="34"/>
  <c r="D59" i="33"/>
  <c r="J44" i="61" s="1"/>
  <c r="Z44" i="61" s="1"/>
  <c r="J59" i="33"/>
  <c r="M44" i="61" s="1"/>
  <c r="AC44" i="61" s="1"/>
  <c r="L59" i="33"/>
  <c r="L58" i="43" s="1"/>
  <c r="N59" i="33"/>
  <c r="N58" i="43" s="1"/>
  <c r="P59" i="33"/>
  <c r="P58" i="43" s="1"/>
  <c r="R59" i="33"/>
  <c r="R58" i="43" s="1"/>
  <c r="B56" i="34"/>
  <c r="D43" i="61" s="1"/>
  <c r="C58" i="33"/>
  <c r="C59" i="33"/>
  <c r="C60" i="33"/>
  <c r="C61" i="33"/>
  <c r="C62" i="33"/>
  <c r="C63" i="33"/>
  <c r="C64" i="33"/>
  <c r="C65" i="33"/>
  <c r="E58" i="33"/>
  <c r="B58" i="33"/>
  <c r="C49" i="34"/>
  <c r="B44" i="49"/>
  <c r="B43" i="49"/>
  <c r="B42" i="49"/>
  <c r="B41" i="49"/>
  <c r="B40" i="49"/>
  <c r="B39" i="49"/>
  <c r="B38" i="49"/>
  <c r="B37" i="49"/>
  <c r="B36" i="49"/>
  <c r="B35" i="49"/>
  <c r="B34" i="49"/>
  <c r="A28" i="44"/>
  <c r="C13" i="49"/>
  <c r="C12" i="49"/>
  <c r="B51" i="44"/>
  <c r="V46" i="49"/>
  <c r="C9" i="49"/>
  <c r="C8" i="49"/>
  <c r="A8" i="34"/>
  <c r="B8" i="34"/>
  <c r="D6" i="61" s="1"/>
  <c r="S34" i="33"/>
  <c r="F3" i="43"/>
  <c r="B80" i="49"/>
  <c r="B79" i="49"/>
  <c r="B78" i="49"/>
  <c r="B77" i="49"/>
  <c r="B76" i="49"/>
  <c r="B75" i="49"/>
  <c r="B74" i="49"/>
  <c r="B73" i="49"/>
  <c r="B72" i="49"/>
  <c r="B71" i="49"/>
  <c r="B70" i="49"/>
  <c r="B69" i="49"/>
  <c r="B68" i="49"/>
  <c r="B67" i="49"/>
  <c r="B63" i="49"/>
  <c r="B62" i="49"/>
  <c r="B61" i="49"/>
  <c r="B60" i="49"/>
  <c r="B59" i="49"/>
  <c r="B58" i="49"/>
  <c r="B57" i="49"/>
  <c r="B55" i="49"/>
  <c r="B54" i="49"/>
  <c r="B53" i="49"/>
  <c r="B52" i="49"/>
  <c r="B51" i="49"/>
  <c r="B50" i="49"/>
  <c r="B49" i="49"/>
  <c r="B45" i="49"/>
  <c r="B33" i="49"/>
  <c r="C7" i="49"/>
  <c r="C6" i="49"/>
  <c r="B6" i="49"/>
  <c r="R3" i="49"/>
  <c r="P3" i="49"/>
  <c r="N3" i="49"/>
  <c r="L3" i="49"/>
  <c r="J3" i="49"/>
  <c r="H3" i="49"/>
  <c r="F3" i="49"/>
  <c r="D3" i="49"/>
  <c r="R2" i="49"/>
  <c r="N2" i="49"/>
  <c r="A67" i="46"/>
  <c r="B50" i="46"/>
  <c r="A50" i="46"/>
  <c r="B33" i="46"/>
  <c r="A33" i="46"/>
  <c r="C6" i="43"/>
  <c r="B6" i="43"/>
  <c r="B3" i="44"/>
  <c r="A3" i="44"/>
  <c r="C7" i="33"/>
  <c r="B7" i="33"/>
  <c r="E7" i="46"/>
  <c r="V7" i="46" s="1"/>
  <c r="P3" i="43"/>
  <c r="N3" i="43"/>
  <c r="L3" i="43"/>
  <c r="J3" i="43"/>
  <c r="E59" i="44"/>
  <c r="F59" i="44"/>
  <c r="G59" i="44"/>
  <c r="H59" i="44"/>
  <c r="I59" i="44"/>
  <c r="J59" i="44"/>
  <c r="K59" i="44"/>
  <c r="F60" i="44"/>
  <c r="G60" i="44"/>
  <c r="H60" i="44"/>
  <c r="F61" i="44"/>
  <c r="G61" i="44"/>
  <c r="H61" i="44"/>
  <c r="F62" i="44"/>
  <c r="G62" i="44"/>
  <c r="H62" i="44"/>
  <c r="F63" i="44"/>
  <c r="G63" i="44"/>
  <c r="H63" i="44"/>
  <c r="F64" i="44"/>
  <c r="G64" i="44"/>
  <c r="H64" i="44"/>
  <c r="F65" i="44"/>
  <c r="G65" i="44"/>
  <c r="H65" i="44"/>
  <c r="F66" i="44"/>
  <c r="G66" i="44"/>
  <c r="H66" i="44"/>
  <c r="F67" i="44"/>
  <c r="G67" i="44"/>
  <c r="H67" i="44"/>
  <c r="F68" i="44"/>
  <c r="G68" i="44"/>
  <c r="H68" i="44"/>
  <c r="F69" i="44"/>
  <c r="G69" i="44"/>
  <c r="H69" i="44"/>
  <c r="F70" i="44"/>
  <c r="G70" i="44"/>
  <c r="H70" i="44"/>
  <c r="F71" i="44"/>
  <c r="G71" i="44"/>
  <c r="H71" i="44"/>
  <c r="F72" i="44"/>
  <c r="G72" i="44"/>
  <c r="H72" i="44"/>
  <c r="E40" i="44"/>
  <c r="H40" i="44"/>
  <c r="I40" i="44"/>
  <c r="K40" i="44"/>
  <c r="E41" i="44"/>
  <c r="H41" i="44"/>
  <c r="I41" i="44"/>
  <c r="K41" i="44"/>
  <c r="C59" i="44"/>
  <c r="C34" i="44"/>
  <c r="C35" i="44"/>
  <c r="C36" i="44"/>
  <c r="C37" i="44"/>
  <c r="C38" i="44"/>
  <c r="C39" i="44"/>
  <c r="C40" i="44"/>
  <c r="C41" i="44"/>
  <c r="B59" i="44"/>
  <c r="B44" i="44"/>
  <c r="C51" i="43" s="1"/>
  <c r="B45" i="44"/>
  <c r="C52" i="43" s="1"/>
  <c r="B46" i="44"/>
  <c r="C52" i="49" s="1"/>
  <c r="B47" i="44"/>
  <c r="B48" i="44"/>
  <c r="C54" i="49" s="1"/>
  <c r="B49" i="44"/>
  <c r="B52" i="44"/>
  <c r="B53" i="44"/>
  <c r="B54" i="44"/>
  <c r="B55" i="44"/>
  <c r="B56" i="44"/>
  <c r="B57" i="44"/>
  <c r="B43" i="44"/>
  <c r="C50" i="43" s="1"/>
  <c r="C39" i="43"/>
  <c r="C40" i="43"/>
  <c r="C41" i="43"/>
  <c r="C42" i="43"/>
  <c r="C43" i="43"/>
  <c r="C44" i="43"/>
  <c r="C45" i="43"/>
  <c r="C46" i="43"/>
  <c r="B28" i="44"/>
  <c r="C33" i="43" s="1"/>
  <c r="P79" i="45"/>
  <c r="P78" i="45"/>
  <c r="P76" i="45"/>
  <c r="P75" i="45"/>
  <c r="C74" i="45"/>
  <c r="E74" i="45" s="1"/>
  <c r="P74" i="45" s="1"/>
  <c r="B74" i="45"/>
  <c r="A74" i="45"/>
  <c r="C73" i="45"/>
  <c r="E73" i="45" s="1"/>
  <c r="P73" i="45" s="1"/>
  <c r="A73" i="45"/>
  <c r="C72" i="45"/>
  <c r="A72" i="45"/>
  <c r="C71" i="45"/>
  <c r="E71" i="45" s="1"/>
  <c r="P71" i="45" s="1"/>
  <c r="A71" i="45"/>
  <c r="C70" i="45"/>
  <c r="A70" i="45"/>
  <c r="C69" i="45"/>
  <c r="A69" i="45"/>
  <c r="C68" i="45"/>
  <c r="A68" i="45"/>
  <c r="C67" i="45"/>
  <c r="A67" i="45"/>
  <c r="A66" i="45"/>
  <c r="E63" i="45"/>
  <c r="B73" i="45"/>
  <c r="A63" i="45"/>
  <c r="C62" i="45"/>
  <c r="B62" i="45"/>
  <c r="B72" i="45" s="1"/>
  <c r="A62" i="45"/>
  <c r="C61" i="45"/>
  <c r="B61" i="45"/>
  <c r="B71" i="45" s="1"/>
  <c r="A61" i="45"/>
  <c r="C60" i="45"/>
  <c r="B60" i="45"/>
  <c r="B70" i="45" s="1"/>
  <c r="A60" i="45"/>
  <c r="C59" i="45"/>
  <c r="B59" i="45"/>
  <c r="B69" i="45" s="1"/>
  <c r="B79" i="45" s="1"/>
  <c r="A59" i="45"/>
  <c r="C58" i="45"/>
  <c r="B58" i="45"/>
  <c r="B68" i="45" s="1"/>
  <c r="B78" i="45" s="1"/>
  <c r="A58" i="45"/>
  <c r="C57" i="45"/>
  <c r="B57" i="45"/>
  <c r="B67" i="45" s="1"/>
  <c r="B77" i="45" s="1"/>
  <c r="A57" i="45"/>
  <c r="B55" i="45"/>
  <c r="A55" i="45"/>
  <c r="B54" i="45"/>
  <c r="A54" i="45"/>
  <c r="B53" i="45"/>
  <c r="A53" i="45"/>
  <c r="B52" i="45"/>
  <c r="A52" i="45"/>
  <c r="A51" i="45"/>
  <c r="B50" i="45"/>
  <c r="A50" i="45"/>
  <c r="B49" i="45"/>
  <c r="A49" i="45"/>
  <c r="C46" i="45"/>
  <c r="B46" i="45"/>
  <c r="A46" i="45"/>
  <c r="C45" i="45"/>
  <c r="B45" i="45"/>
  <c r="A45" i="45"/>
  <c r="B44" i="45"/>
  <c r="A44" i="45"/>
  <c r="B43" i="45"/>
  <c r="A43" i="45"/>
  <c r="B42" i="45"/>
  <c r="A42" i="45"/>
  <c r="B41" i="45"/>
  <c r="A41" i="45"/>
  <c r="B40" i="45"/>
  <c r="A40" i="45"/>
  <c r="A39" i="45"/>
  <c r="A33" i="45"/>
  <c r="A66" i="34"/>
  <c r="C51" i="61" s="1"/>
  <c r="V51" i="61" s="1"/>
  <c r="B69" i="33"/>
  <c r="B70" i="33"/>
  <c r="B71" i="33"/>
  <c r="B72" i="33"/>
  <c r="B73" i="33"/>
  <c r="B74" i="33"/>
  <c r="B75" i="33"/>
  <c r="B76" i="33"/>
  <c r="B77" i="33"/>
  <c r="B78" i="33"/>
  <c r="B79" i="33"/>
  <c r="B80" i="33"/>
  <c r="B81" i="33"/>
  <c r="B82" i="33"/>
  <c r="B52" i="33"/>
  <c r="B53" i="33"/>
  <c r="B54" i="33"/>
  <c r="B55" i="33"/>
  <c r="B56" i="33"/>
  <c r="B57" i="33"/>
  <c r="B59" i="33"/>
  <c r="B60" i="33"/>
  <c r="B61" i="33"/>
  <c r="B62" i="33"/>
  <c r="B63" i="33"/>
  <c r="B64" i="33"/>
  <c r="B65" i="33"/>
  <c r="B51" i="33"/>
  <c r="B35" i="33"/>
  <c r="B36" i="33"/>
  <c r="B37" i="33"/>
  <c r="B38" i="33"/>
  <c r="B39" i="33"/>
  <c r="B40" i="33"/>
  <c r="B41" i="33"/>
  <c r="B42" i="33"/>
  <c r="B43" i="33"/>
  <c r="B44" i="33"/>
  <c r="B45" i="33"/>
  <c r="B46" i="33"/>
  <c r="B47" i="33"/>
  <c r="B34" i="33"/>
  <c r="C67" i="34"/>
  <c r="C68" i="34"/>
  <c r="C70" i="34"/>
  <c r="C71" i="34"/>
  <c r="C72" i="34"/>
  <c r="C73" i="34"/>
  <c r="C74" i="34"/>
  <c r="C75" i="34"/>
  <c r="C76" i="34"/>
  <c r="C77" i="34"/>
  <c r="C78" i="34"/>
  <c r="C79" i="34"/>
  <c r="E50" i="34"/>
  <c r="Q50" i="34" s="1"/>
  <c r="E51" i="34"/>
  <c r="E52" i="34"/>
  <c r="Q52" i="34" s="1"/>
  <c r="E53" i="34"/>
  <c r="Q53" i="34" s="1"/>
  <c r="E54" i="34"/>
  <c r="Q54" i="34" s="1"/>
  <c r="E55" i="34"/>
  <c r="Q55" i="34" s="1"/>
  <c r="E56" i="34"/>
  <c r="Q56" i="34" s="1"/>
  <c r="E57" i="34"/>
  <c r="Q57" i="34" s="1"/>
  <c r="E59" i="34"/>
  <c r="Q59" i="34" s="1"/>
  <c r="E60" i="34"/>
  <c r="Q60" i="34" s="1"/>
  <c r="E62" i="34"/>
  <c r="Q62" i="34" s="1"/>
  <c r="E63" i="34"/>
  <c r="Q63" i="34" s="1"/>
  <c r="B50" i="34"/>
  <c r="D37" i="61" s="1"/>
  <c r="B51" i="34"/>
  <c r="D38" i="61" s="1"/>
  <c r="B52" i="34"/>
  <c r="D39" i="61" s="1"/>
  <c r="B53" i="34"/>
  <c r="D40" i="61" s="1"/>
  <c r="B54" i="34"/>
  <c r="D41" i="61" s="1"/>
  <c r="B55" i="34"/>
  <c r="D42" i="61" s="1"/>
  <c r="B57" i="34"/>
  <c r="D44" i="61" s="1"/>
  <c r="B58" i="34"/>
  <c r="D45" i="61" s="1"/>
  <c r="B59" i="34"/>
  <c r="B60" i="34"/>
  <c r="B61" i="34"/>
  <c r="B62" i="34"/>
  <c r="B63" i="34"/>
  <c r="D3" i="34"/>
  <c r="R70" i="33"/>
  <c r="R70" i="43" s="1"/>
  <c r="R71" i="33"/>
  <c r="R71" i="43" s="1"/>
  <c r="R72" i="33"/>
  <c r="R72" i="43" s="1"/>
  <c r="R73" i="33"/>
  <c r="R73" i="43" s="1"/>
  <c r="R74" i="33"/>
  <c r="R74" i="43" s="1"/>
  <c r="R75" i="33"/>
  <c r="R75" i="43" s="1"/>
  <c r="R76" i="33"/>
  <c r="R76" i="43" s="1"/>
  <c r="R77" i="33"/>
  <c r="R77" i="43" s="1"/>
  <c r="R78" i="33"/>
  <c r="R78" i="43" s="1"/>
  <c r="R79" i="33"/>
  <c r="R79" i="43" s="1"/>
  <c r="R80" i="33"/>
  <c r="R80" i="43" s="1"/>
  <c r="R81" i="33"/>
  <c r="R81" i="43" s="1"/>
  <c r="R82" i="33"/>
  <c r="R82" i="43" s="1"/>
  <c r="R46" i="33"/>
  <c r="R45" i="43" s="1"/>
  <c r="R47" i="33"/>
  <c r="R46" i="43" s="1"/>
  <c r="P70" i="33"/>
  <c r="P70" i="43" s="1"/>
  <c r="P71" i="33"/>
  <c r="P71" i="43" s="1"/>
  <c r="P72" i="33"/>
  <c r="P72" i="43" s="1"/>
  <c r="P73" i="33"/>
  <c r="P73" i="43" s="1"/>
  <c r="P74" i="33"/>
  <c r="P74" i="43" s="1"/>
  <c r="P75" i="33"/>
  <c r="P75" i="43" s="1"/>
  <c r="P76" i="33"/>
  <c r="P76" i="43" s="1"/>
  <c r="P77" i="33"/>
  <c r="P77" i="43" s="1"/>
  <c r="P78" i="33"/>
  <c r="P78" i="43" s="1"/>
  <c r="P79" i="33"/>
  <c r="P79" i="43" s="1"/>
  <c r="P80" i="33"/>
  <c r="P80" i="43" s="1"/>
  <c r="P81" i="33"/>
  <c r="P81" i="43" s="1"/>
  <c r="P82" i="33"/>
  <c r="P82" i="43" s="1"/>
  <c r="P46" i="33"/>
  <c r="P45" i="43" s="1"/>
  <c r="P47" i="33"/>
  <c r="P46" i="43" s="1"/>
  <c r="N72" i="33"/>
  <c r="N72" i="43" s="1"/>
  <c r="N73" i="33"/>
  <c r="N73" i="43" s="1"/>
  <c r="N74" i="33"/>
  <c r="N74" i="43" s="1"/>
  <c r="N75" i="33"/>
  <c r="N75" i="43" s="1"/>
  <c r="N76" i="33"/>
  <c r="N76" i="43" s="1"/>
  <c r="N77" i="33"/>
  <c r="N77" i="43" s="1"/>
  <c r="N78" i="33"/>
  <c r="N78" i="43" s="1"/>
  <c r="N79" i="33"/>
  <c r="N79" i="43" s="1"/>
  <c r="N80" i="33"/>
  <c r="N80" i="43" s="1"/>
  <c r="N81" i="33"/>
  <c r="N81" i="43" s="1"/>
  <c r="N82" i="33"/>
  <c r="N82" i="43" s="1"/>
  <c r="N46" i="33"/>
  <c r="N45" i="43" s="1"/>
  <c r="N47" i="33"/>
  <c r="N46" i="43" s="1"/>
  <c r="L72" i="33"/>
  <c r="L72" i="43" s="1"/>
  <c r="L73" i="33"/>
  <c r="L73" i="43" s="1"/>
  <c r="L74" i="33"/>
  <c r="L74" i="43" s="1"/>
  <c r="L75" i="33"/>
  <c r="L75" i="43" s="1"/>
  <c r="L76" i="33"/>
  <c r="L76" i="43" s="1"/>
  <c r="L77" i="33"/>
  <c r="L77" i="43" s="1"/>
  <c r="L78" i="33"/>
  <c r="L78" i="43" s="1"/>
  <c r="L79" i="33"/>
  <c r="L79" i="43" s="1"/>
  <c r="L80" i="33"/>
  <c r="L80" i="43" s="1"/>
  <c r="L81" i="33"/>
  <c r="L81" i="43" s="1"/>
  <c r="L82" i="33"/>
  <c r="L82" i="43" s="1"/>
  <c r="L46" i="33"/>
  <c r="L45" i="43" s="1"/>
  <c r="L47" i="33"/>
  <c r="L46" i="43" s="1"/>
  <c r="J73" i="33"/>
  <c r="M55" i="61" s="1"/>
  <c r="AC55" i="61" s="1"/>
  <c r="J74" i="33"/>
  <c r="M56" i="61" s="1"/>
  <c r="AC56" i="61" s="1"/>
  <c r="J75" i="33"/>
  <c r="M57" i="61" s="1"/>
  <c r="AC57" i="61" s="1"/>
  <c r="J76" i="33"/>
  <c r="M58" i="61" s="1"/>
  <c r="AC58" i="61" s="1"/>
  <c r="J77" i="33"/>
  <c r="M59" i="61" s="1"/>
  <c r="AC59" i="61" s="1"/>
  <c r="J78" i="33"/>
  <c r="M60" i="61" s="1"/>
  <c r="AC60" i="61" s="1"/>
  <c r="J79" i="33"/>
  <c r="J79" i="43" s="1"/>
  <c r="J80" i="33"/>
  <c r="J80" i="43" s="1"/>
  <c r="J81" i="33"/>
  <c r="J81" i="43" s="1"/>
  <c r="J82" i="33"/>
  <c r="J82" i="43" s="1"/>
  <c r="J47" i="33"/>
  <c r="J46" i="43" s="1"/>
  <c r="D76" i="33"/>
  <c r="J58" i="61" s="1"/>
  <c r="Z58" i="61" s="1"/>
  <c r="D77" i="33"/>
  <c r="J59" i="61" s="1"/>
  <c r="Z59" i="61" s="1"/>
  <c r="D78" i="33"/>
  <c r="J60" i="61" s="1"/>
  <c r="Z60" i="61" s="1"/>
  <c r="D79" i="33"/>
  <c r="D79" i="43" s="1"/>
  <c r="D80" i="33"/>
  <c r="D80" i="43" s="1"/>
  <c r="D81" i="33"/>
  <c r="D81" i="43" s="1"/>
  <c r="D82" i="33"/>
  <c r="D82" i="43" s="1"/>
  <c r="C78" i="33"/>
  <c r="C79" i="33"/>
  <c r="C80" i="33"/>
  <c r="C81" i="33"/>
  <c r="C82" i="33"/>
  <c r="C47" i="33"/>
  <c r="C69" i="33"/>
  <c r="C70" i="33"/>
  <c r="C71" i="33"/>
  <c r="C72" i="33"/>
  <c r="C73" i="33"/>
  <c r="C74" i="33"/>
  <c r="C75" i="33"/>
  <c r="C76" i="33"/>
  <c r="C77" i="33"/>
  <c r="C52" i="33"/>
  <c r="C53" i="33"/>
  <c r="C54" i="33"/>
  <c r="C55" i="33"/>
  <c r="C56" i="33"/>
  <c r="C57" i="33"/>
  <c r="C51" i="33"/>
  <c r="C40" i="33"/>
  <c r="C41" i="33"/>
  <c r="C42" i="33"/>
  <c r="C34" i="33"/>
  <c r="D15" i="39"/>
  <c r="D39" i="39"/>
  <c r="O27" i="39"/>
  <c r="O39" i="39"/>
  <c r="AK3" i="39"/>
  <c r="Q7" i="39"/>
  <c r="U7" i="39" s="1"/>
  <c r="Q8" i="39"/>
  <c r="U8" i="39" s="1"/>
  <c r="Q19" i="39"/>
  <c r="U19" i="39" s="1"/>
  <c r="Q6" i="39"/>
  <c r="U6" i="39" s="1"/>
  <c r="Q18" i="39"/>
  <c r="U18" i="39" s="1"/>
  <c r="U22" i="39"/>
  <c r="U21" i="39"/>
  <c r="U20" i="39"/>
  <c r="F18" i="39"/>
  <c r="J18" i="39" s="1"/>
  <c r="AK135" i="39"/>
  <c r="AK123" i="39"/>
  <c r="AK111" i="39"/>
  <c r="AK99" i="39"/>
  <c r="AK39" i="39"/>
  <c r="AK27" i="39"/>
  <c r="AK15" i="39"/>
  <c r="Z135" i="39"/>
  <c r="Z123" i="39"/>
  <c r="Z111" i="39"/>
  <c r="Z99" i="39"/>
  <c r="Z39" i="39"/>
  <c r="Z27" i="39"/>
  <c r="Z15" i="39"/>
  <c r="AQ144" i="39"/>
  <c r="AF144" i="39"/>
  <c r="U144" i="39"/>
  <c r="J144" i="39"/>
  <c r="AQ143" i="39"/>
  <c r="AF143" i="39"/>
  <c r="U143" i="39"/>
  <c r="J143" i="39"/>
  <c r="AQ142" i="39"/>
  <c r="AF142" i="39"/>
  <c r="U142" i="39"/>
  <c r="J142" i="39"/>
  <c r="AQ141" i="39"/>
  <c r="AF141" i="39"/>
  <c r="U141" i="39"/>
  <c r="J141" i="39"/>
  <c r="AQ140" i="39"/>
  <c r="AF140" i="39"/>
  <c r="U140" i="39"/>
  <c r="J140" i="39"/>
  <c r="AQ139" i="39"/>
  <c r="AF139" i="39"/>
  <c r="U139" i="39"/>
  <c r="J139" i="39"/>
  <c r="AQ138" i="39"/>
  <c r="AF138" i="39"/>
  <c r="U138" i="39"/>
  <c r="J138" i="39"/>
  <c r="AQ137" i="39"/>
  <c r="AF137" i="39"/>
  <c r="U137" i="39"/>
  <c r="J137" i="39"/>
  <c r="J145" i="39" s="1"/>
  <c r="O135" i="39"/>
  <c r="D135" i="39"/>
  <c r="AQ132" i="39"/>
  <c r="AF132" i="39"/>
  <c r="U132" i="39"/>
  <c r="J132" i="39"/>
  <c r="AQ131" i="39"/>
  <c r="AF131" i="39"/>
  <c r="U131" i="39"/>
  <c r="J131" i="39"/>
  <c r="AQ130" i="39"/>
  <c r="AF130" i="39"/>
  <c r="U130" i="39"/>
  <c r="J130" i="39"/>
  <c r="AQ129" i="39"/>
  <c r="AF129" i="39"/>
  <c r="U129" i="39"/>
  <c r="J129" i="39"/>
  <c r="AQ128" i="39"/>
  <c r="AF128" i="39"/>
  <c r="U128" i="39"/>
  <c r="J128" i="39"/>
  <c r="AQ127" i="39"/>
  <c r="AF127" i="39"/>
  <c r="U127" i="39"/>
  <c r="J127" i="39"/>
  <c r="AQ126" i="39"/>
  <c r="AF126" i="39"/>
  <c r="U126" i="39"/>
  <c r="J126" i="39"/>
  <c r="AQ125" i="39"/>
  <c r="AF125" i="39"/>
  <c r="AF133" i="39"/>
  <c r="U125" i="39"/>
  <c r="J125" i="39"/>
  <c r="O123" i="39"/>
  <c r="D123" i="39"/>
  <c r="AQ120" i="39"/>
  <c r="AF120" i="39"/>
  <c r="U120" i="39"/>
  <c r="J120" i="39"/>
  <c r="AQ119" i="39"/>
  <c r="AF119" i="39"/>
  <c r="U119" i="39"/>
  <c r="J119" i="39"/>
  <c r="AQ118" i="39"/>
  <c r="AF118" i="39"/>
  <c r="U118" i="39"/>
  <c r="J118" i="39"/>
  <c r="AQ117" i="39"/>
  <c r="AF117" i="39"/>
  <c r="U117" i="39"/>
  <c r="J117" i="39"/>
  <c r="AQ116" i="39"/>
  <c r="AF116" i="39"/>
  <c r="U116" i="39"/>
  <c r="J116" i="39"/>
  <c r="AQ115" i="39"/>
  <c r="AF115" i="39"/>
  <c r="U115" i="39"/>
  <c r="J115" i="39"/>
  <c r="AQ114" i="39"/>
  <c r="AF114" i="39"/>
  <c r="U114" i="39"/>
  <c r="J114" i="39"/>
  <c r="AQ113" i="39"/>
  <c r="AF113" i="39"/>
  <c r="U113" i="39"/>
  <c r="U121" i="39" s="1"/>
  <c r="J113" i="39"/>
  <c r="O111" i="39"/>
  <c r="D111" i="39"/>
  <c r="AQ108" i="39"/>
  <c r="AF108" i="39"/>
  <c r="U108" i="39"/>
  <c r="J108" i="39"/>
  <c r="AQ107" i="39"/>
  <c r="AF107" i="39"/>
  <c r="U107" i="39"/>
  <c r="J107" i="39"/>
  <c r="AQ106" i="39"/>
  <c r="AF106" i="39"/>
  <c r="U106" i="39"/>
  <c r="J106" i="39"/>
  <c r="AQ105" i="39"/>
  <c r="AF105" i="39"/>
  <c r="U105" i="39"/>
  <c r="J105" i="39"/>
  <c r="AQ104" i="39"/>
  <c r="AF104" i="39"/>
  <c r="U104" i="39"/>
  <c r="J104" i="39"/>
  <c r="AQ103" i="39"/>
  <c r="AF103" i="39"/>
  <c r="U103" i="39"/>
  <c r="J103" i="39"/>
  <c r="AQ102" i="39"/>
  <c r="AF102" i="39"/>
  <c r="U102" i="39"/>
  <c r="J102" i="39"/>
  <c r="AQ101" i="39"/>
  <c r="AF101" i="39"/>
  <c r="U101" i="39"/>
  <c r="J101" i="39"/>
  <c r="O99" i="39"/>
  <c r="D99" i="39"/>
  <c r="AQ96" i="39"/>
  <c r="AQ95" i="39"/>
  <c r="AQ94" i="39"/>
  <c r="AQ93" i="39"/>
  <c r="AQ92" i="39"/>
  <c r="AQ91" i="39"/>
  <c r="AQ90" i="39"/>
  <c r="AQ89" i="39"/>
  <c r="AK87" i="39"/>
  <c r="AQ84" i="39"/>
  <c r="AQ83" i="39"/>
  <c r="AQ82" i="39"/>
  <c r="AQ81" i="39"/>
  <c r="AQ80" i="39"/>
  <c r="AQ79" i="39"/>
  <c r="AQ78" i="39"/>
  <c r="AQ77" i="39"/>
  <c r="AQ72" i="39"/>
  <c r="AQ71" i="39"/>
  <c r="AQ70" i="39"/>
  <c r="AQ69" i="39"/>
  <c r="AQ68" i="39"/>
  <c r="AQ67" i="39"/>
  <c r="AQ66" i="39"/>
  <c r="AQ65" i="39"/>
  <c r="AQ60" i="39"/>
  <c r="AQ59" i="39"/>
  <c r="AQ58" i="39"/>
  <c r="AQ57" i="39"/>
  <c r="AQ56" i="39"/>
  <c r="AQ55" i="39"/>
  <c r="AQ54" i="39"/>
  <c r="AQ53" i="39"/>
  <c r="AQ48" i="39"/>
  <c r="AQ47" i="39"/>
  <c r="AQ46" i="39"/>
  <c r="AQ45" i="39"/>
  <c r="AQ44" i="39"/>
  <c r="AQ43" i="39"/>
  <c r="AQ42" i="39"/>
  <c r="AQ41" i="39"/>
  <c r="AQ36" i="39"/>
  <c r="AQ35" i="39"/>
  <c r="AQ34" i="39"/>
  <c r="AQ33" i="39"/>
  <c r="AQ32" i="39"/>
  <c r="AQ31" i="39"/>
  <c r="AQ30" i="39"/>
  <c r="AQ29" i="39"/>
  <c r="AQ24" i="39"/>
  <c r="AQ23" i="39"/>
  <c r="AQ22" i="39"/>
  <c r="AQ21" i="39"/>
  <c r="AQ20" i="39"/>
  <c r="AQ19" i="39"/>
  <c r="AQ18" i="39"/>
  <c r="AQ17" i="39"/>
  <c r="AQ12" i="39"/>
  <c r="AQ11" i="39"/>
  <c r="AQ10" i="39"/>
  <c r="AQ9" i="39"/>
  <c r="AQ8" i="39"/>
  <c r="AQ7" i="39"/>
  <c r="AQ6" i="39"/>
  <c r="AQ5" i="39"/>
  <c r="J21" i="39"/>
  <c r="J19" i="39"/>
  <c r="J20" i="39"/>
  <c r="J9" i="39"/>
  <c r="J6" i="39"/>
  <c r="J7" i="39"/>
  <c r="J8" i="39"/>
  <c r="J10" i="39"/>
  <c r="J11" i="39"/>
  <c r="AF96" i="39"/>
  <c r="AF95" i="39"/>
  <c r="AF94" i="39"/>
  <c r="AF93" i="39"/>
  <c r="AF92" i="39"/>
  <c r="AF91" i="39"/>
  <c r="AF90" i="39"/>
  <c r="AF89" i="39"/>
  <c r="Z87" i="39"/>
  <c r="AF84" i="39"/>
  <c r="AF83" i="39"/>
  <c r="AF82" i="39"/>
  <c r="AF81" i="39"/>
  <c r="AF80" i="39"/>
  <c r="AF79" i="39"/>
  <c r="AF78" i="39"/>
  <c r="AF77" i="39"/>
  <c r="AF72" i="39"/>
  <c r="AF71" i="39"/>
  <c r="AF70" i="39"/>
  <c r="AF69" i="39"/>
  <c r="AF68" i="39"/>
  <c r="AF67" i="39"/>
  <c r="AF66" i="39"/>
  <c r="AF65" i="39"/>
  <c r="AF60" i="39"/>
  <c r="AF59" i="39"/>
  <c r="AF58" i="39"/>
  <c r="AF57" i="39"/>
  <c r="AF56" i="39"/>
  <c r="AF55" i="39"/>
  <c r="AF54" i="39"/>
  <c r="AF53" i="39"/>
  <c r="U96" i="39"/>
  <c r="U95" i="39"/>
  <c r="U94" i="39"/>
  <c r="U93" i="39"/>
  <c r="U92" i="39"/>
  <c r="U91" i="39"/>
  <c r="U90" i="39"/>
  <c r="U89" i="39"/>
  <c r="O87" i="39"/>
  <c r="U84" i="39"/>
  <c r="U83" i="39"/>
  <c r="U82" i="39"/>
  <c r="U81" i="39"/>
  <c r="U80" i="39"/>
  <c r="U79" i="39"/>
  <c r="U78" i="39"/>
  <c r="U77" i="39"/>
  <c r="U72" i="39"/>
  <c r="U71" i="39"/>
  <c r="U70" i="39"/>
  <c r="U69" i="39"/>
  <c r="U68" i="39"/>
  <c r="U67" i="39"/>
  <c r="U66" i="39"/>
  <c r="U65" i="39"/>
  <c r="U60" i="39"/>
  <c r="U59" i="39"/>
  <c r="U58" i="39"/>
  <c r="U57" i="39"/>
  <c r="U56" i="39"/>
  <c r="U55" i="39"/>
  <c r="U54" i="39"/>
  <c r="U53" i="39"/>
  <c r="AF5" i="39"/>
  <c r="AF6" i="39"/>
  <c r="AF7" i="39"/>
  <c r="AF8" i="39"/>
  <c r="AF9" i="39"/>
  <c r="AF10" i="39"/>
  <c r="AF11" i="39"/>
  <c r="AF12" i="39"/>
  <c r="AF17" i="39"/>
  <c r="AF18" i="39"/>
  <c r="AF19" i="39"/>
  <c r="AF20" i="39"/>
  <c r="AF21" i="39"/>
  <c r="AF22" i="39"/>
  <c r="AF23" i="39"/>
  <c r="AF24" i="39"/>
  <c r="AF29" i="39"/>
  <c r="AF30" i="39"/>
  <c r="AF31" i="39"/>
  <c r="AF32" i="39"/>
  <c r="AF33" i="39"/>
  <c r="AF34" i="39"/>
  <c r="AF35" i="39"/>
  <c r="AF36" i="39"/>
  <c r="AF41" i="39"/>
  <c r="AF42" i="39"/>
  <c r="AF43" i="39"/>
  <c r="AF44" i="39"/>
  <c r="AF45" i="39"/>
  <c r="AF46" i="39"/>
  <c r="AF47" i="39"/>
  <c r="AF48" i="39"/>
  <c r="O15" i="39"/>
  <c r="D27" i="39"/>
  <c r="J44" i="39"/>
  <c r="U48" i="39"/>
  <c r="U47" i="39"/>
  <c r="U46" i="39"/>
  <c r="U45" i="39"/>
  <c r="U44" i="39"/>
  <c r="U43" i="39"/>
  <c r="U42" i="39"/>
  <c r="U41" i="39"/>
  <c r="U36" i="39"/>
  <c r="U35" i="39"/>
  <c r="U34" i="39"/>
  <c r="U33" i="39"/>
  <c r="U32" i="39"/>
  <c r="U31" i="39"/>
  <c r="U30" i="39"/>
  <c r="U29" i="39"/>
  <c r="U24" i="39"/>
  <c r="U23" i="39"/>
  <c r="U17" i="39"/>
  <c r="U12" i="39"/>
  <c r="U11" i="39"/>
  <c r="U10" i="39"/>
  <c r="U9" i="39"/>
  <c r="U5" i="39"/>
  <c r="J96" i="39"/>
  <c r="J95" i="39"/>
  <c r="J94" i="39"/>
  <c r="J93" i="39"/>
  <c r="J92" i="39"/>
  <c r="J91" i="39"/>
  <c r="J90" i="39"/>
  <c r="J89" i="39"/>
  <c r="J84" i="39"/>
  <c r="J83" i="39"/>
  <c r="J82" i="39"/>
  <c r="J81" i="39"/>
  <c r="J80" i="39"/>
  <c r="J79" i="39"/>
  <c r="J78" i="39"/>
  <c r="J77" i="39"/>
  <c r="J72" i="39"/>
  <c r="J71" i="39"/>
  <c r="J70" i="39"/>
  <c r="J69" i="39"/>
  <c r="J68" i="39"/>
  <c r="J67" i="39"/>
  <c r="J66" i="39"/>
  <c r="J65" i="39"/>
  <c r="J60" i="39"/>
  <c r="J59" i="39"/>
  <c r="J58" i="39"/>
  <c r="J57" i="39"/>
  <c r="J56" i="39"/>
  <c r="J55" i="39"/>
  <c r="J54" i="39"/>
  <c r="J53" i="39"/>
  <c r="J48" i="39"/>
  <c r="J47" i="39"/>
  <c r="J46" i="39"/>
  <c r="J45" i="39"/>
  <c r="J43" i="39"/>
  <c r="J42" i="39"/>
  <c r="J41" i="39"/>
  <c r="J36" i="39"/>
  <c r="J35" i="39"/>
  <c r="J34" i="39"/>
  <c r="J33" i="39"/>
  <c r="J32" i="39"/>
  <c r="J31" i="39"/>
  <c r="J30" i="39"/>
  <c r="J29" i="39"/>
  <c r="J24" i="39"/>
  <c r="J23" i="39"/>
  <c r="J22" i="39"/>
  <c r="J17" i="39"/>
  <c r="J12" i="39"/>
  <c r="J5" i="39"/>
  <c r="Z3" i="39"/>
  <c r="D3" i="39"/>
  <c r="O3" i="39"/>
  <c r="D87" i="39"/>
  <c r="W45" i="61" l="1"/>
  <c r="B45" i="61"/>
  <c r="W44" i="61"/>
  <c r="B44" i="61"/>
  <c r="W42" i="61"/>
  <c r="B42" i="61"/>
  <c r="W6" i="61"/>
  <c r="B6" i="61"/>
  <c r="W41" i="61"/>
  <c r="B41" i="61"/>
  <c r="C6" i="59"/>
  <c r="U6" i="59" s="1"/>
  <c r="C6" i="61"/>
  <c r="V6" i="61" s="1"/>
  <c r="W40" i="61"/>
  <c r="B40" i="61"/>
  <c r="W43" i="61"/>
  <c r="B43" i="61"/>
  <c r="W39" i="61"/>
  <c r="B39" i="61"/>
  <c r="W38" i="61"/>
  <c r="B38" i="61"/>
  <c r="W37" i="61"/>
  <c r="B37" i="61"/>
  <c r="D53" i="43"/>
  <c r="J39" i="59"/>
  <c r="Y39" i="59" s="1"/>
  <c r="J34" i="43"/>
  <c r="M22" i="59"/>
  <c r="J75" i="43"/>
  <c r="M57" i="59"/>
  <c r="D54" i="43"/>
  <c r="J40" i="59"/>
  <c r="J41" i="43"/>
  <c r="M29" i="59"/>
  <c r="J33" i="43"/>
  <c r="M21" i="59"/>
  <c r="D76" i="43"/>
  <c r="J58" i="59"/>
  <c r="D51" i="43"/>
  <c r="J37" i="59"/>
  <c r="D58" i="43"/>
  <c r="J44" i="59"/>
  <c r="J54" i="43"/>
  <c r="M40" i="59"/>
  <c r="J74" i="43"/>
  <c r="M56" i="59"/>
  <c r="J73" i="43"/>
  <c r="M55" i="59"/>
  <c r="J56" i="43"/>
  <c r="M42" i="59"/>
  <c r="D59" i="43"/>
  <c r="J45" i="59"/>
  <c r="J53" i="43"/>
  <c r="M39" i="59"/>
  <c r="AB39" i="59" s="1"/>
  <c r="D78" i="43"/>
  <c r="J60" i="59"/>
  <c r="D56" i="43"/>
  <c r="J42" i="59"/>
  <c r="J40" i="43"/>
  <c r="M28" i="59"/>
  <c r="J58" i="43"/>
  <c r="M44" i="59"/>
  <c r="J55" i="43"/>
  <c r="M41" i="59"/>
  <c r="D77" i="43"/>
  <c r="J59" i="59"/>
  <c r="J51" i="43"/>
  <c r="M37" i="59"/>
  <c r="J39" i="43"/>
  <c r="M27" i="59"/>
  <c r="J59" i="43"/>
  <c r="M45" i="59"/>
  <c r="D55" i="43"/>
  <c r="J41" i="59"/>
  <c r="J57" i="43"/>
  <c r="M43" i="59"/>
  <c r="J50" i="43"/>
  <c r="M36" i="59"/>
  <c r="J78" i="43"/>
  <c r="M60" i="59"/>
  <c r="D57" i="43"/>
  <c r="J43" i="59"/>
  <c r="J42" i="43"/>
  <c r="M30" i="59"/>
  <c r="J77" i="43"/>
  <c r="M59" i="59"/>
  <c r="J52" i="43"/>
  <c r="M38" i="59"/>
  <c r="J76" i="43"/>
  <c r="M58" i="59"/>
  <c r="D52" i="43"/>
  <c r="J38" i="59"/>
  <c r="B45" i="52"/>
  <c r="Q45" i="52" s="1"/>
  <c r="D45" i="59"/>
  <c r="B44" i="52"/>
  <c r="Q44" i="52" s="1"/>
  <c r="D44" i="59"/>
  <c r="B42" i="52"/>
  <c r="Q42" i="52" s="1"/>
  <c r="D42" i="59"/>
  <c r="B6" i="52"/>
  <c r="Q6" i="52" s="1"/>
  <c r="D6" i="59"/>
  <c r="B41" i="52"/>
  <c r="Q41" i="52" s="1"/>
  <c r="D41" i="59"/>
  <c r="B40" i="52"/>
  <c r="Q40" i="52" s="1"/>
  <c r="D40" i="59"/>
  <c r="Q51" i="34"/>
  <c r="A51" i="52"/>
  <c r="P51" i="52" s="1"/>
  <c r="C51" i="59"/>
  <c r="U51" i="59" s="1"/>
  <c r="B39" i="52"/>
  <c r="Q39" i="52" s="1"/>
  <c r="D39" i="59"/>
  <c r="B43" i="52"/>
  <c r="Q43" i="52" s="1"/>
  <c r="D43" i="59"/>
  <c r="D6" i="43"/>
  <c r="E6" i="43" s="1"/>
  <c r="B38" i="52"/>
  <c r="Q38" i="52" s="1"/>
  <c r="D38" i="59"/>
  <c r="B37" i="52"/>
  <c r="Q37" i="52" s="1"/>
  <c r="D37" i="59"/>
  <c r="T40" i="33"/>
  <c r="A6" i="52"/>
  <c r="P6" i="52" s="1"/>
  <c r="J6" i="43"/>
  <c r="J7" i="43" s="1"/>
  <c r="K7" i="43" s="1"/>
  <c r="N6" i="43"/>
  <c r="L6" i="43"/>
  <c r="P6" i="43"/>
  <c r="R6" i="43"/>
  <c r="E16" i="46"/>
  <c r="V16" i="46" s="1"/>
  <c r="E11" i="46"/>
  <c r="V11" i="46" s="1"/>
  <c r="E13" i="46"/>
  <c r="V13" i="46" s="1"/>
  <c r="E19" i="46"/>
  <c r="V19" i="46" s="1"/>
  <c r="E14" i="46"/>
  <c r="V14" i="46" s="1"/>
  <c r="E18" i="46"/>
  <c r="V18" i="46" s="1"/>
  <c r="E20" i="46"/>
  <c r="V20" i="46" s="1"/>
  <c r="E33" i="46"/>
  <c r="V33" i="46" s="1"/>
  <c r="E17" i="46"/>
  <c r="V17" i="46" s="1"/>
  <c r="E15" i="46"/>
  <c r="V15" i="46" s="1"/>
  <c r="O42" i="43"/>
  <c r="O34" i="43"/>
  <c r="O41" i="43"/>
  <c r="O33" i="43"/>
  <c r="O40" i="43"/>
  <c r="O39" i="43"/>
  <c r="O46" i="43"/>
  <c r="O38" i="43"/>
  <c r="O45" i="43"/>
  <c r="O37" i="43"/>
  <c r="O6" i="43"/>
  <c r="O44" i="43"/>
  <c r="O43" i="43"/>
  <c r="O36" i="43"/>
  <c r="O35" i="43"/>
  <c r="M40" i="43"/>
  <c r="M39" i="43"/>
  <c r="M46" i="43"/>
  <c r="M38" i="43"/>
  <c r="M45" i="43"/>
  <c r="M37" i="43"/>
  <c r="M44" i="43"/>
  <c r="M36" i="43"/>
  <c r="M43" i="43"/>
  <c r="M35" i="43"/>
  <c r="M34" i="43"/>
  <c r="M33" i="43"/>
  <c r="M6" i="43"/>
  <c r="M41" i="43"/>
  <c r="M42" i="43"/>
  <c r="Q78" i="49"/>
  <c r="Q70" i="49"/>
  <c r="Q62" i="49"/>
  <c r="Q54" i="49"/>
  <c r="Q42" i="49"/>
  <c r="Q34" i="49"/>
  <c r="Q29" i="49"/>
  <c r="Q21" i="49"/>
  <c r="Q13" i="49"/>
  <c r="Q77" i="49"/>
  <c r="Q69" i="49"/>
  <c r="Q61" i="49"/>
  <c r="Q53" i="49"/>
  <c r="Q41" i="49"/>
  <c r="Q33" i="49"/>
  <c r="Q28" i="49"/>
  <c r="Q20" i="49"/>
  <c r="Q12" i="49"/>
  <c r="Q76" i="49"/>
  <c r="Q68" i="49"/>
  <c r="Q60" i="49"/>
  <c r="Q52" i="49"/>
  <c r="Q40" i="49"/>
  <c r="Q27" i="49"/>
  <c r="Q19" i="49"/>
  <c r="Q11" i="49"/>
  <c r="Q75" i="49"/>
  <c r="Q67" i="49"/>
  <c r="Q59" i="49"/>
  <c r="Q51" i="49"/>
  <c r="Q39" i="49"/>
  <c r="Q26" i="49"/>
  <c r="Q18" i="49"/>
  <c r="Q10" i="49"/>
  <c r="Q74" i="49"/>
  <c r="Q58" i="49"/>
  <c r="Q50" i="49"/>
  <c r="Q38" i="49"/>
  <c r="Q25" i="49"/>
  <c r="Q17" i="49"/>
  <c r="Q9" i="49"/>
  <c r="Q73" i="49"/>
  <c r="Q57" i="49"/>
  <c r="Q49" i="49"/>
  <c r="Q45" i="49"/>
  <c r="Q37" i="49"/>
  <c r="Q24" i="49"/>
  <c r="Q16" i="49"/>
  <c r="Q8" i="49"/>
  <c r="Q56" i="49"/>
  <c r="Q55" i="49"/>
  <c r="Q35" i="49"/>
  <c r="Q80" i="49"/>
  <c r="Q23" i="49"/>
  <c r="Q79" i="49"/>
  <c r="Q22" i="49"/>
  <c r="Q72" i="49"/>
  <c r="Q44" i="49"/>
  <c r="Q15" i="49"/>
  <c r="Q6" i="49"/>
  <c r="Q71" i="49"/>
  <c r="Q43" i="49"/>
  <c r="Q14" i="49"/>
  <c r="Q36" i="49"/>
  <c r="Q7" i="49"/>
  <c r="Q63" i="49"/>
  <c r="M74" i="49"/>
  <c r="M60" i="49"/>
  <c r="M52" i="49"/>
  <c r="M44" i="49"/>
  <c r="M36" i="49"/>
  <c r="M29" i="49"/>
  <c r="M21" i="49"/>
  <c r="M13" i="49"/>
  <c r="M73" i="49"/>
  <c r="M59" i="49"/>
  <c r="M51" i="49"/>
  <c r="M43" i="49"/>
  <c r="M35" i="49"/>
  <c r="M28" i="49"/>
  <c r="M20" i="49"/>
  <c r="M12" i="49"/>
  <c r="M80" i="49"/>
  <c r="M72" i="49"/>
  <c r="M58" i="49"/>
  <c r="M50" i="49"/>
  <c r="M42" i="49"/>
  <c r="M34" i="49"/>
  <c r="M27" i="49"/>
  <c r="M19" i="49"/>
  <c r="M11" i="49"/>
  <c r="M79" i="49"/>
  <c r="M71" i="49"/>
  <c r="M57" i="49"/>
  <c r="M49" i="49"/>
  <c r="M41" i="49"/>
  <c r="M33" i="49"/>
  <c r="M26" i="49"/>
  <c r="M18" i="49"/>
  <c r="M10" i="49"/>
  <c r="M78" i="49"/>
  <c r="M70" i="49"/>
  <c r="M56" i="49"/>
  <c r="M40" i="49"/>
  <c r="M25" i="49"/>
  <c r="M17" i="49"/>
  <c r="M9" i="49"/>
  <c r="M77" i="49"/>
  <c r="M69" i="49"/>
  <c r="M63" i="49"/>
  <c r="M55" i="49"/>
  <c r="M39" i="49"/>
  <c r="M24" i="49"/>
  <c r="M16" i="49"/>
  <c r="M8" i="49"/>
  <c r="M54" i="49"/>
  <c r="M15" i="49"/>
  <c r="M75" i="49"/>
  <c r="M53" i="49"/>
  <c r="M14" i="49"/>
  <c r="M45" i="49"/>
  <c r="M6" i="49"/>
  <c r="M22" i="49"/>
  <c r="M76" i="49"/>
  <c r="M7" i="49"/>
  <c r="M68" i="49"/>
  <c r="M38" i="49"/>
  <c r="M23" i="49"/>
  <c r="M61" i="49"/>
  <c r="M67" i="49"/>
  <c r="M37" i="49"/>
  <c r="M62" i="49"/>
  <c r="O76" i="49"/>
  <c r="O68" i="49"/>
  <c r="O61" i="49"/>
  <c r="O53" i="49"/>
  <c r="O39" i="49"/>
  <c r="O29" i="49"/>
  <c r="O21" i="49"/>
  <c r="O13" i="49"/>
  <c r="O75" i="49"/>
  <c r="O67" i="49"/>
  <c r="O60" i="49"/>
  <c r="O52" i="49"/>
  <c r="O38" i="49"/>
  <c r="O28" i="49"/>
  <c r="O20" i="49"/>
  <c r="O12" i="49"/>
  <c r="O74" i="49"/>
  <c r="O59" i="49"/>
  <c r="O51" i="49"/>
  <c r="O45" i="49"/>
  <c r="O37" i="49"/>
  <c r="O27" i="49"/>
  <c r="O19" i="49"/>
  <c r="O11" i="49"/>
  <c r="O73" i="49"/>
  <c r="O58" i="49"/>
  <c r="O50" i="49"/>
  <c r="O44" i="49"/>
  <c r="O36" i="49"/>
  <c r="O26" i="49"/>
  <c r="O18" i="49"/>
  <c r="O10" i="49"/>
  <c r="O80" i="49"/>
  <c r="O72" i="49"/>
  <c r="O57" i="49"/>
  <c r="O49" i="49"/>
  <c r="O43" i="49"/>
  <c r="O35" i="49"/>
  <c r="O25" i="49"/>
  <c r="O17" i="49"/>
  <c r="O9" i="49"/>
  <c r="O79" i="49"/>
  <c r="O71" i="49"/>
  <c r="O56" i="49"/>
  <c r="O42" i="49"/>
  <c r="O34" i="49"/>
  <c r="O24" i="49"/>
  <c r="O16" i="49"/>
  <c r="O8" i="49"/>
  <c r="O70" i="49"/>
  <c r="O41" i="49"/>
  <c r="O23" i="49"/>
  <c r="O14" i="49"/>
  <c r="O69" i="49"/>
  <c r="O40" i="49"/>
  <c r="O22" i="49"/>
  <c r="O62" i="49"/>
  <c r="O77" i="49"/>
  <c r="O63" i="49"/>
  <c r="O33" i="49"/>
  <c r="O15" i="49"/>
  <c r="O55" i="49"/>
  <c r="O7" i="49"/>
  <c r="O54" i="49"/>
  <c r="O6" i="49"/>
  <c r="O78" i="49"/>
  <c r="S80" i="49"/>
  <c r="S72" i="49"/>
  <c r="S63" i="49"/>
  <c r="S55" i="49"/>
  <c r="S45" i="49"/>
  <c r="S37" i="49"/>
  <c r="S29" i="49"/>
  <c r="S21" i="49"/>
  <c r="S13" i="49"/>
  <c r="S79" i="49"/>
  <c r="S71" i="49"/>
  <c r="S62" i="49"/>
  <c r="S54" i="49"/>
  <c r="S44" i="49"/>
  <c r="S36" i="49"/>
  <c r="S28" i="49"/>
  <c r="S20" i="49"/>
  <c r="S12" i="49"/>
  <c r="S78" i="49"/>
  <c r="S70" i="49"/>
  <c r="S61" i="49"/>
  <c r="S53" i="49"/>
  <c r="S43" i="49"/>
  <c r="S35" i="49"/>
  <c r="S27" i="49"/>
  <c r="S19" i="49"/>
  <c r="S11" i="49"/>
  <c r="S77" i="49"/>
  <c r="S69" i="49"/>
  <c r="S60" i="49"/>
  <c r="S52" i="49"/>
  <c r="S42" i="49"/>
  <c r="S34" i="49"/>
  <c r="S26" i="49"/>
  <c r="S18" i="49"/>
  <c r="S10" i="49"/>
  <c r="S76" i="49"/>
  <c r="S68" i="49"/>
  <c r="S59" i="49"/>
  <c r="S51" i="49"/>
  <c r="S41" i="49"/>
  <c r="S33" i="49"/>
  <c r="S25" i="49"/>
  <c r="S17" i="49"/>
  <c r="S9" i="49"/>
  <c r="S75" i="49"/>
  <c r="S67" i="49"/>
  <c r="S58" i="49"/>
  <c r="S50" i="49"/>
  <c r="S40" i="49"/>
  <c r="S24" i="49"/>
  <c r="S16" i="49"/>
  <c r="S8" i="49"/>
  <c r="S74" i="49"/>
  <c r="S7" i="49"/>
  <c r="S14" i="49"/>
  <c r="S73" i="49"/>
  <c r="S6" i="49"/>
  <c r="S39" i="49"/>
  <c r="S38" i="49"/>
  <c r="S57" i="49"/>
  <c r="S23" i="49"/>
  <c r="S49" i="49"/>
  <c r="S15" i="49"/>
  <c r="S56" i="49"/>
  <c r="S22" i="49"/>
  <c r="S33" i="43"/>
  <c r="S39" i="43"/>
  <c r="S46" i="43"/>
  <c r="S38" i="43"/>
  <c r="S45" i="43"/>
  <c r="S37" i="43"/>
  <c r="S44" i="43"/>
  <c r="S36" i="43"/>
  <c r="S43" i="43"/>
  <c r="S35" i="43"/>
  <c r="S42" i="43"/>
  <c r="S34" i="43"/>
  <c r="S41" i="43"/>
  <c r="S40" i="43"/>
  <c r="S6" i="43"/>
  <c r="Q44" i="43"/>
  <c r="Q36" i="43"/>
  <c r="Q43" i="43"/>
  <c r="Q35" i="43"/>
  <c r="Q42" i="43"/>
  <c r="Q34" i="43"/>
  <c r="Q41" i="43"/>
  <c r="Q33" i="43"/>
  <c r="Q40" i="43"/>
  <c r="Q39" i="43"/>
  <c r="Q38" i="43"/>
  <c r="Q45" i="43"/>
  <c r="Q37" i="43"/>
  <c r="Q6" i="43"/>
  <c r="Q46" i="43"/>
  <c r="L80" i="49"/>
  <c r="L77" i="49"/>
  <c r="E49" i="34"/>
  <c r="Q49" i="34" s="1"/>
  <c r="E67" i="34"/>
  <c r="Q67" i="34" s="1"/>
  <c r="E33" i="34"/>
  <c r="Q33" i="34" s="1"/>
  <c r="C82" i="46"/>
  <c r="E9" i="46"/>
  <c r="V9" i="46" s="1"/>
  <c r="AQ133" i="39"/>
  <c r="U145" i="39"/>
  <c r="J133" i="39"/>
  <c r="P70" i="49"/>
  <c r="Y35" i="33"/>
  <c r="Y36" i="33"/>
  <c r="R4" i="45"/>
  <c r="E12" i="46"/>
  <c r="V12" i="46" s="1"/>
  <c r="U85" i="39"/>
  <c r="U49" i="39"/>
  <c r="J85" i="39"/>
  <c r="AF109" i="39"/>
  <c r="AQ145" i="39"/>
  <c r="U133" i="39"/>
  <c r="E60" i="45"/>
  <c r="P60" i="45" s="1"/>
  <c r="E51" i="45"/>
  <c r="P51" i="45" s="1"/>
  <c r="P63" i="45"/>
  <c r="E50" i="45"/>
  <c r="P50" i="45" s="1"/>
  <c r="E58" i="45"/>
  <c r="P58" i="45" s="1"/>
  <c r="E56" i="45"/>
  <c r="P56" i="45" s="1"/>
  <c r="E59" i="45"/>
  <c r="P59" i="45" s="1"/>
  <c r="E62" i="45"/>
  <c r="P62" i="45" s="1"/>
  <c r="E53" i="45"/>
  <c r="P53" i="45" s="1"/>
  <c r="E54" i="45"/>
  <c r="P54" i="45" s="1"/>
  <c r="E57" i="45"/>
  <c r="P57" i="45" s="1"/>
  <c r="E52" i="45"/>
  <c r="P52" i="45" s="1"/>
  <c r="P49" i="45"/>
  <c r="E46" i="45"/>
  <c r="P46" i="45" s="1"/>
  <c r="O75" i="43"/>
  <c r="O76" i="43"/>
  <c r="O78" i="43"/>
  <c r="O79" i="43"/>
  <c r="O81" i="43"/>
  <c r="O77" i="43"/>
  <c r="O80" i="43"/>
  <c r="O82" i="43"/>
  <c r="L4" i="34"/>
  <c r="L4" i="46"/>
  <c r="M79" i="43"/>
  <c r="M80" i="43"/>
  <c r="M77" i="43"/>
  <c r="M81" i="43"/>
  <c r="M82" i="43"/>
  <c r="M75" i="43"/>
  <c r="M76" i="43"/>
  <c r="M78" i="43"/>
  <c r="J4" i="34"/>
  <c r="J4" i="46"/>
  <c r="J4" i="45"/>
  <c r="D78" i="49"/>
  <c r="E78" i="49" s="1"/>
  <c r="D77" i="49"/>
  <c r="E77" i="49" s="1"/>
  <c r="R4" i="49"/>
  <c r="S4" i="34"/>
  <c r="P4" i="46"/>
  <c r="R4" i="46"/>
  <c r="U4" i="34"/>
  <c r="D4" i="50"/>
  <c r="D4" i="46"/>
  <c r="D4" i="45"/>
  <c r="E46" i="46"/>
  <c r="V46" i="46" s="1"/>
  <c r="E55" i="45"/>
  <c r="P55" i="45" s="1"/>
  <c r="C55" i="43"/>
  <c r="B10" i="45"/>
  <c r="C63" i="43"/>
  <c r="B18" i="45"/>
  <c r="C53" i="43"/>
  <c r="B8" i="45"/>
  <c r="C57" i="43"/>
  <c r="B12" i="45"/>
  <c r="C62" i="43"/>
  <c r="B17" i="45"/>
  <c r="C58" i="43"/>
  <c r="B13" i="45"/>
  <c r="C63" i="49"/>
  <c r="C64" i="43"/>
  <c r="B19" i="45"/>
  <c r="C61" i="43"/>
  <c r="B16" i="45"/>
  <c r="C54" i="43"/>
  <c r="B9" i="45"/>
  <c r="C59" i="49"/>
  <c r="C60" i="43"/>
  <c r="B15" i="45"/>
  <c r="C59" i="43"/>
  <c r="B14" i="45"/>
  <c r="C56" i="43"/>
  <c r="B11" i="45"/>
  <c r="P33" i="45"/>
  <c r="C67" i="49"/>
  <c r="B21" i="45"/>
  <c r="L76" i="49"/>
  <c r="L79" i="49"/>
  <c r="L78" i="49"/>
  <c r="C36" i="49"/>
  <c r="C56" i="49"/>
  <c r="J76" i="49"/>
  <c r="K76" i="49" s="1"/>
  <c r="J78" i="49"/>
  <c r="K78" i="49" s="1"/>
  <c r="J80" i="49"/>
  <c r="K80" i="49" s="1"/>
  <c r="J77" i="49"/>
  <c r="K77" i="49" s="1"/>
  <c r="J79" i="49"/>
  <c r="K79" i="49" s="1"/>
  <c r="D79" i="49"/>
  <c r="E79" i="49" s="1"/>
  <c r="D75" i="49"/>
  <c r="E75" i="49" s="1"/>
  <c r="D69" i="49"/>
  <c r="E69" i="49" s="1"/>
  <c r="D80" i="49"/>
  <c r="E80" i="49" s="1"/>
  <c r="D67" i="49"/>
  <c r="E67" i="49" s="1"/>
  <c r="D70" i="49"/>
  <c r="E70" i="49" s="1"/>
  <c r="D76" i="49"/>
  <c r="E76" i="49" s="1"/>
  <c r="D71" i="49"/>
  <c r="E71" i="49" s="1"/>
  <c r="D72" i="49"/>
  <c r="E72" i="49" s="1"/>
  <c r="D74" i="49"/>
  <c r="E74" i="49" s="1"/>
  <c r="D73" i="49"/>
  <c r="E73" i="49" s="1"/>
  <c r="D68" i="49"/>
  <c r="E68" i="49" s="1"/>
  <c r="D6" i="49"/>
  <c r="E6" i="49" s="1"/>
  <c r="N6" i="49"/>
  <c r="J4" i="49"/>
  <c r="P80" i="49"/>
  <c r="P72" i="49"/>
  <c r="P79" i="49"/>
  <c r="P69" i="49"/>
  <c r="P68" i="49"/>
  <c r="P74" i="49"/>
  <c r="P77" i="49"/>
  <c r="P78" i="49"/>
  <c r="P71" i="49"/>
  <c r="P76" i="49"/>
  <c r="P73" i="49"/>
  <c r="P75" i="49"/>
  <c r="P6" i="49"/>
  <c r="L6" i="49"/>
  <c r="N77" i="49"/>
  <c r="N80" i="49"/>
  <c r="N72" i="49"/>
  <c r="N69" i="49"/>
  <c r="N78" i="49"/>
  <c r="N74" i="49"/>
  <c r="N68" i="49"/>
  <c r="N76" i="49"/>
  <c r="N75" i="49"/>
  <c r="N79" i="49"/>
  <c r="N73" i="49"/>
  <c r="N71" i="49"/>
  <c r="N70" i="49"/>
  <c r="J6" i="49"/>
  <c r="K6" i="49" s="1"/>
  <c r="R72" i="49"/>
  <c r="R77" i="49"/>
  <c r="R71" i="49"/>
  <c r="R69" i="49"/>
  <c r="R74" i="49"/>
  <c r="R73" i="49"/>
  <c r="R78" i="49"/>
  <c r="R75" i="49"/>
  <c r="R76" i="49"/>
  <c r="R68" i="49"/>
  <c r="R80" i="49"/>
  <c r="R79" i="49"/>
  <c r="R70" i="49"/>
  <c r="R6" i="49"/>
  <c r="L75" i="49"/>
  <c r="J70" i="49"/>
  <c r="K70" i="49" s="1"/>
  <c r="R67" i="49"/>
  <c r="C53" i="49"/>
  <c r="J75" i="49"/>
  <c r="K75" i="49" s="1"/>
  <c r="L72" i="49"/>
  <c r="P67" i="49"/>
  <c r="L70" i="49"/>
  <c r="C43" i="49"/>
  <c r="J72" i="49"/>
  <c r="K72" i="49" s="1"/>
  <c r="L69" i="49"/>
  <c r="N67" i="49"/>
  <c r="J73" i="49"/>
  <c r="K73" i="49" s="1"/>
  <c r="C42" i="49"/>
  <c r="C51" i="49"/>
  <c r="B7" i="45"/>
  <c r="L74" i="49"/>
  <c r="J69" i="49"/>
  <c r="K69" i="49" s="1"/>
  <c r="L67" i="49"/>
  <c r="J74" i="49"/>
  <c r="K74" i="49" s="1"/>
  <c r="L71" i="49"/>
  <c r="J67" i="49"/>
  <c r="K67" i="49" s="1"/>
  <c r="C40" i="49"/>
  <c r="J71" i="49"/>
  <c r="K71" i="49" s="1"/>
  <c r="L68" i="49"/>
  <c r="C38" i="49"/>
  <c r="C39" i="49"/>
  <c r="L73" i="49"/>
  <c r="J68" i="49"/>
  <c r="K68" i="49" s="1"/>
  <c r="P77" i="45"/>
  <c r="E70" i="45"/>
  <c r="P70" i="45" s="1"/>
  <c r="E66" i="45"/>
  <c r="P66" i="45" s="1"/>
  <c r="E67" i="45"/>
  <c r="P67" i="45" s="1"/>
  <c r="E68" i="45"/>
  <c r="P68" i="45" s="1"/>
  <c r="P4" i="43"/>
  <c r="L4" i="43"/>
  <c r="N4" i="43"/>
  <c r="E68" i="34"/>
  <c r="Q68" i="34" s="1"/>
  <c r="E72" i="34"/>
  <c r="E79" i="34"/>
  <c r="E71" i="34"/>
  <c r="E78" i="34"/>
  <c r="E70" i="34"/>
  <c r="E69" i="34"/>
  <c r="E74" i="34"/>
  <c r="E73" i="34"/>
  <c r="E75" i="34"/>
  <c r="E66" i="34"/>
  <c r="Q66" i="34" s="1"/>
  <c r="E61" i="45"/>
  <c r="P61" i="45" s="1"/>
  <c r="C62" i="49"/>
  <c r="E8" i="46"/>
  <c r="C61" i="49"/>
  <c r="E61" i="34"/>
  <c r="Q61" i="34" s="1"/>
  <c r="E76" i="34"/>
  <c r="U25" i="39"/>
  <c r="J37" i="39"/>
  <c r="AF49" i="39"/>
  <c r="AF37" i="39"/>
  <c r="AF13" i="39"/>
  <c r="J13" i="39"/>
  <c r="AQ97" i="39"/>
  <c r="H3" i="50"/>
  <c r="J73" i="39"/>
  <c r="U61" i="39"/>
  <c r="U73" i="39"/>
  <c r="AQ85" i="39"/>
  <c r="J25" i="39"/>
  <c r="AF121" i="39"/>
  <c r="AF73" i="39"/>
  <c r="AQ49" i="39"/>
  <c r="J121" i="39"/>
  <c r="AQ121" i="39"/>
  <c r="AF25" i="39"/>
  <c r="AF61" i="39"/>
  <c r="AQ25" i="39"/>
  <c r="AQ109" i="39"/>
  <c r="J61" i="39"/>
  <c r="J97" i="39"/>
  <c r="U37" i="39"/>
  <c r="U97" i="39"/>
  <c r="AQ13" i="39"/>
  <c r="AQ37" i="39"/>
  <c r="AQ73" i="39"/>
  <c r="J109" i="39"/>
  <c r="J49" i="39"/>
  <c r="AF85" i="39"/>
  <c r="AF97" i="39"/>
  <c r="AQ61" i="39"/>
  <c r="U109" i="39"/>
  <c r="AF145" i="39"/>
  <c r="B66" i="50"/>
  <c r="B68" i="50"/>
  <c r="B65" i="50"/>
  <c r="B67" i="50"/>
  <c r="B64" i="50"/>
  <c r="B69" i="50"/>
  <c r="B74" i="50"/>
  <c r="B73" i="50"/>
  <c r="C44" i="49"/>
  <c r="E45" i="45"/>
  <c r="P45" i="45" s="1"/>
  <c r="C41" i="49"/>
  <c r="E69" i="45"/>
  <c r="P69" i="45" s="1"/>
  <c r="C58" i="49"/>
  <c r="C55" i="49"/>
  <c r="E58" i="34"/>
  <c r="Q58" i="34" s="1"/>
  <c r="C50" i="49"/>
  <c r="L4" i="49"/>
  <c r="E72" i="45"/>
  <c r="P72" i="45" s="1"/>
  <c r="E77" i="34"/>
  <c r="C49" i="49"/>
  <c r="C34" i="49"/>
  <c r="C35" i="49"/>
  <c r="U13" i="39"/>
  <c r="C57" i="49"/>
  <c r="C37" i="49"/>
  <c r="C60" i="49"/>
  <c r="E18" i="34"/>
  <c r="Q18" i="34" s="1"/>
  <c r="E17" i="34"/>
  <c r="Q17" i="34" s="1"/>
  <c r="C33" i="49"/>
  <c r="J4" i="43"/>
  <c r="T3" i="43"/>
  <c r="P4" i="49"/>
  <c r="E14" i="34"/>
  <c r="Q14" i="34" s="1"/>
  <c r="C45" i="49"/>
  <c r="E16" i="34"/>
  <c r="Q16" i="34" s="1"/>
  <c r="E15" i="34"/>
  <c r="Q15" i="34" s="1"/>
  <c r="T3" i="49"/>
  <c r="R4" i="43"/>
  <c r="S78" i="33"/>
  <c r="S75" i="33"/>
  <c r="S47" i="33"/>
  <c r="S77" i="33"/>
  <c r="S73" i="33"/>
  <c r="D4" i="34"/>
  <c r="H85" i="45"/>
  <c r="D4" i="43"/>
  <c r="D4" i="49"/>
  <c r="E9" i="34"/>
  <c r="Q9" i="34" s="1"/>
  <c r="C81" i="45"/>
  <c r="A10" i="61" l="1"/>
  <c r="A11" i="61"/>
  <c r="A14" i="61"/>
  <c r="A56" i="61"/>
  <c r="A41" i="61"/>
  <c r="A52" i="61"/>
  <c r="A44" i="61"/>
  <c r="A51" i="61"/>
  <c r="A7" i="61"/>
  <c r="A40" i="61"/>
  <c r="A26" i="61"/>
  <c r="A25" i="61"/>
  <c r="A37" i="61"/>
  <c r="A15" i="61"/>
  <c r="A59" i="61"/>
  <c r="A36" i="61"/>
  <c r="A22" i="61"/>
  <c r="A27" i="61"/>
  <c r="A43" i="61"/>
  <c r="A13" i="61"/>
  <c r="A28" i="61"/>
  <c r="A42" i="61"/>
  <c r="A8" i="61"/>
  <c r="A58" i="61"/>
  <c r="A38" i="61"/>
  <c r="A12" i="61"/>
  <c r="A24" i="61"/>
  <c r="A54" i="61"/>
  <c r="A57" i="61"/>
  <c r="A23" i="61"/>
  <c r="A9" i="61"/>
  <c r="A30" i="61"/>
  <c r="A55" i="61"/>
  <c r="A39" i="61"/>
  <c r="A45" i="61"/>
  <c r="A6" i="61"/>
  <c r="A60" i="61"/>
  <c r="A53" i="61"/>
  <c r="A21" i="61"/>
  <c r="A29" i="61"/>
  <c r="K6" i="43"/>
  <c r="D65" i="43"/>
  <c r="V37" i="59"/>
  <c r="B37" i="59"/>
  <c r="V41" i="59"/>
  <c r="B41" i="59"/>
  <c r="V38" i="59"/>
  <c r="B38" i="59"/>
  <c r="V43" i="59"/>
  <c r="B43" i="59"/>
  <c r="V44" i="59"/>
  <c r="B44" i="59"/>
  <c r="V42" i="59"/>
  <c r="B42" i="59"/>
  <c r="V39" i="59"/>
  <c r="B39" i="59"/>
  <c r="V45" i="59"/>
  <c r="B45" i="59"/>
  <c r="V40" i="59"/>
  <c r="B40" i="59"/>
  <c r="V6" i="59"/>
  <c r="B6" i="59"/>
  <c r="E82" i="46"/>
  <c r="V8" i="46"/>
  <c r="D7" i="43"/>
  <c r="E7" i="43" s="1"/>
  <c r="Q75" i="34"/>
  <c r="Q72" i="34"/>
  <c r="Q74" i="34"/>
  <c r="Q69" i="34"/>
  <c r="Q73" i="34"/>
  <c r="Q70" i="34"/>
  <c r="Q77" i="34"/>
  <c r="Q78" i="34"/>
  <c r="Q76" i="34"/>
  <c r="Q71" i="34"/>
  <c r="Q79" i="34"/>
  <c r="J8" i="43"/>
  <c r="K8" i="43" s="1"/>
  <c r="R7" i="43"/>
  <c r="S7" i="43" s="1"/>
  <c r="C82" i="45"/>
  <c r="N81" i="49"/>
  <c r="O81" i="49" s="1"/>
  <c r="S78" i="43"/>
  <c r="S77" i="43"/>
  <c r="S80" i="43"/>
  <c r="S76" i="43"/>
  <c r="S79" i="43"/>
  <c r="S81" i="43"/>
  <c r="S75" i="43"/>
  <c r="L81" i="49"/>
  <c r="M81" i="49" s="1"/>
  <c r="J81" i="49"/>
  <c r="K81" i="49" s="1"/>
  <c r="R81" i="49"/>
  <c r="S81" i="49" s="1"/>
  <c r="S79" i="33"/>
  <c r="Q79" i="43"/>
  <c r="Q81" i="33"/>
  <c r="Q81" i="43"/>
  <c r="Q78" i="43"/>
  <c r="Q77" i="43"/>
  <c r="Q80" i="43"/>
  <c r="Q76" i="43"/>
  <c r="P81" i="49"/>
  <c r="Q81" i="49" s="1"/>
  <c r="D81" i="49"/>
  <c r="E81" i="49" s="1"/>
  <c r="Q74" i="33"/>
  <c r="Q73" i="33"/>
  <c r="S72" i="33"/>
  <c r="Q75" i="43"/>
  <c r="M64" i="43"/>
  <c r="S65" i="33"/>
  <c r="M61" i="43"/>
  <c r="M60" i="43"/>
  <c r="S61" i="33"/>
  <c r="O55" i="43"/>
  <c r="S56" i="43"/>
  <c r="Q55" i="43"/>
  <c r="M56" i="43"/>
  <c r="S57" i="33"/>
  <c r="S56" i="33"/>
  <c r="S55" i="43"/>
  <c r="Q54" i="43"/>
  <c r="M55" i="43"/>
  <c r="O54" i="43"/>
  <c r="M53" i="43"/>
  <c r="Q52" i="43"/>
  <c r="S53" i="43"/>
  <c r="S54" i="33"/>
  <c r="O52" i="43"/>
  <c r="M56" i="33"/>
  <c r="O56" i="33"/>
  <c r="Q56" i="33"/>
  <c r="M65" i="33"/>
  <c r="O65" i="33"/>
  <c r="Q65" i="33"/>
  <c r="Q54" i="33"/>
  <c r="O54" i="33"/>
  <c r="M54" i="33"/>
  <c r="M64" i="33"/>
  <c r="O64" i="33"/>
  <c r="S64" i="33"/>
  <c r="M58" i="33"/>
  <c r="O58" i="33"/>
  <c r="M62" i="33"/>
  <c r="S62" i="33"/>
  <c r="O62" i="33"/>
  <c r="Q62" i="33"/>
  <c r="O61" i="33"/>
  <c r="Q61" i="33"/>
  <c r="M61" i="33"/>
  <c r="O59" i="33"/>
  <c r="M59" i="33"/>
  <c r="M57" i="33"/>
  <c r="O57" i="33"/>
  <c r="Q57" i="33"/>
  <c r="D7" i="49"/>
  <c r="S74" i="33"/>
  <c r="S81" i="33"/>
  <c r="N7" i="49"/>
  <c r="N8" i="49" s="1"/>
  <c r="L7" i="43"/>
  <c r="M7" i="43" s="1"/>
  <c r="R7" i="49"/>
  <c r="R8" i="49" s="1"/>
  <c r="J7" i="49"/>
  <c r="L7" i="49"/>
  <c r="L8" i="49" s="1"/>
  <c r="P7" i="49"/>
  <c r="P8" i="49" s="1"/>
  <c r="N7" i="43"/>
  <c r="O7" i="43" s="1"/>
  <c r="Q80" i="33"/>
  <c r="S80" i="33"/>
  <c r="S72" i="43"/>
  <c r="S73" i="43"/>
  <c r="Q76" i="33"/>
  <c r="S76" i="33"/>
  <c r="S74" i="43"/>
  <c r="O78" i="33"/>
  <c r="Q78" i="33"/>
  <c r="O77" i="33"/>
  <c r="Q77" i="33"/>
  <c r="O72" i="33"/>
  <c r="Q72" i="33"/>
  <c r="O75" i="33"/>
  <c r="Q75" i="33"/>
  <c r="Q73" i="43"/>
  <c r="Q74" i="43"/>
  <c r="O79" i="33"/>
  <c r="Q79" i="33"/>
  <c r="Q72" i="43"/>
  <c r="M80" i="33"/>
  <c r="O80" i="33"/>
  <c r="M74" i="43"/>
  <c r="O74" i="33"/>
  <c r="O74" i="43"/>
  <c r="O76" i="33"/>
  <c r="M82" i="33"/>
  <c r="O82" i="33"/>
  <c r="O73" i="33"/>
  <c r="O73" i="43"/>
  <c r="M81" i="33"/>
  <c r="O81" i="33"/>
  <c r="O72" i="43"/>
  <c r="M78" i="33"/>
  <c r="M77" i="33"/>
  <c r="M72" i="33"/>
  <c r="M75" i="33"/>
  <c r="M74" i="33"/>
  <c r="M76" i="33"/>
  <c r="M73" i="33"/>
  <c r="M73" i="43"/>
  <c r="M79" i="33"/>
  <c r="M72" i="43"/>
  <c r="E7" i="45"/>
  <c r="M7" i="45"/>
  <c r="P7" i="43"/>
  <c r="Q7" i="43" s="1"/>
  <c r="B75" i="50"/>
  <c r="A42" i="59" l="1"/>
  <c r="A23" i="59"/>
  <c r="A40" i="59"/>
  <c r="A21" i="59"/>
  <c r="A39" i="59"/>
  <c r="A57" i="59"/>
  <c r="A14" i="59"/>
  <c r="A37" i="59"/>
  <c r="A55" i="59"/>
  <c r="A12" i="59"/>
  <c r="A30" i="59"/>
  <c r="A11" i="59"/>
  <c r="A29" i="59"/>
  <c r="A52" i="59"/>
  <c r="A9" i="59"/>
  <c r="A27" i="59"/>
  <c r="A45" i="59"/>
  <c r="A7" i="59"/>
  <c r="A25" i="59"/>
  <c r="A43" i="59"/>
  <c r="A60" i="59"/>
  <c r="A41" i="59"/>
  <c r="A22" i="59"/>
  <c r="A59" i="59"/>
  <c r="A58" i="59"/>
  <c r="A15" i="59"/>
  <c r="A38" i="59"/>
  <c r="A56" i="59"/>
  <c r="A13" i="59"/>
  <c r="A36" i="59"/>
  <c r="A54" i="59"/>
  <c r="A53" i="59"/>
  <c r="A10" i="59"/>
  <c r="A28" i="59"/>
  <c r="A51" i="59"/>
  <c r="A8" i="59"/>
  <c r="A26" i="59"/>
  <c r="A44" i="59"/>
  <c r="A6" i="59"/>
  <c r="A24" i="59"/>
  <c r="V82" i="46"/>
  <c r="D8" i="43"/>
  <c r="E8" i="43" s="1"/>
  <c r="J9" i="43"/>
  <c r="J8" i="49"/>
  <c r="K8" i="49" s="1"/>
  <c r="K7" i="49"/>
  <c r="D8" i="49"/>
  <c r="E7" i="49"/>
  <c r="N8" i="43"/>
  <c r="O8" i="43" s="1"/>
  <c r="L8" i="43"/>
  <c r="R8" i="43"/>
  <c r="S82" i="43"/>
  <c r="Q59" i="33"/>
  <c r="S59" i="33"/>
  <c r="S82" i="33"/>
  <c r="Q82" i="43"/>
  <c r="Q64" i="33"/>
  <c r="Q82" i="33"/>
  <c r="Q47" i="33"/>
  <c r="P9" i="49"/>
  <c r="P10" i="49" s="1"/>
  <c r="O55" i="33"/>
  <c r="M55" i="33"/>
  <c r="O53" i="43"/>
  <c r="S55" i="33"/>
  <c r="Q55" i="33"/>
  <c r="Q23" i="33"/>
  <c r="O23" i="33"/>
  <c r="S54" i="43"/>
  <c r="Q27" i="33"/>
  <c r="O27" i="33"/>
  <c r="Q25" i="33"/>
  <c r="O25" i="33"/>
  <c r="Q28" i="33"/>
  <c r="O28" i="33"/>
  <c r="Q19" i="33"/>
  <c r="O19" i="33"/>
  <c r="Q53" i="43"/>
  <c r="M54" i="43"/>
  <c r="Q13" i="33"/>
  <c r="O13" i="33"/>
  <c r="Q12" i="33"/>
  <c r="O12" i="33"/>
  <c r="Q10" i="33"/>
  <c r="O10" i="33"/>
  <c r="Q11" i="33"/>
  <c r="O11" i="33"/>
  <c r="O14" i="33"/>
  <c r="Q14" i="33"/>
  <c r="Q29" i="33"/>
  <c r="O29" i="33"/>
  <c r="O30" i="33"/>
  <c r="Q30" i="33"/>
  <c r="Q9" i="33"/>
  <c r="O9" i="33"/>
  <c r="Q15" i="33"/>
  <c r="O15" i="33"/>
  <c r="Q20" i="33"/>
  <c r="O20" i="33"/>
  <c r="Q8" i="33"/>
  <c r="O8" i="33"/>
  <c r="Q16" i="33"/>
  <c r="O16" i="33"/>
  <c r="Q21" i="33"/>
  <c r="O21" i="33"/>
  <c r="Q17" i="33"/>
  <c r="O17" i="33"/>
  <c r="Q24" i="33"/>
  <c r="O24" i="33"/>
  <c r="Q26" i="33"/>
  <c r="O26" i="33"/>
  <c r="O22" i="33"/>
  <c r="Q22" i="33"/>
  <c r="O18" i="33"/>
  <c r="Q18" i="33"/>
  <c r="O42" i="33"/>
  <c r="M42" i="33"/>
  <c r="Q42" i="33"/>
  <c r="O45" i="33"/>
  <c r="Q45" i="33"/>
  <c r="M45" i="33"/>
  <c r="O37" i="33"/>
  <c r="Q37" i="33"/>
  <c r="M37" i="33"/>
  <c r="M40" i="33"/>
  <c r="O40" i="33"/>
  <c r="Q40" i="33"/>
  <c r="O38" i="33"/>
  <c r="Q38" i="33"/>
  <c r="M38" i="33"/>
  <c r="Q35" i="33"/>
  <c r="M35" i="33"/>
  <c r="O35" i="33"/>
  <c r="M44" i="33"/>
  <c r="Q44" i="33"/>
  <c r="O44" i="33"/>
  <c r="Q34" i="33"/>
  <c r="M34" i="33"/>
  <c r="O34" i="33"/>
  <c r="Q36" i="33"/>
  <c r="M36" i="33"/>
  <c r="O36" i="33"/>
  <c r="Q43" i="33"/>
  <c r="M43" i="33"/>
  <c r="O43" i="33"/>
  <c r="M39" i="33"/>
  <c r="O39" i="33"/>
  <c r="Q39" i="33"/>
  <c r="M41" i="33"/>
  <c r="O41" i="33"/>
  <c r="Q41" i="33"/>
  <c r="M71" i="43"/>
  <c r="Q70" i="43"/>
  <c r="O70" i="43"/>
  <c r="M70" i="43"/>
  <c r="M63" i="43"/>
  <c r="Q57" i="43"/>
  <c r="M58" i="43"/>
  <c r="O57" i="43"/>
  <c r="Q56" i="43"/>
  <c r="M57" i="43"/>
  <c r="O56" i="43"/>
  <c r="S57" i="43"/>
  <c r="Q58" i="33"/>
  <c r="O60" i="33"/>
  <c r="Q60" i="33"/>
  <c r="M60" i="33"/>
  <c r="M59" i="43"/>
  <c r="S60" i="33"/>
  <c r="O63" i="33"/>
  <c r="M63" i="33"/>
  <c r="Q63" i="33"/>
  <c r="M62" i="43"/>
  <c r="S63" i="33"/>
  <c r="S46" i="33"/>
  <c r="S45" i="33"/>
  <c r="S44" i="33"/>
  <c r="S42" i="33"/>
  <c r="S43" i="33"/>
  <c r="S36" i="33"/>
  <c r="M8" i="45"/>
  <c r="S69" i="43"/>
  <c r="O69" i="43"/>
  <c r="M69" i="43"/>
  <c r="S69" i="33"/>
  <c r="N9" i="49"/>
  <c r="S37" i="33"/>
  <c r="R9" i="49"/>
  <c r="R10" i="49" s="1"/>
  <c r="S29" i="33"/>
  <c r="S25" i="33"/>
  <c r="S16" i="33"/>
  <c r="S21" i="33"/>
  <c r="S20" i="33"/>
  <c r="S14" i="33"/>
  <c r="S15" i="33"/>
  <c r="S9" i="33"/>
  <c r="S8" i="33"/>
  <c r="M17" i="33"/>
  <c r="S17" i="33"/>
  <c r="M22" i="33"/>
  <c r="S22" i="33"/>
  <c r="M18" i="33"/>
  <c r="S18" i="33"/>
  <c r="S28" i="33"/>
  <c r="M12" i="33"/>
  <c r="S12" i="33"/>
  <c r="S10" i="33"/>
  <c r="S23" i="33"/>
  <c r="S24" i="33"/>
  <c r="S26" i="33"/>
  <c r="S19" i="33"/>
  <c r="S11" i="33"/>
  <c r="S13" i="33"/>
  <c r="S27" i="33"/>
  <c r="S30" i="33"/>
  <c r="M21" i="33"/>
  <c r="M20" i="33"/>
  <c r="M8" i="33"/>
  <c r="M23" i="33"/>
  <c r="M24" i="33"/>
  <c r="M26" i="33"/>
  <c r="M13" i="33"/>
  <c r="M27" i="33"/>
  <c r="M14" i="33"/>
  <c r="M19" i="33"/>
  <c r="M25" i="33"/>
  <c r="M28" i="33"/>
  <c r="M16" i="33"/>
  <c r="M11" i="33"/>
  <c r="M9" i="33"/>
  <c r="M15" i="33"/>
  <c r="M10" i="33"/>
  <c r="M29" i="33"/>
  <c r="M30" i="33"/>
  <c r="S35" i="33"/>
  <c r="S39" i="33"/>
  <c r="S38" i="33"/>
  <c r="S40" i="33"/>
  <c r="S50" i="43"/>
  <c r="S41" i="33"/>
  <c r="S51" i="43"/>
  <c r="S52" i="33"/>
  <c r="S71" i="33"/>
  <c r="S71" i="43"/>
  <c r="S53" i="33"/>
  <c r="S52" i="43"/>
  <c r="S70" i="43"/>
  <c r="S70" i="33"/>
  <c r="Q51" i="33"/>
  <c r="Q52" i="33"/>
  <c r="Q50" i="43"/>
  <c r="Q71" i="33"/>
  <c r="Q71" i="43"/>
  <c r="Q53" i="33"/>
  <c r="Q51" i="43"/>
  <c r="Q70" i="33"/>
  <c r="Q69" i="33"/>
  <c r="Q69" i="43"/>
  <c r="O69" i="33"/>
  <c r="O51" i="33"/>
  <c r="O52" i="33"/>
  <c r="O50" i="43"/>
  <c r="O71" i="33"/>
  <c r="O71" i="43"/>
  <c r="O53" i="33"/>
  <c r="O51" i="43"/>
  <c r="O70" i="33"/>
  <c r="M51" i="33"/>
  <c r="M52" i="33"/>
  <c r="M51" i="43"/>
  <c r="M50" i="43"/>
  <c r="M71" i="33"/>
  <c r="M53" i="33"/>
  <c r="M52" i="43"/>
  <c r="M70" i="33"/>
  <c r="M69" i="33"/>
  <c r="L9" i="49"/>
  <c r="E82" i="45"/>
  <c r="P82" i="45" s="1"/>
  <c r="P7" i="45"/>
  <c r="E81" i="45"/>
  <c r="P81" i="45" s="1"/>
  <c r="P8" i="43"/>
  <c r="Q8" i="43" s="1"/>
  <c r="S51" i="33"/>
  <c r="F63" i="50"/>
  <c r="H63" i="50" s="1"/>
  <c r="I63" i="50" s="1"/>
  <c r="C6" i="60" l="1"/>
  <c r="C19" i="60" s="1"/>
  <c r="A2" i="60"/>
  <c r="A15" i="60" s="1"/>
  <c r="C5" i="60"/>
  <c r="C18" i="60" s="1"/>
  <c r="C4" i="60"/>
  <c r="C17" i="60" s="1"/>
  <c r="C3" i="60"/>
  <c r="C16" i="60" s="1"/>
  <c r="C2" i="60"/>
  <c r="C15" i="60" s="1"/>
  <c r="B6" i="60"/>
  <c r="B19" i="60" s="1"/>
  <c r="B4" i="60"/>
  <c r="B17" i="60" s="1"/>
  <c r="B3" i="60"/>
  <c r="B16" i="60" s="1"/>
  <c r="B2" i="60"/>
  <c r="B15" i="60" s="1"/>
  <c r="A6" i="60"/>
  <c r="A19" i="60" s="1"/>
  <c r="A5" i="60"/>
  <c r="A18" i="60" s="1"/>
  <c r="B5" i="60"/>
  <c r="B18" i="60" s="1"/>
  <c r="A4" i="60"/>
  <c r="A17" i="60" s="1"/>
  <c r="A3" i="60"/>
  <c r="A16" i="60" s="1"/>
  <c r="J9" i="49"/>
  <c r="J10" i="49" s="1"/>
  <c r="K10" i="49" s="1"/>
  <c r="D9" i="43"/>
  <c r="E9" i="43" s="1"/>
  <c r="K9" i="43"/>
  <c r="J10" i="43"/>
  <c r="K10" i="43" s="1"/>
  <c r="E34" i="43"/>
  <c r="E33" i="43"/>
  <c r="R9" i="43"/>
  <c r="S8" i="43"/>
  <c r="L9" i="43"/>
  <c r="M8" i="43"/>
  <c r="D9" i="49"/>
  <c r="E8" i="49"/>
  <c r="P9" i="43"/>
  <c r="AC35" i="43"/>
  <c r="P11" i="49"/>
  <c r="M9" i="45"/>
  <c r="R11" i="49"/>
  <c r="R12" i="49" s="1"/>
  <c r="L10" i="49"/>
  <c r="L11" i="49" s="1"/>
  <c r="S7" i="33"/>
  <c r="Q7" i="33"/>
  <c r="O7" i="33"/>
  <c r="M7" i="33"/>
  <c r="N10" i="49"/>
  <c r="F64" i="50"/>
  <c r="H64" i="50" s="1"/>
  <c r="I64" i="50" s="1"/>
  <c r="K9" i="49" l="1"/>
  <c r="M10" i="45"/>
  <c r="D10" i="43"/>
  <c r="E35" i="43"/>
  <c r="J11" i="49"/>
  <c r="K11" i="49" s="1"/>
  <c r="L10" i="43"/>
  <c r="M9" i="43"/>
  <c r="E9" i="49"/>
  <c r="D10" i="49"/>
  <c r="E10" i="49" s="1"/>
  <c r="P10" i="43"/>
  <c r="Q10" i="43" s="1"/>
  <c r="Q9" i="43"/>
  <c r="R10" i="43"/>
  <c r="S9" i="43"/>
  <c r="P12" i="49"/>
  <c r="P13" i="49" s="1"/>
  <c r="AC36" i="43"/>
  <c r="L12" i="49"/>
  <c r="L13" i="49" s="1"/>
  <c r="R13" i="49"/>
  <c r="N11" i="49"/>
  <c r="D11" i="43" l="1"/>
  <c r="E10" i="43"/>
  <c r="M11" i="45"/>
  <c r="J12" i="49"/>
  <c r="K12" i="49" s="1"/>
  <c r="E37" i="43"/>
  <c r="E36" i="43"/>
  <c r="S10" i="43"/>
  <c r="R11" i="43"/>
  <c r="D11" i="49"/>
  <c r="E11" i="49" s="1"/>
  <c r="L11" i="43"/>
  <c r="M10" i="43"/>
  <c r="J11" i="43"/>
  <c r="K11" i="43" s="1"/>
  <c r="P14" i="49"/>
  <c r="P15" i="49" s="1"/>
  <c r="M12" i="45"/>
  <c r="L14" i="49"/>
  <c r="L15" i="49" s="1"/>
  <c r="N12" i="49"/>
  <c r="N13" i="49" s="1"/>
  <c r="R14" i="49"/>
  <c r="P11" i="43"/>
  <c r="Q11" i="43" s="1"/>
  <c r="F66" i="50"/>
  <c r="F65" i="50"/>
  <c r="J13" i="49" l="1"/>
  <c r="J14" i="49" s="1"/>
  <c r="K14" i="49" s="1"/>
  <c r="D12" i="43"/>
  <c r="E11" i="43"/>
  <c r="D12" i="49"/>
  <c r="E12" i="49" s="1"/>
  <c r="E39" i="43"/>
  <c r="E38" i="43"/>
  <c r="R12" i="43"/>
  <c r="R13" i="43" s="1"/>
  <c r="R14" i="43" s="1"/>
  <c r="S11" i="43"/>
  <c r="M11" i="43"/>
  <c r="L12" i="43"/>
  <c r="L13" i="43" s="1"/>
  <c r="M13" i="43" s="1"/>
  <c r="Q48" i="50"/>
  <c r="R48" i="50" s="1"/>
  <c r="S48" i="50" s="1"/>
  <c r="T48" i="50" s="1"/>
  <c r="U48" i="50" s="1"/>
  <c r="V48" i="50" s="1"/>
  <c r="W48" i="50" s="1"/>
  <c r="X48" i="50" s="1"/>
  <c r="Y48" i="50" s="1"/>
  <c r="Z48" i="50" s="1"/>
  <c r="AA48" i="50" s="1"/>
  <c r="AB48" i="50" s="1"/>
  <c r="AC48" i="50" s="1"/>
  <c r="AD48" i="50" s="1"/>
  <c r="AE48" i="50" s="1"/>
  <c r="AF48" i="50" s="1"/>
  <c r="AG48" i="50" s="1"/>
  <c r="AH48" i="50" s="1"/>
  <c r="AI48" i="50" s="1"/>
  <c r="AJ48" i="50" s="1"/>
  <c r="AK48" i="50" s="1"/>
  <c r="AL48" i="50" s="1"/>
  <c r="AM48" i="50" s="1"/>
  <c r="AN48" i="50" s="1"/>
  <c r="AO48" i="50" s="1"/>
  <c r="AP48" i="50" s="1"/>
  <c r="AQ48" i="50" s="1"/>
  <c r="AR48" i="50" s="1"/>
  <c r="AS48" i="50" s="1"/>
  <c r="AT48" i="50" s="1"/>
  <c r="H65" i="50"/>
  <c r="I65" i="50" s="1"/>
  <c r="Q49" i="50"/>
  <c r="R49" i="50" s="1"/>
  <c r="S49" i="50" s="1"/>
  <c r="T49" i="50" s="1"/>
  <c r="U49" i="50" s="1"/>
  <c r="V49" i="50" s="1"/>
  <c r="W49" i="50" s="1"/>
  <c r="X49" i="50" s="1"/>
  <c r="Y49" i="50" s="1"/>
  <c r="Z49" i="50" s="1"/>
  <c r="AA49" i="50" s="1"/>
  <c r="AB49" i="50" s="1"/>
  <c r="AC49" i="50" s="1"/>
  <c r="AD49" i="50" s="1"/>
  <c r="AE49" i="50" s="1"/>
  <c r="AF49" i="50" s="1"/>
  <c r="AG49" i="50" s="1"/>
  <c r="AH49" i="50" s="1"/>
  <c r="AI49" i="50" s="1"/>
  <c r="AJ49" i="50" s="1"/>
  <c r="AK49" i="50" s="1"/>
  <c r="AL49" i="50" s="1"/>
  <c r="AM49" i="50" s="1"/>
  <c r="AN49" i="50" s="1"/>
  <c r="AO49" i="50" s="1"/>
  <c r="AP49" i="50" s="1"/>
  <c r="AQ49" i="50" s="1"/>
  <c r="AR49" i="50" s="1"/>
  <c r="AS49" i="50" s="1"/>
  <c r="AT49" i="50" s="1"/>
  <c r="H66" i="50"/>
  <c r="I66" i="50" s="1"/>
  <c r="J12" i="43"/>
  <c r="E40" i="43"/>
  <c r="M13" i="45"/>
  <c r="L16" i="49"/>
  <c r="R15" i="49"/>
  <c r="R16" i="49" s="1"/>
  <c r="R17" i="49" s="1"/>
  <c r="R18" i="49" s="1"/>
  <c r="R19" i="49" s="1"/>
  <c r="N14" i="49"/>
  <c r="P16" i="49"/>
  <c r="P12" i="43"/>
  <c r="Q12" i="43" s="1"/>
  <c r="F67" i="50"/>
  <c r="K13" i="49" l="1"/>
  <c r="J15" i="49"/>
  <c r="K15" i="49" s="1"/>
  <c r="D13" i="49"/>
  <c r="E13" i="49" s="1"/>
  <c r="D13" i="43"/>
  <c r="M14" i="45" s="1"/>
  <c r="E12" i="43"/>
  <c r="S13" i="43"/>
  <c r="M12" i="43"/>
  <c r="L14" i="43"/>
  <c r="L15" i="43" s="1"/>
  <c r="D14" i="49"/>
  <c r="J13" i="43"/>
  <c r="K12" i="43"/>
  <c r="S12" i="43"/>
  <c r="Q50" i="50"/>
  <c r="R50" i="50" s="1"/>
  <c r="S50" i="50" s="1"/>
  <c r="T50" i="50" s="1"/>
  <c r="U50" i="50" s="1"/>
  <c r="V50" i="50" s="1"/>
  <c r="W50" i="50" s="1"/>
  <c r="X50" i="50" s="1"/>
  <c r="Y50" i="50" s="1"/>
  <c r="Z50" i="50" s="1"/>
  <c r="AA50" i="50" s="1"/>
  <c r="AB50" i="50" s="1"/>
  <c r="AC50" i="50" s="1"/>
  <c r="AD50" i="50" s="1"/>
  <c r="AE50" i="50" s="1"/>
  <c r="AF50" i="50" s="1"/>
  <c r="AG50" i="50" s="1"/>
  <c r="AH50" i="50" s="1"/>
  <c r="AI50" i="50" s="1"/>
  <c r="AJ50" i="50" s="1"/>
  <c r="AK50" i="50" s="1"/>
  <c r="AL50" i="50" s="1"/>
  <c r="AM50" i="50" s="1"/>
  <c r="AN50" i="50" s="1"/>
  <c r="AO50" i="50" s="1"/>
  <c r="AP50" i="50" s="1"/>
  <c r="AQ50" i="50" s="1"/>
  <c r="AR50" i="50" s="1"/>
  <c r="AS50" i="50" s="1"/>
  <c r="AT50" i="50" s="1"/>
  <c r="H67" i="50"/>
  <c r="I67" i="50" s="1"/>
  <c r="E41" i="43"/>
  <c r="R20" i="49"/>
  <c r="R21" i="49" s="1"/>
  <c r="R22" i="49" s="1"/>
  <c r="R23" i="49" s="1"/>
  <c r="R24" i="49" s="1"/>
  <c r="R25" i="49" s="1"/>
  <c r="R26" i="49" s="1"/>
  <c r="R27" i="49" s="1"/>
  <c r="R28" i="49" s="1"/>
  <c r="R29" i="49" s="1"/>
  <c r="R30" i="49" s="1"/>
  <c r="S30" i="49" s="1"/>
  <c r="L17" i="49"/>
  <c r="L18" i="49" s="1"/>
  <c r="L19" i="49" s="1"/>
  <c r="P17" i="49"/>
  <c r="N15" i="49"/>
  <c r="P13" i="43"/>
  <c r="Q13" i="43" s="1"/>
  <c r="F69" i="50"/>
  <c r="J16" i="49" l="1"/>
  <c r="K16" i="49" s="1"/>
  <c r="D14" i="43"/>
  <c r="E13" i="43"/>
  <c r="J14" i="43"/>
  <c r="K14" i="43" s="1"/>
  <c r="K13" i="43"/>
  <c r="D15" i="49"/>
  <c r="E14" i="49"/>
  <c r="M14" i="43"/>
  <c r="R15" i="43"/>
  <c r="S14" i="43"/>
  <c r="Q52" i="50"/>
  <c r="R52" i="50" s="1"/>
  <c r="S52" i="50" s="1"/>
  <c r="T52" i="50" s="1"/>
  <c r="U52" i="50" s="1"/>
  <c r="V52" i="50" s="1"/>
  <c r="W52" i="50" s="1"/>
  <c r="X52" i="50" s="1"/>
  <c r="Y52" i="50" s="1"/>
  <c r="Z52" i="50" s="1"/>
  <c r="AA52" i="50" s="1"/>
  <c r="AB52" i="50" s="1"/>
  <c r="AC52" i="50" s="1"/>
  <c r="AD52" i="50" s="1"/>
  <c r="AE52" i="50" s="1"/>
  <c r="AF52" i="50" s="1"/>
  <c r="AG52" i="50" s="1"/>
  <c r="AH52" i="50" s="1"/>
  <c r="AI52" i="50" s="1"/>
  <c r="AJ52" i="50" s="1"/>
  <c r="AK52" i="50" s="1"/>
  <c r="AL52" i="50" s="1"/>
  <c r="AM52" i="50" s="1"/>
  <c r="AN52" i="50" s="1"/>
  <c r="AO52" i="50" s="1"/>
  <c r="AP52" i="50" s="1"/>
  <c r="AQ52" i="50" s="1"/>
  <c r="AR52" i="50" s="1"/>
  <c r="AS52" i="50" s="1"/>
  <c r="AT52" i="50" s="1"/>
  <c r="H69" i="50"/>
  <c r="I69" i="50" s="1"/>
  <c r="E42" i="43"/>
  <c r="M15" i="45"/>
  <c r="L20" i="49"/>
  <c r="L21" i="49" s="1"/>
  <c r="L22" i="49" s="1"/>
  <c r="L23" i="49" s="1"/>
  <c r="L24" i="49" s="1"/>
  <c r="L25" i="49" s="1"/>
  <c r="L26" i="49" s="1"/>
  <c r="L27" i="49" s="1"/>
  <c r="P18" i="49"/>
  <c r="P19" i="49" s="1"/>
  <c r="P20" i="49" s="1"/>
  <c r="P21" i="49" s="1"/>
  <c r="N16" i="49"/>
  <c r="P14" i="43"/>
  <c r="P15" i="43" s="1"/>
  <c r="J15" i="43"/>
  <c r="K15" i="43" s="1"/>
  <c r="F68" i="50"/>
  <c r="F71" i="50"/>
  <c r="J17" i="49" l="1"/>
  <c r="K17" i="49" s="1"/>
  <c r="D15" i="43"/>
  <c r="E14" i="43"/>
  <c r="Q15" i="43"/>
  <c r="Q14" i="43"/>
  <c r="S15" i="43"/>
  <c r="R16" i="43"/>
  <c r="M15" i="43"/>
  <c r="L16" i="43"/>
  <c r="D16" i="49"/>
  <c r="E15" i="49"/>
  <c r="Q51" i="50"/>
  <c r="R51" i="50" s="1"/>
  <c r="S51" i="50" s="1"/>
  <c r="T51" i="50" s="1"/>
  <c r="U51" i="50" s="1"/>
  <c r="V51" i="50" s="1"/>
  <c r="W51" i="50" s="1"/>
  <c r="X51" i="50" s="1"/>
  <c r="Y51" i="50" s="1"/>
  <c r="Z51" i="50" s="1"/>
  <c r="AA51" i="50" s="1"/>
  <c r="AB51" i="50" s="1"/>
  <c r="AC51" i="50" s="1"/>
  <c r="AD51" i="50" s="1"/>
  <c r="AE51" i="50" s="1"/>
  <c r="AF51" i="50" s="1"/>
  <c r="AG51" i="50" s="1"/>
  <c r="AH51" i="50" s="1"/>
  <c r="AI51" i="50" s="1"/>
  <c r="AJ51" i="50" s="1"/>
  <c r="AK51" i="50" s="1"/>
  <c r="AL51" i="50" s="1"/>
  <c r="AM51" i="50" s="1"/>
  <c r="AN51" i="50" s="1"/>
  <c r="AO51" i="50" s="1"/>
  <c r="AP51" i="50" s="1"/>
  <c r="AQ51" i="50" s="1"/>
  <c r="AR51" i="50" s="1"/>
  <c r="AS51" i="50" s="1"/>
  <c r="AT51" i="50" s="1"/>
  <c r="H68" i="50"/>
  <c r="I68" i="50" s="1"/>
  <c r="Q54" i="50"/>
  <c r="R54" i="50" s="1"/>
  <c r="S54" i="50" s="1"/>
  <c r="T54" i="50" s="1"/>
  <c r="U54" i="50" s="1"/>
  <c r="V54" i="50" s="1"/>
  <c r="W54" i="50" s="1"/>
  <c r="X54" i="50" s="1"/>
  <c r="Y54" i="50" s="1"/>
  <c r="Z54" i="50" s="1"/>
  <c r="AA54" i="50" s="1"/>
  <c r="AB54" i="50" s="1"/>
  <c r="AC54" i="50" s="1"/>
  <c r="AD54" i="50" s="1"/>
  <c r="AE54" i="50" s="1"/>
  <c r="AF54" i="50" s="1"/>
  <c r="AG54" i="50" s="1"/>
  <c r="AH54" i="50" s="1"/>
  <c r="AI54" i="50" s="1"/>
  <c r="AJ54" i="50" s="1"/>
  <c r="AK54" i="50" s="1"/>
  <c r="AL54" i="50" s="1"/>
  <c r="AM54" i="50" s="1"/>
  <c r="AN54" i="50" s="1"/>
  <c r="AO54" i="50" s="1"/>
  <c r="AP54" i="50" s="1"/>
  <c r="AQ54" i="50" s="1"/>
  <c r="AR54" i="50" s="1"/>
  <c r="AS54" i="50" s="1"/>
  <c r="AT54" i="50" s="1"/>
  <c r="H71" i="50"/>
  <c r="I71" i="50" s="1"/>
  <c r="E43" i="43"/>
  <c r="M16" i="45"/>
  <c r="P22" i="49"/>
  <c r="P23" i="49" s="1"/>
  <c r="P24" i="49" s="1"/>
  <c r="P25" i="49" s="1"/>
  <c r="P26" i="49" s="1"/>
  <c r="P27" i="49" s="1"/>
  <c r="P28" i="49" s="1"/>
  <c r="P29" i="49" s="1"/>
  <c r="L28" i="49"/>
  <c r="L29" i="49" s="1"/>
  <c r="L30" i="49" s="1"/>
  <c r="M30" i="49" s="1"/>
  <c r="J18" i="49"/>
  <c r="K18" i="49" s="1"/>
  <c r="N17" i="49"/>
  <c r="R33" i="49"/>
  <c r="J16" i="43"/>
  <c r="K16" i="43" s="1"/>
  <c r="F70" i="50"/>
  <c r="D16" i="43" l="1"/>
  <c r="E15" i="43"/>
  <c r="M16" i="43"/>
  <c r="L17" i="43"/>
  <c r="R17" i="43"/>
  <c r="S17" i="43" s="1"/>
  <c r="S16" i="43"/>
  <c r="D17" i="49"/>
  <c r="E16" i="49"/>
  <c r="Q53" i="50"/>
  <c r="R53" i="50" s="1"/>
  <c r="S53" i="50" s="1"/>
  <c r="T53" i="50" s="1"/>
  <c r="U53" i="50" s="1"/>
  <c r="V53" i="50" s="1"/>
  <c r="W53" i="50" s="1"/>
  <c r="X53" i="50" s="1"/>
  <c r="Y53" i="50" s="1"/>
  <c r="Z53" i="50" s="1"/>
  <c r="AA53" i="50" s="1"/>
  <c r="AB53" i="50" s="1"/>
  <c r="AC53" i="50" s="1"/>
  <c r="AD53" i="50" s="1"/>
  <c r="AE53" i="50" s="1"/>
  <c r="AF53" i="50" s="1"/>
  <c r="AG53" i="50" s="1"/>
  <c r="AH53" i="50" s="1"/>
  <c r="AI53" i="50" s="1"/>
  <c r="AJ53" i="50" s="1"/>
  <c r="AK53" i="50" s="1"/>
  <c r="AL53" i="50" s="1"/>
  <c r="AM53" i="50" s="1"/>
  <c r="AN53" i="50" s="1"/>
  <c r="AO53" i="50" s="1"/>
  <c r="AP53" i="50" s="1"/>
  <c r="AQ53" i="50" s="1"/>
  <c r="AR53" i="50" s="1"/>
  <c r="AS53" i="50" s="1"/>
  <c r="AT53" i="50" s="1"/>
  <c r="H70" i="50"/>
  <c r="I70" i="50" s="1"/>
  <c r="P30" i="49"/>
  <c r="Q30" i="49" s="1"/>
  <c r="E44" i="43"/>
  <c r="R34" i="49"/>
  <c r="R35" i="49" s="1"/>
  <c r="M17" i="45"/>
  <c r="J19" i="49"/>
  <c r="K19" i="49" s="1"/>
  <c r="N18" i="49"/>
  <c r="P16" i="43"/>
  <c r="Q16" i="43" s="1"/>
  <c r="J17" i="43"/>
  <c r="K17" i="43" s="1"/>
  <c r="F72" i="50"/>
  <c r="D17" i="43" l="1"/>
  <c r="E16" i="43"/>
  <c r="R18" i="43"/>
  <c r="S18" i="43" s="1"/>
  <c r="D18" i="49"/>
  <c r="E17" i="49"/>
  <c r="M17" i="43"/>
  <c r="L18" i="43"/>
  <c r="Q55" i="50"/>
  <c r="R55" i="50" s="1"/>
  <c r="S55" i="50" s="1"/>
  <c r="T55" i="50" s="1"/>
  <c r="U55" i="50" s="1"/>
  <c r="V55" i="50" s="1"/>
  <c r="W55" i="50" s="1"/>
  <c r="X55" i="50" s="1"/>
  <c r="Y55" i="50" s="1"/>
  <c r="Z55" i="50" s="1"/>
  <c r="AA55" i="50" s="1"/>
  <c r="AB55" i="50" s="1"/>
  <c r="AC55" i="50" s="1"/>
  <c r="AD55" i="50" s="1"/>
  <c r="AE55" i="50" s="1"/>
  <c r="AF55" i="50" s="1"/>
  <c r="AG55" i="50" s="1"/>
  <c r="AH55" i="50" s="1"/>
  <c r="AI55" i="50" s="1"/>
  <c r="AJ55" i="50" s="1"/>
  <c r="AK55" i="50" s="1"/>
  <c r="AL55" i="50" s="1"/>
  <c r="AM55" i="50" s="1"/>
  <c r="AN55" i="50" s="1"/>
  <c r="AO55" i="50" s="1"/>
  <c r="AP55" i="50" s="1"/>
  <c r="AQ55" i="50" s="1"/>
  <c r="AR55" i="50" s="1"/>
  <c r="AS55" i="50" s="1"/>
  <c r="AT55" i="50" s="1"/>
  <c r="H72" i="50"/>
  <c r="I72" i="50" s="1"/>
  <c r="P33" i="49"/>
  <c r="P34" i="49" s="1"/>
  <c r="P35" i="49" s="1"/>
  <c r="P36" i="49" s="1"/>
  <c r="E45" i="43"/>
  <c r="R36" i="49"/>
  <c r="R37" i="49" s="1"/>
  <c r="R38" i="49" s="1"/>
  <c r="N19" i="49"/>
  <c r="M18" i="45"/>
  <c r="J20" i="49"/>
  <c r="K20" i="49" s="1"/>
  <c r="L33" i="49"/>
  <c r="P17" i="43"/>
  <c r="Q17" i="43" s="1"/>
  <c r="J18" i="43"/>
  <c r="F73" i="50"/>
  <c r="D18" i="43" l="1"/>
  <c r="M19" i="45" s="1"/>
  <c r="E17" i="43"/>
  <c r="R19" i="43"/>
  <c r="K18" i="43"/>
  <c r="J19" i="43"/>
  <c r="K19" i="43" s="1"/>
  <c r="D19" i="49"/>
  <c r="E18" i="49"/>
  <c r="M18" i="43"/>
  <c r="L19" i="43"/>
  <c r="R20" i="43"/>
  <c r="S20" i="43" s="1"/>
  <c r="S19" i="43"/>
  <c r="Q56" i="50"/>
  <c r="R56" i="50" s="1"/>
  <c r="S56" i="50" s="1"/>
  <c r="T56" i="50" s="1"/>
  <c r="U56" i="50" s="1"/>
  <c r="V56" i="50" s="1"/>
  <c r="W56" i="50" s="1"/>
  <c r="X56" i="50" s="1"/>
  <c r="Y56" i="50" s="1"/>
  <c r="Z56" i="50" s="1"/>
  <c r="AA56" i="50" s="1"/>
  <c r="AB56" i="50" s="1"/>
  <c r="AC56" i="50" s="1"/>
  <c r="AD56" i="50" s="1"/>
  <c r="AE56" i="50" s="1"/>
  <c r="AF56" i="50" s="1"/>
  <c r="AG56" i="50" s="1"/>
  <c r="AH56" i="50" s="1"/>
  <c r="AI56" i="50" s="1"/>
  <c r="AJ56" i="50" s="1"/>
  <c r="AK56" i="50" s="1"/>
  <c r="AL56" i="50" s="1"/>
  <c r="AM56" i="50" s="1"/>
  <c r="AN56" i="50" s="1"/>
  <c r="AO56" i="50" s="1"/>
  <c r="AP56" i="50" s="1"/>
  <c r="AQ56" i="50" s="1"/>
  <c r="AR56" i="50" s="1"/>
  <c r="AS56" i="50" s="1"/>
  <c r="AT56" i="50" s="1"/>
  <c r="H73" i="50"/>
  <c r="I73" i="50" s="1"/>
  <c r="P37" i="49"/>
  <c r="P38" i="49" s="1"/>
  <c r="P39" i="49" s="1"/>
  <c r="P40" i="49" s="1"/>
  <c r="P41" i="49" s="1"/>
  <c r="R39" i="49"/>
  <c r="R40" i="49" s="1"/>
  <c r="R41" i="49" s="1"/>
  <c r="R42" i="49" s="1"/>
  <c r="R43" i="49" s="1"/>
  <c r="R44" i="49" s="1"/>
  <c r="R45" i="49" s="1"/>
  <c r="E46" i="43"/>
  <c r="N20" i="49"/>
  <c r="J21" i="49"/>
  <c r="K21" i="49" s="1"/>
  <c r="L34" i="49"/>
  <c r="P18" i="43"/>
  <c r="Q18" i="43" s="1"/>
  <c r="F74" i="50"/>
  <c r="D19" i="43" l="1"/>
  <c r="E18" i="43"/>
  <c r="R21" i="43"/>
  <c r="L20" i="43"/>
  <c r="M20" i="43" s="1"/>
  <c r="M19" i="43"/>
  <c r="D20" i="49"/>
  <c r="E19" i="49"/>
  <c r="Q57" i="50"/>
  <c r="R57" i="50" s="1"/>
  <c r="S57" i="50" s="1"/>
  <c r="T57" i="50" s="1"/>
  <c r="U57" i="50" s="1"/>
  <c r="V57" i="50" s="1"/>
  <c r="W57" i="50" s="1"/>
  <c r="X57" i="50" s="1"/>
  <c r="Y57" i="50" s="1"/>
  <c r="Z57" i="50" s="1"/>
  <c r="AA57" i="50" s="1"/>
  <c r="AB57" i="50" s="1"/>
  <c r="AC57" i="50" s="1"/>
  <c r="AD57" i="50" s="1"/>
  <c r="AE57" i="50" s="1"/>
  <c r="AF57" i="50" s="1"/>
  <c r="AG57" i="50" s="1"/>
  <c r="AH57" i="50" s="1"/>
  <c r="AI57" i="50" s="1"/>
  <c r="AJ57" i="50" s="1"/>
  <c r="AK57" i="50" s="1"/>
  <c r="AL57" i="50" s="1"/>
  <c r="AM57" i="50" s="1"/>
  <c r="AN57" i="50" s="1"/>
  <c r="AO57" i="50" s="1"/>
  <c r="AP57" i="50" s="1"/>
  <c r="AQ57" i="50" s="1"/>
  <c r="AR57" i="50" s="1"/>
  <c r="AS57" i="50" s="1"/>
  <c r="AT57" i="50" s="1"/>
  <c r="H74" i="50"/>
  <c r="I74" i="50" s="1"/>
  <c r="P42" i="49"/>
  <c r="P43" i="49" s="1"/>
  <c r="P44" i="49" s="1"/>
  <c r="P45" i="49" s="1"/>
  <c r="R46" i="49"/>
  <c r="R49" i="49" s="1"/>
  <c r="M20" i="45"/>
  <c r="J22" i="49"/>
  <c r="K22" i="49" s="1"/>
  <c r="N21" i="49"/>
  <c r="P19" i="43"/>
  <c r="Q19" i="43" s="1"/>
  <c r="L35" i="49"/>
  <c r="J20" i="43"/>
  <c r="K20" i="43" s="1"/>
  <c r="F75" i="50"/>
  <c r="D20" i="43" l="1"/>
  <c r="E19" i="43"/>
  <c r="L21" i="43"/>
  <c r="R22" i="43"/>
  <c r="S21" i="43"/>
  <c r="D21" i="49"/>
  <c r="E20" i="49"/>
  <c r="P46" i="49"/>
  <c r="P49" i="49" s="1"/>
  <c r="S46" i="49"/>
  <c r="Q58" i="50"/>
  <c r="R58" i="50" s="1"/>
  <c r="S58" i="50" s="1"/>
  <c r="T58" i="50" s="1"/>
  <c r="U58" i="50" s="1"/>
  <c r="V58" i="50" s="1"/>
  <c r="W58" i="50" s="1"/>
  <c r="X58" i="50" s="1"/>
  <c r="Y58" i="50" s="1"/>
  <c r="Z58" i="50" s="1"/>
  <c r="AA58" i="50" s="1"/>
  <c r="AB58" i="50" s="1"/>
  <c r="AC58" i="50" s="1"/>
  <c r="AD58" i="50" s="1"/>
  <c r="AE58" i="50" s="1"/>
  <c r="AF58" i="50" s="1"/>
  <c r="AG58" i="50" s="1"/>
  <c r="AH58" i="50" s="1"/>
  <c r="AI58" i="50" s="1"/>
  <c r="AJ58" i="50" s="1"/>
  <c r="AK58" i="50" s="1"/>
  <c r="AL58" i="50" s="1"/>
  <c r="AM58" i="50" s="1"/>
  <c r="AN58" i="50" s="1"/>
  <c r="AO58" i="50" s="1"/>
  <c r="AP58" i="50" s="1"/>
  <c r="AQ58" i="50" s="1"/>
  <c r="AR58" i="50" s="1"/>
  <c r="AS58" i="50" s="1"/>
  <c r="AT58" i="50" s="1"/>
  <c r="H75" i="50"/>
  <c r="I75" i="50" s="1"/>
  <c r="M21" i="45"/>
  <c r="J23" i="49"/>
  <c r="K23" i="49" s="1"/>
  <c r="N22" i="49"/>
  <c r="L36" i="49"/>
  <c r="J21" i="43"/>
  <c r="K21" i="43" s="1"/>
  <c r="P20" i="43"/>
  <c r="Q20" i="43" s="1"/>
  <c r="D21" i="43" l="1"/>
  <c r="E20" i="43"/>
  <c r="M21" i="43"/>
  <c r="L22" i="43"/>
  <c r="D22" i="49"/>
  <c r="E21" i="49"/>
  <c r="R23" i="43"/>
  <c r="S22" i="43"/>
  <c r="Q46" i="49"/>
  <c r="M33" i="45"/>
  <c r="M22" i="45"/>
  <c r="J24" i="49"/>
  <c r="K24" i="49" s="1"/>
  <c r="J22" i="43"/>
  <c r="N23" i="49"/>
  <c r="P21" i="43"/>
  <c r="Q21" i="43" s="1"/>
  <c r="L37" i="49"/>
  <c r="D22" i="43" l="1"/>
  <c r="E21" i="43"/>
  <c r="M22" i="43"/>
  <c r="L23" i="43"/>
  <c r="J23" i="43"/>
  <c r="K23" i="43" s="1"/>
  <c r="K22" i="43"/>
  <c r="R24" i="43"/>
  <c r="S23" i="43"/>
  <c r="D23" i="49"/>
  <c r="E22" i="49"/>
  <c r="M34" i="45"/>
  <c r="M23" i="45"/>
  <c r="N24" i="49"/>
  <c r="J25" i="49"/>
  <c r="K25" i="49" s="1"/>
  <c r="P22" i="43"/>
  <c r="Q22" i="43" s="1"/>
  <c r="L38" i="49"/>
  <c r="L24" i="43" l="1"/>
  <c r="M24" i="43" s="1"/>
  <c r="M23" i="43"/>
  <c r="D23" i="43"/>
  <c r="M24" i="45" s="1"/>
  <c r="E22" i="43"/>
  <c r="J24" i="43"/>
  <c r="K24" i="43" s="1"/>
  <c r="R25" i="43"/>
  <c r="S24" i="43"/>
  <c r="D24" i="49"/>
  <c r="E23" i="49"/>
  <c r="M35" i="45"/>
  <c r="J26" i="49"/>
  <c r="K26" i="49" s="1"/>
  <c r="N25" i="49"/>
  <c r="P23" i="43"/>
  <c r="Q23" i="43" s="1"/>
  <c r="L39" i="49"/>
  <c r="L25" i="43" l="1"/>
  <c r="D24" i="43"/>
  <c r="M25" i="45" s="1"/>
  <c r="E23" i="43"/>
  <c r="J25" i="43"/>
  <c r="K25" i="43" s="1"/>
  <c r="D25" i="49"/>
  <c r="E24" i="49"/>
  <c r="R26" i="43"/>
  <c r="S25" i="43"/>
  <c r="M36" i="45"/>
  <c r="P24" i="43"/>
  <c r="Q24" i="43" s="1"/>
  <c r="N26" i="49"/>
  <c r="J27" i="49"/>
  <c r="K27" i="49" s="1"/>
  <c r="L40" i="49"/>
  <c r="M25" i="43" l="1"/>
  <c r="L26" i="43"/>
  <c r="J26" i="43"/>
  <c r="K26" i="43" s="1"/>
  <c r="D25" i="43"/>
  <c r="E24" i="43"/>
  <c r="R27" i="43"/>
  <c r="S26" i="43"/>
  <c r="D26" i="49"/>
  <c r="E25" i="49"/>
  <c r="M37" i="45"/>
  <c r="P25" i="43"/>
  <c r="Q25" i="43" s="1"/>
  <c r="M26" i="45"/>
  <c r="J28" i="49"/>
  <c r="K28" i="49" s="1"/>
  <c r="N27" i="49"/>
  <c r="L41" i="49"/>
  <c r="J27" i="43" l="1"/>
  <c r="K27" i="43" s="1"/>
  <c r="M26" i="43"/>
  <c r="L27" i="43"/>
  <c r="D26" i="43"/>
  <c r="M27" i="45" s="1"/>
  <c r="E25" i="43"/>
  <c r="D27" i="49"/>
  <c r="E26" i="49"/>
  <c r="R28" i="43"/>
  <c r="S27" i="43"/>
  <c r="M38" i="45"/>
  <c r="P26" i="43"/>
  <c r="Q26" i="43" s="1"/>
  <c r="L42" i="49"/>
  <c r="J29" i="49"/>
  <c r="N28" i="49"/>
  <c r="J28" i="43" l="1"/>
  <c r="K28" i="43" s="1"/>
  <c r="M27" i="43"/>
  <c r="L28" i="43"/>
  <c r="D27" i="43"/>
  <c r="M28" i="45" s="1"/>
  <c r="E26" i="43"/>
  <c r="J30" i="49"/>
  <c r="K30" i="49" s="1"/>
  <c r="K29" i="49"/>
  <c r="R29" i="43"/>
  <c r="S28" i="43"/>
  <c r="D28" i="49"/>
  <c r="E27" i="49"/>
  <c r="M39" i="45"/>
  <c r="P27" i="43"/>
  <c r="Q27" i="43" s="1"/>
  <c r="L43" i="49"/>
  <c r="L44" i="49" s="1"/>
  <c r="N29" i="49"/>
  <c r="N30" i="49" s="1"/>
  <c r="O30" i="49" s="1"/>
  <c r="J29" i="43" l="1"/>
  <c r="M28" i="43"/>
  <c r="L29" i="43"/>
  <c r="D28" i="43"/>
  <c r="M29" i="45" s="1"/>
  <c r="E27" i="43"/>
  <c r="J33" i="49"/>
  <c r="J34" i="49" s="1"/>
  <c r="K34" i="49" s="1"/>
  <c r="D29" i="49"/>
  <c r="E28" i="49"/>
  <c r="S29" i="43"/>
  <c r="R30" i="43"/>
  <c r="J30" i="43"/>
  <c r="K29" i="43"/>
  <c r="M40" i="45"/>
  <c r="P28" i="43"/>
  <c r="Q28" i="43" s="1"/>
  <c r="L45" i="49"/>
  <c r="L46" i="49" s="1"/>
  <c r="M29" i="43" l="1"/>
  <c r="L30" i="43"/>
  <c r="M30" i="43" s="1"/>
  <c r="K33" i="49"/>
  <c r="D29" i="43"/>
  <c r="M30" i="45" s="1"/>
  <c r="E28" i="43"/>
  <c r="J35" i="49"/>
  <c r="J36" i="49" s="1"/>
  <c r="K36" i="49" s="1"/>
  <c r="K30" i="43"/>
  <c r="K33" i="43"/>
  <c r="K35" i="49"/>
  <c r="S30" i="43"/>
  <c r="E29" i="49"/>
  <c r="D30" i="49"/>
  <c r="K34" i="43"/>
  <c r="P29" i="43"/>
  <c r="M41" i="45"/>
  <c r="M42" i="45"/>
  <c r="L49" i="49"/>
  <c r="N33" i="49"/>
  <c r="M46" i="49"/>
  <c r="E29" i="43" l="1"/>
  <c r="D30" i="43"/>
  <c r="E30" i="43" s="1"/>
  <c r="J37" i="49"/>
  <c r="J38" i="49" s="1"/>
  <c r="K38" i="49" s="1"/>
  <c r="P30" i="43"/>
  <c r="Q29" i="43"/>
  <c r="E30" i="49"/>
  <c r="D33" i="49"/>
  <c r="D49" i="49"/>
  <c r="E49" i="49" s="1"/>
  <c r="K35" i="43"/>
  <c r="M43" i="45"/>
  <c r="N34" i="49"/>
  <c r="K37" i="49" l="1"/>
  <c r="D34" i="49"/>
  <c r="E34" i="49" s="1"/>
  <c r="E33" i="49"/>
  <c r="J39" i="49"/>
  <c r="M44" i="45"/>
  <c r="M45" i="45"/>
  <c r="N35" i="49"/>
  <c r="D35" i="49" l="1"/>
  <c r="D36" i="49" s="1"/>
  <c r="E36" i="49" s="1"/>
  <c r="K37" i="43"/>
  <c r="K36" i="43"/>
  <c r="J40" i="49"/>
  <c r="K39" i="49"/>
  <c r="N36" i="49"/>
  <c r="E35" i="49" l="1"/>
  <c r="K39" i="43"/>
  <c r="K38" i="43"/>
  <c r="D37" i="49"/>
  <c r="E37" i="49" s="1"/>
  <c r="J41" i="49"/>
  <c r="K40" i="49"/>
  <c r="M46" i="45"/>
  <c r="N37" i="49"/>
  <c r="K41" i="43" l="1"/>
  <c r="K40" i="43"/>
  <c r="J42" i="49"/>
  <c r="K41" i="49"/>
  <c r="D38" i="49"/>
  <c r="E47" i="43"/>
  <c r="N38" i="49"/>
  <c r="M49" i="45" l="1"/>
  <c r="D39" i="49"/>
  <c r="E39" i="49" s="1"/>
  <c r="E38" i="49"/>
  <c r="K42" i="43"/>
  <c r="J43" i="49"/>
  <c r="K42" i="49"/>
  <c r="M51" i="45"/>
  <c r="N39" i="49"/>
  <c r="N40" i="49" s="1"/>
  <c r="J44" i="49" l="1"/>
  <c r="K43" i="49"/>
  <c r="R47" i="43"/>
  <c r="K43" i="43"/>
  <c r="M50" i="45"/>
  <c r="K44" i="43" l="1"/>
  <c r="S47" i="43"/>
  <c r="J45" i="49"/>
  <c r="K44" i="49"/>
  <c r="L47" i="43"/>
  <c r="M52" i="45"/>
  <c r="N41" i="49"/>
  <c r="M53" i="45"/>
  <c r="M47" i="43" l="1"/>
  <c r="J46" i="49"/>
  <c r="K45" i="49"/>
  <c r="K45" i="43"/>
  <c r="N42" i="49"/>
  <c r="M54" i="45"/>
  <c r="J47" i="43" l="1"/>
  <c r="K46" i="43"/>
  <c r="K46" i="49"/>
  <c r="J49" i="49"/>
  <c r="K49" i="49" s="1"/>
  <c r="N43" i="49"/>
  <c r="M55" i="45"/>
  <c r="N44" i="49" l="1"/>
  <c r="M56" i="45"/>
  <c r="N45" i="49" l="1"/>
  <c r="K47" i="43"/>
  <c r="M57" i="45"/>
  <c r="N46" i="49" l="1"/>
  <c r="M58" i="45"/>
  <c r="M68" i="45" l="1"/>
  <c r="M66" i="45"/>
  <c r="N49" i="49"/>
  <c r="O46" i="49"/>
  <c r="M59" i="45"/>
  <c r="M67" i="45" l="1"/>
  <c r="M60" i="45"/>
  <c r="R65" i="43" l="1"/>
  <c r="M69" i="45"/>
  <c r="M71" i="45"/>
  <c r="M70" i="45"/>
  <c r="M61" i="45"/>
  <c r="S65" i="43" l="1"/>
  <c r="M62" i="45"/>
  <c r="M74" i="45" l="1"/>
  <c r="M73" i="45"/>
  <c r="L65" i="43"/>
  <c r="M72" i="45"/>
  <c r="M63" i="45"/>
  <c r="E65" i="43"/>
  <c r="D83" i="43" l="1"/>
  <c r="D86" i="43" s="1"/>
  <c r="D87" i="43" s="1"/>
  <c r="M65" i="43"/>
  <c r="J66" i="59" l="1"/>
  <c r="C7" i="60" s="1"/>
  <c r="C20" i="60" s="1"/>
  <c r="J66" i="61"/>
  <c r="Z66" i="61" s="1"/>
  <c r="Y66" i="59"/>
  <c r="H156" i="42"/>
  <c r="R83" i="43"/>
  <c r="S83" i="43" s="1"/>
  <c r="M76" i="45"/>
  <c r="M77" i="45"/>
  <c r="Q30" i="43"/>
  <c r="R86" i="43" l="1"/>
  <c r="O156" i="42" s="1"/>
  <c r="L83" i="43"/>
  <c r="L86" i="43" s="1"/>
  <c r="M78" i="45"/>
  <c r="R87" i="43" l="1"/>
  <c r="L156" i="42"/>
  <c r="L87" i="43"/>
  <c r="O157" i="42"/>
  <c r="O158" i="42" s="1"/>
  <c r="M83" i="43"/>
  <c r="M79" i="45"/>
  <c r="E83" i="43" l="1"/>
  <c r="M75" i="45"/>
  <c r="H157" i="42" l="1"/>
  <c r="H158" i="42" s="1"/>
  <c r="P47" i="43" l="1"/>
  <c r="J65" i="43"/>
  <c r="K65" i="43" l="1"/>
  <c r="Q47" i="43"/>
  <c r="N9" i="43" l="1"/>
  <c r="O9" i="43" s="1"/>
  <c r="N10" i="43" l="1"/>
  <c r="O10" i="43" s="1"/>
  <c r="N11" i="43" l="1"/>
  <c r="N12" i="43" s="1"/>
  <c r="O12" i="43" s="1"/>
  <c r="O11" i="43"/>
  <c r="N13" i="43" l="1"/>
  <c r="N14" i="43" l="1"/>
  <c r="O14" i="43" s="1"/>
  <c r="O13" i="43"/>
  <c r="N15" i="43" l="1"/>
  <c r="O15" i="43" l="1"/>
  <c r="N16" i="43"/>
  <c r="O16" i="43" s="1"/>
  <c r="P65" i="43"/>
  <c r="J83" i="43"/>
  <c r="J86" i="43" s="1"/>
  <c r="K156" i="42" l="1"/>
  <c r="J87" i="43"/>
  <c r="K83" i="43"/>
  <c r="Q65" i="43"/>
  <c r="N17" i="43"/>
  <c r="O17" i="43" s="1"/>
  <c r="M66" i="59" l="1"/>
  <c r="AB66" i="59" s="1"/>
  <c r="M66" i="61"/>
  <c r="AC66" i="61" s="1"/>
  <c r="N18" i="43"/>
  <c r="N19" i="43" l="1"/>
  <c r="O19" i="43" s="1"/>
  <c r="O18" i="43"/>
  <c r="N20" i="43"/>
  <c r="O20" i="43" s="1"/>
  <c r="P83" i="43" l="1"/>
  <c r="N21" i="43"/>
  <c r="O21" i="43" s="1"/>
  <c r="Q83" i="43" l="1"/>
  <c r="P86" i="43"/>
  <c r="N22" i="43"/>
  <c r="N156" i="42" l="1"/>
  <c r="N157" i="42" s="1"/>
  <c r="N158" i="42" s="1"/>
  <c r="P87" i="43"/>
  <c r="N23" i="43"/>
  <c r="O23" i="43" s="1"/>
  <c r="O22" i="43"/>
  <c r="N24" i="43" l="1"/>
  <c r="O24" i="43" s="1"/>
  <c r="N25" i="43" l="1"/>
  <c r="O25" i="43" s="1"/>
  <c r="N26" i="43"/>
  <c r="O26" i="43" s="1"/>
  <c r="N27" i="43" l="1"/>
  <c r="O27" i="43" s="1"/>
  <c r="N28" i="43" l="1"/>
  <c r="N29" i="43" l="1"/>
  <c r="O29" i="43" s="1"/>
  <c r="O28" i="43"/>
  <c r="N30" i="43" l="1"/>
  <c r="O30" i="43" s="1"/>
  <c r="N47" i="43" l="1"/>
  <c r="O47" i="43" l="1"/>
  <c r="N65" i="43" l="1"/>
  <c r="O65" i="43" l="1"/>
  <c r="D40" i="49"/>
  <c r="E40" i="49" s="1"/>
  <c r="N83" i="43" l="1"/>
  <c r="D41" i="49"/>
  <c r="D42" i="49" l="1"/>
  <c r="E42" i="49" s="1"/>
  <c r="E41" i="49"/>
  <c r="O83" i="43"/>
  <c r="N86" i="43"/>
  <c r="M156" i="42" l="1"/>
  <c r="M157" i="42" s="1"/>
  <c r="M158" i="42" s="1"/>
  <c r="N87" i="43"/>
  <c r="D43" i="49"/>
  <c r="D44" i="49" s="1"/>
  <c r="E44" i="49" s="1"/>
  <c r="D45" i="49" l="1"/>
  <c r="E45" i="49" s="1"/>
  <c r="E43" i="49"/>
  <c r="D46" i="49" l="1"/>
  <c r="E46" i="49" s="1"/>
  <c r="D50" i="49" l="1"/>
  <c r="E50" i="49" s="1"/>
  <c r="D51" i="49" l="1"/>
  <c r="D52" i="49" s="1"/>
  <c r="E52" i="49" s="1"/>
  <c r="E51" i="49"/>
  <c r="D53" i="49" l="1"/>
  <c r="E53" i="49" s="1"/>
  <c r="D54" i="49" l="1"/>
  <c r="E54" i="49" s="1"/>
  <c r="D55" i="49" l="1"/>
  <c r="D56" i="49" s="1"/>
  <c r="E56" i="49" s="1"/>
  <c r="E55" i="49" l="1"/>
  <c r="D57" i="49"/>
  <c r="E57" i="49" s="1"/>
  <c r="D58" i="49" l="1"/>
  <c r="E58" i="49" s="1"/>
  <c r="D59" i="49" l="1"/>
  <c r="E59" i="49" s="1"/>
  <c r="D60" i="49" l="1"/>
  <c r="E60" i="49" s="1"/>
  <c r="D61" i="49" l="1"/>
  <c r="E61" i="49" s="1"/>
  <c r="D62" i="49" l="1"/>
  <c r="E62" i="49" s="1"/>
  <c r="D63" i="49" l="1"/>
  <c r="E63" i="49" s="1"/>
  <c r="H76" i="33"/>
  <c r="L58" i="61" s="1"/>
  <c r="AB58" i="61" s="1"/>
  <c r="H76" i="43" l="1"/>
  <c r="L58" i="59"/>
  <c r="D64" i="49"/>
  <c r="E64" i="49" s="1"/>
  <c r="I62" i="33"/>
  <c r="I20" i="33"/>
  <c r="I9" i="33"/>
  <c r="I24" i="33"/>
  <c r="I51" i="33"/>
  <c r="I53" i="33"/>
  <c r="I19" i="33"/>
  <c r="I14" i="33"/>
  <c r="I64" i="33"/>
  <c r="I56" i="33"/>
  <c r="I61" i="33"/>
  <c r="I12" i="33"/>
  <c r="I44" i="33"/>
  <c r="H2" i="45"/>
  <c r="I81" i="33"/>
  <c r="I42" i="33"/>
  <c r="I59" i="33"/>
  <c r="I60" i="33"/>
  <c r="I38" i="33"/>
  <c r="I52" i="33"/>
  <c r="I21" i="33"/>
  <c r="I65" i="33"/>
  <c r="I18" i="33"/>
  <c r="I23" i="33"/>
  <c r="I72" i="33"/>
  <c r="I73" i="33"/>
  <c r="H2" i="34"/>
  <c r="I43" i="33"/>
  <c r="I47" i="33"/>
  <c r="I17" i="33"/>
  <c r="I13" i="33"/>
  <c r="I28" i="33"/>
  <c r="I11" i="33"/>
  <c r="I63" i="33"/>
  <c r="I45" i="33"/>
  <c r="I40" i="33"/>
  <c r="I78" i="33"/>
  <c r="I55" i="33"/>
  <c r="H2" i="46"/>
  <c r="I76" i="33"/>
  <c r="I15" i="33"/>
  <c r="I39" i="33"/>
  <c r="I46" i="33"/>
  <c r="I80" i="33"/>
  <c r="I79" i="33"/>
  <c r="I30" i="33"/>
  <c r="I77" i="33"/>
  <c r="I8" i="33"/>
  <c r="I22" i="33"/>
  <c r="I36" i="33"/>
  <c r="I74" i="33"/>
  <c r="I57" i="33"/>
  <c r="I7" i="33"/>
  <c r="I82" i="33"/>
  <c r="I69" i="33"/>
  <c r="I27" i="33"/>
  <c r="I75" i="33"/>
  <c r="I41" i="33"/>
  <c r="I37" i="33"/>
  <c r="I35" i="33"/>
  <c r="H42" i="33"/>
  <c r="L29" i="61" s="1"/>
  <c r="AB29" i="61" s="1"/>
  <c r="I70" i="33"/>
  <c r="I54" i="33"/>
  <c r="I25" i="33"/>
  <c r="I29" i="33"/>
  <c r="I71" i="33"/>
  <c r="I26" i="33"/>
  <c r="I16" i="33"/>
  <c r="I10" i="33"/>
  <c r="I34" i="33"/>
  <c r="H5" i="33"/>
  <c r="H24" i="33"/>
  <c r="H16" i="33"/>
  <c r="H10" i="33"/>
  <c r="H62" i="33"/>
  <c r="H61" i="43" s="1"/>
  <c r="H2" i="49"/>
  <c r="H53" i="33"/>
  <c r="L38" i="61" s="1"/>
  <c r="AB38" i="61" s="1"/>
  <c r="H30" i="33"/>
  <c r="H11" i="33"/>
  <c r="H60" i="33"/>
  <c r="L45" i="61" s="1"/>
  <c r="AB45" i="61" s="1"/>
  <c r="H12" i="33"/>
  <c r="H79" i="33"/>
  <c r="H79" i="43" s="1"/>
  <c r="H44" i="33"/>
  <c r="H43" i="43" s="1"/>
  <c r="H26" i="33"/>
  <c r="H27" i="33"/>
  <c r="H65" i="33"/>
  <c r="H64" i="43" s="1"/>
  <c r="H58" i="33"/>
  <c r="L43" i="61" s="1"/>
  <c r="AB43" i="61" s="1"/>
  <c r="H61" i="33"/>
  <c r="H60" i="43" s="1"/>
  <c r="H56" i="33"/>
  <c r="L41" i="61" s="1"/>
  <c r="AB41" i="61" s="1"/>
  <c r="H19" i="33"/>
  <c r="H41" i="33"/>
  <c r="H59" i="33"/>
  <c r="L44" i="61" s="1"/>
  <c r="AB44" i="61" s="1"/>
  <c r="H45" i="33"/>
  <c r="H44" i="43" s="1"/>
  <c r="H22" i="33"/>
  <c r="H17" i="33"/>
  <c r="H8" i="33"/>
  <c r="H20" i="33"/>
  <c r="H57" i="33"/>
  <c r="L42" i="61" s="1"/>
  <c r="AB42" i="61" s="1"/>
  <c r="H51" i="33"/>
  <c r="L36" i="61" s="1"/>
  <c r="AB36" i="61" s="1"/>
  <c r="H73" i="33"/>
  <c r="L55" i="61" s="1"/>
  <c r="AB55" i="61" s="1"/>
  <c r="H77" i="33"/>
  <c r="L59" i="61" s="1"/>
  <c r="AB59" i="61" s="1"/>
  <c r="H23" i="33"/>
  <c r="H34" i="33"/>
  <c r="L21" i="61" s="1"/>
  <c r="AB21" i="61" s="1"/>
  <c r="H54" i="33"/>
  <c r="L39" i="61" s="1"/>
  <c r="AB39" i="61" s="1"/>
  <c r="H35" i="33"/>
  <c r="L22" i="61" s="1"/>
  <c r="AB22" i="61" s="1"/>
  <c r="H43" i="33"/>
  <c r="L30" i="61" s="1"/>
  <c r="AB30" i="61" s="1"/>
  <c r="H29" i="33"/>
  <c r="H28" i="33"/>
  <c r="H82" i="33"/>
  <c r="H82" i="43" s="1"/>
  <c r="H9" i="33"/>
  <c r="H63" i="33"/>
  <c r="H62" i="43" s="1"/>
  <c r="H15" i="33"/>
  <c r="H80" i="33"/>
  <c r="H80" i="43" s="1"/>
  <c r="H55" i="33"/>
  <c r="L40" i="61" s="1"/>
  <c r="AB40" i="61" s="1"/>
  <c r="H64" i="33"/>
  <c r="H63" i="43" s="1"/>
  <c r="H21" i="33"/>
  <c r="H78" i="33"/>
  <c r="L60" i="61" s="1"/>
  <c r="AB60" i="61" s="1"/>
  <c r="H2" i="43"/>
  <c r="H81" i="33"/>
  <c r="H81" i="43" s="1"/>
  <c r="H25" i="33"/>
  <c r="H14" i="33"/>
  <c r="H18" i="33"/>
  <c r="H74" i="33"/>
  <c r="L56" i="61" s="1"/>
  <c r="AB56" i="61" s="1"/>
  <c r="H52" i="33"/>
  <c r="L37" i="61" s="1"/>
  <c r="AB37" i="61" s="1"/>
  <c r="H75" i="33"/>
  <c r="L57" i="61" s="1"/>
  <c r="AB57" i="61" s="1"/>
  <c r="H7" i="33"/>
  <c r="H46" i="33"/>
  <c r="H45" i="43" s="1"/>
  <c r="H47" i="33"/>
  <c r="H46" i="43" s="1"/>
  <c r="L11" i="59" l="1"/>
  <c r="L11" i="61"/>
  <c r="AB11" i="61" s="1"/>
  <c r="L13" i="59"/>
  <c r="L13" i="61"/>
  <c r="AB13" i="61" s="1"/>
  <c r="L10" i="59"/>
  <c r="D6" i="60" s="1"/>
  <c r="D19" i="60" s="1"/>
  <c r="L10" i="61"/>
  <c r="AB10" i="61" s="1"/>
  <c r="L28" i="59"/>
  <c r="L28" i="61"/>
  <c r="AB28" i="61" s="1"/>
  <c r="L9" i="59"/>
  <c r="D5" i="60" s="1"/>
  <c r="D18" i="60" s="1"/>
  <c r="L9" i="61"/>
  <c r="AB9" i="61" s="1"/>
  <c r="L15" i="59"/>
  <c r="L15" i="61"/>
  <c r="AB15" i="61" s="1"/>
  <c r="L6" i="59"/>
  <c r="D2" i="60" s="1"/>
  <c r="D15" i="60" s="1"/>
  <c r="L6" i="61"/>
  <c r="AB6" i="61" s="1"/>
  <c r="L14" i="59"/>
  <c r="L14" i="61"/>
  <c r="AB14" i="61" s="1"/>
  <c r="L8" i="59"/>
  <c r="D4" i="60" s="1"/>
  <c r="D17" i="60" s="1"/>
  <c r="L8" i="61"/>
  <c r="AB8" i="61" s="1"/>
  <c r="L7" i="59"/>
  <c r="D3" i="60" s="1"/>
  <c r="D16" i="60" s="1"/>
  <c r="L7" i="61"/>
  <c r="AB7" i="61" s="1"/>
  <c r="H74" i="43"/>
  <c r="L56" i="59"/>
  <c r="H42" i="43"/>
  <c r="L30" i="59"/>
  <c r="H58" i="43"/>
  <c r="L44" i="59"/>
  <c r="H59" i="43"/>
  <c r="L45" i="59"/>
  <c r="H52" i="43"/>
  <c r="L38" i="59"/>
  <c r="H33" i="43"/>
  <c r="L21" i="59"/>
  <c r="H55" i="43"/>
  <c r="L41" i="59"/>
  <c r="H41" i="43"/>
  <c r="L29" i="59"/>
  <c r="H78" i="43"/>
  <c r="L60" i="59"/>
  <c r="H53" i="43"/>
  <c r="L39" i="59"/>
  <c r="AA39" i="59" s="1"/>
  <c r="H77" i="43"/>
  <c r="L59" i="59"/>
  <c r="H57" i="43"/>
  <c r="L43" i="59"/>
  <c r="H34" i="43"/>
  <c r="L22" i="59"/>
  <c r="H54" i="43"/>
  <c r="L40" i="59"/>
  <c r="H73" i="43"/>
  <c r="L55" i="59"/>
  <c r="H50" i="43"/>
  <c r="L36" i="59"/>
  <c r="H56" i="43"/>
  <c r="L42" i="59"/>
  <c r="H51" i="43"/>
  <c r="L37" i="59"/>
  <c r="H75" i="43"/>
  <c r="L57" i="59"/>
  <c r="T41" i="33"/>
  <c r="H40" i="43"/>
  <c r="H6" i="43"/>
  <c r="I78" i="49"/>
  <c r="I70" i="49"/>
  <c r="I58" i="49"/>
  <c r="I50" i="49"/>
  <c r="I38" i="49"/>
  <c r="I29" i="49"/>
  <c r="I21" i="49"/>
  <c r="I13" i="49"/>
  <c r="I77" i="49"/>
  <c r="I69" i="49"/>
  <c r="I57" i="49"/>
  <c r="I49" i="49"/>
  <c r="I45" i="49"/>
  <c r="I37" i="49"/>
  <c r="I28" i="49"/>
  <c r="I20" i="49"/>
  <c r="I12" i="49"/>
  <c r="I76" i="49"/>
  <c r="I68" i="49"/>
  <c r="I56" i="49"/>
  <c r="I44" i="49"/>
  <c r="I36" i="49"/>
  <c r="I27" i="49"/>
  <c r="I19" i="49"/>
  <c r="I11" i="49"/>
  <c r="I75" i="49"/>
  <c r="I67" i="49"/>
  <c r="I63" i="49"/>
  <c r="I55" i="49"/>
  <c r="I43" i="49"/>
  <c r="I35" i="49"/>
  <c r="I26" i="49"/>
  <c r="I18" i="49"/>
  <c r="I10" i="49"/>
  <c r="I74" i="49"/>
  <c r="I62" i="49"/>
  <c r="I54" i="49"/>
  <c r="I42" i="49"/>
  <c r="I34" i="49"/>
  <c r="I25" i="49"/>
  <c r="I17" i="49"/>
  <c r="I9" i="49"/>
  <c r="I73" i="49"/>
  <c r="I61" i="49"/>
  <c r="I53" i="49"/>
  <c r="I41" i="49"/>
  <c r="I33" i="49"/>
  <c r="I24" i="49"/>
  <c r="I16" i="49"/>
  <c r="I8" i="49"/>
  <c r="I80" i="49"/>
  <c r="I52" i="49"/>
  <c r="I39" i="49"/>
  <c r="I59" i="49"/>
  <c r="I79" i="49"/>
  <c r="I51" i="49"/>
  <c r="I71" i="49"/>
  <c r="I72" i="49"/>
  <c r="I40" i="49"/>
  <c r="I23" i="49"/>
  <c r="I22" i="49"/>
  <c r="I15" i="49"/>
  <c r="I60" i="49"/>
  <c r="I7" i="49"/>
  <c r="I14" i="49"/>
  <c r="I6" i="49"/>
  <c r="I44" i="43"/>
  <c r="I36" i="43"/>
  <c r="I43" i="43"/>
  <c r="I35" i="43"/>
  <c r="I42" i="43"/>
  <c r="I34" i="43"/>
  <c r="I41" i="43"/>
  <c r="I33" i="43"/>
  <c r="I40" i="43"/>
  <c r="I39" i="43"/>
  <c r="I6" i="43"/>
  <c r="I37" i="43"/>
  <c r="I46" i="43"/>
  <c r="I45" i="43"/>
  <c r="I38" i="43"/>
  <c r="I60" i="43"/>
  <c r="I61" i="43"/>
  <c r="I63" i="43"/>
  <c r="I58" i="43"/>
  <c r="I57" i="43"/>
  <c r="I81" i="43"/>
  <c r="I79" i="43"/>
  <c r="I53" i="43"/>
  <c r="I82" i="43"/>
  <c r="I69" i="43"/>
  <c r="I77" i="43"/>
  <c r="I73" i="43"/>
  <c r="I75" i="43"/>
  <c r="I64" i="43"/>
  <c r="I76" i="43"/>
  <c r="I74" i="43"/>
  <c r="I55" i="43"/>
  <c r="I50" i="43"/>
  <c r="I78" i="43"/>
  <c r="I59" i="43"/>
  <c r="I72" i="43"/>
  <c r="I70" i="43"/>
  <c r="I56" i="43"/>
  <c r="I80" i="43"/>
  <c r="I51" i="43"/>
  <c r="I71" i="43"/>
  <c r="I52" i="43"/>
  <c r="I54" i="43"/>
  <c r="I62" i="43"/>
  <c r="H4" i="43"/>
  <c r="H4" i="49"/>
  <c r="H80" i="49"/>
  <c r="H78" i="49"/>
  <c r="H70" i="49"/>
  <c r="H79" i="49"/>
  <c r="H68" i="49"/>
  <c r="H77" i="49"/>
  <c r="H71" i="49"/>
  <c r="H6" i="49"/>
  <c r="H67" i="49"/>
  <c r="H73" i="49"/>
  <c r="H76" i="49"/>
  <c r="H69" i="49"/>
  <c r="H75" i="49"/>
  <c r="H74" i="49"/>
  <c r="H72" i="49"/>
  <c r="H4" i="45"/>
  <c r="H4" i="46"/>
  <c r="H4" i="34"/>
  <c r="H7" i="43" l="1"/>
  <c r="I7" i="43" s="1"/>
  <c r="H7" i="49"/>
  <c r="H8" i="49" s="1"/>
  <c r="H81" i="49"/>
  <c r="I81" i="49" s="1"/>
  <c r="H8" i="43" l="1"/>
  <c r="I8" i="43" s="1"/>
  <c r="H9" i="49"/>
  <c r="H9" i="43" l="1"/>
  <c r="H10" i="43" s="1"/>
  <c r="H10" i="49"/>
  <c r="I9" i="43" l="1"/>
  <c r="H11" i="43"/>
  <c r="I10" i="43"/>
  <c r="H11" i="49"/>
  <c r="I11" i="43" l="1"/>
  <c r="H12" i="43"/>
  <c r="H12" i="49"/>
  <c r="H13" i="43" l="1"/>
  <c r="I12" i="43"/>
  <c r="H13" i="49"/>
  <c r="I13" i="43" l="1"/>
  <c r="H14" i="43"/>
  <c r="H14" i="49"/>
  <c r="H15" i="43" l="1"/>
  <c r="I14" i="43"/>
  <c r="H15" i="49"/>
  <c r="I15" i="43" l="1"/>
  <c r="H16" i="43"/>
  <c r="H16" i="49"/>
  <c r="H17" i="43" l="1"/>
  <c r="I16" i="43"/>
  <c r="H17" i="49"/>
  <c r="I17" i="43" l="1"/>
  <c r="H18" i="43"/>
  <c r="H18" i="49"/>
  <c r="H19" i="43" l="1"/>
  <c r="I18" i="43"/>
  <c r="H19" i="49"/>
  <c r="H20" i="43" l="1"/>
  <c r="I19" i="43"/>
  <c r="H20" i="49"/>
  <c r="H21" i="43" l="1"/>
  <c r="I20" i="43"/>
  <c r="H21" i="49"/>
  <c r="H22" i="43" l="1"/>
  <c r="I21" i="43"/>
  <c r="H22" i="49"/>
  <c r="H23" i="43" l="1"/>
  <c r="I22" i="43"/>
  <c r="H23" i="49"/>
  <c r="H24" i="43" l="1"/>
  <c r="I23" i="43"/>
  <c r="H24" i="49"/>
  <c r="H25" i="43" l="1"/>
  <c r="I24" i="43"/>
  <c r="H25" i="49"/>
  <c r="H26" i="43" l="1"/>
  <c r="I25" i="43"/>
  <c r="H26" i="49"/>
  <c r="H27" i="43" l="1"/>
  <c r="I26" i="43"/>
  <c r="H27" i="49"/>
  <c r="H28" i="43" l="1"/>
  <c r="I27" i="43"/>
  <c r="H28" i="49"/>
  <c r="H29" i="43" l="1"/>
  <c r="I28" i="43"/>
  <c r="H29" i="49"/>
  <c r="H30" i="49" s="1"/>
  <c r="I30" i="49" s="1"/>
  <c r="H30" i="43" l="1"/>
  <c r="I29" i="43"/>
  <c r="H33" i="49"/>
  <c r="I30" i="43" l="1"/>
  <c r="H34" i="49"/>
  <c r="H35" i="49" s="1"/>
  <c r="H36" i="49" s="1"/>
  <c r="H37" i="49" s="1"/>
  <c r="H38" i="49" l="1"/>
  <c r="H39" i="49" l="1"/>
  <c r="H40" i="49" l="1"/>
  <c r="H41" i="49" l="1"/>
  <c r="H42" i="49" l="1"/>
  <c r="H43" i="49" l="1"/>
  <c r="H44" i="49" l="1"/>
  <c r="H45" i="49" l="1"/>
  <c r="H46" i="49" l="1"/>
  <c r="H47" i="43" l="1"/>
  <c r="I46" i="49"/>
  <c r="H49" i="49"/>
  <c r="I47" i="43" l="1"/>
  <c r="F5" i="33" l="1"/>
  <c r="F4" i="45" s="1"/>
  <c r="F54" i="33"/>
  <c r="F25" i="33"/>
  <c r="F19" i="33"/>
  <c r="F76" i="33"/>
  <c r="T3" i="33"/>
  <c r="T2" i="45" s="1"/>
  <c r="F20" i="33"/>
  <c r="F58" i="33"/>
  <c r="F14" i="33"/>
  <c r="F2" i="45"/>
  <c r="F2" i="46"/>
  <c r="F2" i="34"/>
  <c r="F2" i="50"/>
  <c r="F42" i="33"/>
  <c r="F23" i="33"/>
  <c r="F28" i="33"/>
  <c r="F22" i="33"/>
  <c r="F10" i="33"/>
  <c r="F77" i="33"/>
  <c r="K59" i="61" s="1"/>
  <c r="AA59" i="61" s="1"/>
  <c r="F15" i="33"/>
  <c r="K14" i="61" s="1"/>
  <c r="AA14" i="61" s="1"/>
  <c r="F26" i="33"/>
  <c r="T26" i="33" s="1"/>
  <c r="F57" i="33"/>
  <c r="F7" i="33"/>
  <c r="F60" i="33"/>
  <c r="F44" i="33"/>
  <c r="F65" i="33"/>
  <c r="F34" i="33"/>
  <c r="K21" i="61" s="1"/>
  <c r="AA21" i="61" s="1"/>
  <c r="F56" i="33"/>
  <c r="F13" i="33"/>
  <c r="F17" i="33"/>
  <c r="T17" i="33" s="1"/>
  <c r="F30" i="33"/>
  <c r="T30" i="33" s="1"/>
  <c r="F11" i="33"/>
  <c r="F78" i="33"/>
  <c r="F47" i="33"/>
  <c r="F74" i="33"/>
  <c r="F9" i="33"/>
  <c r="F70" i="33"/>
  <c r="K52" i="61" s="1"/>
  <c r="AA52" i="61" s="1"/>
  <c r="F21" i="33"/>
  <c r="F81" i="33"/>
  <c r="F24" i="33"/>
  <c r="F73" i="33"/>
  <c r="F27" i="33"/>
  <c r="T27" i="33" s="1"/>
  <c r="F80" i="33"/>
  <c r="F80" i="43" s="1"/>
  <c r="F53" i="33"/>
  <c r="F45" i="33"/>
  <c r="F44" i="43" s="1"/>
  <c r="F12" i="33"/>
  <c r="F16" i="33"/>
  <c r="K15" i="61" s="1"/>
  <c r="AA15" i="61" s="1"/>
  <c r="F52" i="33"/>
  <c r="K37" i="61" s="1"/>
  <c r="AA37" i="61" s="1"/>
  <c r="F61" i="33"/>
  <c r="F46" i="33"/>
  <c r="F45" i="43" s="1"/>
  <c r="F79" i="33"/>
  <c r="F79" i="43" s="1"/>
  <c r="F64" i="33"/>
  <c r="F82" i="33"/>
  <c r="F55" i="33"/>
  <c r="F18" i="33"/>
  <c r="T18" i="33" s="1"/>
  <c r="F59" i="33"/>
  <c r="F35" i="33"/>
  <c r="F62" i="33"/>
  <c r="F61" i="43" s="1"/>
  <c r="F43" i="33"/>
  <c r="K30" i="61" s="1"/>
  <c r="AA30" i="61" s="1"/>
  <c r="F8" i="33"/>
  <c r="K7" i="61" s="1"/>
  <c r="AA7" i="61" s="1"/>
  <c r="F72" i="33"/>
  <c r="F63" i="33"/>
  <c r="F75" i="33"/>
  <c r="K57" i="61" s="1"/>
  <c r="AA57" i="61" s="1"/>
  <c r="F29" i="33"/>
  <c r="T29" i="33" s="1"/>
  <c r="F71" i="33"/>
  <c r="K53" i="61" s="1"/>
  <c r="AA53" i="61" s="1"/>
  <c r="F51" i="33"/>
  <c r="K36" i="61" s="1"/>
  <c r="AA36" i="61" s="1"/>
  <c r="F2" i="43"/>
  <c r="F2" i="49"/>
  <c r="K43" i="59" l="1"/>
  <c r="K43" i="61"/>
  <c r="AA43" i="61" s="1"/>
  <c r="K45" i="59"/>
  <c r="K45" i="61"/>
  <c r="AA45" i="61" s="1"/>
  <c r="F8" i="34"/>
  <c r="K6" i="61"/>
  <c r="AA6" i="61" s="1"/>
  <c r="K13" i="59"/>
  <c r="K13" i="61"/>
  <c r="AA13" i="61" s="1"/>
  <c r="K8" i="59"/>
  <c r="K8" i="61"/>
  <c r="AA8" i="61" s="1"/>
  <c r="K42" i="59"/>
  <c r="K42" i="61"/>
  <c r="AA42" i="61" s="1"/>
  <c r="K56" i="59"/>
  <c r="K56" i="61"/>
  <c r="AA56" i="61" s="1"/>
  <c r="K44" i="59"/>
  <c r="K44" i="61"/>
  <c r="AA44" i="61" s="1"/>
  <c r="K29" i="59"/>
  <c r="K29" i="61"/>
  <c r="AA29" i="61" s="1"/>
  <c r="K55" i="59"/>
  <c r="K55" i="61"/>
  <c r="AA55" i="61" s="1"/>
  <c r="K54" i="59"/>
  <c r="K54" i="61"/>
  <c r="AA54" i="61" s="1"/>
  <c r="K60" i="59"/>
  <c r="K60" i="61"/>
  <c r="AA60" i="61" s="1"/>
  <c r="K58" i="59"/>
  <c r="K58" i="61"/>
  <c r="AA58" i="61" s="1"/>
  <c r="K11" i="59"/>
  <c r="K11" i="61"/>
  <c r="AA11" i="61" s="1"/>
  <c r="K10" i="59"/>
  <c r="K10" i="61"/>
  <c r="AA10" i="61" s="1"/>
  <c r="K9" i="59"/>
  <c r="K9" i="61"/>
  <c r="AA9" i="61" s="1"/>
  <c r="K41" i="59"/>
  <c r="K41" i="61"/>
  <c r="AA41" i="61" s="1"/>
  <c r="K40" i="59"/>
  <c r="K40" i="61"/>
  <c r="AA40" i="61" s="1"/>
  <c r="K38" i="59"/>
  <c r="K38" i="61"/>
  <c r="AA38" i="61" s="1"/>
  <c r="K39" i="59"/>
  <c r="Z39" i="59" s="1"/>
  <c r="K39" i="61"/>
  <c r="AA39" i="61" s="1"/>
  <c r="K22" i="59"/>
  <c r="K22" i="61"/>
  <c r="AA22" i="61" s="1"/>
  <c r="K12" i="59"/>
  <c r="K12" i="61"/>
  <c r="AA12" i="61" s="1"/>
  <c r="F71" i="43"/>
  <c r="K53" i="59"/>
  <c r="F70" i="43"/>
  <c r="K52" i="59"/>
  <c r="T7" i="33"/>
  <c r="G8" i="34" s="1"/>
  <c r="AQ6" i="61" s="1"/>
  <c r="K6" i="59"/>
  <c r="F50" i="43"/>
  <c r="K36" i="59"/>
  <c r="F75" i="43"/>
  <c r="K57" i="59"/>
  <c r="F51" i="43"/>
  <c r="K37" i="59"/>
  <c r="T15" i="33"/>
  <c r="G16" i="34" s="1"/>
  <c r="AQ14" i="61" s="1"/>
  <c r="K14" i="59"/>
  <c r="F33" i="43"/>
  <c r="K21" i="59"/>
  <c r="T16" i="33"/>
  <c r="G17" i="34" s="1"/>
  <c r="AQ15" i="61" s="1"/>
  <c r="K15" i="59"/>
  <c r="F77" i="43"/>
  <c r="K59" i="59"/>
  <c r="T8" i="33"/>
  <c r="G9" i="34" s="1"/>
  <c r="AQ7" i="61" s="1"/>
  <c r="K7" i="59"/>
  <c r="F42" i="43"/>
  <c r="K30" i="59"/>
  <c r="F6" i="43"/>
  <c r="T47" i="33"/>
  <c r="G46" i="45" s="1"/>
  <c r="F46" i="43"/>
  <c r="T44" i="33"/>
  <c r="U44" i="33" s="1"/>
  <c r="F43" i="43"/>
  <c r="T35" i="33"/>
  <c r="F34" i="43"/>
  <c r="T42" i="33"/>
  <c r="U42" i="33" s="1"/>
  <c r="F41" i="43"/>
  <c r="T64" i="33"/>
  <c r="G63" i="45" s="1"/>
  <c r="F63" i="43"/>
  <c r="T57" i="33"/>
  <c r="G56" i="45" s="1"/>
  <c r="F56" i="43"/>
  <c r="T58" i="33"/>
  <c r="G57" i="45" s="1"/>
  <c r="F57" i="43"/>
  <c r="T74" i="33"/>
  <c r="U74" i="33" s="1"/>
  <c r="F74" i="43"/>
  <c r="T82" i="33"/>
  <c r="U82" i="33" s="1"/>
  <c r="F82" i="43"/>
  <c r="T72" i="33"/>
  <c r="U72" i="33" s="1"/>
  <c r="F72" i="43"/>
  <c r="T78" i="33"/>
  <c r="U78" i="33" s="1"/>
  <c r="F78" i="43"/>
  <c r="T76" i="33"/>
  <c r="U76" i="33" s="1"/>
  <c r="F76" i="43"/>
  <c r="T73" i="33"/>
  <c r="U73" i="33" s="1"/>
  <c r="F73" i="43"/>
  <c r="T61" i="33"/>
  <c r="U61" i="33" s="1"/>
  <c r="F60" i="43"/>
  <c r="T69" i="33"/>
  <c r="U69" i="33" s="1"/>
  <c r="F69" i="43"/>
  <c r="F66" i="34"/>
  <c r="T55" i="33"/>
  <c r="F54" i="43"/>
  <c r="T65" i="33"/>
  <c r="U65" i="33" s="1"/>
  <c r="F64" i="43"/>
  <c r="T63" i="33"/>
  <c r="U63" i="33" s="1"/>
  <c r="F62" i="43"/>
  <c r="T53" i="33"/>
  <c r="U53" i="33" s="1"/>
  <c r="F52" i="43"/>
  <c r="T81" i="33"/>
  <c r="U81" i="33" s="1"/>
  <c r="F81" i="43"/>
  <c r="T60" i="33"/>
  <c r="U60" i="33" s="1"/>
  <c r="F59" i="43"/>
  <c r="T54" i="33"/>
  <c r="U54" i="33" s="1"/>
  <c r="F53" i="43"/>
  <c r="T59" i="33"/>
  <c r="F58" i="43"/>
  <c r="T56" i="33"/>
  <c r="U56" i="33" s="1"/>
  <c r="F55" i="43"/>
  <c r="H65" i="43"/>
  <c r="F35" i="34"/>
  <c r="I23" i="61" s="1"/>
  <c r="Y23" i="61" s="1"/>
  <c r="T10" i="33"/>
  <c r="G11" i="34" s="1"/>
  <c r="AQ9" i="61" s="1"/>
  <c r="T22" i="33"/>
  <c r="G23" i="34" s="1"/>
  <c r="F74" i="34"/>
  <c r="I59" i="61" s="1"/>
  <c r="Y59" i="61" s="1"/>
  <c r="T77" i="33"/>
  <c r="G74" i="45" s="1"/>
  <c r="T14" i="33"/>
  <c r="G15" i="34" s="1"/>
  <c r="AQ13" i="61" s="1"/>
  <c r="F42" i="34"/>
  <c r="I30" i="61" s="1"/>
  <c r="Y30" i="61" s="1"/>
  <c r="T43" i="33"/>
  <c r="U43" i="33" s="1"/>
  <c r="T62" i="33"/>
  <c r="G61" i="34" s="1"/>
  <c r="T13" i="33"/>
  <c r="G14" i="34" s="1"/>
  <c r="AQ12" i="61" s="1"/>
  <c r="F72" i="34"/>
  <c r="I57" i="61" s="1"/>
  <c r="Y57" i="61" s="1"/>
  <c r="T75" i="33"/>
  <c r="U75" i="33" s="1"/>
  <c r="T52" i="33"/>
  <c r="G50" i="34" s="1"/>
  <c r="AQ37" i="61" s="1"/>
  <c r="T12" i="33"/>
  <c r="G13" i="34" s="1"/>
  <c r="AQ11" i="61" s="1"/>
  <c r="F37" i="34"/>
  <c r="I25" i="61" s="1"/>
  <c r="Y25" i="61" s="1"/>
  <c r="T19" i="33"/>
  <c r="G20" i="34" s="1"/>
  <c r="T11" i="33"/>
  <c r="G12" i="34" s="1"/>
  <c r="AQ10" i="61" s="1"/>
  <c r="F33" i="34"/>
  <c r="I21" i="61" s="1"/>
  <c r="Y21" i="61" s="1"/>
  <c r="T34" i="33"/>
  <c r="G33" i="34" s="1"/>
  <c r="AQ21" i="61" s="1"/>
  <c r="T20" i="33"/>
  <c r="G21" i="34" s="1"/>
  <c r="T28" i="33"/>
  <c r="G29" i="34" s="1"/>
  <c r="T24" i="33"/>
  <c r="G25" i="34" s="1"/>
  <c r="T25" i="33"/>
  <c r="G26" i="34" s="1"/>
  <c r="F44" i="34"/>
  <c r="K44" i="34" s="1"/>
  <c r="T45" i="33"/>
  <c r="U45" i="33" s="1"/>
  <c r="F77" i="34"/>
  <c r="H77" i="34" s="1"/>
  <c r="I77" i="34" s="1"/>
  <c r="T80" i="33"/>
  <c r="U80" i="33" s="1"/>
  <c r="T23" i="33"/>
  <c r="G24" i="34" s="1"/>
  <c r="T51" i="33"/>
  <c r="G49" i="34" s="1"/>
  <c r="AQ36" i="61" s="1"/>
  <c r="T21" i="33"/>
  <c r="G22" i="34" s="1"/>
  <c r="F68" i="34"/>
  <c r="I53" i="61" s="1"/>
  <c r="Y53" i="61" s="1"/>
  <c r="T71" i="33"/>
  <c r="U71" i="33" s="1"/>
  <c r="F76" i="34"/>
  <c r="H76" i="34" s="1"/>
  <c r="I76" i="34" s="1"/>
  <c r="E79" i="33" s="1"/>
  <c r="T79" i="33"/>
  <c r="U79" i="33" s="1"/>
  <c r="F67" i="34"/>
  <c r="I52" i="61" s="1"/>
  <c r="Y52" i="61" s="1"/>
  <c r="T70" i="33"/>
  <c r="U70" i="33" s="1"/>
  <c r="F45" i="34"/>
  <c r="K45" i="34" s="1"/>
  <c r="T46" i="33"/>
  <c r="U46" i="33" s="1"/>
  <c r="T9" i="33"/>
  <c r="G10" i="34" s="1"/>
  <c r="AQ8" i="61" s="1"/>
  <c r="F70" i="34"/>
  <c r="I55" i="61" s="1"/>
  <c r="Y55" i="61" s="1"/>
  <c r="F75" i="45"/>
  <c r="F43" i="34"/>
  <c r="F40" i="34"/>
  <c r="I28" i="61" s="1"/>
  <c r="Y28" i="61" s="1"/>
  <c r="F36" i="34"/>
  <c r="F56" i="34"/>
  <c r="I43" i="61" s="1"/>
  <c r="Y43" i="61" s="1"/>
  <c r="F40" i="45"/>
  <c r="F11" i="34"/>
  <c r="I9" i="61" s="1"/>
  <c r="Y9" i="61" s="1"/>
  <c r="F38" i="34"/>
  <c r="F21" i="34"/>
  <c r="F22" i="34"/>
  <c r="F15" i="34"/>
  <c r="F20" i="34"/>
  <c r="M20" i="34" s="1"/>
  <c r="F55" i="34"/>
  <c r="F39" i="45"/>
  <c r="F39" i="34"/>
  <c r="F46" i="34"/>
  <c r="F41" i="45"/>
  <c r="F41" i="34"/>
  <c r="F34" i="34"/>
  <c r="G6" i="43"/>
  <c r="F35" i="50"/>
  <c r="H35" i="50" s="1"/>
  <c r="I35" i="50" s="1"/>
  <c r="F49" i="34"/>
  <c r="F50" i="34"/>
  <c r="F54" i="34"/>
  <c r="F46" i="45"/>
  <c r="F75" i="34"/>
  <c r="F24" i="34"/>
  <c r="F10" i="34"/>
  <c r="I8" i="61" s="1"/>
  <c r="Y8" i="61" s="1"/>
  <c r="F66" i="45"/>
  <c r="F34" i="50"/>
  <c r="H34" i="50" s="1"/>
  <c r="I34" i="50" s="1"/>
  <c r="G35" i="50"/>
  <c r="F23" i="34"/>
  <c r="F36" i="50"/>
  <c r="H36" i="50" s="1"/>
  <c r="I36" i="50" s="1"/>
  <c r="F60" i="34"/>
  <c r="F29" i="34"/>
  <c r="F14" i="34"/>
  <c r="F74" i="45"/>
  <c r="U55" i="33"/>
  <c r="T2" i="46"/>
  <c r="U41" i="33"/>
  <c r="H2" i="50"/>
  <c r="W2" i="34"/>
  <c r="T2" i="43"/>
  <c r="F4" i="43"/>
  <c r="G80" i="43"/>
  <c r="F4" i="49"/>
  <c r="F30" i="34"/>
  <c r="F9" i="34"/>
  <c r="I7" i="61" s="1"/>
  <c r="Y7" i="61" s="1"/>
  <c r="F76" i="49"/>
  <c r="T76" i="49" s="1"/>
  <c r="F73" i="49"/>
  <c r="T73" i="49" s="1"/>
  <c r="F72" i="49"/>
  <c r="T72" i="49" s="1"/>
  <c r="J50" i="49"/>
  <c r="K50" i="49" s="1"/>
  <c r="F80" i="49"/>
  <c r="T80" i="49" s="1"/>
  <c r="N50" i="49"/>
  <c r="R50" i="49"/>
  <c r="F71" i="49"/>
  <c r="T71" i="49" s="1"/>
  <c r="F79" i="49"/>
  <c r="T79" i="49" s="1"/>
  <c r="F77" i="49"/>
  <c r="T77" i="49" s="1"/>
  <c r="F74" i="49"/>
  <c r="T74" i="49" s="1"/>
  <c r="F69" i="49"/>
  <c r="T69" i="49" s="1"/>
  <c r="L50" i="49"/>
  <c r="F70" i="49"/>
  <c r="T70" i="49" s="1"/>
  <c r="F75" i="49"/>
  <c r="T75" i="49" s="1"/>
  <c r="T2" i="49"/>
  <c r="P50" i="49"/>
  <c r="F68" i="49"/>
  <c r="T68" i="49" s="1"/>
  <c r="F67" i="49"/>
  <c r="G67" i="49" s="1"/>
  <c r="F78" i="49"/>
  <c r="T78" i="49" s="1"/>
  <c r="F6" i="49"/>
  <c r="G6" i="49" s="1"/>
  <c r="H50" i="49"/>
  <c r="F59" i="34"/>
  <c r="G19" i="34"/>
  <c r="F19" i="34"/>
  <c r="F69" i="45"/>
  <c r="F69" i="34"/>
  <c r="F61" i="34"/>
  <c r="F51" i="34"/>
  <c r="F72" i="45"/>
  <c r="G37" i="34"/>
  <c r="AQ25" i="61" s="1"/>
  <c r="F37" i="45"/>
  <c r="F71" i="45"/>
  <c r="F71" i="34"/>
  <c r="F73" i="45"/>
  <c r="F73" i="34"/>
  <c r="F68" i="45"/>
  <c r="F79" i="45"/>
  <c r="F79" i="34"/>
  <c r="F45" i="45"/>
  <c r="F40" i="50"/>
  <c r="H40" i="50" s="1"/>
  <c r="I40" i="50" s="1"/>
  <c r="F44" i="45"/>
  <c r="F39" i="50"/>
  <c r="H39" i="50" s="1"/>
  <c r="I39" i="50" s="1"/>
  <c r="F38" i="45"/>
  <c r="F42" i="45"/>
  <c r="F17" i="34"/>
  <c r="F37" i="50"/>
  <c r="Z36" i="33"/>
  <c r="AB36" i="33" s="1"/>
  <c r="G34" i="34"/>
  <c r="AQ22" i="61" s="1"/>
  <c r="AA32" i="33"/>
  <c r="F34" i="45"/>
  <c r="F78" i="45"/>
  <c r="F78" i="34"/>
  <c r="F38" i="50"/>
  <c r="H38" i="50" s="1"/>
  <c r="I38" i="50" s="1"/>
  <c r="F43" i="45"/>
  <c r="U59" i="33"/>
  <c r="F57" i="34"/>
  <c r="G36" i="34"/>
  <c r="AQ24" i="61" s="1"/>
  <c r="F36" i="45"/>
  <c r="G28" i="34"/>
  <c r="F28" i="34"/>
  <c r="F13" i="34"/>
  <c r="F25" i="34"/>
  <c r="F76" i="45"/>
  <c r="G31" i="34"/>
  <c r="F31" i="34"/>
  <c r="F58" i="34"/>
  <c r="G35" i="34"/>
  <c r="AQ23" i="61" s="1"/>
  <c r="F35" i="45"/>
  <c r="F53" i="34"/>
  <c r="F62" i="34"/>
  <c r="Z35" i="33"/>
  <c r="AB35" i="33" s="1"/>
  <c r="AA31" i="33"/>
  <c r="F33" i="45"/>
  <c r="G54" i="34"/>
  <c r="AQ41" i="61" s="1"/>
  <c r="G54" i="45"/>
  <c r="F77" i="45"/>
  <c r="G18" i="34"/>
  <c r="F18" i="34"/>
  <c r="G27" i="34"/>
  <c r="F27" i="34"/>
  <c r="F70" i="45"/>
  <c r="F67" i="45"/>
  <c r="F63" i="34"/>
  <c r="F41" i="50"/>
  <c r="H41" i="50" s="1"/>
  <c r="I41" i="50" s="1"/>
  <c r="F12" i="34"/>
  <c r="F16" i="34"/>
  <c r="U36" i="33"/>
  <c r="U27" i="33"/>
  <c r="U39" i="33"/>
  <c r="F26" i="34"/>
  <c r="F52" i="34"/>
  <c r="U40" i="33"/>
  <c r="F4" i="46"/>
  <c r="F4" i="50"/>
  <c r="F4" i="34"/>
  <c r="I54" i="59" l="1"/>
  <c r="X54" i="59" s="1"/>
  <c r="I54" i="61"/>
  <c r="Y54" i="61" s="1"/>
  <c r="I39" i="59"/>
  <c r="X39" i="59" s="1"/>
  <c r="I39" i="61"/>
  <c r="Y39" i="61" s="1"/>
  <c r="I29" i="59"/>
  <c r="X29" i="59" s="1"/>
  <c r="I29" i="61"/>
  <c r="Y29" i="61" s="1"/>
  <c r="I24" i="59"/>
  <c r="X24" i="59" s="1"/>
  <c r="I24" i="61"/>
  <c r="Y24" i="61" s="1"/>
  <c r="I11" i="59"/>
  <c r="X11" i="59" s="1"/>
  <c r="I11" i="61"/>
  <c r="Y11" i="61" s="1"/>
  <c r="I27" i="59"/>
  <c r="X27" i="59" s="1"/>
  <c r="I27" i="61"/>
  <c r="Y27" i="61" s="1"/>
  <c r="I45" i="59"/>
  <c r="X45" i="59" s="1"/>
  <c r="I45" i="61"/>
  <c r="Y45" i="61" s="1"/>
  <c r="I58" i="59"/>
  <c r="X58" i="59" s="1"/>
  <c r="I58" i="61"/>
  <c r="Y58" i="61" s="1"/>
  <c r="I56" i="59"/>
  <c r="X56" i="59" s="1"/>
  <c r="I56" i="61"/>
  <c r="Y56" i="61" s="1"/>
  <c r="I14" i="59"/>
  <c r="X14" i="59" s="1"/>
  <c r="I14" i="61"/>
  <c r="Y14" i="61" s="1"/>
  <c r="I15" i="59"/>
  <c r="X15" i="59" s="1"/>
  <c r="I15" i="61"/>
  <c r="Y15" i="61" s="1"/>
  <c r="I42" i="59"/>
  <c r="X42" i="59" s="1"/>
  <c r="I42" i="61"/>
  <c r="Y42" i="61" s="1"/>
  <c r="H8" i="34"/>
  <c r="I6" i="61"/>
  <c r="Y6" i="61" s="1"/>
  <c r="I60" i="59"/>
  <c r="X60" i="59" s="1"/>
  <c r="I60" i="61"/>
  <c r="Y60" i="61" s="1"/>
  <c r="I13" i="59"/>
  <c r="X13" i="59" s="1"/>
  <c r="I13" i="61"/>
  <c r="Y13" i="61" s="1"/>
  <c r="I51" i="59"/>
  <c r="X51" i="59" s="1"/>
  <c r="I51" i="61"/>
  <c r="Y51" i="61" s="1"/>
  <c r="I10" i="59"/>
  <c r="X10" i="59" s="1"/>
  <c r="I10" i="61"/>
  <c r="Y10" i="61" s="1"/>
  <c r="I44" i="59"/>
  <c r="X44" i="59" s="1"/>
  <c r="I44" i="61"/>
  <c r="Y44" i="61" s="1"/>
  <c r="I41" i="59"/>
  <c r="X41" i="59" s="1"/>
  <c r="I41" i="61"/>
  <c r="Y41" i="61" s="1"/>
  <c r="I40" i="59"/>
  <c r="X40" i="59" s="1"/>
  <c r="I40" i="61"/>
  <c r="Y40" i="61" s="1"/>
  <c r="I12" i="59"/>
  <c r="X12" i="59" s="1"/>
  <c r="I12" i="61"/>
  <c r="Y12" i="61" s="1"/>
  <c r="I37" i="59"/>
  <c r="X37" i="59" s="1"/>
  <c r="I37" i="61"/>
  <c r="Y37" i="61" s="1"/>
  <c r="I22" i="59"/>
  <c r="X22" i="59" s="1"/>
  <c r="I22" i="61"/>
  <c r="Y22" i="61" s="1"/>
  <c r="I38" i="59"/>
  <c r="X38" i="59" s="1"/>
  <c r="I38" i="61"/>
  <c r="Y38" i="61" s="1"/>
  <c r="I36" i="59"/>
  <c r="X36" i="59" s="1"/>
  <c r="I36" i="61"/>
  <c r="Y36" i="61" s="1"/>
  <c r="I26" i="59"/>
  <c r="X26" i="59" s="1"/>
  <c r="I26" i="61"/>
  <c r="Y26" i="61" s="1"/>
  <c r="U64" i="33"/>
  <c r="I6" i="59"/>
  <c r="X6" i="59" s="1"/>
  <c r="U7" i="33"/>
  <c r="U58" i="33"/>
  <c r="U14" i="33"/>
  <c r="U47" i="33"/>
  <c r="U57" i="33"/>
  <c r="G80" i="33"/>
  <c r="E80" i="33"/>
  <c r="G63" i="34"/>
  <c r="G59" i="50"/>
  <c r="G56" i="34"/>
  <c r="G46" i="34"/>
  <c r="M9" i="34"/>
  <c r="I7" i="59"/>
  <c r="M10" i="34"/>
  <c r="I8" i="59"/>
  <c r="G28" i="52"/>
  <c r="S28" i="52" s="1"/>
  <c r="I28" i="59"/>
  <c r="X28" i="59" s="1"/>
  <c r="H36" i="52"/>
  <c r="AP36" i="59"/>
  <c r="G25" i="52"/>
  <c r="S25" i="52" s="1"/>
  <c r="I25" i="59"/>
  <c r="X25" i="59" s="1"/>
  <c r="F7" i="43"/>
  <c r="H13" i="52"/>
  <c r="AP13" i="59"/>
  <c r="R56" i="34"/>
  <c r="I43" i="59"/>
  <c r="X43" i="59" s="1"/>
  <c r="H7" i="52"/>
  <c r="AP7" i="59"/>
  <c r="H11" i="52"/>
  <c r="AP11" i="59"/>
  <c r="H9" i="52"/>
  <c r="AP9" i="59"/>
  <c r="H22" i="52"/>
  <c r="AP22" i="59"/>
  <c r="H37" i="52"/>
  <c r="AP37" i="59"/>
  <c r="G23" i="52"/>
  <c r="S23" i="52" s="1"/>
  <c r="I23" i="59"/>
  <c r="X23" i="59" s="1"/>
  <c r="K74" i="34"/>
  <c r="I59" i="59"/>
  <c r="X59" i="59" s="1"/>
  <c r="H8" i="52"/>
  <c r="AP8" i="59"/>
  <c r="K72" i="34"/>
  <c r="I57" i="59"/>
  <c r="X57" i="59" s="1"/>
  <c r="H21" i="52"/>
  <c r="AP21" i="59"/>
  <c r="G21" i="52"/>
  <c r="S21" i="52" s="1"/>
  <c r="I21" i="59"/>
  <c r="X21" i="59" s="1"/>
  <c r="H24" i="52"/>
  <c r="AP24" i="59"/>
  <c r="G57" i="34"/>
  <c r="AQ44" i="61" s="1"/>
  <c r="H6" i="52"/>
  <c r="AP6" i="59"/>
  <c r="H68" i="34"/>
  <c r="I53" i="59"/>
  <c r="X53" i="59" s="1"/>
  <c r="K42" i="34"/>
  <c r="I30" i="59"/>
  <c r="X30" i="59" s="1"/>
  <c r="H12" i="52"/>
  <c r="AP12" i="59"/>
  <c r="H23" i="52"/>
  <c r="AP23" i="59"/>
  <c r="M11" i="34"/>
  <c r="I9" i="59"/>
  <c r="G52" i="52"/>
  <c r="S52" i="52" s="1"/>
  <c r="I52" i="59"/>
  <c r="X52" i="59" s="1"/>
  <c r="H10" i="52"/>
  <c r="AP10" i="59"/>
  <c r="H41" i="52"/>
  <c r="AP41" i="59"/>
  <c r="G55" i="52"/>
  <c r="S55" i="52" s="1"/>
  <c r="I55" i="59"/>
  <c r="X55" i="59" s="1"/>
  <c r="H15" i="52"/>
  <c r="AP15" i="59"/>
  <c r="H14" i="52"/>
  <c r="AP14" i="59"/>
  <c r="H25" i="52"/>
  <c r="AP25" i="59"/>
  <c r="G58" i="50"/>
  <c r="G62" i="34"/>
  <c r="G62" i="45"/>
  <c r="G55" i="34"/>
  <c r="AQ42" i="61" s="1"/>
  <c r="G55" i="45"/>
  <c r="U12" i="33"/>
  <c r="G79" i="43"/>
  <c r="G79" i="33"/>
  <c r="U51" i="33"/>
  <c r="G72" i="49"/>
  <c r="R77" i="34"/>
  <c r="G77" i="49"/>
  <c r="G74" i="49"/>
  <c r="G80" i="49"/>
  <c r="G76" i="49"/>
  <c r="U52" i="33"/>
  <c r="H35" i="34"/>
  <c r="O23" i="61" s="1"/>
  <c r="AD23" i="61" s="1"/>
  <c r="U20" i="33"/>
  <c r="K35" i="34"/>
  <c r="K77" i="34"/>
  <c r="U62" i="33"/>
  <c r="U11" i="33"/>
  <c r="U19" i="33"/>
  <c r="K33" i="34"/>
  <c r="K76" i="34"/>
  <c r="U9" i="33"/>
  <c r="M28" i="34"/>
  <c r="M23" i="34"/>
  <c r="M27" i="34"/>
  <c r="U24" i="33"/>
  <c r="M16" i="34"/>
  <c r="M18" i="34"/>
  <c r="M26" i="34"/>
  <c r="K37" i="34"/>
  <c r="R74" i="34"/>
  <c r="M8" i="34"/>
  <c r="M17" i="34"/>
  <c r="U10" i="33"/>
  <c r="H37" i="34"/>
  <c r="O25" i="61" s="1"/>
  <c r="AD25" i="61" s="1"/>
  <c r="U22" i="33"/>
  <c r="M12" i="34"/>
  <c r="M30" i="34"/>
  <c r="G59" i="52"/>
  <c r="S59" i="52" s="1"/>
  <c r="M14" i="34"/>
  <c r="U23" i="33"/>
  <c r="M25" i="34"/>
  <c r="M22" i="34"/>
  <c r="H74" i="34"/>
  <c r="O59" i="61" s="1"/>
  <c r="AD59" i="61" s="1"/>
  <c r="M19" i="34"/>
  <c r="M24" i="34"/>
  <c r="M31" i="34"/>
  <c r="U21" i="33"/>
  <c r="M15" i="34"/>
  <c r="M13" i="34"/>
  <c r="M29" i="34"/>
  <c r="M21" i="34"/>
  <c r="U25" i="33"/>
  <c r="H11" i="34"/>
  <c r="O9" i="61" s="1"/>
  <c r="AD9" i="61" s="1"/>
  <c r="G68" i="49"/>
  <c r="H33" i="34"/>
  <c r="O21" i="61" s="1"/>
  <c r="AD21" i="61" s="1"/>
  <c r="K79" i="43"/>
  <c r="E79" i="43"/>
  <c r="K79" i="33"/>
  <c r="G78" i="49"/>
  <c r="G71" i="49"/>
  <c r="R70" i="34"/>
  <c r="G69" i="49"/>
  <c r="G79" i="49"/>
  <c r="K10" i="34"/>
  <c r="G73" i="49"/>
  <c r="U28" i="33"/>
  <c r="U13" i="33"/>
  <c r="G70" i="49"/>
  <c r="G75" i="49"/>
  <c r="K80" i="33"/>
  <c r="K80" i="43"/>
  <c r="E80" i="43"/>
  <c r="I65" i="43"/>
  <c r="G57" i="50"/>
  <c r="G61" i="45"/>
  <c r="K9" i="34"/>
  <c r="H20" i="34"/>
  <c r="I20" i="34" s="1"/>
  <c r="V18" i="43" s="1"/>
  <c r="K8" i="34"/>
  <c r="H45" i="34"/>
  <c r="I45" i="34" s="1"/>
  <c r="V46" i="33" s="1"/>
  <c r="R67" i="34"/>
  <c r="G43" i="52"/>
  <c r="S43" i="52" s="1"/>
  <c r="K67" i="34"/>
  <c r="R76" i="34"/>
  <c r="K68" i="34"/>
  <c r="Q53" i="61" s="1"/>
  <c r="AF53" i="61" s="1"/>
  <c r="G57" i="52"/>
  <c r="S57" i="52" s="1"/>
  <c r="H42" i="34"/>
  <c r="O30" i="61" s="1"/>
  <c r="AD30" i="61" s="1"/>
  <c r="G30" i="52"/>
  <c r="S30" i="52" s="1"/>
  <c r="R72" i="34"/>
  <c r="H72" i="34"/>
  <c r="O57" i="61" s="1"/>
  <c r="AD57" i="61" s="1"/>
  <c r="G53" i="52"/>
  <c r="S53" i="52" s="1"/>
  <c r="R68" i="34"/>
  <c r="H67" i="34"/>
  <c r="O52" i="61" s="1"/>
  <c r="AD52" i="61" s="1"/>
  <c r="R44" i="34"/>
  <c r="H44" i="34"/>
  <c r="I44" i="34" s="1"/>
  <c r="V44" i="49" s="1"/>
  <c r="G41" i="50"/>
  <c r="K58" i="34"/>
  <c r="H58" i="34"/>
  <c r="K14" i="34"/>
  <c r="H14" i="34"/>
  <c r="K22" i="34"/>
  <c r="H22" i="34"/>
  <c r="I22" i="34" s="1"/>
  <c r="Q66" i="45"/>
  <c r="R66" i="45" s="1"/>
  <c r="S66" i="45" s="1"/>
  <c r="H66" i="45"/>
  <c r="I66" i="45" s="1"/>
  <c r="K21" i="34"/>
  <c r="H21" i="34"/>
  <c r="I21" i="34" s="1"/>
  <c r="K66" i="34"/>
  <c r="H66" i="34"/>
  <c r="Q70" i="45"/>
  <c r="R70" i="45" s="1"/>
  <c r="S70" i="45" s="1"/>
  <c r="T70" i="45" s="1"/>
  <c r="U70" i="45" s="1"/>
  <c r="V70" i="45" s="1"/>
  <c r="W70" i="45" s="1"/>
  <c r="X70" i="45" s="1"/>
  <c r="Y70" i="45" s="1"/>
  <c r="Z70" i="45" s="1"/>
  <c r="AA70" i="45" s="1"/>
  <c r="AB70" i="45" s="1"/>
  <c r="AC70" i="45" s="1"/>
  <c r="AD70" i="45" s="1"/>
  <c r="AE70" i="45" s="1"/>
  <c r="AF70" i="45" s="1"/>
  <c r="AG70" i="45" s="1"/>
  <c r="AH70" i="45" s="1"/>
  <c r="AI70" i="45" s="1"/>
  <c r="AJ70" i="45" s="1"/>
  <c r="AK70" i="45" s="1"/>
  <c r="AL70" i="45" s="1"/>
  <c r="AM70" i="45" s="1"/>
  <c r="AN70" i="45" s="1"/>
  <c r="AO70" i="45" s="1"/>
  <c r="AP70" i="45" s="1"/>
  <c r="AQ70" i="45" s="1"/>
  <c r="AR70" i="45" s="1"/>
  <c r="AS70" i="45" s="1"/>
  <c r="AT70" i="45" s="1"/>
  <c r="AU70" i="45" s="1"/>
  <c r="AV70" i="45" s="1"/>
  <c r="AW70" i="45" s="1"/>
  <c r="AX70" i="45" s="1"/>
  <c r="AY70" i="45" s="1"/>
  <c r="AZ70" i="45" s="1"/>
  <c r="BA70" i="45" s="1"/>
  <c r="BB70" i="45" s="1"/>
  <c r="BC70" i="45" s="1"/>
  <c r="BD70" i="45" s="1"/>
  <c r="H70" i="45"/>
  <c r="I70" i="45" s="1"/>
  <c r="Q77" i="45"/>
  <c r="R77" i="45" s="1"/>
  <c r="S77" i="45" s="1"/>
  <c r="T77" i="45" s="1"/>
  <c r="U77" i="45" s="1"/>
  <c r="V77" i="45" s="1"/>
  <c r="W77" i="45" s="1"/>
  <c r="X77" i="45" s="1"/>
  <c r="Y77" i="45" s="1"/>
  <c r="Z77" i="45" s="1"/>
  <c r="AA77" i="45" s="1"/>
  <c r="AB77" i="45" s="1"/>
  <c r="AC77" i="45" s="1"/>
  <c r="AD77" i="45" s="1"/>
  <c r="AE77" i="45" s="1"/>
  <c r="AF77" i="45" s="1"/>
  <c r="AG77" i="45" s="1"/>
  <c r="AH77" i="45" s="1"/>
  <c r="AI77" i="45" s="1"/>
  <c r="AJ77" i="45" s="1"/>
  <c r="AK77" i="45" s="1"/>
  <c r="AL77" i="45" s="1"/>
  <c r="AM77" i="45" s="1"/>
  <c r="AN77" i="45" s="1"/>
  <c r="AO77" i="45" s="1"/>
  <c r="AP77" i="45" s="1"/>
  <c r="AQ77" i="45" s="1"/>
  <c r="AR77" i="45" s="1"/>
  <c r="AS77" i="45" s="1"/>
  <c r="AT77" i="45" s="1"/>
  <c r="AU77" i="45" s="1"/>
  <c r="AV77" i="45" s="1"/>
  <c r="AW77" i="45" s="1"/>
  <c r="AX77" i="45" s="1"/>
  <c r="AY77" i="45" s="1"/>
  <c r="AZ77" i="45" s="1"/>
  <c r="BA77" i="45" s="1"/>
  <c r="BB77" i="45" s="1"/>
  <c r="BC77" i="45" s="1"/>
  <c r="BD77" i="45" s="1"/>
  <c r="H77" i="45"/>
  <c r="I77" i="45" s="1"/>
  <c r="K31" i="34"/>
  <c r="H31" i="34"/>
  <c r="I31" i="34" s="1"/>
  <c r="Q43" i="45"/>
  <c r="R43" i="45" s="1"/>
  <c r="S43" i="45" s="1"/>
  <c r="T43" i="45" s="1"/>
  <c r="U43" i="45" s="1"/>
  <c r="V43" i="45" s="1"/>
  <c r="W43" i="45" s="1"/>
  <c r="X43" i="45" s="1"/>
  <c r="Y43" i="45" s="1"/>
  <c r="Z43" i="45" s="1"/>
  <c r="AA43" i="45" s="1"/>
  <c r="AB43" i="45" s="1"/>
  <c r="AC43" i="45" s="1"/>
  <c r="AD43" i="45" s="1"/>
  <c r="AE43" i="45" s="1"/>
  <c r="AF43" i="45" s="1"/>
  <c r="AG43" i="45" s="1"/>
  <c r="AH43" i="45" s="1"/>
  <c r="AI43" i="45" s="1"/>
  <c r="AJ43" i="45" s="1"/>
  <c r="AK43" i="45" s="1"/>
  <c r="AL43" i="45" s="1"/>
  <c r="AM43" i="45" s="1"/>
  <c r="AN43" i="45" s="1"/>
  <c r="AO43" i="45" s="1"/>
  <c r="AP43" i="45" s="1"/>
  <c r="AQ43" i="45" s="1"/>
  <c r="AR43" i="45" s="1"/>
  <c r="AS43" i="45" s="1"/>
  <c r="AT43" i="45" s="1"/>
  <c r="AU43" i="45" s="1"/>
  <c r="AV43" i="45" s="1"/>
  <c r="AW43" i="45" s="1"/>
  <c r="AX43" i="45" s="1"/>
  <c r="AY43" i="45" s="1"/>
  <c r="AZ43" i="45" s="1"/>
  <c r="BA43" i="45" s="1"/>
  <c r="BB43" i="45" s="1"/>
  <c r="BC43" i="45" s="1"/>
  <c r="BD43" i="45" s="1"/>
  <c r="H43" i="45"/>
  <c r="I43" i="45" s="1"/>
  <c r="Q38" i="45"/>
  <c r="R38" i="45" s="1"/>
  <c r="S38" i="45" s="1"/>
  <c r="T38" i="45" s="1"/>
  <c r="U38" i="45" s="1"/>
  <c r="V38" i="45" s="1"/>
  <c r="W38" i="45" s="1"/>
  <c r="X38" i="45" s="1"/>
  <c r="Y38" i="45" s="1"/>
  <c r="Z38" i="45" s="1"/>
  <c r="AA38" i="45" s="1"/>
  <c r="AB38" i="45" s="1"/>
  <c r="AC38" i="45" s="1"/>
  <c r="AD38" i="45" s="1"/>
  <c r="AE38" i="45" s="1"/>
  <c r="AF38" i="45" s="1"/>
  <c r="AG38" i="45" s="1"/>
  <c r="AH38" i="45" s="1"/>
  <c r="AI38" i="45" s="1"/>
  <c r="AJ38" i="45" s="1"/>
  <c r="AK38" i="45" s="1"/>
  <c r="AL38" i="45" s="1"/>
  <c r="AM38" i="45" s="1"/>
  <c r="AN38" i="45" s="1"/>
  <c r="AO38" i="45" s="1"/>
  <c r="AP38" i="45" s="1"/>
  <c r="AQ38" i="45" s="1"/>
  <c r="AR38" i="45" s="1"/>
  <c r="AS38" i="45" s="1"/>
  <c r="AT38" i="45" s="1"/>
  <c r="AU38" i="45" s="1"/>
  <c r="AV38" i="45" s="1"/>
  <c r="AW38" i="45" s="1"/>
  <c r="AX38" i="45" s="1"/>
  <c r="AY38" i="45" s="1"/>
  <c r="AZ38" i="45" s="1"/>
  <c r="BA38" i="45" s="1"/>
  <c r="BB38" i="45" s="1"/>
  <c r="BC38" i="45" s="1"/>
  <c r="BD38" i="45" s="1"/>
  <c r="H38" i="45"/>
  <c r="I38" i="45" s="1"/>
  <c r="K71" i="34"/>
  <c r="H71" i="34"/>
  <c r="Q69" i="45"/>
  <c r="R69" i="45" s="1"/>
  <c r="S69" i="45" s="1"/>
  <c r="T69" i="45" s="1"/>
  <c r="U69" i="45" s="1"/>
  <c r="V69" i="45" s="1"/>
  <c r="W69" i="45" s="1"/>
  <c r="X69" i="45" s="1"/>
  <c r="Y69" i="45" s="1"/>
  <c r="Z69" i="45" s="1"/>
  <c r="AA69" i="45" s="1"/>
  <c r="AB69" i="45" s="1"/>
  <c r="AC69" i="45" s="1"/>
  <c r="AD69" i="45" s="1"/>
  <c r="AE69" i="45" s="1"/>
  <c r="AF69" i="45" s="1"/>
  <c r="AG69" i="45" s="1"/>
  <c r="AH69" i="45" s="1"/>
  <c r="AI69" i="45" s="1"/>
  <c r="AJ69" i="45" s="1"/>
  <c r="AK69" i="45" s="1"/>
  <c r="AL69" i="45" s="1"/>
  <c r="AM69" i="45" s="1"/>
  <c r="AN69" i="45" s="1"/>
  <c r="AO69" i="45" s="1"/>
  <c r="AP69" i="45" s="1"/>
  <c r="AQ69" i="45" s="1"/>
  <c r="AR69" i="45" s="1"/>
  <c r="AS69" i="45" s="1"/>
  <c r="AT69" i="45" s="1"/>
  <c r="AU69" i="45" s="1"/>
  <c r="AV69" i="45" s="1"/>
  <c r="AW69" i="45" s="1"/>
  <c r="AX69" i="45" s="1"/>
  <c r="AY69" i="45" s="1"/>
  <c r="AZ69" i="45" s="1"/>
  <c r="BA69" i="45" s="1"/>
  <c r="BB69" i="45" s="1"/>
  <c r="BC69" i="45" s="1"/>
  <c r="BD69" i="45" s="1"/>
  <c r="H69" i="45"/>
  <c r="I69" i="45" s="1"/>
  <c r="K30" i="34"/>
  <c r="H30" i="34"/>
  <c r="I30" i="34" s="1"/>
  <c r="K29" i="34"/>
  <c r="H29" i="34"/>
  <c r="I29" i="34" s="1"/>
  <c r="K49" i="34"/>
  <c r="H49" i="34"/>
  <c r="K38" i="34"/>
  <c r="H38" i="34"/>
  <c r="K56" i="34"/>
  <c r="H56" i="34"/>
  <c r="Q34" i="45"/>
  <c r="R34" i="45" s="1"/>
  <c r="S34" i="45" s="1"/>
  <c r="T34" i="45" s="1"/>
  <c r="U34" i="45" s="1"/>
  <c r="V34" i="45" s="1"/>
  <c r="W34" i="45" s="1"/>
  <c r="X34" i="45" s="1"/>
  <c r="Y34" i="45" s="1"/>
  <c r="Z34" i="45" s="1"/>
  <c r="AA34" i="45" s="1"/>
  <c r="AB34" i="45" s="1"/>
  <c r="AC34" i="45" s="1"/>
  <c r="AD34" i="45" s="1"/>
  <c r="AE34" i="45" s="1"/>
  <c r="AF34" i="45" s="1"/>
  <c r="AG34" i="45" s="1"/>
  <c r="AH34" i="45" s="1"/>
  <c r="AI34" i="45" s="1"/>
  <c r="AJ34" i="45" s="1"/>
  <c r="AK34" i="45" s="1"/>
  <c r="AL34" i="45" s="1"/>
  <c r="AM34" i="45" s="1"/>
  <c r="AN34" i="45" s="1"/>
  <c r="AO34" i="45" s="1"/>
  <c r="AP34" i="45" s="1"/>
  <c r="AQ34" i="45" s="1"/>
  <c r="AR34" i="45" s="1"/>
  <c r="AS34" i="45" s="1"/>
  <c r="AT34" i="45" s="1"/>
  <c r="AU34" i="45" s="1"/>
  <c r="AV34" i="45" s="1"/>
  <c r="AW34" i="45" s="1"/>
  <c r="AX34" i="45" s="1"/>
  <c r="AY34" i="45" s="1"/>
  <c r="AZ34" i="45" s="1"/>
  <c r="BA34" i="45" s="1"/>
  <c r="BB34" i="45" s="1"/>
  <c r="BC34" i="45" s="1"/>
  <c r="BD34" i="45" s="1"/>
  <c r="H34" i="45"/>
  <c r="I34" i="45" s="1"/>
  <c r="K62" i="34"/>
  <c r="H62" i="34"/>
  <c r="I62" i="34" s="1"/>
  <c r="Q37" i="45"/>
  <c r="R37" i="45" s="1"/>
  <c r="S37" i="45" s="1"/>
  <c r="T37" i="45" s="1"/>
  <c r="U37" i="45" s="1"/>
  <c r="V37" i="45" s="1"/>
  <c r="W37" i="45" s="1"/>
  <c r="X37" i="45" s="1"/>
  <c r="Y37" i="45" s="1"/>
  <c r="Z37" i="45" s="1"/>
  <c r="AA37" i="45" s="1"/>
  <c r="AB37" i="45" s="1"/>
  <c r="AC37" i="45" s="1"/>
  <c r="AD37" i="45" s="1"/>
  <c r="AE37" i="45" s="1"/>
  <c r="AF37" i="45" s="1"/>
  <c r="AG37" i="45" s="1"/>
  <c r="AH37" i="45" s="1"/>
  <c r="AI37" i="45" s="1"/>
  <c r="AJ37" i="45" s="1"/>
  <c r="AK37" i="45" s="1"/>
  <c r="AL37" i="45" s="1"/>
  <c r="AM37" i="45" s="1"/>
  <c r="AN37" i="45" s="1"/>
  <c r="AO37" i="45" s="1"/>
  <c r="AP37" i="45" s="1"/>
  <c r="AQ37" i="45" s="1"/>
  <c r="AR37" i="45" s="1"/>
  <c r="AS37" i="45" s="1"/>
  <c r="AT37" i="45" s="1"/>
  <c r="AU37" i="45" s="1"/>
  <c r="AV37" i="45" s="1"/>
  <c r="AW37" i="45" s="1"/>
  <c r="AX37" i="45" s="1"/>
  <c r="AY37" i="45" s="1"/>
  <c r="AZ37" i="45" s="1"/>
  <c r="BA37" i="45" s="1"/>
  <c r="BB37" i="45" s="1"/>
  <c r="BC37" i="45" s="1"/>
  <c r="BD37" i="45" s="1"/>
  <c r="H37" i="45"/>
  <c r="I37" i="45" s="1"/>
  <c r="K51" i="34"/>
  <c r="H51" i="34"/>
  <c r="K19" i="34"/>
  <c r="H19" i="34"/>
  <c r="I19" i="34" s="1"/>
  <c r="K75" i="34"/>
  <c r="H75" i="34"/>
  <c r="Q39" i="45"/>
  <c r="R39" i="45" s="1"/>
  <c r="S39" i="45" s="1"/>
  <c r="T39" i="45" s="1"/>
  <c r="U39" i="45" s="1"/>
  <c r="V39" i="45" s="1"/>
  <c r="W39" i="45" s="1"/>
  <c r="X39" i="45" s="1"/>
  <c r="Y39" i="45" s="1"/>
  <c r="Z39" i="45" s="1"/>
  <c r="AA39" i="45" s="1"/>
  <c r="AB39" i="45" s="1"/>
  <c r="AC39" i="45" s="1"/>
  <c r="AD39" i="45" s="1"/>
  <c r="AE39" i="45" s="1"/>
  <c r="AF39" i="45" s="1"/>
  <c r="AG39" i="45" s="1"/>
  <c r="AH39" i="45" s="1"/>
  <c r="AI39" i="45" s="1"/>
  <c r="AJ39" i="45" s="1"/>
  <c r="AK39" i="45" s="1"/>
  <c r="AL39" i="45" s="1"/>
  <c r="AM39" i="45" s="1"/>
  <c r="AN39" i="45" s="1"/>
  <c r="AO39" i="45" s="1"/>
  <c r="AP39" i="45" s="1"/>
  <c r="AQ39" i="45" s="1"/>
  <c r="AR39" i="45" s="1"/>
  <c r="AS39" i="45" s="1"/>
  <c r="AT39" i="45" s="1"/>
  <c r="AU39" i="45" s="1"/>
  <c r="AV39" i="45" s="1"/>
  <c r="AW39" i="45" s="1"/>
  <c r="AX39" i="45" s="1"/>
  <c r="AY39" i="45" s="1"/>
  <c r="AZ39" i="45" s="1"/>
  <c r="BA39" i="45" s="1"/>
  <c r="BB39" i="45" s="1"/>
  <c r="BC39" i="45" s="1"/>
  <c r="BD39" i="45" s="1"/>
  <c r="H39" i="45"/>
  <c r="I39" i="45" s="1"/>
  <c r="Q40" i="45"/>
  <c r="R40" i="45" s="1"/>
  <c r="S40" i="45" s="1"/>
  <c r="T40" i="45" s="1"/>
  <c r="U40" i="45" s="1"/>
  <c r="V40" i="45" s="1"/>
  <c r="W40" i="45" s="1"/>
  <c r="X40" i="45" s="1"/>
  <c r="Y40" i="45" s="1"/>
  <c r="Z40" i="45" s="1"/>
  <c r="AA40" i="45" s="1"/>
  <c r="AB40" i="45" s="1"/>
  <c r="AC40" i="45" s="1"/>
  <c r="AD40" i="45" s="1"/>
  <c r="AE40" i="45" s="1"/>
  <c r="AF40" i="45" s="1"/>
  <c r="AG40" i="45" s="1"/>
  <c r="AH40" i="45" s="1"/>
  <c r="AI40" i="45" s="1"/>
  <c r="AJ40" i="45" s="1"/>
  <c r="AK40" i="45" s="1"/>
  <c r="AL40" i="45" s="1"/>
  <c r="AM40" i="45" s="1"/>
  <c r="AN40" i="45" s="1"/>
  <c r="AO40" i="45" s="1"/>
  <c r="AP40" i="45" s="1"/>
  <c r="AQ40" i="45" s="1"/>
  <c r="AR40" i="45" s="1"/>
  <c r="AS40" i="45" s="1"/>
  <c r="AT40" i="45" s="1"/>
  <c r="AU40" i="45" s="1"/>
  <c r="AV40" i="45" s="1"/>
  <c r="AW40" i="45" s="1"/>
  <c r="AX40" i="45" s="1"/>
  <c r="AY40" i="45" s="1"/>
  <c r="AZ40" i="45" s="1"/>
  <c r="BA40" i="45" s="1"/>
  <c r="BB40" i="45" s="1"/>
  <c r="BC40" i="45" s="1"/>
  <c r="BD40" i="45" s="1"/>
  <c r="H40" i="45"/>
  <c r="I40" i="45" s="1"/>
  <c r="K40" i="34"/>
  <c r="H40" i="34"/>
  <c r="Q33" i="45"/>
  <c r="R33" i="45" s="1"/>
  <c r="S33" i="45" s="1"/>
  <c r="T33" i="45" s="1"/>
  <c r="U33" i="45" s="1"/>
  <c r="V33" i="45" s="1"/>
  <c r="W33" i="45" s="1"/>
  <c r="X33" i="45" s="1"/>
  <c r="Y33" i="45" s="1"/>
  <c r="Z33" i="45" s="1"/>
  <c r="AA33" i="45" s="1"/>
  <c r="AB33" i="45" s="1"/>
  <c r="AC33" i="45" s="1"/>
  <c r="AD33" i="45" s="1"/>
  <c r="AE33" i="45" s="1"/>
  <c r="AF33" i="45" s="1"/>
  <c r="AG33" i="45" s="1"/>
  <c r="AH33" i="45" s="1"/>
  <c r="AI33" i="45" s="1"/>
  <c r="AJ33" i="45" s="1"/>
  <c r="AK33" i="45" s="1"/>
  <c r="AL33" i="45" s="1"/>
  <c r="AM33" i="45" s="1"/>
  <c r="AN33" i="45" s="1"/>
  <c r="AO33" i="45" s="1"/>
  <c r="AP33" i="45" s="1"/>
  <c r="AQ33" i="45" s="1"/>
  <c r="AR33" i="45" s="1"/>
  <c r="AS33" i="45" s="1"/>
  <c r="AT33" i="45" s="1"/>
  <c r="AU33" i="45" s="1"/>
  <c r="AV33" i="45" s="1"/>
  <c r="AW33" i="45" s="1"/>
  <c r="AX33" i="45" s="1"/>
  <c r="AY33" i="45" s="1"/>
  <c r="AZ33" i="45" s="1"/>
  <c r="BA33" i="45" s="1"/>
  <c r="BB33" i="45" s="1"/>
  <c r="BC33" i="45" s="1"/>
  <c r="BD33" i="45" s="1"/>
  <c r="H33" i="45"/>
  <c r="I33" i="45" s="1"/>
  <c r="K61" i="34"/>
  <c r="H61" i="34"/>
  <c r="I61" i="34" s="1"/>
  <c r="K50" i="34"/>
  <c r="H50" i="34"/>
  <c r="Q71" i="45"/>
  <c r="R71" i="45" s="1"/>
  <c r="S71" i="45" s="1"/>
  <c r="T71" i="45" s="1"/>
  <c r="U71" i="45" s="1"/>
  <c r="V71" i="45" s="1"/>
  <c r="W71" i="45" s="1"/>
  <c r="X71" i="45" s="1"/>
  <c r="Y71" i="45" s="1"/>
  <c r="Z71" i="45" s="1"/>
  <c r="AA71" i="45" s="1"/>
  <c r="AB71" i="45" s="1"/>
  <c r="AC71" i="45" s="1"/>
  <c r="AD71" i="45" s="1"/>
  <c r="AE71" i="45" s="1"/>
  <c r="AF71" i="45" s="1"/>
  <c r="AG71" i="45" s="1"/>
  <c r="AH71" i="45" s="1"/>
  <c r="AI71" i="45" s="1"/>
  <c r="AJ71" i="45" s="1"/>
  <c r="AK71" i="45" s="1"/>
  <c r="AL71" i="45" s="1"/>
  <c r="AM71" i="45" s="1"/>
  <c r="AN71" i="45" s="1"/>
  <c r="AO71" i="45" s="1"/>
  <c r="AP71" i="45" s="1"/>
  <c r="AQ71" i="45" s="1"/>
  <c r="AR71" i="45" s="1"/>
  <c r="AS71" i="45" s="1"/>
  <c r="AT71" i="45" s="1"/>
  <c r="AU71" i="45" s="1"/>
  <c r="AV71" i="45" s="1"/>
  <c r="AW71" i="45" s="1"/>
  <c r="AX71" i="45" s="1"/>
  <c r="AY71" i="45" s="1"/>
  <c r="AZ71" i="45" s="1"/>
  <c r="BA71" i="45" s="1"/>
  <c r="BB71" i="45" s="1"/>
  <c r="BC71" i="45" s="1"/>
  <c r="BD71" i="45" s="1"/>
  <c r="H71" i="45"/>
  <c r="I71" i="45" s="1"/>
  <c r="K60" i="34"/>
  <c r="H60" i="34"/>
  <c r="I60" i="34" s="1"/>
  <c r="K24" i="34"/>
  <c r="H24" i="34"/>
  <c r="I24" i="34" s="1"/>
  <c r="K34" i="34"/>
  <c r="H34" i="34"/>
  <c r="K52" i="34"/>
  <c r="H52" i="34"/>
  <c r="K27" i="34"/>
  <c r="H27" i="34"/>
  <c r="I27" i="34" s="1"/>
  <c r="K53" i="34"/>
  <c r="H53" i="34"/>
  <c r="Q76" i="45"/>
  <c r="R76" i="45" s="1"/>
  <c r="S76" i="45" s="1"/>
  <c r="T76" i="45" s="1"/>
  <c r="U76" i="45" s="1"/>
  <c r="V76" i="45" s="1"/>
  <c r="W76" i="45" s="1"/>
  <c r="X76" i="45" s="1"/>
  <c r="Y76" i="45" s="1"/>
  <c r="Z76" i="45" s="1"/>
  <c r="AA76" i="45" s="1"/>
  <c r="AB76" i="45" s="1"/>
  <c r="AC76" i="45" s="1"/>
  <c r="AD76" i="45" s="1"/>
  <c r="AE76" i="45" s="1"/>
  <c r="AF76" i="45" s="1"/>
  <c r="AG76" i="45" s="1"/>
  <c r="AH76" i="45" s="1"/>
  <c r="AI76" i="45" s="1"/>
  <c r="AJ76" i="45" s="1"/>
  <c r="AK76" i="45" s="1"/>
  <c r="AL76" i="45" s="1"/>
  <c r="AM76" i="45" s="1"/>
  <c r="AN76" i="45" s="1"/>
  <c r="AO76" i="45" s="1"/>
  <c r="AP76" i="45" s="1"/>
  <c r="AQ76" i="45" s="1"/>
  <c r="AR76" i="45" s="1"/>
  <c r="AS76" i="45" s="1"/>
  <c r="AT76" i="45" s="1"/>
  <c r="AU76" i="45" s="1"/>
  <c r="AV76" i="45" s="1"/>
  <c r="AW76" i="45" s="1"/>
  <c r="AX76" i="45" s="1"/>
  <c r="AY76" i="45" s="1"/>
  <c r="AZ76" i="45" s="1"/>
  <c r="BA76" i="45" s="1"/>
  <c r="BB76" i="45" s="1"/>
  <c r="BC76" i="45" s="1"/>
  <c r="BD76" i="45" s="1"/>
  <c r="H76" i="45"/>
  <c r="I76" i="45" s="1"/>
  <c r="Q36" i="45"/>
  <c r="R36" i="45" s="1"/>
  <c r="S36" i="45" s="1"/>
  <c r="T36" i="45" s="1"/>
  <c r="U36" i="45" s="1"/>
  <c r="V36" i="45" s="1"/>
  <c r="W36" i="45" s="1"/>
  <c r="X36" i="45" s="1"/>
  <c r="Y36" i="45" s="1"/>
  <c r="Z36" i="45" s="1"/>
  <c r="AA36" i="45" s="1"/>
  <c r="AB36" i="45" s="1"/>
  <c r="AC36" i="45" s="1"/>
  <c r="AD36" i="45" s="1"/>
  <c r="AE36" i="45" s="1"/>
  <c r="AF36" i="45" s="1"/>
  <c r="AG36" i="45" s="1"/>
  <c r="AH36" i="45" s="1"/>
  <c r="AI36" i="45" s="1"/>
  <c r="AJ36" i="45" s="1"/>
  <c r="AK36" i="45" s="1"/>
  <c r="AL36" i="45" s="1"/>
  <c r="AM36" i="45" s="1"/>
  <c r="AN36" i="45" s="1"/>
  <c r="AO36" i="45" s="1"/>
  <c r="AP36" i="45" s="1"/>
  <c r="AQ36" i="45" s="1"/>
  <c r="AR36" i="45" s="1"/>
  <c r="AS36" i="45" s="1"/>
  <c r="AT36" i="45" s="1"/>
  <c r="AU36" i="45" s="1"/>
  <c r="AV36" i="45" s="1"/>
  <c r="AW36" i="45" s="1"/>
  <c r="AX36" i="45" s="1"/>
  <c r="AY36" i="45" s="1"/>
  <c r="AZ36" i="45" s="1"/>
  <c r="BA36" i="45" s="1"/>
  <c r="BB36" i="45" s="1"/>
  <c r="BC36" i="45" s="1"/>
  <c r="BD36" i="45" s="1"/>
  <c r="H36" i="45"/>
  <c r="I36" i="45" s="1"/>
  <c r="K17" i="34"/>
  <c r="H17" i="34"/>
  <c r="Q44" i="45"/>
  <c r="R44" i="45" s="1"/>
  <c r="S44" i="45" s="1"/>
  <c r="T44" i="45" s="1"/>
  <c r="U44" i="45" s="1"/>
  <c r="V44" i="45" s="1"/>
  <c r="W44" i="45" s="1"/>
  <c r="X44" i="45" s="1"/>
  <c r="Y44" i="45" s="1"/>
  <c r="Z44" i="45" s="1"/>
  <c r="AA44" i="45" s="1"/>
  <c r="AB44" i="45" s="1"/>
  <c r="AC44" i="45" s="1"/>
  <c r="AD44" i="45" s="1"/>
  <c r="AE44" i="45" s="1"/>
  <c r="AF44" i="45" s="1"/>
  <c r="AG44" i="45" s="1"/>
  <c r="AH44" i="45" s="1"/>
  <c r="AI44" i="45" s="1"/>
  <c r="AJ44" i="45" s="1"/>
  <c r="AK44" i="45" s="1"/>
  <c r="AL44" i="45" s="1"/>
  <c r="AM44" i="45" s="1"/>
  <c r="AN44" i="45" s="1"/>
  <c r="AO44" i="45" s="1"/>
  <c r="AP44" i="45" s="1"/>
  <c r="AQ44" i="45" s="1"/>
  <c r="AR44" i="45" s="1"/>
  <c r="AS44" i="45" s="1"/>
  <c r="AT44" i="45" s="1"/>
  <c r="AU44" i="45" s="1"/>
  <c r="AV44" i="45" s="1"/>
  <c r="AW44" i="45" s="1"/>
  <c r="AX44" i="45" s="1"/>
  <c r="AY44" i="45" s="1"/>
  <c r="AZ44" i="45" s="1"/>
  <c r="BA44" i="45" s="1"/>
  <c r="BB44" i="45" s="1"/>
  <c r="BC44" i="45" s="1"/>
  <c r="BD44" i="45" s="1"/>
  <c r="H44" i="45"/>
  <c r="I44" i="45" s="1"/>
  <c r="Q68" i="45"/>
  <c r="R68" i="45" s="1"/>
  <c r="S68" i="45" s="1"/>
  <c r="T68" i="45" s="1"/>
  <c r="U68" i="45" s="1"/>
  <c r="V68" i="45" s="1"/>
  <c r="W68" i="45" s="1"/>
  <c r="X68" i="45" s="1"/>
  <c r="Y68" i="45" s="1"/>
  <c r="Z68" i="45" s="1"/>
  <c r="AA68" i="45" s="1"/>
  <c r="AB68" i="45" s="1"/>
  <c r="AC68" i="45" s="1"/>
  <c r="AD68" i="45" s="1"/>
  <c r="AE68" i="45" s="1"/>
  <c r="AF68" i="45" s="1"/>
  <c r="AG68" i="45" s="1"/>
  <c r="AH68" i="45" s="1"/>
  <c r="AI68" i="45" s="1"/>
  <c r="AJ68" i="45" s="1"/>
  <c r="AK68" i="45" s="1"/>
  <c r="AL68" i="45" s="1"/>
  <c r="AM68" i="45" s="1"/>
  <c r="AN68" i="45" s="1"/>
  <c r="AO68" i="45" s="1"/>
  <c r="AP68" i="45" s="1"/>
  <c r="AQ68" i="45" s="1"/>
  <c r="AR68" i="45" s="1"/>
  <c r="AS68" i="45" s="1"/>
  <c r="AT68" i="45" s="1"/>
  <c r="AU68" i="45" s="1"/>
  <c r="AV68" i="45" s="1"/>
  <c r="AW68" i="45" s="1"/>
  <c r="AX68" i="45" s="1"/>
  <c r="AY68" i="45" s="1"/>
  <c r="AZ68" i="45" s="1"/>
  <c r="BA68" i="45" s="1"/>
  <c r="BB68" i="45" s="1"/>
  <c r="BC68" i="45" s="1"/>
  <c r="BD68" i="45" s="1"/>
  <c r="H68" i="45"/>
  <c r="I68" i="45" s="1"/>
  <c r="K23" i="34"/>
  <c r="H23" i="34"/>
  <c r="I23" i="34" s="1"/>
  <c r="Q46" i="45"/>
  <c r="R46" i="45" s="1"/>
  <c r="S46" i="45" s="1"/>
  <c r="T46" i="45" s="1"/>
  <c r="U46" i="45" s="1"/>
  <c r="V46" i="45" s="1"/>
  <c r="W46" i="45" s="1"/>
  <c r="X46" i="45" s="1"/>
  <c r="Y46" i="45" s="1"/>
  <c r="Z46" i="45" s="1"/>
  <c r="AA46" i="45" s="1"/>
  <c r="AB46" i="45" s="1"/>
  <c r="AC46" i="45" s="1"/>
  <c r="AD46" i="45" s="1"/>
  <c r="AE46" i="45" s="1"/>
  <c r="AF46" i="45" s="1"/>
  <c r="AG46" i="45" s="1"/>
  <c r="AH46" i="45" s="1"/>
  <c r="AI46" i="45" s="1"/>
  <c r="AJ46" i="45" s="1"/>
  <c r="AK46" i="45" s="1"/>
  <c r="AL46" i="45" s="1"/>
  <c r="AM46" i="45" s="1"/>
  <c r="AN46" i="45" s="1"/>
  <c r="AO46" i="45" s="1"/>
  <c r="AP46" i="45" s="1"/>
  <c r="AQ46" i="45" s="1"/>
  <c r="AR46" i="45" s="1"/>
  <c r="AS46" i="45" s="1"/>
  <c r="AT46" i="45" s="1"/>
  <c r="AU46" i="45" s="1"/>
  <c r="AV46" i="45" s="1"/>
  <c r="AW46" i="45" s="1"/>
  <c r="AX46" i="45" s="1"/>
  <c r="AY46" i="45" s="1"/>
  <c r="AZ46" i="45" s="1"/>
  <c r="BA46" i="45" s="1"/>
  <c r="BB46" i="45" s="1"/>
  <c r="BC46" i="45" s="1"/>
  <c r="BD46" i="45" s="1"/>
  <c r="H46" i="45"/>
  <c r="I46" i="45" s="1"/>
  <c r="K55" i="34"/>
  <c r="H55" i="34"/>
  <c r="K43" i="34"/>
  <c r="H43" i="34"/>
  <c r="I43" i="34" s="1"/>
  <c r="K13" i="34"/>
  <c r="H13" i="34"/>
  <c r="K28" i="34"/>
  <c r="H28" i="34"/>
  <c r="I28" i="34" s="1"/>
  <c r="Q79" i="45"/>
  <c r="R79" i="45" s="1"/>
  <c r="S79" i="45" s="1"/>
  <c r="T79" i="45" s="1"/>
  <c r="U79" i="45" s="1"/>
  <c r="V79" i="45" s="1"/>
  <c r="W79" i="45" s="1"/>
  <c r="X79" i="45" s="1"/>
  <c r="Y79" i="45" s="1"/>
  <c r="Z79" i="45" s="1"/>
  <c r="AA79" i="45" s="1"/>
  <c r="AB79" i="45" s="1"/>
  <c r="AC79" i="45" s="1"/>
  <c r="AD79" i="45" s="1"/>
  <c r="AE79" i="45" s="1"/>
  <c r="AF79" i="45" s="1"/>
  <c r="AG79" i="45" s="1"/>
  <c r="AH79" i="45" s="1"/>
  <c r="AI79" i="45" s="1"/>
  <c r="AJ79" i="45" s="1"/>
  <c r="AK79" i="45" s="1"/>
  <c r="AL79" i="45" s="1"/>
  <c r="AM79" i="45" s="1"/>
  <c r="AN79" i="45" s="1"/>
  <c r="AO79" i="45" s="1"/>
  <c r="AP79" i="45" s="1"/>
  <c r="AQ79" i="45" s="1"/>
  <c r="AR79" i="45" s="1"/>
  <c r="AS79" i="45" s="1"/>
  <c r="AT79" i="45" s="1"/>
  <c r="AU79" i="45" s="1"/>
  <c r="AV79" i="45" s="1"/>
  <c r="AW79" i="45" s="1"/>
  <c r="AX79" i="45" s="1"/>
  <c r="AY79" i="45" s="1"/>
  <c r="AZ79" i="45" s="1"/>
  <c r="BA79" i="45" s="1"/>
  <c r="BB79" i="45" s="1"/>
  <c r="BC79" i="45" s="1"/>
  <c r="BD79" i="45" s="1"/>
  <c r="H79" i="45"/>
  <c r="I79" i="45" s="1"/>
  <c r="K26" i="34"/>
  <c r="H26" i="34"/>
  <c r="I26" i="34" s="1"/>
  <c r="K63" i="34"/>
  <c r="H63" i="34"/>
  <c r="I63" i="34" s="1"/>
  <c r="Q35" i="45"/>
  <c r="R35" i="45" s="1"/>
  <c r="S35" i="45" s="1"/>
  <c r="T35" i="45" s="1"/>
  <c r="U35" i="45" s="1"/>
  <c r="V35" i="45" s="1"/>
  <c r="W35" i="45" s="1"/>
  <c r="X35" i="45" s="1"/>
  <c r="Y35" i="45" s="1"/>
  <c r="Z35" i="45" s="1"/>
  <c r="AA35" i="45" s="1"/>
  <c r="AB35" i="45" s="1"/>
  <c r="AC35" i="45" s="1"/>
  <c r="AD35" i="45" s="1"/>
  <c r="AE35" i="45" s="1"/>
  <c r="AF35" i="45" s="1"/>
  <c r="AG35" i="45" s="1"/>
  <c r="AH35" i="45" s="1"/>
  <c r="AI35" i="45" s="1"/>
  <c r="AJ35" i="45" s="1"/>
  <c r="AK35" i="45" s="1"/>
  <c r="AL35" i="45" s="1"/>
  <c r="AM35" i="45" s="1"/>
  <c r="AN35" i="45" s="1"/>
  <c r="AO35" i="45" s="1"/>
  <c r="AP35" i="45" s="1"/>
  <c r="AQ35" i="45" s="1"/>
  <c r="AR35" i="45" s="1"/>
  <c r="AS35" i="45" s="1"/>
  <c r="AT35" i="45" s="1"/>
  <c r="AU35" i="45" s="1"/>
  <c r="AV35" i="45" s="1"/>
  <c r="AW35" i="45" s="1"/>
  <c r="AX35" i="45" s="1"/>
  <c r="AY35" i="45" s="1"/>
  <c r="AZ35" i="45" s="1"/>
  <c r="BA35" i="45" s="1"/>
  <c r="BB35" i="45" s="1"/>
  <c r="BC35" i="45" s="1"/>
  <c r="BD35" i="45" s="1"/>
  <c r="H35" i="45"/>
  <c r="I35" i="45" s="1"/>
  <c r="K78" i="34"/>
  <c r="H78" i="34"/>
  <c r="I78" i="34" s="1"/>
  <c r="K73" i="34"/>
  <c r="H73" i="34"/>
  <c r="K54" i="34"/>
  <c r="H54" i="34"/>
  <c r="K41" i="34"/>
  <c r="H41" i="34"/>
  <c r="Q75" i="45"/>
  <c r="R75" i="45" s="1"/>
  <c r="S75" i="45" s="1"/>
  <c r="T75" i="45" s="1"/>
  <c r="U75" i="45" s="1"/>
  <c r="V75" i="45" s="1"/>
  <c r="W75" i="45" s="1"/>
  <c r="X75" i="45" s="1"/>
  <c r="Y75" i="45" s="1"/>
  <c r="Z75" i="45" s="1"/>
  <c r="AA75" i="45" s="1"/>
  <c r="AB75" i="45" s="1"/>
  <c r="AC75" i="45" s="1"/>
  <c r="AD75" i="45" s="1"/>
  <c r="AE75" i="45" s="1"/>
  <c r="AF75" i="45" s="1"/>
  <c r="AG75" i="45" s="1"/>
  <c r="AH75" i="45" s="1"/>
  <c r="AI75" i="45" s="1"/>
  <c r="AJ75" i="45" s="1"/>
  <c r="AK75" i="45" s="1"/>
  <c r="AL75" i="45" s="1"/>
  <c r="AM75" i="45" s="1"/>
  <c r="AN75" i="45" s="1"/>
  <c r="AO75" i="45" s="1"/>
  <c r="AP75" i="45" s="1"/>
  <c r="AQ75" i="45" s="1"/>
  <c r="AR75" i="45" s="1"/>
  <c r="AS75" i="45" s="1"/>
  <c r="AT75" i="45" s="1"/>
  <c r="AU75" i="45" s="1"/>
  <c r="AV75" i="45" s="1"/>
  <c r="AW75" i="45" s="1"/>
  <c r="AX75" i="45" s="1"/>
  <c r="AY75" i="45" s="1"/>
  <c r="AZ75" i="45" s="1"/>
  <c r="BA75" i="45" s="1"/>
  <c r="BB75" i="45" s="1"/>
  <c r="BC75" i="45" s="1"/>
  <c r="BD75" i="45" s="1"/>
  <c r="H75" i="45"/>
  <c r="I75" i="45" s="1"/>
  <c r="V80" i="43"/>
  <c r="V80" i="33"/>
  <c r="V78" i="49"/>
  <c r="Q73" i="45"/>
  <c r="R73" i="45" s="1"/>
  <c r="S73" i="45" s="1"/>
  <c r="T73" i="45" s="1"/>
  <c r="U73" i="45" s="1"/>
  <c r="V73" i="45" s="1"/>
  <c r="W73" i="45" s="1"/>
  <c r="X73" i="45" s="1"/>
  <c r="Y73" i="45" s="1"/>
  <c r="Z73" i="45" s="1"/>
  <c r="AA73" i="45" s="1"/>
  <c r="AB73" i="45" s="1"/>
  <c r="AC73" i="45" s="1"/>
  <c r="AD73" i="45" s="1"/>
  <c r="AE73" i="45" s="1"/>
  <c r="AF73" i="45" s="1"/>
  <c r="AG73" i="45" s="1"/>
  <c r="AH73" i="45" s="1"/>
  <c r="AI73" i="45" s="1"/>
  <c r="AJ73" i="45" s="1"/>
  <c r="AK73" i="45" s="1"/>
  <c r="AL73" i="45" s="1"/>
  <c r="AM73" i="45" s="1"/>
  <c r="AN73" i="45" s="1"/>
  <c r="AO73" i="45" s="1"/>
  <c r="AP73" i="45" s="1"/>
  <c r="AQ73" i="45" s="1"/>
  <c r="AR73" i="45" s="1"/>
  <c r="AS73" i="45" s="1"/>
  <c r="AT73" i="45" s="1"/>
  <c r="AU73" i="45" s="1"/>
  <c r="AV73" i="45" s="1"/>
  <c r="AW73" i="45" s="1"/>
  <c r="AX73" i="45" s="1"/>
  <c r="AY73" i="45" s="1"/>
  <c r="AZ73" i="45" s="1"/>
  <c r="BA73" i="45" s="1"/>
  <c r="BB73" i="45" s="1"/>
  <c r="BC73" i="45" s="1"/>
  <c r="BD73" i="45" s="1"/>
  <c r="H73" i="45"/>
  <c r="I73" i="45" s="1"/>
  <c r="K46" i="34"/>
  <c r="H46" i="34"/>
  <c r="I46" i="34" s="1"/>
  <c r="V77" i="49"/>
  <c r="V79" i="43"/>
  <c r="V79" i="33"/>
  <c r="K79" i="34"/>
  <c r="H79" i="34"/>
  <c r="I79" i="34" s="1"/>
  <c r="K69" i="34"/>
  <c r="H69" i="34"/>
  <c r="K16" i="34"/>
  <c r="H16" i="34"/>
  <c r="Q72" i="45"/>
  <c r="R72" i="45" s="1"/>
  <c r="S72" i="45" s="1"/>
  <c r="T72" i="45" s="1"/>
  <c r="U72" i="45" s="1"/>
  <c r="V72" i="45" s="1"/>
  <c r="W72" i="45" s="1"/>
  <c r="X72" i="45" s="1"/>
  <c r="Y72" i="45" s="1"/>
  <c r="Z72" i="45" s="1"/>
  <c r="AA72" i="45" s="1"/>
  <c r="AB72" i="45" s="1"/>
  <c r="AC72" i="45" s="1"/>
  <c r="AD72" i="45" s="1"/>
  <c r="AE72" i="45" s="1"/>
  <c r="AF72" i="45" s="1"/>
  <c r="AG72" i="45" s="1"/>
  <c r="AH72" i="45" s="1"/>
  <c r="AI72" i="45" s="1"/>
  <c r="AJ72" i="45" s="1"/>
  <c r="AK72" i="45" s="1"/>
  <c r="AL72" i="45" s="1"/>
  <c r="AM72" i="45" s="1"/>
  <c r="AN72" i="45" s="1"/>
  <c r="AO72" i="45" s="1"/>
  <c r="AP72" i="45" s="1"/>
  <c r="AQ72" i="45" s="1"/>
  <c r="AR72" i="45" s="1"/>
  <c r="AS72" i="45" s="1"/>
  <c r="AT72" i="45" s="1"/>
  <c r="AU72" i="45" s="1"/>
  <c r="AV72" i="45" s="1"/>
  <c r="AW72" i="45" s="1"/>
  <c r="AX72" i="45" s="1"/>
  <c r="AY72" i="45" s="1"/>
  <c r="AZ72" i="45" s="1"/>
  <c r="BA72" i="45" s="1"/>
  <c r="BB72" i="45" s="1"/>
  <c r="BC72" i="45" s="1"/>
  <c r="BD72" i="45" s="1"/>
  <c r="H72" i="45"/>
  <c r="I72" i="45" s="1"/>
  <c r="K39" i="34"/>
  <c r="H39" i="34"/>
  <c r="K36" i="34"/>
  <c r="H36" i="34"/>
  <c r="K12" i="34"/>
  <c r="H12" i="34"/>
  <c r="Q67" i="45"/>
  <c r="R67" i="45" s="1"/>
  <c r="S67" i="45" s="1"/>
  <c r="T67" i="45" s="1"/>
  <c r="U67" i="45" s="1"/>
  <c r="V67" i="45" s="1"/>
  <c r="W67" i="45" s="1"/>
  <c r="X67" i="45" s="1"/>
  <c r="Y67" i="45" s="1"/>
  <c r="Z67" i="45" s="1"/>
  <c r="AA67" i="45" s="1"/>
  <c r="AB67" i="45" s="1"/>
  <c r="AC67" i="45" s="1"/>
  <c r="AD67" i="45" s="1"/>
  <c r="AE67" i="45" s="1"/>
  <c r="AF67" i="45" s="1"/>
  <c r="AG67" i="45" s="1"/>
  <c r="AH67" i="45" s="1"/>
  <c r="AI67" i="45" s="1"/>
  <c r="AJ67" i="45" s="1"/>
  <c r="AK67" i="45" s="1"/>
  <c r="AL67" i="45" s="1"/>
  <c r="AM67" i="45" s="1"/>
  <c r="AN67" i="45" s="1"/>
  <c r="AO67" i="45" s="1"/>
  <c r="AP67" i="45" s="1"/>
  <c r="AQ67" i="45" s="1"/>
  <c r="AR67" i="45" s="1"/>
  <c r="AS67" i="45" s="1"/>
  <c r="AT67" i="45" s="1"/>
  <c r="AU67" i="45" s="1"/>
  <c r="AV67" i="45" s="1"/>
  <c r="AW67" i="45" s="1"/>
  <c r="AX67" i="45" s="1"/>
  <c r="AY67" i="45" s="1"/>
  <c r="AZ67" i="45" s="1"/>
  <c r="BA67" i="45" s="1"/>
  <c r="BB67" i="45" s="1"/>
  <c r="BC67" i="45" s="1"/>
  <c r="BD67" i="45" s="1"/>
  <c r="H67" i="45"/>
  <c r="I67" i="45" s="1"/>
  <c r="K18" i="34"/>
  <c r="H18" i="34"/>
  <c r="I18" i="34" s="1"/>
  <c r="K25" i="34"/>
  <c r="H25" i="34"/>
  <c r="I25" i="34" s="1"/>
  <c r="K57" i="34"/>
  <c r="H57" i="34"/>
  <c r="Q78" i="45"/>
  <c r="R78" i="45" s="1"/>
  <c r="S78" i="45" s="1"/>
  <c r="T78" i="45" s="1"/>
  <c r="U78" i="45" s="1"/>
  <c r="V78" i="45" s="1"/>
  <c r="W78" i="45" s="1"/>
  <c r="X78" i="45" s="1"/>
  <c r="Y78" i="45" s="1"/>
  <c r="Z78" i="45" s="1"/>
  <c r="AA78" i="45" s="1"/>
  <c r="AB78" i="45" s="1"/>
  <c r="AC78" i="45" s="1"/>
  <c r="AD78" i="45" s="1"/>
  <c r="AE78" i="45" s="1"/>
  <c r="AF78" i="45" s="1"/>
  <c r="AG78" i="45" s="1"/>
  <c r="AH78" i="45" s="1"/>
  <c r="AI78" i="45" s="1"/>
  <c r="AJ78" i="45" s="1"/>
  <c r="AK78" i="45" s="1"/>
  <c r="AL78" i="45" s="1"/>
  <c r="AM78" i="45" s="1"/>
  <c r="AN78" i="45" s="1"/>
  <c r="AO78" i="45" s="1"/>
  <c r="AP78" i="45" s="1"/>
  <c r="AQ78" i="45" s="1"/>
  <c r="AR78" i="45" s="1"/>
  <c r="AS78" i="45" s="1"/>
  <c r="AT78" i="45" s="1"/>
  <c r="AU78" i="45" s="1"/>
  <c r="AV78" i="45" s="1"/>
  <c r="AW78" i="45" s="1"/>
  <c r="AX78" i="45" s="1"/>
  <c r="AY78" i="45" s="1"/>
  <c r="AZ78" i="45" s="1"/>
  <c r="BA78" i="45" s="1"/>
  <c r="BB78" i="45" s="1"/>
  <c r="BC78" i="45" s="1"/>
  <c r="BD78" i="45" s="1"/>
  <c r="H78" i="45"/>
  <c r="I78" i="45" s="1"/>
  <c r="Q42" i="45"/>
  <c r="R42" i="45" s="1"/>
  <c r="S42" i="45" s="1"/>
  <c r="T42" i="45" s="1"/>
  <c r="U42" i="45" s="1"/>
  <c r="V42" i="45" s="1"/>
  <c r="W42" i="45" s="1"/>
  <c r="X42" i="45" s="1"/>
  <c r="Y42" i="45" s="1"/>
  <c r="Z42" i="45" s="1"/>
  <c r="AA42" i="45" s="1"/>
  <c r="AB42" i="45" s="1"/>
  <c r="AC42" i="45" s="1"/>
  <c r="AD42" i="45" s="1"/>
  <c r="AE42" i="45" s="1"/>
  <c r="AF42" i="45" s="1"/>
  <c r="AG42" i="45" s="1"/>
  <c r="AH42" i="45" s="1"/>
  <c r="AI42" i="45" s="1"/>
  <c r="AJ42" i="45" s="1"/>
  <c r="AK42" i="45" s="1"/>
  <c r="AL42" i="45" s="1"/>
  <c r="AM42" i="45" s="1"/>
  <c r="AN42" i="45" s="1"/>
  <c r="AO42" i="45" s="1"/>
  <c r="AP42" i="45" s="1"/>
  <c r="AQ42" i="45" s="1"/>
  <c r="AR42" i="45" s="1"/>
  <c r="AS42" i="45" s="1"/>
  <c r="AT42" i="45" s="1"/>
  <c r="AU42" i="45" s="1"/>
  <c r="AV42" i="45" s="1"/>
  <c r="AW42" i="45" s="1"/>
  <c r="AX42" i="45" s="1"/>
  <c r="AY42" i="45" s="1"/>
  <c r="AZ42" i="45" s="1"/>
  <c r="BA42" i="45" s="1"/>
  <c r="BB42" i="45" s="1"/>
  <c r="BC42" i="45" s="1"/>
  <c r="BD42" i="45" s="1"/>
  <c r="H42" i="45"/>
  <c r="I42" i="45" s="1"/>
  <c r="Q45" i="45"/>
  <c r="R45" i="45" s="1"/>
  <c r="S45" i="45" s="1"/>
  <c r="T45" i="45" s="1"/>
  <c r="U45" i="45" s="1"/>
  <c r="V45" i="45" s="1"/>
  <c r="W45" i="45" s="1"/>
  <c r="X45" i="45" s="1"/>
  <c r="Y45" i="45" s="1"/>
  <c r="Z45" i="45" s="1"/>
  <c r="AA45" i="45" s="1"/>
  <c r="AB45" i="45" s="1"/>
  <c r="AC45" i="45" s="1"/>
  <c r="AD45" i="45" s="1"/>
  <c r="AE45" i="45" s="1"/>
  <c r="AF45" i="45" s="1"/>
  <c r="AG45" i="45" s="1"/>
  <c r="AH45" i="45" s="1"/>
  <c r="AI45" i="45" s="1"/>
  <c r="AJ45" i="45" s="1"/>
  <c r="AK45" i="45" s="1"/>
  <c r="AL45" i="45" s="1"/>
  <c r="AM45" i="45" s="1"/>
  <c r="AN45" i="45" s="1"/>
  <c r="AO45" i="45" s="1"/>
  <c r="AP45" i="45" s="1"/>
  <c r="AQ45" i="45" s="1"/>
  <c r="AR45" i="45" s="1"/>
  <c r="AS45" i="45" s="1"/>
  <c r="AT45" i="45" s="1"/>
  <c r="AU45" i="45" s="1"/>
  <c r="AV45" i="45" s="1"/>
  <c r="AW45" i="45" s="1"/>
  <c r="AX45" i="45" s="1"/>
  <c r="AY45" i="45" s="1"/>
  <c r="AZ45" i="45" s="1"/>
  <c r="BA45" i="45" s="1"/>
  <c r="BB45" i="45" s="1"/>
  <c r="BC45" i="45" s="1"/>
  <c r="BD45" i="45" s="1"/>
  <c r="H45" i="45"/>
  <c r="I45" i="45" s="1"/>
  <c r="K59" i="34"/>
  <c r="H59" i="34"/>
  <c r="I59" i="34" s="1"/>
  <c r="Q74" i="45"/>
  <c r="R74" i="45" s="1"/>
  <c r="S74" i="45" s="1"/>
  <c r="T74" i="45" s="1"/>
  <c r="U74" i="45" s="1"/>
  <c r="V74" i="45" s="1"/>
  <c r="W74" i="45" s="1"/>
  <c r="X74" i="45" s="1"/>
  <c r="Y74" i="45" s="1"/>
  <c r="Z74" i="45" s="1"/>
  <c r="AA74" i="45" s="1"/>
  <c r="AB74" i="45" s="1"/>
  <c r="AC74" i="45" s="1"/>
  <c r="AD74" i="45" s="1"/>
  <c r="AE74" i="45" s="1"/>
  <c r="AF74" i="45" s="1"/>
  <c r="AG74" i="45" s="1"/>
  <c r="AH74" i="45" s="1"/>
  <c r="AI74" i="45" s="1"/>
  <c r="AJ74" i="45" s="1"/>
  <c r="AK74" i="45" s="1"/>
  <c r="AL74" i="45" s="1"/>
  <c r="AM74" i="45" s="1"/>
  <c r="AN74" i="45" s="1"/>
  <c r="AO74" i="45" s="1"/>
  <c r="AP74" i="45" s="1"/>
  <c r="AQ74" i="45" s="1"/>
  <c r="AR74" i="45" s="1"/>
  <c r="AS74" i="45" s="1"/>
  <c r="AT74" i="45" s="1"/>
  <c r="AU74" i="45" s="1"/>
  <c r="AV74" i="45" s="1"/>
  <c r="AW74" i="45" s="1"/>
  <c r="AX74" i="45" s="1"/>
  <c r="AY74" i="45" s="1"/>
  <c r="AZ74" i="45" s="1"/>
  <c r="BA74" i="45" s="1"/>
  <c r="BB74" i="45" s="1"/>
  <c r="BC74" i="45" s="1"/>
  <c r="BD74" i="45" s="1"/>
  <c r="H74" i="45"/>
  <c r="I74" i="45" s="1"/>
  <c r="R34" i="34"/>
  <c r="Q41" i="45"/>
  <c r="R41" i="45" s="1"/>
  <c r="S41" i="45" s="1"/>
  <c r="T41" i="45" s="1"/>
  <c r="U41" i="45" s="1"/>
  <c r="V41" i="45" s="1"/>
  <c r="W41" i="45" s="1"/>
  <c r="X41" i="45" s="1"/>
  <c r="Y41" i="45" s="1"/>
  <c r="Z41" i="45" s="1"/>
  <c r="AA41" i="45" s="1"/>
  <c r="AB41" i="45" s="1"/>
  <c r="AC41" i="45" s="1"/>
  <c r="AD41" i="45" s="1"/>
  <c r="AE41" i="45" s="1"/>
  <c r="AF41" i="45" s="1"/>
  <c r="AG41" i="45" s="1"/>
  <c r="AH41" i="45" s="1"/>
  <c r="AI41" i="45" s="1"/>
  <c r="AJ41" i="45" s="1"/>
  <c r="AK41" i="45" s="1"/>
  <c r="AL41" i="45" s="1"/>
  <c r="AM41" i="45" s="1"/>
  <c r="AN41" i="45" s="1"/>
  <c r="AO41" i="45" s="1"/>
  <c r="AP41" i="45" s="1"/>
  <c r="AQ41" i="45" s="1"/>
  <c r="AR41" i="45" s="1"/>
  <c r="AS41" i="45" s="1"/>
  <c r="AT41" i="45" s="1"/>
  <c r="AU41" i="45" s="1"/>
  <c r="AV41" i="45" s="1"/>
  <c r="AW41" i="45" s="1"/>
  <c r="AX41" i="45" s="1"/>
  <c r="AY41" i="45" s="1"/>
  <c r="AZ41" i="45" s="1"/>
  <c r="BA41" i="45" s="1"/>
  <c r="BB41" i="45" s="1"/>
  <c r="BC41" i="45" s="1"/>
  <c r="BD41" i="45" s="1"/>
  <c r="H41" i="45"/>
  <c r="I41" i="45" s="1"/>
  <c r="K15" i="34"/>
  <c r="H15" i="34"/>
  <c r="G24" i="52"/>
  <c r="S24" i="52" s="1"/>
  <c r="K70" i="34"/>
  <c r="H70" i="34"/>
  <c r="R40" i="34"/>
  <c r="R11" i="34"/>
  <c r="K11" i="34"/>
  <c r="R20" i="34"/>
  <c r="K20" i="34"/>
  <c r="G40" i="45"/>
  <c r="G40" i="34"/>
  <c r="AQ28" i="61" s="1"/>
  <c r="G36" i="50"/>
  <c r="G58" i="52"/>
  <c r="S58" i="52" s="1"/>
  <c r="G10" i="52"/>
  <c r="S10" i="52" s="1"/>
  <c r="G40" i="52"/>
  <c r="S40" i="52" s="1"/>
  <c r="R23" i="34"/>
  <c r="G51" i="52"/>
  <c r="S51" i="52" s="1"/>
  <c r="G29" i="52"/>
  <c r="S29" i="52" s="1"/>
  <c r="G42" i="52"/>
  <c r="S42" i="52" s="1"/>
  <c r="G9" i="52"/>
  <c r="S9" i="52" s="1"/>
  <c r="G45" i="52"/>
  <c r="S45" i="52" s="1"/>
  <c r="G56" i="52"/>
  <c r="S56" i="52" s="1"/>
  <c r="G54" i="52"/>
  <c r="S54" i="52" s="1"/>
  <c r="R46" i="34"/>
  <c r="R15" i="34"/>
  <c r="R29" i="34"/>
  <c r="G14" i="52"/>
  <c r="S14" i="52" s="1"/>
  <c r="G36" i="52"/>
  <c r="S36" i="52" s="1"/>
  <c r="R21" i="34"/>
  <c r="G39" i="52"/>
  <c r="S39" i="52" s="1"/>
  <c r="G11" i="52"/>
  <c r="S11" i="52" s="1"/>
  <c r="G44" i="52"/>
  <c r="S44" i="52" s="1"/>
  <c r="G15" i="52"/>
  <c r="S15" i="52" s="1"/>
  <c r="G38" i="52"/>
  <c r="S38" i="52" s="1"/>
  <c r="G22" i="52"/>
  <c r="S22" i="52" s="1"/>
  <c r="G26" i="52"/>
  <c r="S26" i="52" s="1"/>
  <c r="G27" i="52"/>
  <c r="S27" i="52" s="1"/>
  <c r="R22" i="34"/>
  <c r="R55" i="34"/>
  <c r="G70" i="50"/>
  <c r="G13" i="52"/>
  <c r="S13" i="52" s="1"/>
  <c r="G75" i="46"/>
  <c r="G74" i="34"/>
  <c r="AQ59" i="61" s="1"/>
  <c r="R10" i="34"/>
  <c r="G8" i="52"/>
  <c r="S8" i="52" s="1"/>
  <c r="H9" i="34"/>
  <c r="G7" i="52"/>
  <c r="S7" i="52" s="1"/>
  <c r="R8" i="34"/>
  <c r="S8" i="34" s="1"/>
  <c r="G6" i="52"/>
  <c r="S6" i="52" s="1"/>
  <c r="G41" i="52"/>
  <c r="S41" i="52" s="1"/>
  <c r="G12" i="52"/>
  <c r="S12" i="52" s="1"/>
  <c r="G60" i="52"/>
  <c r="S60" i="52" s="1"/>
  <c r="R50" i="34"/>
  <c r="G37" i="52"/>
  <c r="S37" i="52" s="1"/>
  <c r="R75" i="34"/>
  <c r="R60" i="34"/>
  <c r="R24" i="34"/>
  <c r="R54" i="34"/>
  <c r="R49" i="34"/>
  <c r="R39" i="34"/>
  <c r="R14" i="34"/>
  <c r="H10" i="34"/>
  <c r="U17" i="33"/>
  <c r="K46" i="45"/>
  <c r="U16" i="33"/>
  <c r="G41" i="45"/>
  <c r="G41" i="34"/>
  <c r="AQ29" i="61" s="1"/>
  <c r="U77" i="33"/>
  <c r="J40" i="45"/>
  <c r="K75" i="45"/>
  <c r="K39" i="45"/>
  <c r="J39" i="45"/>
  <c r="G30" i="34"/>
  <c r="U29" i="33"/>
  <c r="U15" i="33"/>
  <c r="U38" i="33"/>
  <c r="U35" i="33"/>
  <c r="U18" i="33"/>
  <c r="U34" i="33"/>
  <c r="U30" i="33"/>
  <c r="U8" i="33"/>
  <c r="J46" i="45"/>
  <c r="U26" i="33"/>
  <c r="U37" i="33"/>
  <c r="K40" i="45"/>
  <c r="G53" i="34"/>
  <c r="AQ40" i="61" s="1"/>
  <c r="G53" i="45"/>
  <c r="R27" i="34"/>
  <c r="R52" i="34"/>
  <c r="R16" i="34"/>
  <c r="G70" i="45"/>
  <c r="G70" i="34"/>
  <c r="AQ55" i="61" s="1"/>
  <c r="G66" i="50"/>
  <c r="G71" i="46"/>
  <c r="R35" i="34"/>
  <c r="R13" i="34"/>
  <c r="G79" i="46"/>
  <c r="G74" i="50"/>
  <c r="G78" i="45"/>
  <c r="G78" i="34"/>
  <c r="R79" i="34"/>
  <c r="P51" i="49"/>
  <c r="P52" i="49" s="1"/>
  <c r="R30" i="34"/>
  <c r="R25" i="34"/>
  <c r="T6" i="49"/>
  <c r="F7" i="49"/>
  <c r="R26" i="34"/>
  <c r="R28" i="34"/>
  <c r="G38" i="50"/>
  <c r="G43" i="45"/>
  <c r="G43" i="34"/>
  <c r="R78" i="34"/>
  <c r="R17" i="34"/>
  <c r="G75" i="50"/>
  <c r="G79" i="34"/>
  <c r="G79" i="45"/>
  <c r="G80" i="46"/>
  <c r="K74" i="45"/>
  <c r="R73" i="34"/>
  <c r="G72" i="45"/>
  <c r="G73" i="46"/>
  <c r="G72" i="34"/>
  <c r="AQ57" i="61" s="1"/>
  <c r="G68" i="50"/>
  <c r="R69" i="34"/>
  <c r="U74" i="49"/>
  <c r="U71" i="49"/>
  <c r="U73" i="49"/>
  <c r="U68" i="49"/>
  <c r="U69" i="49"/>
  <c r="U79" i="49"/>
  <c r="U78" i="49"/>
  <c r="U80" i="49"/>
  <c r="U76" i="49"/>
  <c r="U72" i="49"/>
  <c r="U70" i="49"/>
  <c r="U75" i="49"/>
  <c r="U77" i="49"/>
  <c r="R38" i="34"/>
  <c r="G68" i="34"/>
  <c r="AQ53" i="61" s="1"/>
  <c r="G68" i="45"/>
  <c r="G64" i="50"/>
  <c r="G69" i="46"/>
  <c r="G66" i="45"/>
  <c r="G62" i="50"/>
  <c r="G67" i="46"/>
  <c r="G66" i="34"/>
  <c r="AQ51" i="61" s="1"/>
  <c r="R43" i="34"/>
  <c r="R36" i="34"/>
  <c r="R42" i="34"/>
  <c r="J74" i="45"/>
  <c r="G70" i="46"/>
  <c r="G65" i="50"/>
  <c r="G69" i="45"/>
  <c r="G69" i="34"/>
  <c r="AQ54" i="61" s="1"/>
  <c r="G60" i="34"/>
  <c r="G56" i="50"/>
  <c r="G60" i="45"/>
  <c r="F81" i="49"/>
  <c r="G81" i="49" s="1"/>
  <c r="T67" i="49"/>
  <c r="T81" i="49" s="1"/>
  <c r="U81" i="49" s="1"/>
  <c r="R51" i="49"/>
  <c r="R41" i="34"/>
  <c r="R62" i="34"/>
  <c r="R59" i="34"/>
  <c r="R66" i="34"/>
  <c r="R18" i="34"/>
  <c r="R53" i="34"/>
  <c r="R58" i="34"/>
  <c r="R12" i="34"/>
  <c r="J41" i="45"/>
  <c r="G59" i="45"/>
  <c r="G59" i="34"/>
  <c r="G55" i="50"/>
  <c r="J75" i="45"/>
  <c r="R45" i="34"/>
  <c r="R37" i="34"/>
  <c r="R19" i="34"/>
  <c r="L51" i="49"/>
  <c r="L52" i="49" s="1"/>
  <c r="L53" i="49" s="1"/>
  <c r="N51" i="49"/>
  <c r="N52" i="49" s="1"/>
  <c r="N53" i="49" s="1"/>
  <c r="G67" i="45"/>
  <c r="G63" i="50"/>
  <c r="G67" i="34"/>
  <c r="AQ52" i="61" s="1"/>
  <c r="G68" i="46"/>
  <c r="G77" i="34"/>
  <c r="G73" i="50"/>
  <c r="G77" i="45"/>
  <c r="G78" i="46"/>
  <c r="R31" i="34"/>
  <c r="G42" i="45"/>
  <c r="G37" i="50"/>
  <c r="G42" i="34"/>
  <c r="AQ30" i="61" s="1"/>
  <c r="G71" i="45"/>
  <c r="G72" i="46"/>
  <c r="G71" i="34"/>
  <c r="AQ56" i="61" s="1"/>
  <c r="G67" i="50"/>
  <c r="H51" i="49"/>
  <c r="H52" i="49" s="1"/>
  <c r="N7" i="45"/>
  <c r="F7" i="50"/>
  <c r="H7" i="50" s="1"/>
  <c r="I7" i="50" s="1"/>
  <c r="T6" i="43"/>
  <c r="U6" i="43" s="1"/>
  <c r="F7" i="45"/>
  <c r="H7" i="45" s="1"/>
  <c r="I7" i="45" s="1"/>
  <c r="F7" i="46"/>
  <c r="M7" i="46" s="1"/>
  <c r="G76" i="34"/>
  <c r="G72" i="50"/>
  <c r="G76" i="45"/>
  <c r="G77" i="46"/>
  <c r="G58" i="45"/>
  <c r="G58" i="34"/>
  <c r="AQ45" i="61" s="1"/>
  <c r="G54" i="50"/>
  <c r="G45" i="34"/>
  <c r="G45" i="45"/>
  <c r="G40" i="50"/>
  <c r="G52" i="45"/>
  <c r="G51" i="34"/>
  <c r="AQ38" i="61" s="1"/>
  <c r="G44" i="34"/>
  <c r="G44" i="45"/>
  <c r="G39" i="50"/>
  <c r="G69" i="50"/>
  <c r="G73" i="45"/>
  <c r="G74" i="46"/>
  <c r="G73" i="34"/>
  <c r="AQ58" i="61" s="1"/>
  <c r="R61" i="34"/>
  <c r="G75" i="34"/>
  <c r="AQ60" i="61" s="1"/>
  <c r="G71" i="50"/>
  <c r="G75" i="45"/>
  <c r="G76" i="46"/>
  <c r="R63" i="34"/>
  <c r="R33" i="34"/>
  <c r="G34" i="50"/>
  <c r="G39" i="34"/>
  <c r="AQ27" i="61" s="1"/>
  <c r="G39" i="45"/>
  <c r="K41" i="45"/>
  <c r="R57" i="34"/>
  <c r="G38" i="34"/>
  <c r="AQ26" i="61" s="1"/>
  <c r="G38" i="45"/>
  <c r="R71" i="34"/>
  <c r="R51" i="34"/>
  <c r="J51" i="49"/>
  <c r="K51" i="49" s="1"/>
  <c r="R9" i="34"/>
  <c r="S9" i="34" s="1"/>
  <c r="T9" i="34" s="1"/>
  <c r="U9" i="34" s="1"/>
  <c r="V9" i="34" s="1"/>
  <c r="W9" i="34" s="1"/>
  <c r="X9" i="34" s="1"/>
  <c r="Y9" i="34" s="1"/>
  <c r="Z9" i="34" s="1"/>
  <c r="AA9" i="34" s="1"/>
  <c r="AB9" i="34" s="1"/>
  <c r="AC9" i="34" s="1"/>
  <c r="AD9" i="34" s="1"/>
  <c r="AE9" i="34" s="1"/>
  <c r="AF9" i="34" s="1"/>
  <c r="AG9" i="34" s="1"/>
  <c r="AH9" i="34" s="1"/>
  <c r="AI9" i="34" s="1"/>
  <c r="AJ9" i="34" s="1"/>
  <c r="AK9" i="34" s="1"/>
  <c r="AL9" i="34" s="1"/>
  <c r="AM9" i="34" s="1"/>
  <c r="AN9" i="34" s="1"/>
  <c r="AO9" i="34" s="1"/>
  <c r="AP9" i="34" s="1"/>
  <c r="AQ9" i="34" s="1"/>
  <c r="AR9" i="34" s="1"/>
  <c r="AS9" i="34" s="1"/>
  <c r="AT9" i="34" s="1"/>
  <c r="AU9" i="34" s="1"/>
  <c r="AV9" i="34" s="1"/>
  <c r="AW9" i="34" s="1"/>
  <c r="AX9" i="34" s="1"/>
  <c r="AY9" i="34" s="1"/>
  <c r="AZ9" i="34" s="1"/>
  <c r="BA9" i="34" s="1"/>
  <c r="BB9" i="34" s="1"/>
  <c r="BC9" i="34" s="1"/>
  <c r="BD9" i="34" s="1"/>
  <c r="BE9" i="34" s="1"/>
  <c r="BF9" i="34" s="1"/>
  <c r="BG9" i="34" s="1"/>
  <c r="BH9" i="34" s="1"/>
  <c r="BI9" i="34" s="1"/>
  <c r="BJ9" i="34" s="1"/>
  <c r="BK9" i="34" s="1"/>
  <c r="BL9" i="34" s="1"/>
  <c r="BM9" i="34" s="1"/>
  <c r="BN9" i="34" s="1"/>
  <c r="BO9" i="34" s="1"/>
  <c r="BP9" i="34" s="1"/>
  <c r="BQ9" i="34" s="1"/>
  <c r="BR9" i="34" s="1"/>
  <c r="BS9" i="34" s="1"/>
  <c r="BT9" i="34" s="1"/>
  <c r="BU9" i="34" s="1"/>
  <c r="BV9" i="34" s="1"/>
  <c r="BW9" i="34" s="1"/>
  <c r="BX9" i="34" s="1"/>
  <c r="BY9" i="34" s="1"/>
  <c r="BZ9" i="34" s="1"/>
  <c r="CA9" i="34" s="1"/>
  <c r="CB9" i="34" s="1"/>
  <c r="CC9" i="34" s="1"/>
  <c r="CD9" i="34" s="1"/>
  <c r="CE9" i="34" s="1"/>
  <c r="CF9" i="34" s="1"/>
  <c r="CG9" i="34" s="1"/>
  <c r="CH9" i="34" s="1"/>
  <c r="CI9" i="34" s="1"/>
  <c r="CJ9" i="34" s="1"/>
  <c r="CK9" i="34" s="1"/>
  <c r="CL9" i="34" s="1"/>
  <c r="CM9" i="34" s="1"/>
  <c r="CN9" i="34" s="1"/>
  <c r="CO9" i="34" s="1"/>
  <c r="CP9" i="34" s="1"/>
  <c r="CQ9" i="34" s="1"/>
  <c r="CR9" i="34" s="1"/>
  <c r="CS9" i="34" s="1"/>
  <c r="CT9" i="34" s="1"/>
  <c r="CU9" i="34" s="1"/>
  <c r="CV9" i="34" s="1"/>
  <c r="CW9" i="34" s="1"/>
  <c r="CX9" i="34" s="1"/>
  <c r="CY9" i="34" s="1"/>
  <c r="CZ9" i="34" s="1"/>
  <c r="DA9" i="34" s="1"/>
  <c r="DB9" i="34" s="1"/>
  <c r="DC9" i="34" s="1"/>
  <c r="DD9" i="34" s="1"/>
  <c r="DE9" i="34" s="1"/>
  <c r="DF9" i="34" s="1"/>
  <c r="DG9" i="34" s="1"/>
  <c r="DH9" i="34" s="1"/>
  <c r="DI9" i="34" s="1"/>
  <c r="DJ9" i="34" s="1"/>
  <c r="DK9" i="34" s="1"/>
  <c r="DL9" i="34" s="1"/>
  <c r="DM9" i="34" s="1"/>
  <c r="F23" i="50"/>
  <c r="H23" i="50" s="1"/>
  <c r="I23" i="50" s="1"/>
  <c r="F22" i="50"/>
  <c r="H22" i="50" s="1"/>
  <c r="I22" i="50" s="1"/>
  <c r="E6" i="60" l="1"/>
  <c r="E19" i="60" s="1"/>
  <c r="T41" i="52"/>
  <c r="N41" i="61"/>
  <c r="P14" i="59"/>
  <c r="AE14" i="59" s="1"/>
  <c r="Q14" i="61"/>
  <c r="AF14" i="61" s="1"/>
  <c r="P40" i="59"/>
  <c r="AE40" i="59" s="1"/>
  <c r="Q40" i="61"/>
  <c r="AF40" i="61" s="1"/>
  <c r="T10" i="52"/>
  <c r="N10" i="61"/>
  <c r="T6" i="52"/>
  <c r="N6" i="61"/>
  <c r="H43" i="52"/>
  <c r="AQ43" i="61"/>
  <c r="P59" i="59"/>
  <c r="AE59" i="59" s="1"/>
  <c r="Q59" i="61"/>
  <c r="AF59" i="61" s="1"/>
  <c r="P45" i="59"/>
  <c r="AE45" i="59" s="1"/>
  <c r="Q45" i="61"/>
  <c r="AF45" i="61" s="1"/>
  <c r="P52" i="59"/>
  <c r="AE52" i="59" s="1"/>
  <c r="Q52" i="61"/>
  <c r="AF52" i="61" s="1"/>
  <c r="N29" i="59"/>
  <c r="AC29" i="59" s="1"/>
  <c r="O29" i="61"/>
  <c r="AD29" i="61" s="1"/>
  <c r="N39" i="59"/>
  <c r="AC39" i="59" s="1"/>
  <c r="O39" i="61"/>
  <c r="AD39" i="61" s="1"/>
  <c r="T13" i="52"/>
  <c r="N13" i="61"/>
  <c r="I8" i="34"/>
  <c r="O6" i="61"/>
  <c r="AD6" i="61" s="1"/>
  <c r="N38" i="59"/>
  <c r="AC38" i="59" s="1"/>
  <c r="O38" i="61"/>
  <c r="AD38" i="61" s="1"/>
  <c r="P39" i="59"/>
  <c r="AE39" i="59" s="1"/>
  <c r="Q39" i="61"/>
  <c r="AF39" i="61" s="1"/>
  <c r="N8" i="59"/>
  <c r="O8" i="61"/>
  <c r="AD8" i="61" s="1"/>
  <c r="N10" i="59"/>
  <c r="O10" i="61"/>
  <c r="AD10" i="61" s="1"/>
  <c r="N41" i="59"/>
  <c r="AC41" i="59" s="1"/>
  <c r="O41" i="61"/>
  <c r="AD41" i="61" s="1"/>
  <c r="N22" i="59"/>
  <c r="AC22" i="59" s="1"/>
  <c r="O22" i="61"/>
  <c r="AD22" i="61" s="1"/>
  <c r="N28" i="59"/>
  <c r="AC28" i="59" s="1"/>
  <c r="O28" i="61"/>
  <c r="AD28" i="61" s="1"/>
  <c r="N51" i="59"/>
  <c r="AC51" i="59" s="1"/>
  <c r="O51" i="61"/>
  <c r="AD51" i="61" s="1"/>
  <c r="T24" i="52"/>
  <c r="N24" i="61"/>
  <c r="T37" i="52"/>
  <c r="N37" i="61"/>
  <c r="E2" i="60"/>
  <c r="E15" i="60" s="1"/>
  <c r="N53" i="59"/>
  <c r="AC53" i="59" s="1"/>
  <c r="O53" i="61"/>
  <c r="AD53" i="61" s="1"/>
  <c r="P10" i="59"/>
  <c r="AE10" i="59" s="1"/>
  <c r="Q10" i="61"/>
  <c r="AF10" i="61" s="1"/>
  <c r="P41" i="59"/>
  <c r="AE41" i="59" s="1"/>
  <c r="Q41" i="61"/>
  <c r="AF41" i="61" s="1"/>
  <c r="P22" i="59"/>
  <c r="AE22" i="59" s="1"/>
  <c r="Q22" i="61"/>
  <c r="AF22" i="61" s="1"/>
  <c r="P28" i="59"/>
  <c r="AE28" i="59" s="1"/>
  <c r="Q28" i="61"/>
  <c r="AF28" i="61" s="1"/>
  <c r="P51" i="59"/>
  <c r="AE51" i="59" s="1"/>
  <c r="Q51" i="61"/>
  <c r="AF51" i="61" s="1"/>
  <c r="P6" i="59"/>
  <c r="AE6" i="59" s="1"/>
  <c r="Q6" i="61"/>
  <c r="AF6" i="61" s="1"/>
  <c r="P8" i="59"/>
  <c r="AE8" i="59" s="1"/>
  <c r="Q8" i="61"/>
  <c r="AF8" i="61" s="1"/>
  <c r="T25" i="52"/>
  <c r="N25" i="61"/>
  <c r="N45" i="59"/>
  <c r="AC45" i="59" s="1"/>
  <c r="O45" i="61"/>
  <c r="AD45" i="61" s="1"/>
  <c r="N7" i="59"/>
  <c r="F3" i="60" s="1"/>
  <c r="F16" i="60" s="1"/>
  <c r="O7" i="61"/>
  <c r="AD7" i="61" s="1"/>
  <c r="N55" i="59"/>
  <c r="AC55" i="59" s="1"/>
  <c r="O55" i="61"/>
  <c r="AD55" i="61" s="1"/>
  <c r="N24" i="59"/>
  <c r="AC24" i="59" s="1"/>
  <c r="O24" i="61"/>
  <c r="AD24" i="61" s="1"/>
  <c r="N58" i="59"/>
  <c r="AC58" i="59" s="1"/>
  <c r="O58" i="61"/>
  <c r="AD58" i="61" s="1"/>
  <c r="N11" i="59"/>
  <c r="AC11" i="59" s="1"/>
  <c r="O11" i="61"/>
  <c r="AD11" i="61" s="1"/>
  <c r="N15" i="59"/>
  <c r="AC15" i="59" s="1"/>
  <c r="O15" i="61"/>
  <c r="AD15" i="61" s="1"/>
  <c r="N56" i="59"/>
  <c r="AC56" i="59" s="1"/>
  <c r="O56" i="61"/>
  <c r="AD56" i="61" s="1"/>
  <c r="T22" i="52"/>
  <c r="N22" i="61"/>
  <c r="P36" i="59"/>
  <c r="AE36" i="59" s="1"/>
  <c r="Q36" i="61"/>
  <c r="AF36" i="61" s="1"/>
  <c r="P55" i="59"/>
  <c r="AE55" i="59" s="1"/>
  <c r="Q55" i="61"/>
  <c r="AF55" i="61" s="1"/>
  <c r="P24" i="59"/>
  <c r="AE24" i="59" s="1"/>
  <c r="Q24" i="61"/>
  <c r="AF24" i="61" s="1"/>
  <c r="P58" i="59"/>
  <c r="AE58" i="59" s="1"/>
  <c r="Q58" i="61"/>
  <c r="AF58" i="61" s="1"/>
  <c r="P11" i="59"/>
  <c r="AE11" i="59" s="1"/>
  <c r="Q11" i="61"/>
  <c r="AF11" i="61" s="1"/>
  <c r="P15" i="59"/>
  <c r="AE15" i="59" s="1"/>
  <c r="Q15" i="61"/>
  <c r="AF15" i="61" s="1"/>
  <c r="P56" i="59"/>
  <c r="AE56" i="59" s="1"/>
  <c r="Q56" i="61"/>
  <c r="AF56" i="61" s="1"/>
  <c r="P7" i="59"/>
  <c r="AE7" i="59" s="1"/>
  <c r="Q7" i="61"/>
  <c r="AF7" i="61" s="1"/>
  <c r="T14" i="52"/>
  <c r="N14" i="61"/>
  <c r="T23" i="52"/>
  <c r="N23" i="61"/>
  <c r="T36" i="52"/>
  <c r="N36" i="61"/>
  <c r="N27" i="59"/>
  <c r="AC27" i="59" s="1"/>
  <c r="O27" i="61"/>
  <c r="AD27" i="61" s="1"/>
  <c r="N43" i="59"/>
  <c r="AC43" i="59" s="1"/>
  <c r="O43" i="61"/>
  <c r="AD43" i="61" s="1"/>
  <c r="P21" i="59"/>
  <c r="AE21" i="59" s="1"/>
  <c r="Q21" i="61"/>
  <c r="AF21" i="61" s="1"/>
  <c r="T21" i="52"/>
  <c r="N21" i="61"/>
  <c r="T9" i="52"/>
  <c r="N9" i="61"/>
  <c r="P54" i="59"/>
  <c r="AE54" i="59" s="1"/>
  <c r="Q54" i="61"/>
  <c r="AF54" i="61" s="1"/>
  <c r="P29" i="59"/>
  <c r="AE29" i="59" s="1"/>
  <c r="Q29" i="61"/>
  <c r="AF29" i="61" s="1"/>
  <c r="N13" i="59"/>
  <c r="AC13" i="59" s="1"/>
  <c r="O13" i="61"/>
  <c r="AD13" i="61" s="1"/>
  <c r="P27" i="59"/>
  <c r="AE27" i="59" s="1"/>
  <c r="Q27" i="61"/>
  <c r="AF27" i="61" s="1"/>
  <c r="P43" i="59"/>
  <c r="AE43" i="59" s="1"/>
  <c r="Q43" i="61"/>
  <c r="AF43" i="61" s="1"/>
  <c r="T15" i="52"/>
  <c r="N15" i="61"/>
  <c r="T12" i="52"/>
  <c r="N12" i="61"/>
  <c r="N54" i="59"/>
  <c r="AC54" i="59" s="1"/>
  <c r="O54" i="61"/>
  <c r="AD54" i="61" s="1"/>
  <c r="P9" i="59"/>
  <c r="AE9" i="59" s="1"/>
  <c r="Q9" i="61"/>
  <c r="AF9" i="61" s="1"/>
  <c r="P13" i="59"/>
  <c r="AE13" i="59" s="1"/>
  <c r="Q13" i="61"/>
  <c r="AF13" i="61" s="1"/>
  <c r="N44" i="59"/>
  <c r="AC44" i="59" s="1"/>
  <c r="O44" i="61"/>
  <c r="AD44" i="61" s="1"/>
  <c r="N42" i="59"/>
  <c r="AC42" i="59" s="1"/>
  <c r="O42" i="61"/>
  <c r="AD42" i="61" s="1"/>
  <c r="N60" i="59"/>
  <c r="AC60" i="59" s="1"/>
  <c r="O60" i="61"/>
  <c r="AD60" i="61" s="1"/>
  <c r="N26" i="59"/>
  <c r="AC26" i="59" s="1"/>
  <c r="O26" i="61"/>
  <c r="AD26" i="61" s="1"/>
  <c r="P57" i="59"/>
  <c r="AE57" i="59" s="1"/>
  <c r="Q57" i="61"/>
  <c r="AF57" i="61" s="1"/>
  <c r="T11" i="52"/>
  <c r="N11" i="61"/>
  <c r="P12" i="59"/>
  <c r="AE12" i="59" s="1"/>
  <c r="Q12" i="61"/>
  <c r="AF12" i="61" s="1"/>
  <c r="P44" i="59"/>
  <c r="AE44" i="59" s="1"/>
  <c r="Q44" i="61"/>
  <c r="AF44" i="61" s="1"/>
  <c r="P42" i="59"/>
  <c r="AE42" i="59" s="1"/>
  <c r="Q42" i="61"/>
  <c r="AF42" i="61" s="1"/>
  <c r="P60" i="59"/>
  <c r="AE60" i="59" s="1"/>
  <c r="Q60" i="61"/>
  <c r="AF60" i="61" s="1"/>
  <c r="P26" i="59"/>
  <c r="AE26" i="59" s="1"/>
  <c r="Q26" i="61"/>
  <c r="AF26" i="61" s="1"/>
  <c r="P30" i="59"/>
  <c r="AE30" i="59" s="1"/>
  <c r="Q30" i="61"/>
  <c r="AF30" i="61" s="1"/>
  <c r="P37" i="59"/>
  <c r="AE37" i="59" s="1"/>
  <c r="Q37" i="61"/>
  <c r="AF37" i="61" s="1"/>
  <c r="P23" i="59"/>
  <c r="AE23" i="59" s="1"/>
  <c r="Q23" i="61"/>
  <c r="AF23" i="61" s="1"/>
  <c r="P38" i="59"/>
  <c r="AE38" i="59" s="1"/>
  <c r="Q38" i="61"/>
  <c r="AF38" i="61" s="1"/>
  <c r="N14" i="59"/>
  <c r="AC14" i="59" s="1"/>
  <c r="O14" i="61"/>
  <c r="AD14" i="61" s="1"/>
  <c r="N40" i="59"/>
  <c r="AC40" i="59" s="1"/>
  <c r="O40" i="61"/>
  <c r="AD40" i="61" s="1"/>
  <c r="N37" i="59"/>
  <c r="AC37" i="59" s="1"/>
  <c r="O37" i="61"/>
  <c r="AD37" i="61" s="1"/>
  <c r="N36" i="59"/>
  <c r="AC36" i="59" s="1"/>
  <c r="O36" i="61"/>
  <c r="AD36" i="61" s="1"/>
  <c r="N12" i="59"/>
  <c r="AC12" i="59" s="1"/>
  <c r="O12" i="61"/>
  <c r="AD12" i="61" s="1"/>
  <c r="P25" i="59"/>
  <c r="AE25" i="59" s="1"/>
  <c r="Q25" i="61"/>
  <c r="AF25" i="61" s="1"/>
  <c r="T8" i="52"/>
  <c r="N8" i="61"/>
  <c r="T7" i="52"/>
  <c r="N7" i="61"/>
  <c r="S53" i="34"/>
  <c r="T53" i="34" s="1"/>
  <c r="U53" i="34" s="1"/>
  <c r="V53" i="34" s="1"/>
  <c r="W53" i="34" s="1"/>
  <c r="X53" i="34" s="1"/>
  <c r="Y53" i="34" s="1"/>
  <c r="Z53" i="34" s="1"/>
  <c r="AA53" i="34" s="1"/>
  <c r="AB53" i="34" s="1"/>
  <c r="AC53" i="34" s="1"/>
  <c r="AD53" i="34" s="1"/>
  <c r="AE53" i="34" s="1"/>
  <c r="AF53" i="34" s="1"/>
  <c r="AG53" i="34" s="1"/>
  <c r="AH53" i="34" s="1"/>
  <c r="AI53" i="34" s="1"/>
  <c r="AJ53" i="34" s="1"/>
  <c r="AK53" i="34" s="1"/>
  <c r="AL53" i="34" s="1"/>
  <c r="AM53" i="34" s="1"/>
  <c r="AN53" i="34" s="1"/>
  <c r="AO53" i="34" s="1"/>
  <c r="AP53" i="34" s="1"/>
  <c r="AQ53" i="34" s="1"/>
  <c r="AR53" i="34" s="1"/>
  <c r="AS53" i="34" s="1"/>
  <c r="AT53" i="34" s="1"/>
  <c r="AU53" i="34" s="1"/>
  <c r="AV53" i="34" s="1"/>
  <c r="AW53" i="34" s="1"/>
  <c r="AX53" i="34" s="1"/>
  <c r="AY53" i="34" s="1"/>
  <c r="AZ53" i="34" s="1"/>
  <c r="BA53" i="34" s="1"/>
  <c r="BB53" i="34" s="1"/>
  <c r="BC53" i="34" s="1"/>
  <c r="BD53" i="34" s="1"/>
  <c r="BE53" i="34" s="1"/>
  <c r="BF53" i="34" s="1"/>
  <c r="BG53" i="34" s="1"/>
  <c r="BH53" i="34" s="1"/>
  <c r="BI53" i="34" s="1"/>
  <c r="BJ53" i="34" s="1"/>
  <c r="BK53" i="34" s="1"/>
  <c r="BL53" i="34" s="1"/>
  <c r="BM53" i="34" s="1"/>
  <c r="BN53" i="34" s="1"/>
  <c r="BO53" i="34" s="1"/>
  <c r="BP53" i="34" s="1"/>
  <c r="BQ53" i="34" s="1"/>
  <c r="BR53" i="34" s="1"/>
  <c r="BS53" i="34" s="1"/>
  <c r="BT53" i="34" s="1"/>
  <c r="BU53" i="34" s="1"/>
  <c r="BV53" i="34" s="1"/>
  <c r="BW53" i="34" s="1"/>
  <c r="BX53" i="34" s="1"/>
  <c r="BY53" i="34" s="1"/>
  <c r="BZ53" i="34" s="1"/>
  <c r="CA53" i="34" s="1"/>
  <c r="CB53" i="34" s="1"/>
  <c r="CC53" i="34" s="1"/>
  <c r="CD53" i="34" s="1"/>
  <c r="CE53" i="34" s="1"/>
  <c r="CF53" i="34" s="1"/>
  <c r="CG53" i="34" s="1"/>
  <c r="CH53" i="34" s="1"/>
  <c r="CI53" i="34" s="1"/>
  <c r="CJ53" i="34" s="1"/>
  <c r="CK53" i="34" s="1"/>
  <c r="CL53" i="34" s="1"/>
  <c r="CM53" i="34" s="1"/>
  <c r="CN53" i="34" s="1"/>
  <c r="CO53" i="34" s="1"/>
  <c r="CP53" i="34" s="1"/>
  <c r="CQ53" i="34" s="1"/>
  <c r="CR53" i="34" s="1"/>
  <c r="CS53" i="34" s="1"/>
  <c r="CT53" i="34" s="1"/>
  <c r="CU53" i="34" s="1"/>
  <c r="CV53" i="34" s="1"/>
  <c r="CW53" i="34" s="1"/>
  <c r="CX53" i="34" s="1"/>
  <c r="CY53" i="34" s="1"/>
  <c r="CZ53" i="34" s="1"/>
  <c r="DA53" i="34" s="1"/>
  <c r="DB53" i="34" s="1"/>
  <c r="DC53" i="34" s="1"/>
  <c r="DD53" i="34" s="1"/>
  <c r="DE53" i="34" s="1"/>
  <c r="DF53" i="34" s="1"/>
  <c r="DG53" i="34" s="1"/>
  <c r="DH53" i="34" s="1"/>
  <c r="DI53" i="34" s="1"/>
  <c r="DJ53" i="34" s="1"/>
  <c r="DK53" i="34" s="1"/>
  <c r="DL53" i="34" s="1"/>
  <c r="DM53" i="34" s="1"/>
  <c r="S69" i="34"/>
  <c r="T69" i="34" s="1"/>
  <c r="U69" i="34" s="1"/>
  <c r="V69" i="34" s="1"/>
  <c r="W69" i="34" s="1"/>
  <c r="X69" i="34" s="1"/>
  <c r="Y69" i="34" s="1"/>
  <c r="Z69" i="34" s="1"/>
  <c r="AA69" i="34" s="1"/>
  <c r="AB69" i="34" s="1"/>
  <c r="AC69" i="34" s="1"/>
  <c r="AD69" i="34" s="1"/>
  <c r="AE69" i="34" s="1"/>
  <c r="AF69" i="34" s="1"/>
  <c r="AG69" i="34" s="1"/>
  <c r="AH69" i="34" s="1"/>
  <c r="AI69" i="34" s="1"/>
  <c r="AJ69" i="34" s="1"/>
  <c r="AK69" i="34" s="1"/>
  <c r="AL69" i="34" s="1"/>
  <c r="AM69" i="34" s="1"/>
  <c r="AN69" i="34" s="1"/>
  <c r="AO69" i="34" s="1"/>
  <c r="AP69" i="34" s="1"/>
  <c r="AQ69" i="34" s="1"/>
  <c r="AR69" i="34" s="1"/>
  <c r="AS69" i="34" s="1"/>
  <c r="AT69" i="34" s="1"/>
  <c r="AU69" i="34" s="1"/>
  <c r="AV69" i="34" s="1"/>
  <c r="AW69" i="34" s="1"/>
  <c r="AX69" i="34" s="1"/>
  <c r="AY69" i="34" s="1"/>
  <c r="AZ69" i="34" s="1"/>
  <c r="BA69" i="34" s="1"/>
  <c r="BB69" i="34" s="1"/>
  <c r="BC69" i="34" s="1"/>
  <c r="BD69" i="34" s="1"/>
  <c r="BE69" i="34" s="1"/>
  <c r="BF69" i="34" s="1"/>
  <c r="BG69" i="34" s="1"/>
  <c r="BH69" i="34" s="1"/>
  <c r="BI69" i="34" s="1"/>
  <c r="BJ69" i="34" s="1"/>
  <c r="BK69" i="34" s="1"/>
  <c r="BL69" i="34" s="1"/>
  <c r="BM69" i="34" s="1"/>
  <c r="BN69" i="34" s="1"/>
  <c r="BO69" i="34" s="1"/>
  <c r="BP69" i="34" s="1"/>
  <c r="BQ69" i="34" s="1"/>
  <c r="BR69" i="34" s="1"/>
  <c r="BS69" i="34" s="1"/>
  <c r="BT69" i="34" s="1"/>
  <c r="BU69" i="34" s="1"/>
  <c r="BV69" i="34" s="1"/>
  <c r="BW69" i="34" s="1"/>
  <c r="BX69" i="34" s="1"/>
  <c r="BY69" i="34" s="1"/>
  <c r="BZ69" i="34" s="1"/>
  <c r="CA69" i="34" s="1"/>
  <c r="CB69" i="34" s="1"/>
  <c r="CC69" i="34" s="1"/>
  <c r="CD69" i="34" s="1"/>
  <c r="CE69" i="34" s="1"/>
  <c r="CF69" i="34" s="1"/>
  <c r="CG69" i="34" s="1"/>
  <c r="CH69" i="34" s="1"/>
  <c r="CI69" i="34" s="1"/>
  <c r="CJ69" i="34" s="1"/>
  <c r="CK69" i="34" s="1"/>
  <c r="CL69" i="34" s="1"/>
  <c r="CM69" i="34" s="1"/>
  <c r="CN69" i="34" s="1"/>
  <c r="CO69" i="34" s="1"/>
  <c r="CP69" i="34" s="1"/>
  <c r="CQ69" i="34" s="1"/>
  <c r="CR69" i="34" s="1"/>
  <c r="CS69" i="34" s="1"/>
  <c r="CT69" i="34" s="1"/>
  <c r="CU69" i="34" s="1"/>
  <c r="CV69" i="34" s="1"/>
  <c r="CW69" i="34" s="1"/>
  <c r="CX69" i="34" s="1"/>
  <c r="CY69" i="34" s="1"/>
  <c r="CZ69" i="34" s="1"/>
  <c r="DA69" i="34" s="1"/>
  <c r="DB69" i="34" s="1"/>
  <c r="DC69" i="34" s="1"/>
  <c r="DD69" i="34" s="1"/>
  <c r="DE69" i="34" s="1"/>
  <c r="DF69" i="34" s="1"/>
  <c r="DG69" i="34" s="1"/>
  <c r="DH69" i="34" s="1"/>
  <c r="DI69" i="34" s="1"/>
  <c r="DJ69" i="34" s="1"/>
  <c r="DK69" i="34" s="1"/>
  <c r="DL69" i="34" s="1"/>
  <c r="DM69" i="34" s="1"/>
  <c r="S71" i="34"/>
  <c r="T71" i="34" s="1"/>
  <c r="U71" i="34" s="1"/>
  <c r="V71" i="34" s="1"/>
  <c r="W71" i="34" s="1"/>
  <c r="X71" i="34" s="1"/>
  <c r="Y71" i="34" s="1"/>
  <c r="Z71" i="34" s="1"/>
  <c r="AA71" i="34" s="1"/>
  <c r="AB71" i="34" s="1"/>
  <c r="AC71" i="34" s="1"/>
  <c r="AD71" i="34" s="1"/>
  <c r="AE71" i="34" s="1"/>
  <c r="AF71" i="34" s="1"/>
  <c r="AG71" i="34" s="1"/>
  <c r="AH71" i="34" s="1"/>
  <c r="AI71" i="34" s="1"/>
  <c r="AJ71" i="34" s="1"/>
  <c r="AK71" i="34" s="1"/>
  <c r="AL71" i="34" s="1"/>
  <c r="AM71" i="34" s="1"/>
  <c r="AN71" i="34" s="1"/>
  <c r="AO71" i="34" s="1"/>
  <c r="AP71" i="34" s="1"/>
  <c r="AQ71" i="34" s="1"/>
  <c r="AR71" i="34" s="1"/>
  <c r="AS71" i="34" s="1"/>
  <c r="AT71" i="34" s="1"/>
  <c r="AU71" i="34" s="1"/>
  <c r="AV71" i="34" s="1"/>
  <c r="AW71" i="34" s="1"/>
  <c r="AX71" i="34" s="1"/>
  <c r="AY71" i="34" s="1"/>
  <c r="AZ71" i="34" s="1"/>
  <c r="BA71" i="34" s="1"/>
  <c r="BB71" i="34" s="1"/>
  <c r="BC71" i="34" s="1"/>
  <c r="BD71" i="34" s="1"/>
  <c r="BE71" i="34" s="1"/>
  <c r="BF71" i="34" s="1"/>
  <c r="BG71" i="34" s="1"/>
  <c r="BH71" i="34" s="1"/>
  <c r="BI71" i="34" s="1"/>
  <c r="BJ71" i="34" s="1"/>
  <c r="BK71" i="34" s="1"/>
  <c r="BL71" i="34" s="1"/>
  <c r="BM71" i="34" s="1"/>
  <c r="BN71" i="34" s="1"/>
  <c r="BO71" i="34" s="1"/>
  <c r="BP71" i="34" s="1"/>
  <c r="BQ71" i="34" s="1"/>
  <c r="BR71" i="34" s="1"/>
  <c r="BS71" i="34" s="1"/>
  <c r="BT71" i="34" s="1"/>
  <c r="BU71" i="34" s="1"/>
  <c r="BV71" i="34" s="1"/>
  <c r="BW71" i="34" s="1"/>
  <c r="BX71" i="34" s="1"/>
  <c r="BY71" i="34" s="1"/>
  <c r="BZ71" i="34" s="1"/>
  <c r="CA71" i="34" s="1"/>
  <c r="CB71" i="34" s="1"/>
  <c r="CC71" i="34" s="1"/>
  <c r="CD71" i="34" s="1"/>
  <c r="CE71" i="34" s="1"/>
  <c r="CF71" i="34" s="1"/>
  <c r="CG71" i="34" s="1"/>
  <c r="CH71" i="34" s="1"/>
  <c r="CI71" i="34" s="1"/>
  <c r="CJ71" i="34" s="1"/>
  <c r="CK71" i="34" s="1"/>
  <c r="CL71" i="34" s="1"/>
  <c r="CM71" i="34" s="1"/>
  <c r="CN71" i="34" s="1"/>
  <c r="CO71" i="34" s="1"/>
  <c r="CP71" i="34" s="1"/>
  <c r="CQ71" i="34" s="1"/>
  <c r="CR71" i="34" s="1"/>
  <c r="CS71" i="34" s="1"/>
  <c r="CT71" i="34" s="1"/>
  <c r="CU71" i="34" s="1"/>
  <c r="CV71" i="34" s="1"/>
  <c r="CW71" i="34" s="1"/>
  <c r="CX71" i="34" s="1"/>
  <c r="CY71" i="34" s="1"/>
  <c r="CZ71" i="34" s="1"/>
  <c r="DA71" i="34" s="1"/>
  <c r="DB71" i="34" s="1"/>
  <c r="DC71" i="34" s="1"/>
  <c r="DD71" i="34" s="1"/>
  <c r="DE71" i="34" s="1"/>
  <c r="DF71" i="34" s="1"/>
  <c r="DG71" i="34" s="1"/>
  <c r="DH71" i="34" s="1"/>
  <c r="DI71" i="34" s="1"/>
  <c r="DJ71" i="34" s="1"/>
  <c r="DK71" i="34" s="1"/>
  <c r="DL71" i="34" s="1"/>
  <c r="DM71" i="34" s="1"/>
  <c r="S61" i="34"/>
  <c r="T61" i="34" s="1"/>
  <c r="U61" i="34" s="1"/>
  <c r="V61" i="34" s="1"/>
  <c r="W61" i="34" s="1"/>
  <c r="X61" i="34" s="1"/>
  <c r="Y61" i="34" s="1"/>
  <c r="Z61" i="34" s="1"/>
  <c r="AA61" i="34" s="1"/>
  <c r="AB61" i="34" s="1"/>
  <c r="AC61" i="34" s="1"/>
  <c r="AD61" i="34" s="1"/>
  <c r="AE61" i="34" s="1"/>
  <c r="AF61" i="34" s="1"/>
  <c r="AG61" i="34" s="1"/>
  <c r="AH61" i="34" s="1"/>
  <c r="AI61" i="34" s="1"/>
  <c r="AJ61" i="34" s="1"/>
  <c r="AK61" i="34" s="1"/>
  <c r="AL61" i="34" s="1"/>
  <c r="AM61" i="34" s="1"/>
  <c r="AN61" i="34" s="1"/>
  <c r="AO61" i="34" s="1"/>
  <c r="AP61" i="34" s="1"/>
  <c r="AQ61" i="34" s="1"/>
  <c r="AR61" i="34" s="1"/>
  <c r="AS61" i="34" s="1"/>
  <c r="AT61" i="34" s="1"/>
  <c r="AU61" i="34" s="1"/>
  <c r="AV61" i="34" s="1"/>
  <c r="AW61" i="34" s="1"/>
  <c r="AX61" i="34" s="1"/>
  <c r="AY61" i="34" s="1"/>
  <c r="AZ61" i="34" s="1"/>
  <c r="BA61" i="34" s="1"/>
  <c r="BB61" i="34" s="1"/>
  <c r="BC61" i="34" s="1"/>
  <c r="BD61" i="34" s="1"/>
  <c r="BE61" i="34" s="1"/>
  <c r="BF61" i="34" s="1"/>
  <c r="BG61" i="34" s="1"/>
  <c r="BH61" i="34" s="1"/>
  <c r="BI61" i="34" s="1"/>
  <c r="BJ61" i="34" s="1"/>
  <c r="BK61" i="34" s="1"/>
  <c r="BL61" i="34" s="1"/>
  <c r="BM61" i="34" s="1"/>
  <c r="BN61" i="34" s="1"/>
  <c r="BO61" i="34" s="1"/>
  <c r="BP61" i="34" s="1"/>
  <c r="BQ61" i="34" s="1"/>
  <c r="BR61" i="34" s="1"/>
  <c r="BS61" i="34" s="1"/>
  <c r="BT61" i="34" s="1"/>
  <c r="BU61" i="34" s="1"/>
  <c r="BV61" i="34" s="1"/>
  <c r="BW61" i="34" s="1"/>
  <c r="BX61" i="34" s="1"/>
  <c r="BY61" i="34" s="1"/>
  <c r="BZ61" i="34" s="1"/>
  <c r="CA61" i="34" s="1"/>
  <c r="CB61" i="34" s="1"/>
  <c r="CC61" i="34" s="1"/>
  <c r="CD61" i="34" s="1"/>
  <c r="CE61" i="34" s="1"/>
  <c r="CF61" i="34" s="1"/>
  <c r="CG61" i="34" s="1"/>
  <c r="CH61" i="34" s="1"/>
  <c r="CI61" i="34" s="1"/>
  <c r="CJ61" i="34" s="1"/>
  <c r="CK61" i="34" s="1"/>
  <c r="CL61" i="34" s="1"/>
  <c r="CM61" i="34" s="1"/>
  <c r="CN61" i="34" s="1"/>
  <c r="CO61" i="34" s="1"/>
  <c r="CP61" i="34" s="1"/>
  <c r="CQ61" i="34" s="1"/>
  <c r="CR61" i="34" s="1"/>
  <c r="CS61" i="34" s="1"/>
  <c r="CT61" i="34" s="1"/>
  <c r="CU61" i="34" s="1"/>
  <c r="CV61" i="34" s="1"/>
  <c r="CW61" i="34" s="1"/>
  <c r="CX61" i="34" s="1"/>
  <c r="CY61" i="34" s="1"/>
  <c r="CZ61" i="34" s="1"/>
  <c r="DA61" i="34" s="1"/>
  <c r="DB61" i="34" s="1"/>
  <c r="DC61" i="34" s="1"/>
  <c r="DD61" i="34" s="1"/>
  <c r="DE61" i="34" s="1"/>
  <c r="DF61" i="34" s="1"/>
  <c r="DG61" i="34" s="1"/>
  <c r="DH61" i="34" s="1"/>
  <c r="DI61" i="34" s="1"/>
  <c r="DJ61" i="34" s="1"/>
  <c r="DK61" i="34" s="1"/>
  <c r="DL61" i="34" s="1"/>
  <c r="DM61" i="34" s="1"/>
  <c r="S28" i="34"/>
  <c r="T28" i="34" s="1"/>
  <c r="U28" i="34" s="1"/>
  <c r="V28" i="34" s="1"/>
  <c r="W28" i="34" s="1"/>
  <c r="X28" i="34" s="1"/>
  <c r="Y28" i="34" s="1"/>
  <c r="Z28" i="34" s="1"/>
  <c r="AA28" i="34" s="1"/>
  <c r="AB28" i="34" s="1"/>
  <c r="AC28" i="34" s="1"/>
  <c r="AD28" i="34" s="1"/>
  <c r="AE28" i="34" s="1"/>
  <c r="AF28" i="34" s="1"/>
  <c r="AG28" i="34" s="1"/>
  <c r="AH28" i="34" s="1"/>
  <c r="AI28" i="34" s="1"/>
  <c r="AJ28" i="34" s="1"/>
  <c r="AK28" i="34" s="1"/>
  <c r="AL28" i="34" s="1"/>
  <c r="AM28" i="34" s="1"/>
  <c r="AN28" i="34" s="1"/>
  <c r="AO28" i="34" s="1"/>
  <c r="AP28" i="34" s="1"/>
  <c r="AQ28" i="34" s="1"/>
  <c r="AR28" i="34" s="1"/>
  <c r="AS28" i="34" s="1"/>
  <c r="AT28" i="34" s="1"/>
  <c r="AU28" i="34" s="1"/>
  <c r="AV28" i="34" s="1"/>
  <c r="AW28" i="34" s="1"/>
  <c r="AX28" i="34" s="1"/>
  <c r="AY28" i="34" s="1"/>
  <c r="AZ28" i="34" s="1"/>
  <c r="BA28" i="34" s="1"/>
  <c r="BB28" i="34" s="1"/>
  <c r="BC28" i="34" s="1"/>
  <c r="BD28" i="34" s="1"/>
  <c r="BE28" i="34" s="1"/>
  <c r="BF28" i="34" s="1"/>
  <c r="BG28" i="34" s="1"/>
  <c r="BH28" i="34" s="1"/>
  <c r="BI28" i="34" s="1"/>
  <c r="BJ28" i="34" s="1"/>
  <c r="BK28" i="34" s="1"/>
  <c r="BL28" i="34" s="1"/>
  <c r="BM28" i="34" s="1"/>
  <c r="BN28" i="34" s="1"/>
  <c r="BO28" i="34" s="1"/>
  <c r="BP28" i="34" s="1"/>
  <c r="BQ28" i="34" s="1"/>
  <c r="BR28" i="34" s="1"/>
  <c r="BS28" i="34" s="1"/>
  <c r="BT28" i="34" s="1"/>
  <c r="BU28" i="34" s="1"/>
  <c r="BV28" i="34" s="1"/>
  <c r="BW28" i="34" s="1"/>
  <c r="BX28" i="34" s="1"/>
  <c r="BY28" i="34" s="1"/>
  <c r="BZ28" i="34" s="1"/>
  <c r="CA28" i="34" s="1"/>
  <c r="CB28" i="34" s="1"/>
  <c r="CC28" i="34" s="1"/>
  <c r="CD28" i="34" s="1"/>
  <c r="CE28" i="34" s="1"/>
  <c r="CF28" i="34" s="1"/>
  <c r="CG28" i="34" s="1"/>
  <c r="CH28" i="34" s="1"/>
  <c r="CI28" i="34" s="1"/>
  <c r="CJ28" i="34" s="1"/>
  <c r="CK28" i="34" s="1"/>
  <c r="CL28" i="34" s="1"/>
  <c r="CM28" i="34" s="1"/>
  <c r="CN28" i="34" s="1"/>
  <c r="CO28" i="34" s="1"/>
  <c r="CP28" i="34" s="1"/>
  <c r="CQ28" i="34" s="1"/>
  <c r="CR28" i="34" s="1"/>
  <c r="CS28" i="34" s="1"/>
  <c r="CT28" i="34" s="1"/>
  <c r="CU28" i="34" s="1"/>
  <c r="CV28" i="34" s="1"/>
  <c r="CW28" i="34" s="1"/>
  <c r="CX28" i="34" s="1"/>
  <c r="CY28" i="34" s="1"/>
  <c r="CZ28" i="34" s="1"/>
  <c r="DA28" i="34" s="1"/>
  <c r="DB28" i="34" s="1"/>
  <c r="DC28" i="34" s="1"/>
  <c r="DD28" i="34" s="1"/>
  <c r="DE28" i="34" s="1"/>
  <c r="DF28" i="34" s="1"/>
  <c r="DG28" i="34" s="1"/>
  <c r="DH28" i="34" s="1"/>
  <c r="DI28" i="34" s="1"/>
  <c r="DJ28" i="34" s="1"/>
  <c r="DK28" i="34" s="1"/>
  <c r="DL28" i="34" s="1"/>
  <c r="DM28" i="34" s="1"/>
  <c r="S22" i="34"/>
  <c r="T22" i="34" s="1"/>
  <c r="U22" i="34" s="1"/>
  <c r="V22" i="34" s="1"/>
  <c r="W22" i="34" s="1"/>
  <c r="X22" i="34" s="1"/>
  <c r="Y22" i="34" s="1"/>
  <c r="Z22" i="34" s="1"/>
  <c r="AA22" i="34" s="1"/>
  <c r="AB22" i="34" s="1"/>
  <c r="AC22" i="34" s="1"/>
  <c r="AD22" i="34" s="1"/>
  <c r="AE22" i="34" s="1"/>
  <c r="AF22" i="34" s="1"/>
  <c r="AG22" i="34" s="1"/>
  <c r="AH22" i="34" s="1"/>
  <c r="AI22" i="34" s="1"/>
  <c r="AJ22" i="34" s="1"/>
  <c r="AK22" i="34" s="1"/>
  <c r="AL22" i="34" s="1"/>
  <c r="AM22" i="34" s="1"/>
  <c r="AN22" i="34" s="1"/>
  <c r="AO22" i="34" s="1"/>
  <c r="AP22" i="34" s="1"/>
  <c r="AQ22" i="34" s="1"/>
  <c r="AR22" i="34" s="1"/>
  <c r="AS22" i="34" s="1"/>
  <c r="AT22" i="34" s="1"/>
  <c r="AU22" i="34" s="1"/>
  <c r="AV22" i="34" s="1"/>
  <c r="AW22" i="34" s="1"/>
  <c r="AX22" i="34" s="1"/>
  <c r="AY22" i="34" s="1"/>
  <c r="AZ22" i="34" s="1"/>
  <c r="BA22" i="34" s="1"/>
  <c r="BB22" i="34" s="1"/>
  <c r="BC22" i="34" s="1"/>
  <c r="BD22" i="34" s="1"/>
  <c r="BE22" i="34" s="1"/>
  <c r="BF22" i="34" s="1"/>
  <c r="BG22" i="34" s="1"/>
  <c r="BH22" i="34" s="1"/>
  <c r="BI22" i="34" s="1"/>
  <c r="BJ22" i="34" s="1"/>
  <c r="BK22" i="34" s="1"/>
  <c r="BL22" i="34" s="1"/>
  <c r="BM22" i="34" s="1"/>
  <c r="BN22" i="34" s="1"/>
  <c r="BO22" i="34" s="1"/>
  <c r="BP22" i="34" s="1"/>
  <c r="BQ22" i="34" s="1"/>
  <c r="BR22" i="34" s="1"/>
  <c r="BS22" i="34" s="1"/>
  <c r="BT22" i="34" s="1"/>
  <c r="BU22" i="34" s="1"/>
  <c r="BV22" i="34" s="1"/>
  <c r="BW22" i="34" s="1"/>
  <c r="BX22" i="34" s="1"/>
  <c r="BY22" i="34" s="1"/>
  <c r="BZ22" i="34" s="1"/>
  <c r="CA22" i="34" s="1"/>
  <c r="CB22" i="34" s="1"/>
  <c r="CC22" i="34" s="1"/>
  <c r="CD22" i="34" s="1"/>
  <c r="CE22" i="34" s="1"/>
  <c r="CF22" i="34" s="1"/>
  <c r="CG22" i="34" s="1"/>
  <c r="CH22" i="34" s="1"/>
  <c r="CI22" i="34" s="1"/>
  <c r="CJ22" i="34" s="1"/>
  <c r="CK22" i="34" s="1"/>
  <c r="CL22" i="34" s="1"/>
  <c r="CM22" i="34" s="1"/>
  <c r="CN22" i="34" s="1"/>
  <c r="CO22" i="34" s="1"/>
  <c r="CP22" i="34" s="1"/>
  <c r="CQ22" i="34" s="1"/>
  <c r="CR22" i="34" s="1"/>
  <c r="CS22" i="34" s="1"/>
  <c r="CT22" i="34" s="1"/>
  <c r="CU22" i="34" s="1"/>
  <c r="CV22" i="34" s="1"/>
  <c r="CW22" i="34" s="1"/>
  <c r="CX22" i="34" s="1"/>
  <c r="CY22" i="34" s="1"/>
  <c r="CZ22" i="34" s="1"/>
  <c r="DA22" i="34" s="1"/>
  <c r="DB22" i="34" s="1"/>
  <c r="DC22" i="34" s="1"/>
  <c r="DD22" i="34" s="1"/>
  <c r="DE22" i="34" s="1"/>
  <c r="DF22" i="34" s="1"/>
  <c r="DG22" i="34" s="1"/>
  <c r="DH22" i="34" s="1"/>
  <c r="DI22" i="34" s="1"/>
  <c r="DJ22" i="34" s="1"/>
  <c r="DK22" i="34" s="1"/>
  <c r="DL22" i="34" s="1"/>
  <c r="DM22" i="34" s="1"/>
  <c r="S46" i="34"/>
  <c r="T46" i="34" s="1"/>
  <c r="U46" i="34" s="1"/>
  <c r="V46" i="34" s="1"/>
  <c r="W46" i="34" s="1"/>
  <c r="X46" i="34" s="1"/>
  <c r="Y46" i="34" s="1"/>
  <c r="Z46" i="34" s="1"/>
  <c r="AA46" i="34" s="1"/>
  <c r="AB46" i="34" s="1"/>
  <c r="AC46" i="34" s="1"/>
  <c r="AD46" i="34" s="1"/>
  <c r="AE46" i="34" s="1"/>
  <c r="AF46" i="34" s="1"/>
  <c r="AG46" i="34" s="1"/>
  <c r="AH46" i="34" s="1"/>
  <c r="AI46" i="34" s="1"/>
  <c r="AJ46" i="34" s="1"/>
  <c r="AK46" i="34" s="1"/>
  <c r="AL46" i="34" s="1"/>
  <c r="AM46" i="34" s="1"/>
  <c r="AN46" i="34" s="1"/>
  <c r="AO46" i="34" s="1"/>
  <c r="AP46" i="34" s="1"/>
  <c r="AQ46" i="34" s="1"/>
  <c r="AR46" i="34" s="1"/>
  <c r="AS46" i="34" s="1"/>
  <c r="AT46" i="34" s="1"/>
  <c r="AU46" i="34" s="1"/>
  <c r="AV46" i="34" s="1"/>
  <c r="AW46" i="34" s="1"/>
  <c r="AX46" i="34" s="1"/>
  <c r="AY46" i="34" s="1"/>
  <c r="AZ46" i="34" s="1"/>
  <c r="BA46" i="34" s="1"/>
  <c r="BB46" i="34" s="1"/>
  <c r="BC46" i="34" s="1"/>
  <c r="BD46" i="34" s="1"/>
  <c r="BE46" i="34" s="1"/>
  <c r="BF46" i="34" s="1"/>
  <c r="BG46" i="34" s="1"/>
  <c r="BH46" i="34" s="1"/>
  <c r="BI46" i="34" s="1"/>
  <c r="BJ46" i="34" s="1"/>
  <c r="BK46" i="34" s="1"/>
  <c r="BL46" i="34" s="1"/>
  <c r="BM46" i="34" s="1"/>
  <c r="BN46" i="34" s="1"/>
  <c r="BO46" i="34" s="1"/>
  <c r="BP46" i="34" s="1"/>
  <c r="BQ46" i="34" s="1"/>
  <c r="BR46" i="34" s="1"/>
  <c r="BS46" i="34" s="1"/>
  <c r="BT46" i="34" s="1"/>
  <c r="BU46" i="34" s="1"/>
  <c r="BV46" i="34" s="1"/>
  <c r="BW46" i="34" s="1"/>
  <c r="BX46" i="34" s="1"/>
  <c r="BY46" i="34" s="1"/>
  <c r="BZ46" i="34" s="1"/>
  <c r="CA46" i="34" s="1"/>
  <c r="CB46" i="34" s="1"/>
  <c r="CC46" i="34" s="1"/>
  <c r="CD46" i="34" s="1"/>
  <c r="CE46" i="34" s="1"/>
  <c r="CF46" i="34" s="1"/>
  <c r="CG46" i="34" s="1"/>
  <c r="CH46" i="34" s="1"/>
  <c r="CI46" i="34" s="1"/>
  <c r="CJ46" i="34" s="1"/>
  <c r="CK46" i="34" s="1"/>
  <c r="CL46" i="34" s="1"/>
  <c r="CM46" i="34" s="1"/>
  <c r="CN46" i="34" s="1"/>
  <c r="CO46" i="34" s="1"/>
  <c r="CP46" i="34" s="1"/>
  <c r="CQ46" i="34" s="1"/>
  <c r="CR46" i="34" s="1"/>
  <c r="CS46" i="34" s="1"/>
  <c r="CT46" i="34" s="1"/>
  <c r="CU46" i="34" s="1"/>
  <c r="CV46" i="34" s="1"/>
  <c r="CW46" i="34" s="1"/>
  <c r="CX46" i="34" s="1"/>
  <c r="CY46" i="34" s="1"/>
  <c r="CZ46" i="34" s="1"/>
  <c r="DA46" i="34" s="1"/>
  <c r="DB46" i="34" s="1"/>
  <c r="DC46" i="34" s="1"/>
  <c r="DD46" i="34" s="1"/>
  <c r="DE46" i="34" s="1"/>
  <c r="DF46" i="34" s="1"/>
  <c r="DG46" i="34" s="1"/>
  <c r="DH46" i="34" s="1"/>
  <c r="DI46" i="34" s="1"/>
  <c r="DJ46" i="34" s="1"/>
  <c r="DK46" i="34" s="1"/>
  <c r="DL46" i="34" s="1"/>
  <c r="DM46" i="34" s="1"/>
  <c r="X7" i="59"/>
  <c r="E3" i="60"/>
  <c r="E16" i="60" s="1"/>
  <c r="S51" i="34"/>
  <c r="T51" i="34" s="1"/>
  <c r="U51" i="34" s="1"/>
  <c r="V51" i="34" s="1"/>
  <c r="W51" i="34" s="1"/>
  <c r="X51" i="34" s="1"/>
  <c r="Y51" i="34" s="1"/>
  <c r="Z51" i="34" s="1"/>
  <c r="AA51" i="34" s="1"/>
  <c r="AB51" i="34" s="1"/>
  <c r="AC51" i="34" s="1"/>
  <c r="AD51" i="34" s="1"/>
  <c r="AE51" i="34" s="1"/>
  <c r="AF51" i="34" s="1"/>
  <c r="AG51" i="34" s="1"/>
  <c r="AH51" i="34" s="1"/>
  <c r="AI51" i="34" s="1"/>
  <c r="AJ51" i="34" s="1"/>
  <c r="AK51" i="34" s="1"/>
  <c r="AL51" i="34" s="1"/>
  <c r="AM51" i="34" s="1"/>
  <c r="AN51" i="34" s="1"/>
  <c r="AO51" i="34" s="1"/>
  <c r="AP51" i="34" s="1"/>
  <c r="AQ51" i="34" s="1"/>
  <c r="AR51" i="34" s="1"/>
  <c r="AS51" i="34" s="1"/>
  <c r="AT51" i="34" s="1"/>
  <c r="AU51" i="34" s="1"/>
  <c r="AV51" i="34" s="1"/>
  <c r="AW51" i="34" s="1"/>
  <c r="AX51" i="34" s="1"/>
  <c r="AY51" i="34" s="1"/>
  <c r="AZ51" i="34" s="1"/>
  <c r="BA51" i="34" s="1"/>
  <c r="BB51" i="34" s="1"/>
  <c r="BC51" i="34" s="1"/>
  <c r="BD51" i="34" s="1"/>
  <c r="BE51" i="34" s="1"/>
  <c r="BF51" i="34" s="1"/>
  <c r="BG51" i="34" s="1"/>
  <c r="BH51" i="34" s="1"/>
  <c r="BI51" i="34" s="1"/>
  <c r="BJ51" i="34" s="1"/>
  <c r="BK51" i="34" s="1"/>
  <c r="BL51" i="34" s="1"/>
  <c r="BM51" i="34" s="1"/>
  <c r="BN51" i="34" s="1"/>
  <c r="BO51" i="34" s="1"/>
  <c r="BP51" i="34" s="1"/>
  <c r="BQ51" i="34" s="1"/>
  <c r="BR51" i="34" s="1"/>
  <c r="BS51" i="34" s="1"/>
  <c r="BT51" i="34" s="1"/>
  <c r="BU51" i="34" s="1"/>
  <c r="BV51" i="34" s="1"/>
  <c r="BW51" i="34" s="1"/>
  <c r="BX51" i="34" s="1"/>
  <c r="BY51" i="34" s="1"/>
  <c r="BZ51" i="34" s="1"/>
  <c r="CA51" i="34" s="1"/>
  <c r="CB51" i="34" s="1"/>
  <c r="CC51" i="34" s="1"/>
  <c r="CD51" i="34" s="1"/>
  <c r="CE51" i="34" s="1"/>
  <c r="CF51" i="34" s="1"/>
  <c r="CG51" i="34" s="1"/>
  <c r="CH51" i="34" s="1"/>
  <c r="CI51" i="34" s="1"/>
  <c r="CJ51" i="34" s="1"/>
  <c r="CK51" i="34" s="1"/>
  <c r="CL51" i="34" s="1"/>
  <c r="CM51" i="34" s="1"/>
  <c r="CN51" i="34" s="1"/>
  <c r="CO51" i="34" s="1"/>
  <c r="CP51" i="34" s="1"/>
  <c r="CQ51" i="34" s="1"/>
  <c r="CR51" i="34" s="1"/>
  <c r="CS51" i="34" s="1"/>
  <c r="CT51" i="34" s="1"/>
  <c r="CU51" i="34" s="1"/>
  <c r="CV51" i="34" s="1"/>
  <c r="CW51" i="34" s="1"/>
  <c r="CX51" i="34" s="1"/>
  <c r="CY51" i="34" s="1"/>
  <c r="CZ51" i="34" s="1"/>
  <c r="DA51" i="34" s="1"/>
  <c r="DB51" i="34" s="1"/>
  <c r="DC51" i="34" s="1"/>
  <c r="DD51" i="34" s="1"/>
  <c r="DE51" i="34" s="1"/>
  <c r="DF51" i="34" s="1"/>
  <c r="DG51" i="34" s="1"/>
  <c r="DH51" i="34" s="1"/>
  <c r="DI51" i="34" s="1"/>
  <c r="DJ51" i="34" s="1"/>
  <c r="DK51" i="34" s="1"/>
  <c r="DL51" i="34" s="1"/>
  <c r="DM51" i="34" s="1"/>
  <c r="S18" i="34"/>
  <c r="T18" i="34" s="1"/>
  <c r="U18" i="34" s="1"/>
  <c r="V18" i="34" s="1"/>
  <c r="W18" i="34" s="1"/>
  <c r="X18" i="34" s="1"/>
  <c r="Y18" i="34" s="1"/>
  <c r="Z18" i="34" s="1"/>
  <c r="AA18" i="34" s="1"/>
  <c r="AB18" i="34" s="1"/>
  <c r="AC18" i="34" s="1"/>
  <c r="AD18" i="34" s="1"/>
  <c r="AE18" i="34" s="1"/>
  <c r="AF18" i="34" s="1"/>
  <c r="AG18" i="34" s="1"/>
  <c r="AH18" i="34" s="1"/>
  <c r="AI18" i="34" s="1"/>
  <c r="AJ18" i="34" s="1"/>
  <c r="AK18" i="34" s="1"/>
  <c r="AL18" i="34" s="1"/>
  <c r="AM18" i="34" s="1"/>
  <c r="AN18" i="34" s="1"/>
  <c r="AO18" i="34" s="1"/>
  <c r="AP18" i="34" s="1"/>
  <c r="AQ18" i="34" s="1"/>
  <c r="AR18" i="34" s="1"/>
  <c r="AS18" i="34" s="1"/>
  <c r="AT18" i="34" s="1"/>
  <c r="AU18" i="34" s="1"/>
  <c r="AV18" i="34" s="1"/>
  <c r="AW18" i="34" s="1"/>
  <c r="AX18" i="34" s="1"/>
  <c r="AY18" i="34" s="1"/>
  <c r="AZ18" i="34" s="1"/>
  <c r="BA18" i="34" s="1"/>
  <c r="BB18" i="34" s="1"/>
  <c r="BC18" i="34" s="1"/>
  <c r="BD18" i="34" s="1"/>
  <c r="BE18" i="34" s="1"/>
  <c r="BF18" i="34" s="1"/>
  <c r="BG18" i="34" s="1"/>
  <c r="BH18" i="34" s="1"/>
  <c r="BI18" i="34" s="1"/>
  <c r="BJ18" i="34" s="1"/>
  <c r="BK18" i="34" s="1"/>
  <c r="BL18" i="34" s="1"/>
  <c r="BM18" i="34" s="1"/>
  <c r="BN18" i="34" s="1"/>
  <c r="BO18" i="34" s="1"/>
  <c r="BP18" i="34" s="1"/>
  <c r="BQ18" i="34" s="1"/>
  <c r="BR18" i="34" s="1"/>
  <c r="BS18" i="34" s="1"/>
  <c r="BT18" i="34" s="1"/>
  <c r="BU18" i="34" s="1"/>
  <c r="BV18" i="34" s="1"/>
  <c r="BW18" i="34" s="1"/>
  <c r="BX18" i="34" s="1"/>
  <c r="BY18" i="34" s="1"/>
  <c r="BZ18" i="34" s="1"/>
  <c r="CA18" i="34" s="1"/>
  <c r="CB18" i="34" s="1"/>
  <c r="CC18" i="34" s="1"/>
  <c r="CD18" i="34" s="1"/>
  <c r="CE18" i="34" s="1"/>
  <c r="CF18" i="34" s="1"/>
  <c r="CG18" i="34" s="1"/>
  <c r="CH18" i="34" s="1"/>
  <c r="CI18" i="34" s="1"/>
  <c r="CJ18" i="34" s="1"/>
  <c r="CK18" i="34" s="1"/>
  <c r="CL18" i="34" s="1"/>
  <c r="CM18" i="34" s="1"/>
  <c r="CN18" i="34" s="1"/>
  <c r="CO18" i="34" s="1"/>
  <c r="CP18" i="34" s="1"/>
  <c r="CQ18" i="34" s="1"/>
  <c r="CR18" i="34" s="1"/>
  <c r="CS18" i="34" s="1"/>
  <c r="CT18" i="34" s="1"/>
  <c r="CU18" i="34" s="1"/>
  <c r="CV18" i="34" s="1"/>
  <c r="CW18" i="34" s="1"/>
  <c r="CX18" i="34" s="1"/>
  <c r="CY18" i="34" s="1"/>
  <c r="CZ18" i="34" s="1"/>
  <c r="DA18" i="34" s="1"/>
  <c r="DB18" i="34" s="1"/>
  <c r="DC18" i="34" s="1"/>
  <c r="DD18" i="34" s="1"/>
  <c r="DE18" i="34" s="1"/>
  <c r="DF18" i="34" s="1"/>
  <c r="DG18" i="34" s="1"/>
  <c r="DH18" i="34" s="1"/>
  <c r="DI18" i="34" s="1"/>
  <c r="DJ18" i="34" s="1"/>
  <c r="DK18" i="34" s="1"/>
  <c r="DL18" i="34" s="1"/>
  <c r="DM18" i="34" s="1"/>
  <c r="S35" i="34"/>
  <c r="T35" i="34" s="1"/>
  <c r="U35" i="34" s="1"/>
  <c r="V35" i="34" s="1"/>
  <c r="W35" i="34" s="1"/>
  <c r="X35" i="34" s="1"/>
  <c r="Y35" i="34" s="1"/>
  <c r="Z35" i="34" s="1"/>
  <c r="AA35" i="34" s="1"/>
  <c r="AB35" i="34" s="1"/>
  <c r="AC35" i="34" s="1"/>
  <c r="AD35" i="34" s="1"/>
  <c r="AE35" i="34" s="1"/>
  <c r="AF35" i="34" s="1"/>
  <c r="AG35" i="34" s="1"/>
  <c r="AH35" i="34" s="1"/>
  <c r="AI35" i="34" s="1"/>
  <c r="AJ35" i="34" s="1"/>
  <c r="AK35" i="34" s="1"/>
  <c r="AL35" i="34" s="1"/>
  <c r="AM35" i="34" s="1"/>
  <c r="AN35" i="34" s="1"/>
  <c r="AO35" i="34" s="1"/>
  <c r="AP35" i="34" s="1"/>
  <c r="AQ35" i="34" s="1"/>
  <c r="AR35" i="34" s="1"/>
  <c r="AS35" i="34" s="1"/>
  <c r="AT35" i="34" s="1"/>
  <c r="AU35" i="34" s="1"/>
  <c r="AV35" i="34" s="1"/>
  <c r="AW35" i="34" s="1"/>
  <c r="AX35" i="34" s="1"/>
  <c r="AY35" i="34" s="1"/>
  <c r="AZ35" i="34" s="1"/>
  <c r="BA35" i="34" s="1"/>
  <c r="BB35" i="34" s="1"/>
  <c r="BC35" i="34" s="1"/>
  <c r="BD35" i="34" s="1"/>
  <c r="BE35" i="34" s="1"/>
  <c r="BF35" i="34" s="1"/>
  <c r="BG35" i="34" s="1"/>
  <c r="BH35" i="34" s="1"/>
  <c r="BI35" i="34" s="1"/>
  <c r="BJ35" i="34" s="1"/>
  <c r="BK35" i="34" s="1"/>
  <c r="BL35" i="34" s="1"/>
  <c r="BM35" i="34" s="1"/>
  <c r="BN35" i="34" s="1"/>
  <c r="BO35" i="34" s="1"/>
  <c r="BP35" i="34" s="1"/>
  <c r="BQ35" i="34" s="1"/>
  <c r="BR35" i="34" s="1"/>
  <c r="BS35" i="34" s="1"/>
  <c r="BT35" i="34" s="1"/>
  <c r="BU35" i="34" s="1"/>
  <c r="BV35" i="34" s="1"/>
  <c r="BW35" i="34" s="1"/>
  <c r="BX35" i="34" s="1"/>
  <c r="BY35" i="34" s="1"/>
  <c r="BZ35" i="34" s="1"/>
  <c r="CA35" i="34" s="1"/>
  <c r="CB35" i="34" s="1"/>
  <c r="CC35" i="34" s="1"/>
  <c r="CD35" i="34" s="1"/>
  <c r="CE35" i="34" s="1"/>
  <c r="CF35" i="34" s="1"/>
  <c r="CG35" i="34" s="1"/>
  <c r="CH35" i="34" s="1"/>
  <c r="CI35" i="34" s="1"/>
  <c r="CJ35" i="34" s="1"/>
  <c r="CK35" i="34" s="1"/>
  <c r="CL35" i="34" s="1"/>
  <c r="CM35" i="34" s="1"/>
  <c r="CN35" i="34" s="1"/>
  <c r="CO35" i="34" s="1"/>
  <c r="CP35" i="34" s="1"/>
  <c r="CQ35" i="34" s="1"/>
  <c r="CR35" i="34" s="1"/>
  <c r="CS35" i="34" s="1"/>
  <c r="CT35" i="34" s="1"/>
  <c r="CU35" i="34" s="1"/>
  <c r="CV35" i="34" s="1"/>
  <c r="CW35" i="34" s="1"/>
  <c r="CX35" i="34" s="1"/>
  <c r="CY35" i="34" s="1"/>
  <c r="CZ35" i="34" s="1"/>
  <c r="DA35" i="34" s="1"/>
  <c r="DB35" i="34" s="1"/>
  <c r="DC35" i="34" s="1"/>
  <c r="DD35" i="34" s="1"/>
  <c r="DE35" i="34" s="1"/>
  <c r="DF35" i="34" s="1"/>
  <c r="DG35" i="34" s="1"/>
  <c r="DH35" i="34" s="1"/>
  <c r="DI35" i="34" s="1"/>
  <c r="DJ35" i="34" s="1"/>
  <c r="DK35" i="34" s="1"/>
  <c r="DL35" i="34" s="1"/>
  <c r="DM35" i="34" s="1"/>
  <c r="S50" i="34"/>
  <c r="T50" i="34" s="1"/>
  <c r="U50" i="34" s="1"/>
  <c r="V50" i="34" s="1"/>
  <c r="W50" i="34" s="1"/>
  <c r="X50" i="34" s="1"/>
  <c r="Y50" i="34" s="1"/>
  <c r="Z50" i="34" s="1"/>
  <c r="AA50" i="34" s="1"/>
  <c r="AB50" i="34" s="1"/>
  <c r="AC50" i="34" s="1"/>
  <c r="AD50" i="34" s="1"/>
  <c r="AE50" i="34" s="1"/>
  <c r="AF50" i="34" s="1"/>
  <c r="AG50" i="34" s="1"/>
  <c r="AH50" i="34" s="1"/>
  <c r="AI50" i="34" s="1"/>
  <c r="AJ50" i="34" s="1"/>
  <c r="AK50" i="34" s="1"/>
  <c r="AL50" i="34" s="1"/>
  <c r="AM50" i="34" s="1"/>
  <c r="AN50" i="34" s="1"/>
  <c r="AO50" i="34" s="1"/>
  <c r="AP50" i="34" s="1"/>
  <c r="AQ50" i="34" s="1"/>
  <c r="AR50" i="34" s="1"/>
  <c r="AS50" i="34" s="1"/>
  <c r="AT50" i="34" s="1"/>
  <c r="AU50" i="34" s="1"/>
  <c r="AV50" i="34" s="1"/>
  <c r="AW50" i="34" s="1"/>
  <c r="AX50" i="34" s="1"/>
  <c r="AY50" i="34" s="1"/>
  <c r="AZ50" i="34" s="1"/>
  <c r="BA50" i="34" s="1"/>
  <c r="BB50" i="34" s="1"/>
  <c r="BC50" i="34" s="1"/>
  <c r="BD50" i="34" s="1"/>
  <c r="BE50" i="34" s="1"/>
  <c r="BF50" i="34" s="1"/>
  <c r="BG50" i="34" s="1"/>
  <c r="BH50" i="34" s="1"/>
  <c r="BI50" i="34" s="1"/>
  <c r="BJ50" i="34" s="1"/>
  <c r="BK50" i="34" s="1"/>
  <c r="BL50" i="34" s="1"/>
  <c r="BM50" i="34" s="1"/>
  <c r="BN50" i="34" s="1"/>
  <c r="BO50" i="34" s="1"/>
  <c r="BP50" i="34" s="1"/>
  <c r="BQ50" i="34" s="1"/>
  <c r="BR50" i="34" s="1"/>
  <c r="BS50" i="34" s="1"/>
  <c r="BT50" i="34" s="1"/>
  <c r="BU50" i="34" s="1"/>
  <c r="BV50" i="34" s="1"/>
  <c r="BW50" i="34" s="1"/>
  <c r="BX50" i="34" s="1"/>
  <c r="BY50" i="34" s="1"/>
  <c r="BZ50" i="34" s="1"/>
  <c r="CA50" i="34" s="1"/>
  <c r="CB50" i="34" s="1"/>
  <c r="CC50" i="34" s="1"/>
  <c r="CD50" i="34" s="1"/>
  <c r="CE50" i="34" s="1"/>
  <c r="CF50" i="34" s="1"/>
  <c r="CG50" i="34" s="1"/>
  <c r="CH50" i="34" s="1"/>
  <c r="CI50" i="34" s="1"/>
  <c r="CJ50" i="34" s="1"/>
  <c r="CK50" i="34" s="1"/>
  <c r="CL50" i="34" s="1"/>
  <c r="CM50" i="34" s="1"/>
  <c r="CN50" i="34" s="1"/>
  <c r="CO50" i="34" s="1"/>
  <c r="CP50" i="34" s="1"/>
  <c r="CQ50" i="34" s="1"/>
  <c r="CR50" i="34" s="1"/>
  <c r="CS50" i="34" s="1"/>
  <c r="CT50" i="34" s="1"/>
  <c r="CU50" i="34" s="1"/>
  <c r="CV50" i="34" s="1"/>
  <c r="CW50" i="34" s="1"/>
  <c r="CX50" i="34" s="1"/>
  <c r="CY50" i="34" s="1"/>
  <c r="CZ50" i="34" s="1"/>
  <c r="DA50" i="34" s="1"/>
  <c r="DB50" i="34" s="1"/>
  <c r="DC50" i="34" s="1"/>
  <c r="DD50" i="34" s="1"/>
  <c r="DE50" i="34" s="1"/>
  <c r="DF50" i="34" s="1"/>
  <c r="DG50" i="34" s="1"/>
  <c r="DH50" i="34" s="1"/>
  <c r="DI50" i="34" s="1"/>
  <c r="DJ50" i="34" s="1"/>
  <c r="DK50" i="34" s="1"/>
  <c r="DL50" i="34" s="1"/>
  <c r="DM50" i="34" s="1"/>
  <c r="S55" i="34"/>
  <c r="T55" i="34" s="1"/>
  <c r="U55" i="34" s="1"/>
  <c r="V55" i="34" s="1"/>
  <c r="W55" i="34" s="1"/>
  <c r="X55" i="34" s="1"/>
  <c r="Y55" i="34" s="1"/>
  <c r="Z55" i="34" s="1"/>
  <c r="AA55" i="34" s="1"/>
  <c r="AB55" i="34" s="1"/>
  <c r="AC55" i="34" s="1"/>
  <c r="AD55" i="34" s="1"/>
  <c r="AE55" i="34" s="1"/>
  <c r="AF55" i="34" s="1"/>
  <c r="AG55" i="34" s="1"/>
  <c r="AH55" i="34" s="1"/>
  <c r="AI55" i="34" s="1"/>
  <c r="AJ55" i="34" s="1"/>
  <c r="AK55" i="34" s="1"/>
  <c r="AL55" i="34" s="1"/>
  <c r="AM55" i="34" s="1"/>
  <c r="AN55" i="34" s="1"/>
  <c r="AO55" i="34" s="1"/>
  <c r="AP55" i="34" s="1"/>
  <c r="AQ55" i="34" s="1"/>
  <c r="AR55" i="34" s="1"/>
  <c r="AS55" i="34" s="1"/>
  <c r="AT55" i="34" s="1"/>
  <c r="AU55" i="34" s="1"/>
  <c r="AV55" i="34" s="1"/>
  <c r="AW55" i="34" s="1"/>
  <c r="AX55" i="34" s="1"/>
  <c r="AY55" i="34" s="1"/>
  <c r="AZ55" i="34" s="1"/>
  <c r="BA55" i="34" s="1"/>
  <c r="BB55" i="34" s="1"/>
  <c r="BC55" i="34" s="1"/>
  <c r="BD55" i="34" s="1"/>
  <c r="BE55" i="34" s="1"/>
  <c r="BF55" i="34" s="1"/>
  <c r="BG55" i="34" s="1"/>
  <c r="BH55" i="34" s="1"/>
  <c r="BI55" i="34" s="1"/>
  <c r="BJ55" i="34" s="1"/>
  <c r="BK55" i="34" s="1"/>
  <c r="BL55" i="34" s="1"/>
  <c r="BM55" i="34" s="1"/>
  <c r="BN55" i="34" s="1"/>
  <c r="BO55" i="34" s="1"/>
  <c r="BP55" i="34" s="1"/>
  <c r="BQ55" i="34" s="1"/>
  <c r="BR55" i="34" s="1"/>
  <c r="BS55" i="34" s="1"/>
  <c r="BT55" i="34" s="1"/>
  <c r="BU55" i="34" s="1"/>
  <c r="BV55" i="34" s="1"/>
  <c r="BW55" i="34" s="1"/>
  <c r="BX55" i="34" s="1"/>
  <c r="BY55" i="34" s="1"/>
  <c r="BZ55" i="34" s="1"/>
  <c r="CA55" i="34" s="1"/>
  <c r="CB55" i="34" s="1"/>
  <c r="CC55" i="34" s="1"/>
  <c r="CD55" i="34" s="1"/>
  <c r="CE55" i="34" s="1"/>
  <c r="CF55" i="34" s="1"/>
  <c r="CG55" i="34" s="1"/>
  <c r="CH55" i="34" s="1"/>
  <c r="CI55" i="34" s="1"/>
  <c r="CJ55" i="34" s="1"/>
  <c r="CK55" i="34" s="1"/>
  <c r="CL55" i="34" s="1"/>
  <c r="CM55" i="34" s="1"/>
  <c r="CN55" i="34" s="1"/>
  <c r="CO55" i="34" s="1"/>
  <c r="CP55" i="34" s="1"/>
  <c r="CQ55" i="34" s="1"/>
  <c r="CR55" i="34" s="1"/>
  <c r="CS55" i="34" s="1"/>
  <c r="CT55" i="34" s="1"/>
  <c r="CU55" i="34" s="1"/>
  <c r="CV55" i="34" s="1"/>
  <c r="CW55" i="34" s="1"/>
  <c r="CX55" i="34" s="1"/>
  <c r="CY55" i="34" s="1"/>
  <c r="CZ55" i="34" s="1"/>
  <c r="DA55" i="34" s="1"/>
  <c r="DB55" i="34" s="1"/>
  <c r="DC55" i="34" s="1"/>
  <c r="DD55" i="34" s="1"/>
  <c r="DE55" i="34" s="1"/>
  <c r="DF55" i="34" s="1"/>
  <c r="DG55" i="34" s="1"/>
  <c r="DH55" i="34" s="1"/>
  <c r="DI55" i="34" s="1"/>
  <c r="DJ55" i="34" s="1"/>
  <c r="DK55" i="34" s="1"/>
  <c r="DL55" i="34" s="1"/>
  <c r="DM55" i="34" s="1"/>
  <c r="S15" i="34"/>
  <c r="T15" i="34" s="1"/>
  <c r="U15" i="34" s="1"/>
  <c r="V15" i="34" s="1"/>
  <c r="W15" i="34" s="1"/>
  <c r="X15" i="34" s="1"/>
  <c r="Y15" i="34" s="1"/>
  <c r="Z15" i="34" s="1"/>
  <c r="AA15" i="34" s="1"/>
  <c r="AB15" i="34" s="1"/>
  <c r="AC15" i="34" s="1"/>
  <c r="AD15" i="34" s="1"/>
  <c r="AE15" i="34" s="1"/>
  <c r="AF15" i="34" s="1"/>
  <c r="AG15" i="34" s="1"/>
  <c r="AH15" i="34" s="1"/>
  <c r="AI15" i="34" s="1"/>
  <c r="AJ15" i="34" s="1"/>
  <c r="AK15" i="34" s="1"/>
  <c r="AL15" i="34" s="1"/>
  <c r="AM15" i="34" s="1"/>
  <c r="AN15" i="34" s="1"/>
  <c r="AO15" i="34" s="1"/>
  <c r="AP15" i="34" s="1"/>
  <c r="AQ15" i="34" s="1"/>
  <c r="AR15" i="34" s="1"/>
  <c r="AS15" i="34" s="1"/>
  <c r="AT15" i="34" s="1"/>
  <c r="AU15" i="34" s="1"/>
  <c r="AV15" i="34" s="1"/>
  <c r="AW15" i="34" s="1"/>
  <c r="AX15" i="34" s="1"/>
  <c r="AY15" i="34" s="1"/>
  <c r="AZ15" i="34" s="1"/>
  <c r="BA15" i="34" s="1"/>
  <c r="BB15" i="34" s="1"/>
  <c r="BC15" i="34" s="1"/>
  <c r="BD15" i="34" s="1"/>
  <c r="BE15" i="34" s="1"/>
  <c r="BF15" i="34" s="1"/>
  <c r="BG15" i="34" s="1"/>
  <c r="BH15" i="34" s="1"/>
  <c r="BI15" i="34" s="1"/>
  <c r="BJ15" i="34" s="1"/>
  <c r="BK15" i="34" s="1"/>
  <c r="BL15" i="34" s="1"/>
  <c r="BM15" i="34" s="1"/>
  <c r="BN15" i="34" s="1"/>
  <c r="BO15" i="34" s="1"/>
  <c r="BP15" i="34" s="1"/>
  <c r="BQ15" i="34" s="1"/>
  <c r="BR15" i="34" s="1"/>
  <c r="BS15" i="34" s="1"/>
  <c r="BT15" i="34" s="1"/>
  <c r="BU15" i="34" s="1"/>
  <c r="BV15" i="34" s="1"/>
  <c r="BW15" i="34" s="1"/>
  <c r="BX15" i="34" s="1"/>
  <c r="BY15" i="34" s="1"/>
  <c r="BZ15" i="34" s="1"/>
  <c r="CA15" i="34" s="1"/>
  <c r="CB15" i="34" s="1"/>
  <c r="CC15" i="34" s="1"/>
  <c r="CD15" i="34" s="1"/>
  <c r="CE15" i="34" s="1"/>
  <c r="CF15" i="34" s="1"/>
  <c r="CG15" i="34" s="1"/>
  <c r="CH15" i="34" s="1"/>
  <c r="CI15" i="34" s="1"/>
  <c r="CJ15" i="34" s="1"/>
  <c r="CK15" i="34" s="1"/>
  <c r="CL15" i="34" s="1"/>
  <c r="CM15" i="34" s="1"/>
  <c r="CN15" i="34" s="1"/>
  <c r="CO15" i="34" s="1"/>
  <c r="CP15" i="34" s="1"/>
  <c r="CQ15" i="34" s="1"/>
  <c r="CR15" i="34" s="1"/>
  <c r="CS15" i="34" s="1"/>
  <c r="CT15" i="34" s="1"/>
  <c r="CU15" i="34" s="1"/>
  <c r="CV15" i="34" s="1"/>
  <c r="CW15" i="34" s="1"/>
  <c r="CX15" i="34" s="1"/>
  <c r="CY15" i="34" s="1"/>
  <c r="CZ15" i="34" s="1"/>
  <c r="DA15" i="34" s="1"/>
  <c r="DB15" i="34" s="1"/>
  <c r="DC15" i="34" s="1"/>
  <c r="DD15" i="34" s="1"/>
  <c r="DE15" i="34" s="1"/>
  <c r="DF15" i="34" s="1"/>
  <c r="DG15" i="34" s="1"/>
  <c r="DH15" i="34" s="1"/>
  <c r="DI15" i="34" s="1"/>
  <c r="DJ15" i="34" s="1"/>
  <c r="DK15" i="34" s="1"/>
  <c r="DL15" i="34" s="1"/>
  <c r="DM15" i="34" s="1"/>
  <c r="S59" i="34"/>
  <c r="T59" i="34" s="1"/>
  <c r="U59" i="34" s="1"/>
  <c r="V59" i="34" s="1"/>
  <c r="W59" i="34" s="1"/>
  <c r="X59" i="34" s="1"/>
  <c r="Y59" i="34" s="1"/>
  <c r="Z59" i="34" s="1"/>
  <c r="AA59" i="34" s="1"/>
  <c r="AB59" i="34" s="1"/>
  <c r="AC59" i="34" s="1"/>
  <c r="AD59" i="34" s="1"/>
  <c r="AE59" i="34" s="1"/>
  <c r="AF59" i="34" s="1"/>
  <c r="AG59" i="34" s="1"/>
  <c r="AH59" i="34" s="1"/>
  <c r="AI59" i="34" s="1"/>
  <c r="AJ59" i="34" s="1"/>
  <c r="AK59" i="34" s="1"/>
  <c r="AL59" i="34" s="1"/>
  <c r="AM59" i="34" s="1"/>
  <c r="AN59" i="34" s="1"/>
  <c r="AO59" i="34" s="1"/>
  <c r="AP59" i="34" s="1"/>
  <c r="AQ59" i="34" s="1"/>
  <c r="AR59" i="34" s="1"/>
  <c r="AS59" i="34" s="1"/>
  <c r="AT59" i="34" s="1"/>
  <c r="AU59" i="34" s="1"/>
  <c r="AV59" i="34" s="1"/>
  <c r="AW59" i="34" s="1"/>
  <c r="AX59" i="34" s="1"/>
  <c r="AY59" i="34" s="1"/>
  <c r="AZ59" i="34" s="1"/>
  <c r="BA59" i="34" s="1"/>
  <c r="BB59" i="34" s="1"/>
  <c r="BC59" i="34" s="1"/>
  <c r="BD59" i="34" s="1"/>
  <c r="BE59" i="34" s="1"/>
  <c r="BF59" i="34" s="1"/>
  <c r="BG59" i="34" s="1"/>
  <c r="BH59" i="34" s="1"/>
  <c r="BI59" i="34" s="1"/>
  <c r="BJ59" i="34" s="1"/>
  <c r="BK59" i="34" s="1"/>
  <c r="BL59" i="34" s="1"/>
  <c r="BM59" i="34" s="1"/>
  <c r="BN59" i="34" s="1"/>
  <c r="BO59" i="34" s="1"/>
  <c r="BP59" i="34" s="1"/>
  <c r="BQ59" i="34" s="1"/>
  <c r="BR59" i="34" s="1"/>
  <c r="BS59" i="34" s="1"/>
  <c r="BT59" i="34" s="1"/>
  <c r="BU59" i="34" s="1"/>
  <c r="BV59" i="34" s="1"/>
  <c r="BW59" i="34" s="1"/>
  <c r="BX59" i="34" s="1"/>
  <c r="BY59" i="34" s="1"/>
  <c r="BZ59" i="34" s="1"/>
  <c r="CA59" i="34" s="1"/>
  <c r="CB59" i="34" s="1"/>
  <c r="CC59" i="34" s="1"/>
  <c r="CD59" i="34" s="1"/>
  <c r="CE59" i="34" s="1"/>
  <c r="CF59" i="34" s="1"/>
  <c r="CG59" i="34" s="1"/>
  <c r="CH59" i="34" s="1"/>
  <c r="CI59" i="34" s="1"/>
  <c r="CJ59" i="34" s="1"/>
  <c r="CK59" i="34" s="1"/>
  <c r="CL59" i="34" s="1"/>
  <c r="CM59" i="34" s="1"/>
  <c r="CN59" i="34" s="1"/>
  <c r="CO59" i="34" s="1"/>
  <c r="CP59" i="34" s="1"/>
  <c r="CQ59" i="34" s="1"/>
  <c r="CR59" i="34" s="1"/>
  <c r="CS59" i="34" s="1"/>
  <c r="CT59" i="34" s="1"/>
  <c r="CU59" i="34" s="1"/>
  <c r="CV59" i="34" s="1"/>
  <c r="CW59" i="34" s="1"/>
  <c r="CX59" i="34" s="1"/>
  <c r="CY59" i="34" s="1"/>
  <c r="CZ59" i="34" s="1"/>
  <c r="DA59" i="34" s="1"/>
  <c r="DB59" i="34" s="1"/>
  <c r="DC59" i="34" s="1"/>
  <c r="DD59" i="34" s="1"/>
  <c r="DE59" i="34" s="1"/>
  <c r="DF59" i="34" s="1"/>
  <c r="DG59" i="34" s="1"/>
  <c r="DH59" i="34" s="1"/>
  <c r="DI59" i="34" s="1"/>
  <c r="DJ59" i="34" s="1"/>
  <c r="DK59" i="34" s="1"/>
  <c r="DL59" i="34" s="1"/>
  <c r="DM59" i="34" s="1"/>
  <c r="S42" i="34"/>
  <c r="T42" i="34" s="1"/>
  <c r="U42" i="34" s="1"/>
  <c r="V42" i="34" s="1"/>
  <c r="W42" i="34" s="1"/>
  <c r="X42" i="34" s="1"/>
  <c r="Y42" i="34" s="1"/>
  <c r="Z42" i="34" s="1"/>
  <c r="AA42" i="34" s="1"/>
  <c r="AB42" i="34" s="1"/>
  <c r="AC42" i="34" s="1"/>
  <c r="AD42" i="34" s="1"/>
  <c r="AE42" i="34" s="1"/>
  <c r="AF42" i="34" s="1"/>
  <c r="AG42" i="34" s="1"/>
  <c r="AH42" i="34" s="1"/>
  <c r="AI42" i="34" s="1"/>
  <c r="AJ42" i="34" s="1"/>
  <c r="AK42" i="34" s="1"/>
  <c r="AL42" i="34" s="1"/>
  <c r="AM42" i="34" s="1"/>
  <c r="AN42" i="34" s="1"/>
  <c r="AO42" i="34" s="1"/>
  <c r="AP42" i="34" s="1"/>
  <c r="AQ42" i="34" s="1"/>
  <c r="AR42" i="34" s="1"/>
  <c r="AS42" i="34" s="1"/>
  <c r="AT42" i="34" s="1"/>
  <c r="AU42" i="34" s="1"/>
  <c r="AV42" i="34" s="1"/>
  <c r="AW42" i="34" s="1"/>
  <c r="AX42" i="34" s="1"/>
  <c r="AY42" i="34" s="1"/>
  <c r="AZ42" i="34" s="1"/>
  <c r="BA42" i="34" s="1"/>
  <c r="BB42" i="34" s="1"/>
  <c r="BC42" i="34" s="1"/>
  <c r="BD42" i="34" s="1"/>
  <c r="BE42" i="34" s="1"/>
  <c r="BF42" i="34" s="1"/>
  <c r="BG42" i="34" s="1"/>
  <c r="BH42" i="34" s="1"/>
  <c r="BI42" i="34" s="1"/>
  <c r="BJ42" i="34" s="1"/>
  <c r="BK42" i="34" s="1"/>
  <c r="BL42" i="34" s="1"/>
  <c r="BM42" i="34" s="1"/>
  <c r="BN42" i="34" s="1"/>
  <c r="BO42" i="34" s="1"/>
  <c r="BP42" i="34" s="1"/>
  <c r="BQ42" i="34" s="1"/>
  <c r="BR42" i="34" s="1"/>
  <c r="BS42" i="34" s="1"/>
  <c r="BT42" i="34" s="1"/>
  <c r="BU42" i="34" s="1"/>
  <c r="BV42" i="34" s="1"/>
  <c r="BW42" i="34" s="1"/>
  <c r="BX42" i="34" s="1"/>
  <c r="BY42" i="34" s="1"/>
  <c r="BZ42" i="34" s="1"/>
  <c r="CA42" i="34" s="1"/>
  <c r="CB42" i="34" s="1"/>
  <c r="CC42" i="34" s="1"/>
  <c r="CD42" i="34" s="1"/>
  <c r="CE42" i="34" s="1"/>
  <c r="CF42" i="34" s="1"/>
  <c r="CG42" i="34" s="1"/>
  <c r="CH42" i="34" s="1"/>
  <c r="CI42" i="34" s="1"/>
  <c r="CJ42" i="34" s="1"/>
  <c r="CK42" i="34" s="1"/>
  <c r="CL42" i="34" s="1"/>
  <c r="CM42" i="34" s="1"/>
  <c r="CN42" i="34" s="1"/>
  <c r="CO42" i="34" s="1"/>
  <c r="CP42" i="34" s="1"/>
  <c r="CQ42" i="34" s="1"/>
  <c r="CR42" i="34" s="1"/>
  <c r="CS42" i="34" s="1"/>
  <c r="CT42" i="34" s="1"/>
  <c r="CU42" i="34" s="1"/>
  <c r="CV42" i="34" s="1"/>
  <c r="CW42" i="34" s="1"/>
  <c r="CX42" i="34" s="1"/>
  <c r="CY42" i="34" s="1"/>
  <c r="CZ42" i="34" s="1"/>
  <c r="DA42" i="34" s="1"/>
  <c r="DB42" i="34" s="1"/>
  <c r="DC42" i="34" s="1"/>
  <c r="DD42" i="34" s="1"/>
  <c r="DE42" i="34" s="1"/>
  <c r="DF42" i="34" s="1"/>
  <c r="DG42" i="34" s="1"/>
  <c r="DH42" i="34" s="1"/>
  <c r="DI42" i="34" s="1"/>
  <c r="DJ42" i="34" s="1"/>
  <c r="DK42" i="34" s="1"/>
  <c r="DL42" i="34" s="1"/>
  <c r="DM42" i="34" s="1"/>
  <c r="S26" i="34"/>
  <c r="T26" i="34" s="1"/>
  <c r="U26" i="34" s="1"/>
  <c r="V26" i="34" s="1"/>
  <c r="W26" i="34" s="1"/>
  <c r="X26" i="34" s="1"/>
  <c r="Y26" i="34" s="1"/>
  <c r="Z26" i="34" s="1"/>
  <c r="AA26" i="34" s="1"/>
  <c r="AB26" i="34" s="1"/>
  <c r="AC26" i="34" s="1"/>
  <c r="AD26" i="34" s="1"/>
  <c r="AE26" i="34" s="1"/>
  <c r="AF26" i="34" s="1"/>
  <c r="AG26" i="34" s="1"/>
  <c r="AH26" i="34" s="1"/>
  <c r="AI26" i="34" s="1"/>
  <c r="AJ26" i="34" s="1"/>
  <c r="AK26" i="34" s="1"/>
  <c r="AL26" i="34" s="1"/>
  <c r="AM26" i="34" s="1"/>
  <c r="AN26" i="34" s="1"/>
  <c r="AO26" i="34" s="1"/>
  <c r="AP26" i="34" s="1"/>
  <c r="AQ26" i="34" s="1"/>
  <c r="AR26" i="34" s="1"/>
  <c r="AS26" i="34" s="1"/>
  <c r="AT26" i="34" s="1"/>
  <c r="AU26" i="34" s="1"/>
  <c r="AV26" i="34" s="1"/>
  <c r="AW26" i="34" s="1"/>
  <c r="AX26" i="34" s="1"/>
  <c r="AY26" i="34" s="1"/>
  <c r="AZ26" i="34" s="1"/>
  <c r="BA26" i="34" s="1"/>
  <c r="BB26" i="34" s="1"/>
  <c r="BC26" i="34" s="1"/>
  <c r="BD26" i="34" s="1"/>
  <c r="BE26" i="34" s="1"/>
  <c r="BF26" i="34" s="1"/>
  <c r="BG26" i="34" s="1"/>
  <c r="BH26" i="34" s="1"/>
  <c r="BI26" i="34" s="1"/>
  <c r="BJ26" i="34" s="1"/>
  <c r="BK26" i="34" s="1"/>
  <c r="BL26" i="34" s="1"/>
  <c r="BM26" i="34" s="1"/>
  <c r="BN26" i="34" s="1"/>
  <c r="BO26" i="34" s="1"/>
  <c r="BP26" i="34" s="1"/>
  <c r="BQ26" i="34" s="1"/>
  <c r="BR26" i="34" s="1"/>
  <c r="BS26" i="34" s="1"/>
  <c r="BT26" i="34" s="1"/>
  <c r="BU26" i="34" s="1"/>
  <c r="BV26" i="34" s="1"/>
  <c r="BW26" i="34" s="1"/>
  <c r="BX26" i="34" s="1"/>
  <c r="BY26" i="34" s="1"/>
  <c r="BZ26" i="34" s="1"/>
  <c r="CA26" i="34" s="1"/>
  <c r="CB26" i="34" s="1"/>
  <c r="CC26" i="34" s="1"/>
  <c r="CD26" i="34" s="1"/>
  <c r="CE26" i="34" s="1"/>
  <c r="CF26" i="34" s="1"/>
  <c r="CG26" i="34" s="1"/>
  <c r="CH26" i="34" s="1"/>
  <c r="CI26" i="34" s="1"/>
  <c r="CJ26" i="34" s="1"/>
  <c r="CK26" i="34" s="1"/>
  <c r="CL26" i="34" s="1"/>
  <c r="CM26" i="34" s="1"/>
  <c r="CN26" i="34" s="1"/>
  <c r="CO26" i="34" s="1"/>
  <c r="CP26" i="34" s="1"/>
  <c r="CQ26" i="34" s="1"/>
  <c r="CR26" i="34" s="1"/>
  <c r="CS26" i="34" s="1"/>
  <c r="CT26" i="34" s="1"/>
  <c r="CU26" i="34" s="1"/>
  <c r="CV26" i="34" s="1"/>
  <c r="CW26" i="34" s="1"/>
  <c r="CX26" i="34" s="1"/>
  <c r="CY26" i="34" s="1"/>
  <c r="CZ26" i="34" s="1"/>
  <c r="DA26" i="34" s="1"/>
  <c r="DB26" i="34" s="1"/>
  <c r="DC26" i="34" s="1"/>
  <c r="DD26" i="34" s="1"/>
  <c r="DE26" i="34" s="1"/>
  <c r="DF26" i="34" s="1"/>
  <c r="DG26" i="34" s="1"/>
  <c r="DH26" i="34" s="1"/>
  <c r="DI26" i="34" s="1"/>
  <c r="DJ26" i="34" s="1"/>
  <c r="DK26" i="34" s="1"/>
  <c r="DL26" i="34" s="1"/>
  <c r="DM26" i="34" s="1"/>
  <c r="S76" i="34"/>
  <c r="T76" i="34" s="1"/>
  <c r="U76" i="34" s="1"/>
  <c r="V76" i="34" s="1"/>
  <c r="W76" i="34" s="1"/>
  <c r="X76" i="34" s="1"/>
  <c r="Y76" i="34" s="1"/>
  <c r="Z76" i="34" s="1"/>
  <c r="AA76" i="34" s="1"/>
  <c r="AB76" i="34" s="1"/>
  <c r="AC76" i="34" s="1"/>
  <c r="AD76" i="34" s="1"/>
  <c r="AE76" i="34" s="1"/>
  <c r="AF76" i="34" s="1"/>
  <c r="AG76" i="34" s="1"/>
  <c r="AH76" i="34" s="1"/>
  <c r="AI76" i="34" s="1"/>
  <c r="AJ76" i="34" s="1"/>
  <c r="AK76" i="34" s="1"/>
  <c r="AL76" i="34" s="1"/>
  <c r="AM76" i="34" s="1"/>
  <c r="AN76" i="34" s="1"/>
  <c r="AO76" i="34" s="1"/>
  <c r="AP76" i="34" s="1"/>
  <c r="AQ76" i="34" s="1"/>
  <c r="AR76" i="34" s="1"/>
  <c r="AS76" i="34" s="1"/>
  <c r="AT76" i="34" s="1"/>
  <c r="AU76" i="34" s="1"/>
  <c r="AV76" i="34" s="1"/>
  <c r="AW76" i="34" s="1"/>
  <c r="AX76" i="34" s="1"/>
  <c r="AY76" i="34" s="1"/>
  <c r="AZ76" i="34" s="1"/>
  <c r="BA76" i="34" s="1"/>
  <c r="BB76" i="34" s="1"/>
  <c r="BC76" i="34" s="1"/>
  <c r="BD76" i="34" s="1"/>
  <c r="BE76" i="34" s="1"/>
  <c r="BF76" i="34" s="1"/>
  <c r="BG76" i="34" s="1"/>
  <c r="BH76" i="34" s="1"/>
  <c r="BI76" i="34" s="1"/>
  <c r="BJ76" i="34" s="1"/>
  <c r="BK76" i="34" s="1"/>
  <c r="BL76" i="34" s="1"/>
  <c r="BM76" i="34" s="1"/>
  <c r="BN76" i="34" s="1"/>
  <c r="BO76" i="34" s="1"/>
  <c r="BP76" i="34" s="1"/>
  <c r="BQ76" i="34" s="1"/>
  <c r="BR76" i="34" s="1"/>
  <c r="BS76" i="34" s="1"/>
  <c r="BT76" i="34" s="1"/>
  <c r="BU76" i="34" s="1"/>
  <c r="BV76" i="34" s="1"/>
  <c r="BW76" i="34" s="1"/>
  <c r="BX76" i="34" s="1"/>
  <c r="BY76" i="34" s="1"/>
  <c r="BZ76" i="34" s="1"/>
  <c r="CA76" i="34" s="1"/>
  <c r="CB76" i="34" s="1"/>
  <c r="CC76" i="34" s="1"/>
  <c r="CD76" i="34" s="1"/>
  <c r="CE76" i="34" s="1"/>
  <c r="CF76" i="34" s="1"/>
  <c r="CG76" i="34" s="1"/>
  <c r="CH76" i="34" s="1"/>
  <c r="CI76" i="34" s="1"/>
  <c r="CJ76" i="34" s="1"/>
  <c r="CK76" i="34" s="1"/>
  <c r="CL76" i="34" s="1"/>
  <c r="CM76" i="34" s="1"/>
  <c r="CN76" i="34" s="1"/>
  <c r="CO76" i="34" s="1"/>
  <c r="CP76" i="34" s="1"/>
  <c r="CQ76" i="34" s="1"/>
  <c r="CR76" i="34" s="1"/>
  <c r="CS76" i="34" s="1"/>
  <c r="CT76" i="34" s="1"/>
  <c r="CU76" i="34" s="1"/>
  <c r="CV76" i="34" s="1"/>
  <c r="CW76" i="34" s="1"/>
  <c r="CX76" i="34" s="1"/>
  <c r="CY76" i="34" s="1"/>
  <c r="CZ76" i="34" s="1"/>
  <c r="DA76" i="34" s="1"/>
  <c r="DB76" i="34" s="1"/>
  <c r="DC76" i="34" s="1"/>
  <c r="DD76" i="34" s="1"/>
  <c r="DE76" i="34" s="1"/>
  <c r="DF76" i="34" s="1"/>
  <c r="DG76" i="34" s="1"/>
  <c r="DH76" i="34" s="1"/>
  <c r="DI76" i="34" s="1"/>
  <c r="DJ76" i="34" s="1"/>
  <c r="DK76" i="34" s="1"/>
  <c r="DL76" i="34" s="1"/>
  <c r="DM76" i="34" s="1"/>
  <c r="S36" i="34"/>
  <c r="T36" i="34" s="1"/>
  <c r="U36" i="34" s="1"/>
  <c r="V36" i="34" s="1"/>
  <c r="W36" i="34" s="1"/>
  <c r="X36" i="34" s="1"/>
  <c r="Y36" i="34" s="1"/>
  <c r="Z36" i="34" s="1"/>
  <c r="AA36" i="34" s="1"/>
  <c r="AB36" i="34" s="1"/>
  <c r="AC36" i="34" s="1"/>
  <c r="AD36" i="34" s="1"/>
  <c r="AE36" i="34" s="1"/>
  <c r="AF36" i="34" s="1"/>
  <c r="AG36" i="34" s="1"/>
  <c r="AH36" i="34" s="1"/>
  <c r="AI36" i="34" s="1"/>
  <c r="AJ36" i="34" s="1"/>
  <c r="AK36" i="34" s="1"/>
  <c r="AL36" i="34" s="1"/>
  <c r="AM36" i="34" s="1"/>
  <c r="AN36" i="34" s="1"/>
  <c r="AO36" i="34" s="1"/>
  <c r="AP36" i="34" s="1"/>
  <c r="AQ36" i="34" s="1"/>
  <c r="AR36" i="34" s="1"/>
  <c r="AS36" i="34" s="1"/>
  <c r="AT36" i="34" s="1"/>
  <c r="AU36" i="34" s="1"/>
  <c r="AV36" i="34" s="1"/>
  <c r="AW36" i="34" s="1"/>
  <c r="AX36" i="34" s="1"/>
  <c r="AY36" i="34" s="1"/>
  <c r="AZ36" i="34" s="1"/>
  <c r="BA36" i="34" s="1"/>
  <c r="BB36" i="34" s="1"/>
  <c r="BC36" i="34" s="1"/>
  <c r="BD36" i="34" s="1"/>
  <c r="BE36" i="34" s="1"/>
  <c r="BF36" i="34" s="1"/>
  <c r="BG36" i="34" s="1"/>
  <c r="BH36" i="34" s="1"/>
  <c r="BI36" i="34" s="1"/>
  <c r="BJ36" i="34" s="1"/>
  <c r="BK36" i="34" s="1"/>
  <c r="BL36" i="34" s="1"/>
  <c r="BM36" i="34" s="1"/>
  <c r="BN36" i="34" s="1"/>
  <c r="BO36" i="34" s="1"/>
  <c r="BP36" i="34" s="1"/>
  <c r="BQ36" i="34" s="1"/>
  <c r="BR36" i="34" s="1"/>
  <c r="BS36" i="34" s="1"/>
  <c r="BT36" i="34" s="1"/>
  <c r="BU36" i="34" s="1"/>
  <c r="BV36" i="34" s="1"/>
  <c r="BW36" i="34" s="1"/>
  <c r="BX36" i="34" s="1"/>
  <c r="BY36" i="34" s="1"/>
  <c r="BZ36" i="34" s="1"/>
  <c r="CA36" i="34" s="1"/>
  <c r="CB36" i="34" s="1"/>
  <c r="CC36" i="34" s="1"/>
  <c r="CD36" i="34" s="1"/>
  <c r="CE36" i="34" s="1"/>
  <c r="CF36" i="34" s="1"/>
  <c r="CG36" i="34" s="1"/>
  <c r="CH36" i="34" s="1"/>
  <c r="CI36" i="34" s="1"/>
  <c r="CJ36" i="34" s="1"/>
  <c r="CK36" i="34" s="1"/>
  <c r="CL36" i="34" s="1"/>
  <c r="CM36" i="34" s="1"/>
  <c r="CN36" i="34" s="1"/>
  <c r="CO36" i="34" s="1"/>
  <c r="CP36" i="34" s="1"/>
  <c r="CQ36" i="34" s="1"/>
  <c r="CR36" i="34" s="1"/>
  <c r="CS36" i="34" s="1"/>
  <c r="CT36" i="34" s="1"/>
  <c r="CU36" i="34" s="1"/>
  <c r="CV36" i="34" s="1"/>
  <c r="CW36" i="34" s="1"/>
  <c r="CX36" i="34" s="1"/>
  <c r="CY36" i="34" s="1"/>
  <c r="CZ36" i="34" s="1"/>
  <c r="DA36" i="34" s="1"/>
  <c r="DB36" i="34" s="1"/>
  <c r="DC36" i="34" s="1"/>
  <c r="DD36" i="34" s="1"/>
  <c r="DE36" i="34" s="1"/>
  <c r="DF36" i="34" s="1"/>
  <c r="DG36" i="34" s="1"/>
  <c r="DH36" i="34" s="1"/>
  <c r="DI36" i="34" s="1"/>
  <c r="DJ36" i="34" s="1"/>
  <c r="DK36" i="34" s="1"/>
  <c r="DL36" i="34" s="1"/>
  <c r="DM36" i="34" s="1"/>
  <c r="S20" i="34"/>
  <c r="T20" i="34" s="1"/>
  <c r="U20" i="34" s="1"/>
  <c r="V20" i="34" s="1"/>
  <c r="W20" i="34" s="1"/>
  <c r="X20" i="34" s="1"/>
  <c r="Y20" i="34" s="1"/>
  <c r="Z20" i="34" s="1"/>
  <c r="AA20" i="34" s="1"/>
  <c r="AB20" i="34" s="1"/>
  <c r="AC20" i="34" s="1"/>
  <c r="AD20" i="34" s="1"/>
  <c r="AE20" i="34" s="1"/>
  <c r="AF20" i="34" s="1"/>
  <c r="AG20" i="34" s="1"/>
  <c r="AH20" i="34" s="1"/>
  <c r="AI20" i="34" s="1"/>
  <c r="AJ20" i="34" s="1"/>
  <c r="AK20" i="34" s="1"/>
  <c r="AL20" i="34" s="1"/>
  <c r="AM20" i="34" s="1"/>
  <c r="AN20" i="34" s="1"/>
  <c r="AO20" i="34" s="1"/>
  <c r="AP20" i="34" s="1"/>
  <c r="AQ20" i="34" s="1"/>
  <c r="AR20" i="34" s="1"/>
  <c r="AS20" i="34" s="1"/>
  <c r="AT20" i="34" s="1"/>
  <c r="AU20" i="34" s="1"/>
  <c r="AV20" i="34" s="1"/>
  <c r="AW20" i="34" s="1"/>
  <c r="AX20" i="34" s="1"/>
  <c r="AY20" i="34" s="1"/>
  <c r="AZ20" i="34" s="1"/>
  <c r="BA20" i="34" s="1"/>
  <c r="BB20" i="34" s="1"/>
  <c r="BC20" i="34" s="1"/>
  <c r="BD20" i="34" s="1"/>
  <c r="BE20" i="34" s="1"/>
  <c r="BF20" i="34" s="1"/>
  <c r="BG20" i="34" s="1"/>
  <c r="BH20" i="34" s="1"/>
  <c r="BI20" i="34" s="1"/>
  <c r="BJ20" i="34" s="1"/>
  <c r="BK20" i="34" s="1"/>
  <c r="BL20" i="34" s="1"/>
  <c r="BM20" i="34" s="1"/>
  <c r="BN20" i="34" s="1"/>
  <c r="BO20" i="34" s="1"/>
  <c r="BP20" i="34" s="1"/>
  <c r="BQ20" i="34" s="1"/>
  <c r="BR20" i="34" s="1"/>
  <c r="BS20" i="34" s="1"/>
  <c r="BT20" i="34" s="1"/>
  <c r="BU20" i="34" s="1"/>
  <c r="BV20" i="34" s="1"/>
  <c r="BW20" i="34" s="1"/>
  <c r="BX20" i="34" s="1"/>
  <c r="BY20" i="34" s="1"/>
  <c r="BZ20" i="34" s="1"/>
  <c r="CA20" i="34" s="1"/>
  <c r="CB20" i="34" s="1"/>
  <c r="CC20" i="34" s="1"/>
  <c r="CD20" i="34" s="1"/>
  <c r="CE20" i="34" s="1"/>
  <c r="CF20" i="34" s="1"/>
  <c r="CG20" i="34" s="1"/>
  <c r="CH20" i="34" s="1"/>
  <c r="CI20" i="34" s="1"/>
  <c r="CJ20" i="34" s="1"/>
  <c r="CK20" i="34" s="1"/>
  <c r="CL20" i="34" s="1"/>
  <c r="CM20" i="34" s="1"/>
  <c r="CN20" i="34" s="1"/>
  <c r="CO20" i="34" s="1"/>
  <c r="CP20" i="34" s="1"/>
  <c r="CQ20" i="34" s="1"/>
  <c r="CR20" i="34" s="1"/>
  <c r="CS20" i="34" s="1"/>
  <c r="CT20" i="34" s="1"/>
  <c r="CU20" i="34" s="1"/>
  <c r="CV20" i="34" s="1"/>
  <c r="CW20" i="34" s="1"/>
  <c r="CX20" i="34" s="1"/>
  <c r="CY20" i="34" s="1"/>
  <c r="CZ20" i="34" s="1"/>
  <c r="DA20" i="34" s="1"/>
  <c r="DB20" i="34" s="1"/>
  <c r="DC20" i="34" s="1"/>
  <c r="DD20" i="34" s="1"/>
  <c r="DE20" i="34" s="1"/>
  <c r="DF20" i="34" s="1"/>
  <c r="DG20" i="34" s="1"/>
  <c r="DH20" i="34" s="1"/>
  <c r="DI20" i="34" s="1"/>
  <c r="DJ20" i="34" s="1"/>
  <c r="DK20" i="34" s="1"/>
  <c r="DL20" i="34" s="1"/>
  <c r="DM20" i="34" s="1"/>
  <c r="G82" i="33"/>
  <c r="E82" i="33"/>
  <c r="S56" i="34"/>
  <c r="T56" i="34" s="1"/>
  <c r="U56" i="34" s="1"/>
  <c r="V56" i="34" s="1"/>
  <c r="W56" i="34" s="1"/>
  <c r="X56" i="34" s="1"/>
  <c r="Y56" i="34" s="1"/>
  <c r="Z56" i="34" s="1"/>
  <c r="AA56" i="34" s="1"/>
  <c r="AB56" i="34" s="1"/>
  <c r="AC56" i="34" s="1"/>
  <c r="AD56" i="34" s="1"/>
  <c r="AE56" i="34" s="1"/>
  <c r="AF56" i="34" s="1"/>
  <c r="AG56" i="34" s="1"/>
  <c r="AH56" i="34" s="1"/>
  <c r="AI56" i="34" s="1"/>
  <c r="AJ56" i="34" s="1"/>
  <c r="AK56" i="34" s="1"/>
  <c r="AL56" i="34" s="1"/>
  <c r="AM56" i="34" s="1"/>
  <c r="AN56" i="34" s="1"/>
  <c r="AO56" i="34" s="1"/>
  <c r="AP56" i="34" s="1"/>
  <c r="AQ56" i="34" s="1"/>
  <c r="AR56" i="34" s="1"/>
  <c r="AS56" i="34" s="1"/>
  <c r="AT56" i="34" s="1"/>
  <c r="AU56" i="34" s="1"/>
  <c r="AV56" i="34" s="1"/>
  <c r="AW56" i="34" s="1"/>
  <c r="AX56" i="34" s="1"/>
  <c r="AY56" i="34" s="1"/>
  <c r="AZ56" i="34" s="1"/>
  <c r="BA56" i="34" s="1"/>
  <c r="BB56" i="34" s="1"/>
  <c r="BC56" i="34" s="1"/>
  <c r="BD56" i="34" s="1"/>
  <c r="BE56" i="34" s="1"/>
  <c r="BF56" i="34" s="1"/>
  <c r="BG56" i="34" s="1"/>
  <c r="BH56" i="34" s="1"/>
  <c r="BI56" i="34" s="1"/>
  <c r="BJ56" i="34" s="1"/>
  <c r="BK56" i="34" s="1"/>
  <c r="BL56" i="34" s="1"/>
  <c r="BM56" i="34" s="1"/>
  <c r="BN56" i="34" s="1"/>
  <c r="BO56" i="34" s="1"/>
  <c r="BP56" i="34" s="1"/>
  <c r="BQ56" i="34" s="1"/>
  <c r="BR56" i="34" s="1"/>
  <c r="BS56" i="34" s="1"/>
  <c r="BT56" i="34" s="1"/>
  <c r="BU56" i="34" s="1"/>
  <c r="BV56" i="34" s="1"/>
  <c r="BW56" i="34" s="1"/>
  <c r="BX56" i="34" s="1"/>
  <c r="BY56" i="34" s="1"/>
  <c r="BZ56" i="34" s="1"/>
  <c r="CA56" i="34" s="1"/>
  <c r="CB56" i="34" s="1"/>
  <c r="CC56" i="34" s="1"/>
  <c r="CD56" i="34" s="1"/>
  <c r="CE56" i="34" s="1"/>
  <c r="CF56" i="34" s="1"/>
  <c r="CG56" i="34" s="1"/>
  <c r="CH56" i="34" s="1"/>
  <c r="CI56" i="34" s="1"/>
  <c r="CJ56" i="34" s="1"/>
  <c r="CK56" i="34" s="1"/>
  <c r="CL56" i="34" s="1"/>
  <c r="CM56" i="34" s="1"/>
  <c r="CN56" i="34" s="1"/>
  <c r="CO56" i="34" s="1"/>
  <c r="CP56" i="34" s="1"/>
  <c r="CQ56" i="34" s="1"/>
  <c r="CR56" i="34" s="1"/>
  <c r="CS56" i="34" s="1"/>
  <c r="CT56" i="34" s="1"/>
  <c r="CU56" i="34" s="1"/>
  <c r="CV56" i="34" s="1"/>
  <c r="CW56" i="34" s="1"/>
  <c r="CX56" i="34" s="1"/>
  <c r="CY56" i="34" s="1"/>
  <c r="CZ56" i="34" s="1"/>
  <c r="DA56" i="34" s="1"/>
  <c r="DB56" i="34" s="1"/>
  <c r="DC56" i="34" s="1"/>
  <c r="DD56" i="34" s="1"/>
  <c r="DE56" i="34" s="1"/>
  <c r="DF56" i="34" s="1"/>
  <c r="DG56" i="34" s="1"/>
  <c r="DH56" i="34" s="1"/>
  <c r="DI56" i="34" s="1"/>
  <c r="DJ56" i="34" s="1"/>
  <c r="DK56" i="34" s="1"/>
  <c r="DL56" i="34" s="1"/>
  <c r="DM56" i="34" s="1"/>
  <c r="S38" i="34"/>
  <c r="T38" i="34" s="1"/>
  <c r="U38" i="34" s="1"/>
  <c r="V38" i="34" s="1"/>
  <c r="W38" i="34" s="1"/>
  <c r="X38" i="34" s="1"/>
  <c r="Y38" i="34" s="1"/>
  <c r="Z38" i="34" s="1"/>
  <c r="AA38" i="34" s="1"/>
  <c r="AB38" i="34" s="1"/>
  <c r="AC38" i="34" s="1"/>
  <c r="AD38" i="34" s="1"/>
  <c r="AE38" i="34" s="1"/>
  <c r="AF38" i="34" s="1"/>
  <c r="AG38" i="34" s="1"/>
  <c r="AH38" i="34" s="1"/>
  <c r="AI38" i="34" s="1"/>
  <c r="AJ38" i="34" s="1"/>
  <c r="AK38" i="34" s="1"/>
  <c r="AL38" i="34" s="1"/>
  <c r="AM38" i="34" s="1"/>
  <c r="AN38" i="34" s="1"/>
  <c r="AO38" i="34" s="1"/>
  <c r="AP38" i="34" s="1"/>
  <c r="AQ38" i="34" s="1"/>
  <c r="AR38" i="34" s="1"/>
  <c r="AS38" i="34" s="1"/>
  <c r="AT38" i="34" s="1"/>
  <c r="AU38" i="34" s="1"/>
  <c r="AV38" i="34" s="1"/>
  <c r="AW38" i="34" s="1"/>
  <c r="AX38" i="34" s="1"/>
  <c r="AY38" i="34" s="1"/>
  <c r="AZ38" i="34" s="1"/>
  <c r="BA38" i="34" s="1"/>
  <c r="BB38" i="34" s="1"/>
  <c r="BC38" i="34" s="1"/>
  <c r="BD38" i="34" s="1"/>
  <c r="BE38" i="34" s="1"/>
  <c r="BF38" i="34" s="1"/>
  <c r="BG38" i="34" s="1"/>
  <c r="BH38" i="34" s="1"/>
  <c r="BI38" i="34" s="1"/>
  <c r="BJ38" i="34" s="1"/>
  <c r="BK38" i="34" s="1"/>
  <c r="BL38" i="34" s="1"/>
  <c r="BM38" i="34" s="1"/>
  <c r="BN38" i="34" s="1"/>
  <c r="BO38" i="34" s="1"/>
  <c r="BP38" i="34" s="1"/>
  <c r="BQ38" i="34" s="1"/>
  <c r="BR38" i="34" s="1"/>
  <c r="BS38" i="34" s="1"/>
  <c r="BT38" i="34" s="1"/>
  <c r="BU38" i="34" s="1"/>
  <c r="BV38" i="34" s="1"/>
  <c r="BW38" i="34" s="1"/>
  <c r="BX38" i="34" s="1"/>
  <c r="BY38" i="34" s="1"/>
  <c r="BZ38" i="34" s="1"/>
  <c r="CA38" i="34" s="1"/>
  <c r="CB38" i="34" s="1"/>
  <c r="CC38" i="34" s="1"/>
  <c r="CD38" i="34" s="1"/>
  <c r="CE38" i="34" s="1"/>
  <c r="CF38" i="34" s="1"/>
  <c r="CG38" i="34" s="1"/>
  <c r="CH38" i="34" s="1"/>
  <c r="CI38" i="34" s="1"/>
  <c r="CJ38" i="34" s="1"/>
  <c r="CK38" i="34" s="1"/>
  <c r="CL38" i="34" s="1"/>
  <c r="CM38" i="34" s="1"/>
  <c r="CN38" i="34" s="1"/>
  <c r="CO38" i="34" s="1"/>
  <c r="CP38" i="34" s="1"/>
  <c r="CQ38" i="34" s="1"/>
  <c r="CR38" i="34" s="1"/>
  <c r="CS38" i="34" s="1"/>
  <c r="CT38" i="34" s="1"/>
  <c r="CU38" i="34" s="1"/>
  <c r="CV38" i="34" s="1"/>
  <c r="CW38" i="34" s="1"/>
  <c r="CX38" i="34" s="1"/>
  <c r="CY38" i="34" s="1"/>
  <c r="CZ38" i="34" s="1"/>
  <c r="DA38" i="34" s="1"/>
  <c r="DB38" i="34" s="1"/>
  <c r="DC38" i="34" s="1"/>
  <c r="DD38" i="34" s="1"/>
  <c r="DE38" i="34" s="1"/>
  <c r="DF38" i="34" s="1"/>
  <c r="DG38" i="34" s="1"/>
  <c r="DH38" i="34" s="1"/>
  <c r="DI38" i="34" s="1"/>
  <c r="DJ38" i="34" s="1"/>
  <c r="DK38" i="34" s="1"/>
  <c r="DL38" i="34" s="1"/>
  <c r="DM38" i="34" s="1"/>
  <c r="S73" i="34"/>
  <c r="T73" i="34" s="1"/>
  <c r="U73" i="34" s="1"/>
  <c r="V73" i="34" s="1"/>
  <c r="W73" i="34" s="1"/>
  <c r="X73" i="34" s="1"/>
  <c r="Y73" i="34" s="1"/>
  <c r="Z73" i="34" s="1"/>
  <c r="AA73" i="34" s="1"/>
  <c r="AB73" i="34" s="1"/>
  <c r="AC73" i="34" s="1"/>
  <c r="AD73" i="34" s="1"/>
  <c r="AE73" i="34" s="1"/>
  <c r="AF73" i="34" s="1"/>
  <c r="AG73" i="34" s="1"/>
  <c r="AH73" i="34" s="1"/>
  <c r="AI73" i="34" s="1"/>
  <c r="AJ73" i="34" s="1"/>
  <c r="AK73" i="34" s="1"/>
  <c r="AL73" i="34" s="1"/>
  <c r="AM73" i="34" s="1"/>
  <c r="AN73" i="34" s="1"/>
  <c r="AO73" i="34" s="1"/>
  <c r="AP73" i="34" s="1"/>
  <c r="AQ73" i="34" s="1"/>
  <c r="AR73" i="34" s="1"/>
  <c r="AS73" i="34" s="1"/>
  <c r="AT73" i="34" s="1"/>
  <c r="AU73" i="34" s="1"/>
  <c r="AV73" i="34" s="1"/>
  <c r="AW73" i="34" s="1"/>
  <c r="AX73" i="34" s="1"/>
  <c r="AY73" i="34" s="1"/>
  <c r="AZ73" i="34" s="1"/>
  <c r="BA73" i="34" s="1"/>
  <c r="BB73" i="34" s="1"/>
  <c r="BC73" i="34" s="1"/>
  <c r="BD73" i="34" s="1"/>
  <c r="BE73" i="34" s="1"/>
  <c r="BF73" i="34" s="1"/>
  <c r="BG73" i="34" s="1"/>
  <c r="BH73" i="34" s="1"/>
  <c r="BI73" i="34" s="1"/>
  <c r="BJ73" i="34" s="1"/>
  <c r="BK73" i="34" s="1"/>
  <c r="BL73" i="34" s="1"/>
  <c r="BM73" i="34" s="1"/>
  <c r="BN73" i="34" s="1"/>
  <c r="BO73" i="34" s="1"/>
  <c r="BP73" i="34" s="1"/>
  <c r="BQ73" i="34" s="1"/>
  <c r="BR73" i="34" s="1"/>
  <c r="BS73" i="34" s="1"/>
  <c r="BT73" i="34" s="1"/>
  <c r="BU73" i="34" s="1"/>
  <c r="BV73" i="34" s="1"/>
  <c r="BW73" i="34" s="1"/>
  <c r="BX73" i="34" s="1"/>
  <c r="BY73" i="34" s="1"/>
  <c r="BZ73" i="34" s="1"/>
  <c r="CA73" i="34" s="1"/>
  <c r="CB73" i="34" s="1"/>
  <c r="CC73" i="34" s="1"/>
  <c r="CD73" i="34" s="1"/>
  <c r="CE73" i="34" s="1"/>
  <c r="CF73" i="34" s="1"/>
  <c r="CG73" i="34" s="1"/>
  <c r="CH73" i="34" s="1"/>
  <c r="CI73" i="34" s="1"/>
  <c r="CJ73" i="34" s="1"/>
  <c r="CK73" i="34" s="1"/>
  <c r="CL73" i="34" s="1"/>
  <c r="CM73" i="34" s="1"/>
  <c r="CN73" i="34" s="1"/>
  <c r="CO73" i="34" s="1"/>
  <c r="CP73" i="34" s="1"/>
  <c r="CQ73" i="34" s="1"/>
  <c r="CR73" i="34" s="1"/>
  <c r="CS73" i="34" s="1"/>
  <c r="CT73" i="34" s="1"/>
  <c r="CU73" i="34" s="1"/>
  <c r="CV73" i="34" s="1"/>
  <c r="CW73" i="34" s="1"/>
  <c r="CX73" i="34" s="1"/>
  <c r="CY73" i="34" s="1"/>
  <c r="CZ73" i="34" s="1"/>
  <c r="DA73" i="34" s="1"/>
  <c r="DB73" i="34" s="1"/>
  <c r="DC73" i="34" s="1"/>
  <c r="DD73" i="34" s="1"/>
  <c r="DE73" i="34" s="1"/>
  <c r="DF73" i="34" s="1"/>
  <c r="DG73" i="34" s="1"/>
  <c r="DH73" i="34" s="1"/>
  <c r="DI73" i="34" s="1"/>
  <c r="DJ73" i="34" s="1"/>
  <c r="DK73" i="34" s="1"/>
  <c r="DL73" i="34" s="1"/>
  <c r="DM73" i="34" s="1"/>
  <c r="S45" i="34"/>
  <c r="T45" i="34" s="1"/>
  <c r="U45" i="34" s="1"/>
  <c r="V45" i="34" s="1"/>
  <c r="W45" i="34" s="1"/>
  <c r="X45" i="34" s="1"/>
  <c r="Y45" i="34" s="1"/>
  <c r="Z45" i="34" s="1"/>
  <c r="AA45" i="34" s="1"/>
  <c r="AB45" i="34" s="1"/>
  <c r="AC45" i="34" s="1"/>
  <c r="AD45" i="34" s="1"/>
  <c r="AE45" i="34" s="1"/>
  <c r="AF45" i="34" s="1"/>
  <c r="AG45" i="34" s="1"/>
  <c r="AH45" i="34" s="1"/>
  <c r="AI45" i="34" s="1"/>
  <c r="AJ45" i="34" s="1"/>
  <c r="AK45" i="34" s="1"/>
  <c r="AL45" i="34" s="1"/>
  <c r="AM45" i="34" s="1"/>
  <c r="AN45" i="34" s="1"/>
  <c r="AO45" i="34" s="1"/>
  <c r="AP45" i="34" s="1"/>
  <c r="AQ45" i="34" s="1"/>
  <c r="AR45" i="34" s="1"/>
  <c r="AS45" i="34" s="1"/>
  <c r="AT45" i="34" s="1"/>
  <c r="AU45" i="34" s="1"/>
  <c r="AV45" i="34" s="1"/>
  <c r="AW45" i="34" s="1"/>
  <c r="AX45" i="34" s="1"/>
  <c r="AY45" i="34" s="1"/>
  <c r="AZ45" i="34" s="1"/>
  <c r="BA45" i="34" s="1"/>
  <c r="BB45" i="34" s="1"/>
  <c r="BC45" i="34" s="1"/>
  <c r="BD45" i="34" s="1"/>
  <c r="BE45" i="34" s="1"/>
  <c r="BF45" i="34" s="1"/>
  <c r="BG45" i="34" s="1"/>
  <c r="BH45" i="34" s="1"/>
  <c r="BI45" i="34" s="1"/>
  <c r="BJ45" i="34" s="1"/>
  <c r="BK45" i="34" s="1"/>
  <c r="BL45" i="34" s="1"/>
  <c r="BM45" i="34" s="1"/>
  <c r="BN45" i="34" s="1"/>
  <c r="BO45" i="34" s="1"/>
  <c r="BP45" i="34" s="1"/>
  <c r="BQ45" i="34" s="1"/>
  <c r="BR45" i="34" s="1"/>
  <c r="BS45" i="34" s="1"/>
  <c r="BT45" i="34" s="1"/>
  <c r="BU45" i="34" s="1"/>
  <c r="BV45" i="34" s="1"/>
  <c r="BW45" i="34" s="1"/>
  <c r="BX45" i="34" s="1"/>
  <c r="BY45" i="34" s="1"/>
  <c r="BZ45" i="34" s="1"/>
  <c r="CA45" i="34" s="1"/>
  <c r="CB45" i="34" s="1"/>
  <c r="CC45" i="34" s="1"/>
  <c r="CD45" i="34" s="1"/>
  <c r="CE45" i="34" s="1"/>
  <c r="CF45" i="34" s="1"/>
  <c r="CG45" i="34" s="1"/>
  <c r="CH45" i="34" s="1"/>
  <c r="CI45" i="34" s="1"/>
  <c r="CJ45" i="34" s="1"/>
  <c r="CK45" i="34" s="1"/>
  <c r="CL45" i="34" s="1"/>
  <c r="CM45" i="34" s="1"/>
  <c r="CN45" i="34" s="1"/>
  <c r="CO45" i="34" s="1"/>
  <c r="CP45" i="34" s="1"/>
  <c r="CQ45" i="34" s="1"/>
  <c r="CR45" i="34" s="1"/>
  <c r="CS45" i="34" s="1"/>
  <c r="CT45" i="34" s="1"/>
  <c r="CU45" i="34" s="1"/>
  <c r="CV45" i="34" s="1"/>
  <c r="CW45" i="34" s="1"/>
  <c r="CX45" i="34" s="1"/>
  <c r="CY45" i="34" s="1"/>
  <c r="CZ45" i="34" s="1"/>
  <c r="DA45" i="34" s="1"/>
  <c r="DB45" i="34" s="1"/>
  <c r="DC45" i="34" s="1"/>
  <c r="DD45" i="34" s="1"/>
  <c r="DE45" i="34" s="1"/>
  <c r="DF45" i="34" s="1"/>
  <c r="DG45" i="34" s="1"/>
  <c r="DH45" i="34" s="1"/>
  <c r="DI45" i="34" s="1"/>
  <c r="DJ45" i="34" s="1"/>
  <c r="DK45" i="34" s="1"/>
  <c r="DL45" i="34" s="1"/>
  <c r="DM45" i="34" s="1"/>
  <c r="S25" i="34"/>
  <c r="T25" i="34" s="1"/>
  <c r="U25" i="34" s="1"/>
  <c r="V25" i="34" s="1"/>
  <c r="W25" i="34" s="1"/>
  <c r="X25" i="34" s="1"/>
  <c r="Y25" i="34" s="1"/>
  <c r="Z25" i="34" s="1"/>
  <c r="AA25" i="34" s="1"/>
  <c r="AB25" i="34" s="1"/>
  <c r="AC25" i="34" s="1"/>
  <c r="AD25" i="34" s="1"/>
  <c r="AE25" i="34" s="1"/>
  <c r="AF25" i="34" s="1"/>
  <c r="AG25" i="34" s="1"/>
  <c r="AH25" i="34" s="1"/>
  <c r="AI25" i="34" s="1"/>
  <c r="AJ25" i="34" s="1"/>
  <c r="AK25" i="34" s="1"/>
  <c r="AL25" i="34" s="1"/>
  <c r="AM25" i="34" s="1"/>
  <c r="AN25" i="34" s="1"/>
  <c r="AO25" i="34" s="1"/>
  <c r="AP25" i="34" s="1"/>
  <c r="AQ25" i="34" s="1"/>
  <c r="AR25" i="34" s="1"/>
  <c r="AS25" i="34" s="1"/>
  <c r="AT25" i="34" s="1"/>
  <c r="AU25" i="34" s="1"/>
  <c r="AV25" i="34" s="1"/>
  <c r="AW25" i="34" s="1"/>
  <c r="AX25" i="34" s="1"/>
  <c r="AY25" i="34" s="1"/>
  <c r="AZ25" i="34" s="1"/>
  <c r="BA25" i="34" s="1"/>
  <c r="BB25" i="34" s="1"/>
  <c r="BC25" i="34" s="1"/>
  <c r="BD25" i="34" s="1"/>
  <c r="BE25" i="34" s="1"/>
  <c r="BF25" i="34" s="1"/>
  <c r="BG25" i="34" s="1"/>
  <c r="BH25" i="34" s="1"/>
  <c r="BI25" i="34" s="1"/>
  <c r="BJ25" i="34" s="1"/>
  <c r="BK25" i="34" s="1"/>
  <c r="BL25" i="34" s="1"/>
  <c r="BM25" i="34" s="1"/>
  <c r="BN25" i="34" s="1"/>
  <c r="BO25" i="34" s="1"/>
  <c r="BP25" i="34" s="1"/>
  <c r="BQ25" i="34" s="1"/>
  <c r="BR25" i="34" s="1"/>
  <c r="BS25" i="34" s="1"/>
  <c r="BT25" i="34" s="1"/>
  <c r="BU25" i="34" s="1"/>
  <c r="BV25" i="34" s="1"/>
  <c r="BW25" i="34" s="1"/>
  <c r="BX25" i="34" s="1"/>
  <c r="BY25" i="34" s="1"/>
  <c r="BZ25" i="34" s="1"/>
  <c r="CA25" i="34" s="1"/>
  <c r="CB25" i="34" s="1"/>
  <c r="CC25" i="34" s="1"/>
  <c r="CD25" i="34" s="1"/>
  <c r="CE25" i="34" s="1"/>
  <c r="CF25" i="34" s="1"/>
  <c r="CG25" i="34" s="1"/>
  <c r="CH25" i="34" s="1"/>
  <c r="CI25" i="34" s="1"/>
  <c r="CJ25" i="34" s="1"/>
  <c r="CK25" i="34" s="1"/>
  <c r="CL25" i="34" s="1"/>
  <c r="CM25" i="34" s="1"/>
  <c r="CN25" i="34" s="1"/>
  <c r="CO25" i="34" s="1"/>
  <c r="CP25" i="34" s="1"/>
  <c r="CQ25" i="34" s="1"/>
  <c r="CR25" i="34" s="1"/>
  <c r="CS25" i="34" s="1"/>
  <c r="CT25" i="34" s="1"/>
  <c r="CU25" i="34" s="1"/>
  <c r="CV25" i="34" s="1"/>
  <c r="CW25" i="34" s="1"/>
  <c r="CX25" i="34" s="1"/>
  <c r="CY25" i="34" s="1"/>
  <c r="CZ25" i="34" s="1"/>
  <c r="DA25" i="34" s="1"/>
  <c r="DB25" i="34" s="1"/>
  <c r="DC25" i="34" s="1"/>
  <c r="DD25" i="34" s="1"/>
  <c r="DE25" i="34" s="1"/>
  <c r="DF25" i="34" s="1"/>
  <c r="DG25" i="34" s="1"/>
  <c r="DH25" i="34" s="1"/>
  <c r="DI25" i="34" s="1"/>
  <c r="DJ25" i="34" s="1"/>
  <c r="DK25" i="34" s="1"/>
  <c r="DL25" i="34" s="1"/>
  <c r="DM25" i="34" s="1"/>
  <c r="S16" i="34"/>
  <c r="T16" i="34" s="1"/>
  <c r="U16" i="34" s="1"/>
  <c r="V16" i="34" s="1"/>
  <c r="W16" i="34" s="1"/>
  <c r="X16" i="34" s="1"/>
  <c r="Y16" i="34" s="1"/>
  <c r="Z16" i="34" s="1"/>
  <c r="AA16" i="34" s="1"/>
  <c r="AB16" i="34" s="1"/>
  <c r="AC16" i="34" s="1"/>
  <c r="AD16" i="34" s="1"/>
  <c r="AE16" i="34" s="1"/>
  <c r="AF16" i="34" s="1"/>
  <c r="AG16" i="34" s="1"/>
  <c r="AH16" i="34" s="1"/>
  <c r="AI16" i="34" s="1"/>
  <c r="AJ16" i="34" s="1"/>
  <c r="AK16" i="34" s="1"/>
  <c r="AL16" i="34" s="1"/>
  <c r="AM16" i="34" s="1"/>
  <c r="AN16" i="34" s="1"/>
  <c r="AO16" i="34" s="1"/>
  <c r="AP16" i="34" s="1"/>
  <c r="AQ16" i="34" s="1"/>
  <c r="AR16" i="34" s="1"/>
  <c r="AS16" i="34" s="1"/>
  <c r="AT16" i="34" s="1"/>
  <c r="AU16" i="34" s="1"/>
  <c r="AV16" i="34" s="1"/>
  <c r="AW16" i="34" s="1"/>
  <c r="AX16" i="34" s="1"/>
  <c r="AY16" i="34" s="1"/>
  <c r="AZ16" i="34" s="1"/>
  <c r="BA16" i="34" s="1"/>
  <c r="BB16" i="34" s="1"/>
  <c r="BC16" i="34" s="1"/>
  <c r="BD16" i="34" s="1"/>
  <c r="BE16" i="34" s="1"/>
  <c r="BF16" i="34" s="1"/>
  <c r="BG16" i="34" s="1"/>
  <c r="BH16" i="34" s="1"/>
  <c r="BI16" i="34" s="1"/>
  <c r="BJ16" i="34" s="1"/>
  <c r="BK16" i="34" s="1"/>
  <c r="BL16" i="34" s="1"/>
  <c r="BM16" i="34" s="1"/>
  <c r="BN16" i="34" s="1"/>
  <c r="BO16" i="34" s="1"/>
  <c r="BP16" i="34" s="1"/>
  <c r="BQ16" i="34" s="1"/>
  <c r="BR16" i="34" s="1"/>
  <c r="BS16" i="34" s="1"/>
  <c r="BT16" i="34" s="1"/>
  <c r="BU16" i="34" s="1"/>
  <c r="BV16" i="34" s="1"/>
  <c r="BW16" i="34" s="1"/>
  <c r="BX16" i="34" s="1"/>
  <c r="BY16" i="34" s="1"/>
  <c r="BZ16" i="34" s="1"/>
  <c r="CA16" i="34" s="1"/>
  <c r="CB16" i="34" s="1"/>
  <c r="CC16" i="34" s="1"/>
  <c r="CD16" i="34" s="1"/>
  <c r="CE16" i="34" s="1"/>
  <c r="CF16" i="34" s="1"/>
  <c r="CG16" i="34" s="1"/>
  <c r="CH16" i="34" s="1"/>
  <c r="CI16" i="34" s="1"/>
  <c r="CJ16" i="34" s="1"/>
  <c r="CK16" i="34" s="1"/>
  <c r="CL16" i="34" s="1"/>
  <c r="CM16" i="34" s="1"/>
  <c r="CN16" i="34" s="1"/>
  <c r="CO16" i="34" s="1"/>
  <c r="CP16" i="34" s="1"/>
  <c r="CQ16" i="34" s="1"/>
  <c r="CR16" i="34" s="1"/>
  <c r="CS16" i="34" s="1"/>
  <c r="CT16" i="34" s="1"/>
  <c r="CU16" i="34" s="1"/>
  <c r="CV16" i="34" s="1"/>
  <c r="CW16" i="34" s="1"/>
  <c r="CX16" i="34" s="1"/>
  <c r="CY16" i="34" s="1"/>
  <c r="CZ16" i="34" s="1"/>
  <c r="DA16" i="34" s="1"/>
  <c r="DB16" i="34" s="1"/>
  <c r="DC16" i="34" s="1"/>
  <c r="DD16" i="34" s="1"/>
  <c r="DE16" i="34" s="1"/>
  <c r="DF16" i="34" s="1"/>
  <c r="DG16" i="34" s="1"/>
  <c r="DH16" i="34" s="1"/>
  <c r="DI16" i="34" s="1"/>
  <c r="DJ16" i="34" s="1"/>
  <c r="DK16" i="34" s="1"/>
  <c r="DL16" i="34" s="1"/>
  <c r="DM16" i="34" s="1"/>
  <c r="S11" i="34"/>
  <c r="T11" i="34" s="1"/>
  <c r="U11" i="34" s="1"/>
  <c r="V11" i="34" s="1"/>
  <c r="W11" i="34" s="1"/>
  <c r="X11" i="34" s="1"/>
  <c r="Y11" i="34" s="1"/>
  <c r="Z11" i="34" s="1"/>
  <c r="AA11" i="34" s="1"/>
  <c r="AB11" i="34" s="1"/>
  <c r="AC11" i="34" s="1"/>
  <c r="AD11" i="34" s="1"/>
  <c r="AE11" i="34" s="1"/>
  <c r="AF11" i="34" s="1"/>
  <c r="AG11" i="34" s="1"/>
  <c r="AH11" i="34" s="1"/>
  <c r="AI11" i="34" s="1"/>
  <c r="AJ11" i="34" s="1"/>
  <c r="AK11" i="34" s="1"/>
  <c r="AL11" i="34" s="1"/>
  <c r="AM11" i="34" s="1"/>
  <c r="AN11" i="34" s="1"/>
  <c r="AO11" i="34" s="1"/>
  <c r="AP11" i="34" s="1"/>
  <c r="AQ11" i="34" s="1"/>
  <c r="AR11" i="34" s="1"/>
  <c r="AS11" i="34" s="1"/>
  <c r="AT11" i="34" s="1"/>
  <c r="AU11" i="34" s="1"/>
  <c r="AV11" i="34" s="1"/>
  <c r="AW11" i="34" s="1"/>
  <c r="AX11" i="34" s="1"/>
  <c r="AY11" i="34" s="1"/>
  <c r="AZ11" i="34" s="1"/>
  <c r="BA11" i="34" s="1"/>
  <c r="BB11" i="34" s="1"/>
  <c r="BC11" i="34" s="1"/>
  <c r="BD11" i="34" s="1"/>
  <c r="BE11" i="34" s="1"/>
  <c r="BF11" i="34" s="1"/>
  <c r="BG11" i="34" s="1"/>
  <c r="BH11" i="34" s="1"/>
  <c r="BI11" i="34" s="1"/>
  <c r="BJ11" i="34" s="1"/>
  <c r="BK11" i="34" s="1"/>
  <c r="BL11" i="34" s="1"/>
  <c r="BM11" i="34" s="1"/>
  <c r="BN11" i="34" s="1"/>
  <c r="BO11" i="34" s="1"/>
  <c r="BP11" i="34" s="1"/>
  <c r="BQ11" i="34" s="1"/>
  <c r="BR11" i="34" s="1"/>
  <c r="BS11" i="34" s="1"/>
  <c r="BT11" i="34" s="1"/>
  <c r="BU11" i="34" s="1"/>
  <c r="BV11" i="34" s="1"/>
  <c r="BW11" i="34" s="1"/>
  <c r="BX11" i="34" s="1"/>
  <c r="BY11" i="34" s="1"/>
  <c r="BZ11" i="34" s="1"/>
  <c r="CA11" i="34" s="1"/>
  <c r="CB11" i="34" s="1"/>
  <c r="CC11" i="34" s="1"/>
  <c r="CD11" i="34" s="1"/>
  <c r="CE11" i="34" s="1"/>
  <c r="CF11" i="34" s="1"/>
  <c r="CG11" i="34" s="1"/>
  <c r="CH11" i="34" s="1"/>
  <c r="CI11" i="34" s="1"/>
  <c r="CJ11" i="34" s="1"/>
  <c r="CK11" i="34" s="1"/>
  <c r="CL11" i="34" s="1"/>
  <c r="CM11" i="34" s="1"/>
  <c r="CN11" i="34" s="1"/>
  <c r="CO11" i="34" s="1"/>
  <c r="CP11" i="34" s="1"/>
  <c r="CQ11" i="34" s="1"/>
  <c r="CR11" i="34" s="1"/>
  <c r="CS11" i="34" s="1"/>
  <c r="CT11" i="34" s="1"/>
  <c r="CU11" i="34" s="1"/>
  <c r="CV11" i="34" s="1"/>
  <c r="CW11" i="34" s="1"/>
  <c r="CX11" i="34" s="1"/>
  <c r="CY11" i="34" s="1"/>
  <c r="CZ11" i="34" s="1"/>
  <c r="DA11" i="34" s="1"/>
  <c r="DB11" i="34" s="1"/>
  <c r="DC11" i="34" s="1"/>
  <c r="DD11" i="34" s="1"/>
  <c r="DE11" i="34" s="1"/>
  <c r="DF11" i="34" s="1"/>
  <c r="DG11" i="34" s="1"/>
  <c r="DH11" i="34" s="1"/>
  <c r="DI11" i="34" s="1"/>
  <c r="DJ11" i="34" s="1"/>
  <c r="DK11" i="34" s="1"/>
  <c r="DL11" i="34" s="1"/>
  <c r="DM11" i="34" s="1"/>
  <c r="S67" i="34"/>
  <c r="T67" i="34" s="1"/>
  <c r="U67" i="34" s="1"/>
  <c r="V67" i="34" s="1"/>
  <c r="W67" i="34" s="1"/>
  <c r="X67" i="34" s="1"/>
  <c r="Y67" i="34" s="1"/>
  <c r="Z67" i="34" s="1"/>
  <c r="AA67" i="34" s="1"/>
  <c r="AB67" i="34" s="1"/>
  <c r="AC67" i="34" s="1"/>
  <c r="AD67" i="34" s="1"/>
  <c r="AE67" i="34" s="1"/>
  <c r="AF67" i="34" s="1"/>
  <c r="AG67" i="34" s="1"/>
  <c r="AH67" i="34" s="1"/>
  <c r="AI67" i="34" s="1"/>
  <c r="AJ67" i="34" s="1"/>
  <c r="AK67" i="34" s="1"/>
  <c r="AL67" i="34" s="1"/>
  <c r="AM67" i="34" s="1"/>
  <c r="AN67" i="34" s="1"/>
  <c r="AO67" i="34" s="1"/>
  <c r="AP67" i="34" s="1"/>
  <c r="AQ67" i="34" s="1"/>
  <c r="AR67" i="34" s="1"/>
  <c r="AS67" i="34" s="1"/>
  <c r="AT67" i="34" s="1"/>
  <c r="AU67" i="34" s="1"/>
  <c r="AV67" i="34" s="1"/>
  <c r="AW67" i="34" s="1"/>
  <c r="AX67" i="34" s="1"/>
  <c r="AY67" i="34" s="1"/>
  <c r="AZ67" i="34" s="1"/>
  <c r="BA67" i="34" s="1"/>
  <c r="BB67" i="34" s="1"/>
  <c r="BC67" i="34" s="1"/>
  <c r="BD67" i="34" s="1"/>
  <c r="BE67" i="34" s="1"/>
  <c r="BF67" i="34" s="1"/>
  <c r="BG67" i="34" s="1"/>
  <c r="BH67" i="34" s="1"/>
  <c r="BI67" i="34" s="1"/>
  <c r="BJ67" i="34" s="1"/>
  <c r="BK67" i="34" s="1"/>
  <c r="BL67" i="34" s="1"/>
  <c r="BM67" i="34" s="1"/>
  <c r="BN67" i="34" s="1"/>
  <c r="BO67" i="34" s="1"/>
  <c r="BP67" i="34" s="1"/>
  <c r="BQ67" i="34" s="1"/>
  <c r="BR67" i="34" s="1"/>
  <c r="BS67" i="34" s="1"/>
  <c r="BT67" i="34" s="1"/>
  <c r="BU67" i="34" s="1"/>
  <c r="BV67" i="34" s="1"/>
  <c r="BW67" i="34" s="1"/>
  <c r="BX67" i="34" s="1"/>
  <c r="BY67" i="34" s="1"/>
  <c r="BZ67" i="34" s="1"/>
  <c r="CA67" i="34" s="1"/>
  <c r="CB67" i="34" s="1"/>
  <c r="CC67" i="34" s="1"/>
  <c r="CD67" i="34" s="1"/>
  <c r="CE67" i="34" s="1"/>
  <c r="CF67" i="34" s="1"/>
  <c r="CG67" i="34" s="1"/>
  <c r="CH67" i="34" s="1"/>
  <c r="CI67" i="34" s="1"/>
  <c r="CJ67" i="34" s="1"/>
  <c r="CK67" i="34" s="1"/>
  <c r="CL67" i="34" s="1"/>
  <c r="CM67" i="34" s="1"/>
  <c r="CN67" i="34" s="1"/>
  <c r="CO67" i="34" s="1"/>
  <c r="CP67" i="34" s="1"/>
  <c r="CQ67" i="34" s="1"/>
  <c r="CR67" i="34" s="1"/>
  <c r="CS67" i="34" s="1"/>
  <c r="CT67" i="34" s="1"/>
  <c r="CU67" i="34" s="1"/>
  <c r="CV67" i="34" s="1"/>
  <c r="CW67" i="34" s="1"/>
  <c r="CX67" i="34" s="1"/>
  <c r="CY67" i="34" s="1"/>
  <c r="CZ67" i="34" s="1"/>
  <c r="DA67" i="34" s="1"/>
  <c r="DB67" i="34" s="1"/>
  <c r="DC67" i="34" s="1"/>
  <c r="DD67" i="34" s="1"/>
  <c r="DE67" i="34" s="1"/>
  <c r="DF67" i="34" s="1"/>
  <c r="DG67" i="34" s="1"/>
  <c r="DH67" i="34" s="1"/>
  <c r="DI67" i="34" s="1"/>
  <c r="DJ67" i="34" s="1"/>
  <c r="DK67" i="34" s="1"/>
  <c r="DL67" i="34" s="1"/>
  <c r="DM67" i="34" s="1"/>
  <c r="S41" i="34"/>
  <c r="T41" i="34" s="1"/>
  <c r="U41" i="34" s="1"/>
  <c r="V41" i="34" s="1"/>
  <c r="W41" i="34" s="1"/>
  <c r="X41" i="34" s="1"/>
  <c r="Y41" i="34" s="1"/>
  <c r="Z41" i="34" s="1"/>
  <c r="AA41" i="34" s="1"/>
  <c r="AB41" i="34" s="1"/>
  <c r="AC41" i="34" s="1"/>
  <c r="AD41" i="34" s="1"/>
  <c r="AE41" i="34" s="1"/>
  <c r="AF41" i="34" s="1"/>
  <c r="AG41" i="34" s="1"/>
  <c r="AH41" i="34" s="1"/>
  <c r="AI41" i="34" s="1"/>
  <c r="AJ41" i="34" s="1"/>
  <c r="AK41" i="34" s="1"/>
  <c r="AL41" i="34" s="1"/>
  <c r="AM41" i="34" s="1"/>
  <c r="AN41" i="34" s="1"/>
  <c r="AO41" i="34" s="1"/>
  <c r="AP41" i="34" s="1"/>
  <c r="AQ41" i="34" s="1"/>
  <c r="AR41" i="34" s="1"/>
  <c r="AS41" i="34" s="1"/>
  <c r="AT41" i="34" s="1"/>
  <c r="AU41" i="34" s="1"/>
  <c r="AV41" i="34" s="1"/>
  <c r="AW41" i="34" s="1"/>
  <c r="AX41" i="34" s="1"/>
  <c r="AY41" i="34" s="1"/>
  <c r="AZ41" i="34" s="1"/>
  <c r="BA41" i="34" s="1"/>
  <c r="BB41" i="34" s="1"/>
  <c r="BC41" i="34" s="1"/>
  <c r="BD41" i="34" s="1"/>
  <c r="BE41" i="34" s="1"/>
  <c r="BF41" i="34" s="1"/>
  <c r="BG41" i="34" s="1"/>
  <c r="BH41" i="34" s="1"/>
  <c r="BI41" i="34" s="1"/>
  <c r="BJ41" i="34" s="1"/>
  <c r="BK41" i="34" s="1"/>
  <c r="BL41" i="34" s="1"/>
  <c r="BM41" i="34" s="1"/>
  <c r="BN41" i="34" s="1"/>
  <c r="BO41" i="34" s="1"/>
  <c r="BP41" i="34" s="1"/>
  <c r="BQ41" i="34" s="1"/>
  <c r="BR41" i="34" s="1"/>
  <c r="BS41" i="34" s="1"/>
  <c r="BT41" i="34" s="1"/>
  <c r="BU41" i="34" s="1"/>
  <c r="BV41" i="34" s="1"/>
  <c r="BW41" i="34" s="1"/>
  <c r="BX41" i="34" s="1"/>
  <c r="BY41" i="34" s="1"/>
  <c r="BZ41" i="34" s="1"/>
  <c r="CA41" i="34" s="1"/>
  <c r="CB41" i="34" s="1"/>
  <c r="CC41" i="34" s="1"/>
  <c r="CD41" i="34" s="1"/>
  <c r="CE41" i="34" s="1"/>
  <c r="CF41" i="34" s="1"/>
  <c r="CG41" i="34" s="1"/>
  <c r="CH41" i="34" s="1"/>
  <c r="CI41" i="34" s="1"/>
  <c r="CJ41" i="34" s="1"/>
  <c r="CK41" i="34" s="1"/>
  <c r="CL41" i="34" s="1"/>
  <c r="CM41" i="34" s="1"/>
  <c r="CN41" i="34" s="1"/>
  <c r="CO41" i="34" s="1"/>
  <c r="CP41" i="34" s="1"/>
  <c r="CQ41" i="34" s="1"/>
  <c r="CR41" i="34" s="1"/>
  <c r="CS41" i="34" s="1"/>
  <c r="CT41" i="34" s="1"/>
  <c r="CU41" i="34" s="1"/>
  <c r="CV41" i="34" s="1"/>
  <c r="CW41" i="34" s="1"/>
  <c r="CX41" i="34" s="1"/>
  <c r="CY41" i="34" s="1"/>
  <c r="CZ41" i="34" s="1"/>
  <c r="DA41" i="34" s="1"/>
  <c r="DB41" i="34" s="1"/>
  <c r="DC41" i="34" s="1"/>
  <c r="DD41" i="34" s="1"/>
  <c r="DE41" i="34" s="1"/>
  <c r="DF41" i="34" s="1"/>
  <c r="DG41" i="34" s="1"/>
  <c r="DH41" i="34" s="1"/>
  <c r="DI41" i="34" s="1"/>
  <c r="DJ41" i="34" s="1"/>
  <c r="DK41" i="34" s="1"/>
  <c r="DL41" i="34" s="1"/>
  <c r="DM41" i="34" s="1"/>
  <c r="S31" i="34"/>
  <c r="T31" i="34" s="1"/>
  <c r="U31" i="34" s="1"/>
  <c r="V31" i="34" s="1"/>
  <c r="W31" i="34" s="1"/>
  <c r="X31" i="34" s="1"/>
  <c r="Y31" i="34" s="1"/>
  <c r="Z31" i="34" s="1"/>
  <c r="AA31" i="34" s="1"/>
  <c r="AB31" i="34" s="1"/>
  <c r="AC31" i="34" s="1"/>
  <c r="AD31" i="34" s="1"/>
  <c r="AE31" i="34" s="1"/>
  <c r="AF31" i="34" s="1"/>
  <c r="AG31" i="34" s="1"/>
  <c r="AH31" i="34" s="1"/>
  <c r="AI31" i="34" s="1"/>
  <c r="AJ31" i="34" s="1"/>
  <c r="AK31" i="34" s="1"/>
  <c r="AL31" i="34" s="1"/>
  <c r="AM31" i="34" s="1"/>
  <c r="AN31" i="34" s="1"/>
  <c r="AO31" i="34" s="1"/>
  <c r="AP31" i="34" s="1"/>
  <c r="AQ31" i="34" s="1"/>
  <c r="AR31" i="34" s="1"/>
  <c r="AS31" i="34" s="1"/>
  <c r="AT31" i="34" s="1"/>
  <c r="AU31" i="34" s="1"/>
  <c r="AV31" i="34" s="1"/>
  <c r="AW31" i="34" s="1"/>
  <c r="AX31" i="34" s="1"/>
  <c r="AY31" i="34" s="1"/>
  <c r="AZ31" i="34" s="1"/>
  <c r="BA31" i="34" s="1"/>
  <c r="BB31" i="34" s="1"/>
  <c r="BC31" i="34" s="1"/>
  <c r="BD31" i="34" s="1"/>
  <c r="BE31" i="34" s="1"/>
  <c r="BF31" i="34" s="1"/>
  <c r="BG31" i="34" s="1"/>
  <c r="BH31" i="34" s="1"/>
  <c r="BI31" i="34" s="1"/>
  <c r="BJ31" i="34" s="1"/>
  <c r="BK31" i="34" s="1"/>
  <c r="BL31" i="34" s="1"/>
  <c r="BM31" i="34" s="1"/>
  <c r="BN31" i="34" s="1"/>
  <c r="BO31" i="34" s="1"/>
  <c r="BP31" i="34" s="1"/>
  <c r="BQ31" i="34" s="1"/>
  <c r="BR31" i="34" s="1"/>
  <c r="BS31" i="34" s="1"/>
  <c r="BT31" i="34" s="1"/>
  <c r="BU31" i="34" s="1"/>
  <c r="BV31" i="34" s="1"/>
  <c r="BW31" i="34" s="1"/>
  <c r="BX31" i="34" s="1"/>
  <c r="BY31" i="34" s="1"/>
  <c r="BZ31" i="34" s="1"/>
  <c r="CA31" i="34" s="1"/>
  <c r="CB31" i="34" s="1"/>
  <c r="CC31" i="34" s="1"/>
  <c r="CD31" i="34" s="1"/>
  <c r="CE31" i="34" s="1"/>
  <c r="CF31" i="34" s="1"/>
  <c r="CG31" i="34" s="1"/>
  <c r="CH31" i="34" s="1"/>
  <c r="CI31" i="34" s="1"/>
  <c r="CJ31" i="34" s="1"/>
  <c r="CK31" i="34" s="1"/>
  <c r="CL31" i="34" s="1"/>
  <c r="CM31" i="34" s="1"/>
  <c r="CN31" i="34" s="1"/>
  <c r="CO31" i="34" s="1"/>
  <c r="CP31" i="34" s="1"/>
  <c r="CQ31" i="34" s="1"/>
  <c r="CR31" i="34" s="1"/>
  <c r="CS31" i="34" s="1"/>
  <c r="CT31" i="34" s="1"/>
  <c r="CU31" i="34" s="1"/>
  <c r="CV31" i="34" s="1"/>
  <c r="CW31" i="34" s="1"/>
  <c r="CX31" i="34" s="1"/>
  <c r="CY31" i="34" s="1"/>
  <c r="CZ31" i="34" s="1"/>
  <c r="DA31" i="34" s="1"/>
  <c r="DB31" i="34" s="1"/>
  <c r="DC31" i="34" s="1"/>
  <c r="DD31" i="34" s="1"/>
  <c r="DE31" i="34" s="1"/>
  <c r="DF31" i="34" s="1"/>
  <c r="DG31" i="34" s="1"/>
  <c r="DH31" i="34" s="1"/>
  <c r="DI31" i="34" s="1"/>
  <c r="DJ31" i="34" s="1"/>
  <c r="DK31" i="34" s="1"/>
  <c r="DL31" i="34" s="1"/>
  <c r="DM31" i="34" s="1"/>
  <c r="S30" i="34"/>
  <c r="T30" i="34" s="1"/>
  <c r="U30" i="34" s="1"/>
  <c r="V30" i="34" s="1"/>
  <c r="W30" i="34" s="1"/>
  <c r="X30" i="34" s="1"/>
  <c r="Y30" i="34" s="1"/>
  <c r="Z30" i="34" s="1"/>
  <c r="AA30" i="34" s="1"/>
  <c r="AB30" i="34" s="1"/>
  <c r="AC30" i="34" s="1"/>
  <c r="AD30" i="34" s="1"/>
  <c r="AE30" i="34" s="1"/>
  <c r="AF30" i="34" s="1"/>
  <c r="AG30" i="34" s="1"/>
  <c r="AH30" i="34" s="1"/>
  <c r="AI30" i="34" s="1"/>
  <c r="AJ30" i="34" s="1"/>
  <c r="AK30" i="34" s="1"/>
  <c r="AL30" i="34" s="1"/>
  <c r="AM30" i="34" s="1"/>
  <c r="AN30" i="34" s="1"/>
  <c r="AO30" i="34" s="1"/>
  <c r="AP30" i="34" s="1"/>
  <c r="AQ30" i="34" s="1"/>
  <c r="AR30" i="34" s="1"/>
  <c r="AS30" i="34" s="1"/>
  <c r="AT30" i="34" s="1"/>
  <c r="AU30" i="34" s="1"/>
  <c r="AV30" i="34" s="1"/>
  <c r="AW30" i="34" s="1"/>
  <c r="AX30" i="34" s="1"/>
  <c r="AY30" i="34" s="1"/>
  <c r="AZ30" i="34" s="1"/>
  <c r="BA30" i="34" s="1"/>
  <c r="BB30" i="34" s="1"/>
  <c r="BC30" i="34" s="1"/>
  <c r="BD30" i="34" s="1"/>
  <c r="BE30" i="34" s="1"/>
  <c r="BF30" i="34" s="1"/>
  <c r="BG30" i="34" s="1"/>
  <c r="BH30" i="34" s="1"/>
  <c r="BI30" i="34" s="1"/>
  <c r="BJ30" i="34" s="1"/>
  <c r="BK30" i="34" s="1"/>
  <c r="BL30" i="34" s="1"/>
  <c r="BM30" i="34" s="1"/>
  <c r="BN30" i="34" s="1"/>
  <c r="BO30" i="34" s="1"/>
  <c r="BP30" i="34" s="1"/>
  <c r="BQ30" i="34" s="1"/>
  <c r="BR30" i="34" s="1"/>
  <c r="BS30" i="34" s="1"/>
  <c r="BT30" i="34" s="1"/>
  <c r="BU30" i="34" s="1"/>
  <c r="BV30" i="34" s="1"/>
  <c r="BW30" i="34" s="1"/>
  <c r="BX30" i="34" s="1"/>
  <c r="BY30" i="34" s="1"/>
  <c r="BZ30" i="34" s="1"/>
  <c r="CA30" i="34" s="1"/>
  <c r="CB30" i="34" s="1"/>
  <c r="CC30" i="34" s="1"/>
  <c r="CD30" i="34" s="1"/>
  <c r="CE30" i="34" s="1"/>
  <c r="CF30" i="34" s="1"/>
  <c r="CG30" i="34" s="1"/>
  <c r="CH30" i="34" s="1"/>
  <c r="CI30" i="34" s="1"/>
  <c r="CJ30" i="34" s="1"/>
  <c r="CK30" i="34" s="1"/>
  <c r="CL30" i="34" s="1"/>
  <c r="CM30" i="34" s="1"/>
  <c r="CN30" i="34" s="1"/>
  <c r="CO30" i="34" s="1"/>
  <c r="CP30" i="34" s="1"/>
  <c r="CQ30" i="34" s="1"/>
  <c r="CR30" i="34" s="1"/>
  <c r="CS30" i="34" s="1"/>
  <c r="CT30" i="34" s="1"/>
  <c r="CU30" i="34" s="1"/>
  <c r="CV30" i="34" s="1"/>
  <c r="CW30" i="34" s="1"/>
  <c r="CX30" i="34" s="1"/>
  <c r="CY30" i="34" s="1"/>
  <c r="CZ30" i="34" s="1"/>
  <c r="DA30" i="34" s="1"/>
  <c r="DB30" i="34" s="1"/>
  <c r="DC30" i="34" s="1"/>
  <c r="DD30" i="34" s="1"/>
  <c r="DE30" i="34" s="1"/>
  <c r="DF30" i="34" s="1"/>
  <c r="DG30" i="34" s="1"/>
  <c r="DH30" i="34" s="1"/>
  <c r="DI30" i="34" s="1"/>
  <c r="DJ30" i="34" s="1"/>
  <c r="DK30" i="34" s="1"/>
  <c r="DL30" i="34" s="1"/>
  <c r="DM30" i="34" s="1"/>
  <c r="S52" i="34"/>
  <c r="T52" i="34" s="1"/>
  <c r="U52" i="34" s="1"/>
  <c r="V52" i="34" s="1"/>
  <c r="W52" i="34" s="1"/>
  <c r="X52" i="34" s="1"/>
  <c r="Y52" i="34" s="1"/>
  <c r="Z52" i="34" s="1"/>
  <c r="AA52" i="34" s="1"/>
  <c r="AB52" i="34" s="1"/>
  <c r="AC52" i="34" s="1"/>
  <c r="AD52" i="34" s="1"/>
  <c r="AE52" i="34" s="1"/>
  <c r="AF52" i="34" s="1"/>
  <c r="AG52" i="34" s="1"/>
  <c r="AH52" i="34" s="1"/>
  <c r="AI52" i="34" s="1"/>
  <c r="AJ52" i="34" s="1"/>
  <c r="AK52" i="34" s="1"/>
  <c r="AL52" i="34" s="1"/>
  <c r="AM52" i="34" s="1"/>
  <c r="AN52" i="34" s="1"/>
  <c r="AO52" i="34" s="1"/>
  <c r="AP52" i="34" s="1"/>
  <c r="AQ52" i="34" s="1"/>
  <c r="AR52" i="34" s="1"/>
  <c r="AS52" i="34" s="1"/>
  <c r="AT52" i="34" s="1"/>
  <c r="AU52" i="34" s="1"/>
  <c r="AV52" i="34" s="1"/>
  <c r="AW52" i="34" s="1"/>
  <c r="AX52" i="34" s="1"/>
  <c r="AY52" i="34" s="1"/>
  <c r="AZ52" i="34" s="1"/>
  <c r="BA52" i="34" s="1"/>
  <c r="BB52" i="34" s="1"/>
  <c r="BC52" i="34" s="1"/>
  <c r="BD52" i="34" s="1"/>
  <c r="BE52" i="34" s="1"/>
  <c r="BF52" i="34" s="1"/>
  <c r="BG52" i="34" s="1"/>
  <c r="BH52" i="34" s="1"/>
  <c r="BI52" i="34" s="1"/>
  <c r="BJ52" i="34" s="1"/>
  <c r="BK52" i="34" s="1"/>
  <c r="BL52" i="34" s="1"/>
  <c r="BM52" i="34" s="1"/>
  <c r="BN52" i="34" s="1"/>
  <c r="BO52" i="34" s="1"/>
  <c r="BP52" i="34" s="1"/>
  <c r="BQ52" i="34" s="1"/>
  <c r="BR52" i="34" s="1"/>
  <c r="BS52" i="34" s="1"/>
  <c r="BT52" i="34" s="1"/>
  <c r="BU52" i="34" s="1"/>
  <c r="BV52" i="34" s="1"/>
  <c r="BW52" i="34" s="1"/>
  <c r="BX52" i="34" s="1"/>
  <c r="BY52" i="34" s="1"/>
  <c r="BZ52" i="34" s="1"/>
  <c r="CA52" i="34" s="1"/>
  <c r="CB52" i="34" s="1"/>
  <c r="CC52" i="34" s="1"/>
  <c r="CD52" i="34" s="1"/>
  <c r="CE52" i="34" s="1"/>
  <c r="CF52" i="34" s="1"/>
  <c r="CG52" i="34" s="1"/>
  <c r="CH52" i="34" s="1"/>
  <c r="CI52" i="34" s="1"/>
  <c r="CJ52" i="34" s="1"/>
  <c r="CK52" i="34" s="1"/>
  <c r="CL52" i="34" s="1"/>
  <c r="CM52" i="34" s="1"/>
  <c r="CN52" i="34" s="1"/>
  <c r="CO52" i="34" s="1"/>
  <c r="CP52" i="34" s="1"/>
  <c r="CQ52" i="34" s="1"/>
  <c r="CR52" i="34" s="1"/>
  <c r="CS52" i="34" s="1"/>
  <c r="CT52" i="34" s="1"/>
  <c r="CU52" i="34" s="1"/>
  <c r="CV52" i="34" s="1"/>
  <c r="CW52" i="34" s="1"/>
  <c r="CX52" i="34" s="1"/>
  <c r="CY52" i="34" s="1"/>
  <c r="CZ52" i="34" s="1"/>
  <c r="DA52" i="34" s="1"/>
  <c r="DB52" i="34" s="1"/>
  <c r="DC52" i="34" s="1"/>
  <c r="DD52" i="34" s="1"/>
  <c r="DE52" i="34" s="1"/>
  <c r="DF52" i="34" s="1"/>
  <c r="DG52" i="34" s="1"/>
  <c r="DH52" i="34" s="1"/>
  <c r="DI52" i="34" s="1"/>
  <c r="DJ52" i="34" s="1"/>
  <c r="DK52" i="34" s="1"/>
  <c r="DL52" i="34" s="1"/>
  <c r="DM52" i="34" s="1"/>
  <c r="S14" i="34"/>
  <c r="T14" i="34" s="1"/>
  <c r="U14" i="34" s="1"/>
  <c r="V14" i="34" s="1"/>
  <c r="W14" i="34" s="1"/>
  <c r="X14" i="34" s="1"/>
  <c r="Y14" i="34" s="1"/>
  <c r="Z14" i="34" s="1"/>
  <c r="AA14" i="34" s="1"/>
  <c r="AB14" i="34" s="1"/>
  <c r="AC14" i="34" s="1"/>
  <c r="AD14" i="34" s="1"/>
  <c r="AE14" i="34" s="1"/>
  <c r="AF14" i="34" s="1"/>
  <c r="AG14" i="34" s="1"/>
  <c r="AH14" i="34" s="1"/>
  <c r="AI14" i="34" s="1"/>
  <c r="AJ14" i="34" s="1"/>
  <c r="AK14" i="34" s="1"/>
  <c r="AL14" i="34" s="1"/>
  <c r="AM14" i="34" s="1"/>
  <c r="AN14" i="34" s="1"/>
  <c r="AO14" i="34" s="1"/>
  <c r="AP14" i="34" s="1"/>
  <c r="AQ14" i="34" s="1"/>
  <c r="AR14" i="34" s="1"/>
  <c r="AS14" i="34" s="1"/>
  <c r="AT14" i="34" s="1"/>
  <c r="AU14" i="34" s="1"/>
  <c r="AV14" i="34" s="1"/>
  <c r="AW14" i="34" s="1"/>
  <c r="AX14" i="34" s="1"/>
  <c r="AY14" i="34" s="1"/>
  <c r="AZ14" i="34" s="1"/>
  <c r="BA14" i="34" s="1"/>
  <c r="BB14" i="34" s="1"/>
  <c r="BC14" i="34" s="1"/>
  <c r="BD14" i="34" s="1"/>
  <c r="BE14" i="34" s="1"/>
  <c r="BF14" i="34" s="1"/>
  <c r="BG14" i="34" s="1"/>
  <c r="BH14" i="34" s="1"/>
  <c r="BI14" i="34" s="1"/>
  <c r="BJ14" i="34" s="1"/>
  <c r="BK14" i="34" s="1"/>
  <c r="BL14" i="34" s="1"/>
  <c r="BM14" i="34" s="1"/>
  <c r="BN14" i="34" s="1"/>
  <c r="BO14" i="34" s="1"/>
  <c r="BP14" i="34" s="1"/>
  <c r="BQ14" i="34" s="1"/>
  <c r="BR14" i="34" s="1"/>
  <c r="BS14" i="34" s="1"/>
  <c r="BT14" i="34" s="1"/>
  <c r="BU14" i="34" s="1"/>
  <c r="BV14" i="34" s="1"/>
  <c r="BW14" i="34" s="1"/>
  <c r="BX14" i="34" s="1"/>
  <c r="BY14" i="34" s="1"/>
  <c r="BZ14" i="34" s="1"/>
  <c r="CA14" i="34" s="1"/>
  <c r="CB14" i="34" s="1"/>
  <c r="CC14" i="34" s="1"/>
  <c r="CD14" i="34" s="1"/>
  <c r="CE14" i="34" s="1"/>
  <c r="CF14" i="34" s="1"/>
  <c r="CG14" i="34" s="1"/>
  <c r="CH14" i="34" s="1"/>
  <c r="CI14" i="34" s="1"/>
  <c r="CJ14" i="34" s="1"/>
  <c r="CK14" i="34" s="1"/>
  <c r="CL14" i="34" s="1"/>
  <c r="CM14" i="34" s="1"/>
  <c r="CN14" i="34" s="1"/>
  <c r="CO14" i="34" s="1"/>
  <c r="CP14" i="34" s="1"/>
  <c r="CQ14" i="34" s="1"/>
  <c r="CR14" i="34" s="1"/>
  <c r="CS14" i="34" s="1"/>
  <c r="CT14" i="34" s="1"/>
  <c r="CU14" i="34" s="1"/>
  <c r="CV14" i="34" s="1"/>
  <c r="CW14" i="34" s="1"/>
  <c r="CX14" i="34" s="1"/>
  <c r="CY14" i="34" s="1"/>
  <c r="CZ14" i="34" s="1"/>
  <c r="DA14" i="34" s="1"/>
  <c r="DB14" i="34" s="1"/>
  <c r="DC14" i="34" s="1"/>
  <c r="DD14" i="34" s="1"/>
  <c r="DE14" i="34" s="1"/>
  <c r="DF14" i="34" s="1"/>
  <c r="DG14" i="34" s="1"/>
  <c r="DH14" i="34" s="1"/>
  <c r="DI14" i="34" s="1"/>
  <c r="DJ14" i="34" s="1"/>
  <c r="DK14" i="34" s="1"/>
  <c r="DL14" i="34" s="1"/>
  <c r="DM14" i="34" s="1"/>
  <c r="S40" i="34"/>
  <c r="T40" i="34" s="1"/>
  <c r="U40" i="34" s="1"/>
  <c r="V40" i="34" s="1"/>
  <c r="W40" i="34" s="1"/>
  <c r="X40" i="34" s="1"/>
  <c r="Y40" i="34" s="1"/>
  <c r="Z40" i="34" s="1"/>
  <c r="AA40" i="34" s="1"/>
  <c r="AB40" i="34" s="1"/>
  <c r="AC40" i="34" s="1"/>
  <c r="AD40" i="34" s="1"/>
  <c r="AE40" i="34" s="1"/>
  <c r="AF40" i="34" s="1"/>
  <c r="AG40" i="34" s="1"/>
  <c r="AH40" i="34" s="1"/>
  <c r="AI40" i="34" s="1"/>
  <c r="AJ40" i="34" s="1"/>
  <c r="AK40" i="34" s="1"/>
  <c r="AL40" i="34" s="1"/>
  <c r="AM40" i="34" s="1"/>
  <c r="AN40" i="34" s="1"/>
  <c r="AO40" i="34" s="1"/>
  <c r="AP40" i="34" s="1"/>
  <c r="AQ40" i="34" s="1"/>
  <c r="AR40" i="34" s="1"/>
  <c r="AS40" i="34" s="1"/>
  <c r="AT40" i="34" s="1"/>
  <c r="AU40" i="34" s="1"/>
  <c r="AV40" i="34" s="1"/>
  <c r="AW40" i="34" s="1"/>
  <c r="AX40" i="34" s="1"/>
  <c r="AY40" i="34" s="1"/>
  <c r="AZ40" i="34" s="1"/>
  <c r="BA40" i="34" s="1"/>
  <c r="BB40" i="34" s="1"/>
  <c r="BC40" i="34" s="1"/>
  <c r="BD40" i="34" s="1"/>
  <c r="BE40" i="34" s="1"/>
  <c r="BF40" i="34" s="1"/>
  <c r="BG40" i="34" s="1"/>
  <c r="BH40" i="34" s="1"/>
  <c r="BI40" i="34" s="1"/>
  <c r="BJ40" i="34" s="1"/>
  <c r="BK40" i="34" s="1"/>
  <c r="BL40" i="34" s="1"/>
  <c r="BM40" i="34" s="1"/>
  <c r="BN40" i="34" s="1"/>
  <c r="BO40" i="34" s="1"/>
  <c r="BP40" i="34" s="1"/>
  <c r="BQ40" i="34" s="1"/>
  <c r="BR40" i="34" s="1"/>
  <c r="BS40" i="34" s="1"/>
  <c r="BT40" i="34" s="1"/>
  <c r="BU40" i="34" s="1"/>
  <c r="BV40" i="34" s="1"/>
  <c r="BW40" i="34" s="1"/>
  <c r="BX40" i="34" s="1"/>
  <c r="BY40" i="34" s="1"/>
  <c r="BZ40" i="34" s="1"/>
  <c r="CA40" i="34" s="1"/>
  <c r="CB40" i="34" s="1"/>
  <c r="CC40" i="34" s="1"/>
  <c r="CD40" i="34" s="1"/>
  <c r="CE40" i="34" s="1"/>
  <c r="CF40" i="34" s="1"/>
  <c r="CG40" i="34" s="1"/>
  <c r="CH40" i="34" s="1"/>
  <c r="CI40" i="34" s="1"/>
  <c r="CJ40" i="34" s="1"/>
  <c r="CK40" i="34" s="1"/>
  <c r="CL40" i="34" s="1"/>
  <c r="CM40" i="34" s="1"/>
  <c r="CN40" i="34" s="1"/>
  <c r="CO40" i="34" s="1"/>
  <c r="CP40" i="34" s="1"/>
  <c r="CQ40" i="34" s="1"/>
  <c r="CR40" i="34" s="1"/>
  <c r="CS40" i="34" s="1"/>
  <c r="CT40" i="34" s="1"/>
  <c r="CU40" i="34" s="1"/>
  <c r="CV40" i="34" s="1"/>
  <c r="CW40" i="34" s="1"/>
  <c r="CX40" i="34" s="1"/>
  <c r="CY40" i="34" s="1"/>
  <c r="CZ40" i="34" s="1"/>
  <c r="DA40" i="34" s="1"/>
  <c r="DB40" i="34" s="1"/>
  <c r="DC40" i="34" s="1"/>
  <c r="DD40" i="34" s="1"/>
  <c r="DE40" i="34" s="1"/>
  <c r="DF40" i="34" s="1"/>
  <c r="DG40" i="34" s="1"/>
  <c r="DH40" i="34" s="1"/>
  <c r="DI40" i="34" s="1"/>
  <c r="DJ40" i="34" s="1"/>
  <c r="DK40" i="34" s="1"/>
  <c r="DL40" i="34" s="1"/>
  <c r="DM40" i="34" s="1"/>
  <c r="S44" i="34"/>
  <c r="T44" i="34" s="1"/>
  <c r="U44" i="34" s="1"/>
  <c r="V44" i="34" s="1"/>
  <c r="W44" i="34" s="1"/>
  <c r="X44" i="34" s="1"/>
  <c r="Y44" i="34" s="1"/>
  <c r="Z44" i="34" s="1"/>
  <c r="AA44" i="34" s="1"/>
  <c r="AB44" i="34" s="1"/>
  <c r="AC44" i="34" s="1"/>
  <c r="AD44" i="34" s="1"/>
  <c r="AE44" i="34" s="1"/>
  <c r="AF44" i="34" s="1"/>
  <c r="AG44" i="34" s="1"/>
  <c r="AH44" i="34" s="1"/>
  <c r="AI44" i="34" s="1"/>
  <c r="AJ44" i="34" s="1"/>
  <c r="AK44" i="34" s="1"/>
  <c r="AL44" i="34" s="1"/>
  <c r="AM44" i="34" s="1"/>
  <c r="AN44" i="34" s="1"/>
  <c r="AO44" i="34" s="1"/>
  <c r="AP44" i="34" s="1"/>
  <c r="AQ44" i="34" s="1"/>
  <c r="AR44" i="34" s="1"/>
  <c r="AS44" i="34" s="1"/>
  <c r="AT44" i="34" s="1"/>
  <c r="AU44" i="34" s="1"/>
  <c r="AV44" i="34" s="1"/>
  <c r="AW44" i="34" s="1"/>
  <c r="AX44" i="34" s="1"/>
  <c r="AY44" i="34" s="1"/>
  <c r="AZ44" i="34" s="1"/>
  <c r="BA44" i="34" s="1"/>
  <c r="BB44" i="34" s="1"/>
  <c r="BC44" i="34" s="1"/>
  <c r="BD44" i="34" s="1"/>
  <c r="BE44" i="34" s="1"/>
  <c r="BF44" i="34" s="1"/>
  <c r="BG44" i="34" s="1"/>
  <c r="BH44" i="34" s="1"/>
  <c r="BI44" i="34" s="1"/>
  <c r="BJ44" i="34" s="1"/>
  <c r="BK44" i="34" s="1"/>
  <c r="BL44" i="34" s="1"/>
  <c r="BM44" i="34" s="1"/>
  <c r="BN44" i="34" s="1"/>
  <c r="BO44" i="34" s="1"/>
  <c r="BP44" i="34" s="1"/>
  <c r="BQ44" i="34" s="1"/>
  <c r="BR44" i="34" s="1"/>
  <c r="BS44" i="34" s="1"/>
  <c r="BT44" i="34" s="1"/>
  <c r="BU44" i="34" s="1"/>
  <c r="BV44" i="34" s="1"/>
  <c r="BW44" i="34" s="1"/>
  <c r="BX44" i="34" s="1"/>
  <c r="BY44" i="34" s="1"/>
  <c r="BZ44" i="34" s="1"/>
  <c r="CA44" i="34" s="1"/>
  <c r="CB44" i="34" s="1"/>
  <c r="CC44" i="34" s="1"/>
  <c r="CD44" i="34" s="1"/>
  <c r="CE44" i="34" s="1"/>
  <c r="CF44" i="34" s="1"/>
  <c r="CG44" i="34" s="1"/>
  <c r="CH44" i="34" s="1"/>
  <c r="CI44" i="34" s="1"/>
  <c r="CJ44" i="34" s="1"/>
  <c r="CK44" i="34" s="1"/>
  <c r="CL44" i="34" s="1"/>
  <c r="CM44" i="34" s="1"/>
  <c r="CN44" i="34" s="1"/>
  <c r="CO44" i="34" s="1"/>
  <c r="CP44" i="34" s="1"/>
  <c r="CQ44" i="34" s="1"/>
  <c r="CR44" i="34" s="1"/>
  <c r="CS44" i="34" s="1"/>
  <c r="CT44" i="34" s="1"/>
  <c r="CU44" i="34" s="1"/>
  <c r="CV44" i="34" s="1"/>
  <c r="CW44" i="34" s="1"/>
  <c r="CX44" i="34" s="1"/>
  <c r="CY44" i="34" s="1"/>
  <c r="CZ44" i="34" s="1"/>
  <c r="DA44" i="34" s="1"/>
  <c r="DB44" i="34" s="1"/>
  <c r="DC44" i="34" s="1"/>
  <c r="DD44" i="34" s="1"/>
  <c r="DE44" i="34" s="1"/>
  <c r="DF44" i="34" s="1"/>
  <c r="DG44" i="34" s="1"/>
  <c r="DH44" i="34" s="1"/>
  <c r="DI44" i="34" s="1"/>
  <c r="DJ44" i="34" s="1"/>
  <c r="DK44" i="34" s="1"/>
  <c r="DL44" i="34" s="1"/>
  <c r="DM44" i="34" s="1"/>
  <c r="X9" i="59"/>
  <c r="E5" i="60"/>
  <c r="E18" i="60" s="1"/>
  <c r="S79" i="34"/>
  <c r="T79" i="34" s="1"/>
  <c r="U79" i="34" s="1"/>
  <c r="V79" i="34" s="1"/>
  <c r="W79" i="34" s="1"/>
  <c r="X79" i="34" s="1"/>
  <c r="Y79" i="34" s="1"/>
  <c r="Z79" i="34" s="1"/>
  <c r="AA79" i="34" s="1"/>
  <c r="AB79" i="34" s="1"/>
  <c r="AC79" i="34" s="1"/>
  <c r="AD79" i="34" s="1"/>
  <c r="AE79" i="34" s="1"/>
  <c r="AF79" i="34" s="1"/>
  <c r="AG79" i="34" s="1"/>
  <c r="AH79" i="34" s="1"/>
  <c r="AI79" i="34" s="1"/>
  <c r="AJ79" i="34" s="1"/>
  <c r="AK79" i="34" s="1"/>
  <c r="AL79" i="34" s="1"/>
  <c r="AM79" i="34" s="1"/>
  <c r="AN79" i="34" s="1"/>
  <c r="AO79" i="34" s="1"/>
  <c r="AP79" i="34" s="1"/>
  <c r="AQ79" i="34" s="1"/>
  <c r="AR79" i="34" s="1"/>
  <c r="AS79" i="34" s="1"/>
  <c r="AT79" i="34" s="1"/>
  <c r="AU79" i="34" s="1"/>
  <c r="AV79" i="34" s="1"/>
  <c r="AW79" i="34" s="1"/>
  <c r="AX79" i="34" s="1"/>
  <c r="AY79" i="34" s="1"/>
  <c r="AZ79" i="34" s="1"/>
  <c r="BA79" i="34" s="1"/>
  <c r="BB79" i="34" s="1"/>
  <c r="BC79" i="34" s="1"/>
  <c r="BD79" i="34" s="1"/>
  <c r="BE79" i="34" s="1"/>
  <c r="BF79" i="34" s="1"/>
  <c r="BG79" i="34" s="1"/>
  <c r="BH79" i="34" s="1"/>
  <c r="BI79" i="34" s="1"/>
  <c r="BJ79" i="34" s="1"/>
  <c r="BK79" i="34" s="1"/>
  <c r="BL79" i="34" s="1"/>
  <c r="BM79" i="34" s="1"/>
  <c r="BN79" i="34" s="1"/>
  <c r="BO79" i="34" s="1"/>
  <c r="BP79" i="34" s="1"/>
  <c r="BQ79" i="34" s="1"/>
  <c r="BR79" i="34" s="1"/>
  <c r="BS79" i="34" s="1"/>
  <c r="BT79" i="34" s="1"/>
  <c r="BU79" i="34" s="1"/>
  <c r="BV79" i="34" s="1"/>
  <c r="BW79" i="34" s="1"/>
  <c r="BX79" i="34" s="1"/>
  <c r="BY79" i="34" s="1"/>
  <c r="BZ79" i="34" s="1"/>
  <c r="CA79" i="34" s="1"/>
  <c r="CB79" i="34" s="1"/>
  <c r="CC79" i="34" s="1"/>
  <c r="CD79" i="34" s="1"/>
  <c r="CE79" i="34" s="1"/>
  <c r="CF79" i="34" s="1"/>
  <c r="CG79" i="34" s="1"/>
  <c r="CH79" i="34" s="1"/>
  <c r="CI79" i="34" s="1"/>
  <c r="CJ79" i="34" s="1"/>
  <c r="CK79" i="34" s="1"/>
  <c r="CL79" i="34" s="1"/>
  <c r="CM79" i="34" s="1"/>
  <c r="CN79" i="34" s="1"/>
  <c r="CO79" i="34" s="1"/>
  <c r="CP79" i="34" s="1"/>
  <c r="CQ79" i="34" s="1"/>
  <c r="CR79" i="34" s="1"/>
  <c r="CS79" i="34" s="1"/>
  <c r="CT79" i="34" s="1"/>
  <c r="CU79" i="34" s="1"/>
  <c r="CV79" i="34" s="1"/>
  <c r="CW79" i="34" s="1"/>
  <c r="CX79" i="34" s="1"/>
  <c r="CY79" i="34" s="1"/>
  <c r="CZ79" i="34" s="1"/>
  <c r="DA79" i="34" s="1"/>
  <c r="DB79" i="34" s="1"/>
  <c r="DC79" i="34" s="1"/>
  <c r="DD79" i="34" s="1"/>
  <c r="DE79" i="34" s="1"/>
  <c r="DF79" i="34" s="1"/>
  <c r="DG79" i="34" s="1"/>
  <c r="DH79" i="34" s="1"/>
  <c r="DI79" i="34" s="1"/>
  <c r="DJ79" i="34" s="1"/>
  <c r="DK79" i="34" s="1"/>
  <c r="DL79" i="34" s="1"/>
  <c r="DM79" i="34" s="1"/>
  <c r="S68" i="34"/>
  <c r="T68" i="34" s="1"/>
  <c r="U68" i="34" s="1"/>
  <c r="V68" i="34" s="1"/>
  <c r="W68" i="34" s="1"/>
  <c r="X68" i="34" s="1"/>
  <c r="Y68" i="34" s="1"/>
  <c r="Z68" i="34" s="1"/>
  <c r="AA68" i="34" s="1"/>
  <c r="AB68" i="34" s="1"/>
  <c r="AC68" i="34" s="1"/>
  <c r="AD68" i="34" s="1"/>
  <c r="AE68" i="34" s="1"/>
  <c r="AF68" i="34" s="1"/>
  <c r="AG68" i="34" s="1"/>
  <c r="AH68" i="34" s="1"/>
  <c r="AI68" i="34" s="1"/>
  <c r="AJ68" i="34" s="1"/>
  <c r="AK68" i="34" s="1"/>
  <c r="AL68" i="34" s="1"/>
  <c r="AM68" i="34" s="1"/>
  <c r="AN68" i="34" s="1"/>
  <c r="AO68" i="34" s="1"/>
  <c r="AP68" i="34" s="1"/>
  <c r="AQ68" i="34" s="1"/>
  <c r="AR68" i="34" s="1"/>
  <c r="AS68" i="34" s="1"/>
  <c r="AT68" i="34" s="1"/>
  <c r="AU68" i="34" s="1"/>
  <c r="AV68" i="34" s="1"/>
  <c r="AW68" i="34" s="1"/>
  <c r="AX68" i="34" s="1"/>
  <c r="AY68" i="34" s="1"/>
  <c r="AZ68" i="34" s="1"/>
  <c r="BA68" i="34" s="1"/>
  <c r="BB68" i="34" s="1"/>
  <c r="BC68" i="34" s="1"/>
  <c r="BD68" i="34" s="1"/>
  <c r="BE68" i="34" s="1"/>
  <c r="BF68" i="34" s="1"/>
  <c r="BG68" i="34" s="1"/>
  <c r="BH68" i="34" s="1"/>
  <c r="BI68" i="34" s="1"/>
  <c r="BJ68" i="34" s="1"/>
  <c r="BK68" i="34" s="1"/>
  <c r="BL68" i="34" s="1"/>
  <c r="BM68" i="34" s="1"/>
  <c r="BN68" i="34" s="1"/>
  <c r="BO68" i="34" s="1"/>
  <c r="BP68" i="34" s="1"/>
  <c r="BQ68" i="34" s="1"/>
  <c r="BR68" i="34" s="1"/>
  <c r="BS68" i="34" s="1"/>
  <c r="BT68" i="34" s="1"/>
  <c r="BU68" i="34" s="1"/>
  <c r="BV68" i="34" s="1"/>
  <c r="BW68" i="34" s="1"/>
  <c r="BX68" i="34" s="1"/>
  <c r="BY68" i="34" s="1"/>
  <c r="BZ68" i="34" s="1"/>
  <c r="CA68" i="34" s="1"/>
  <c r="CB68" i="34" s="1"/>
  <c r="CC68" i="34" s="1"/>
  <c r="CD68" i="34" s="1"/>
  <c r="CE68" i="34" s="1"/>
  <c r="CF68" i="34" s="1"/>
  <c r="CG68" i="34" s="1"/>
  <c r="CH68" i="34" s="1"/>
  <c r="CI68" i="34" s="1"/>
  <c r="CJ68" i="34" s="1"/>
  <c r="CK68" i="34" s="1"/>
  <c r="CL68" i="34" s="1"/>
  <c r="CM68" i="34" s="1"/>
  <c r="CN68" i="34" s="1"/>
  <c r="CO68" i="34" s="1"/>
  <c r="CP68" i="34" s="1"/>
  <c r="CQ68" i="34" s="1"/>
  <c r="CR68" i="34" s="1"/>
  <c r="CS68" i="34" s="1"/>
  <c r="CT68" i="34" s="1"/>
  <c r="CU68" i="34" s="1"/>
  <c r="CV68" i="34" s="1"/>
  <c r="CW68" i="34" s="1"/>
  <c r="CX68" i="34" s="1"/>
  <c r="CY68" i="34" s="1"/>
  <c r="CZ68" i="34" s="1"/>
  <c r="DA68" i="34" s="1"/>
  <c r="DB68" i="34" s="1"/>
  <c r="DC68" i="34" s="1"/>
  <c r="DD68" i="34" s="1"/>
  <c r="DE68" i="34" s="1"/>
  <c r="DF68" i="34" s="1"/>
  <c r="DG68" i="34" s="1"/>
  <c r="DH68" i="34" s="1"/>
  <c r="DI68" i="34" s="1"/>
  <c r="DJ68" i="34" s="1"/>
  <c r="DK68" i="34" s="1"/>
  <c r="DL68" i="34" s="1"/>
  <c r="DM68" i="34" s="1"/>
  <c r="S19" i="34"/>
  <c r="T19" i="34" s="1"/>
  <c r="U19" i="34" s="1"/>
  <c r="V19" i="34" s="1"/>
  <c r="W19" i="34" s="1"/>
  <c r="X19" i="34" s="1"/>
  <c r="Y19" i="34" s="1"/>
  <c r="Z19" i="34" s="1"/>
  <c r="AA19" i="34" s="1"/>
  <c r="AB19" i="34" s="1"/>
  <c r="AC19" i="34" s="1"/>
  <c r="AD19" i="34" s="1"/>
  <c r="AE19" i="34" s="1"/>
  <c r="AF19" i="34" s="1"/>
  <c r="AG19" i="34" s="1"/>
  <c r="AH19" i="34" s="1"/>
  <c r="AI19" i="34" s="1"/>
  <c r="AJ19" i="34" s="1"/>
  <c r="AK19" i="34" s="1"/>
  <c r="AL19" i="34" s="1"/>
  <c r="AM19" i="34" s="1"/>
  <c r="AN19" i="34" s="1"/>
  <c r="AO19" i="34" s="1"/>
  <c r="AP19" i="34" s="1"/>
  <c r="AQ19" i="34" s="1"/>
  <c r="AR19" i="34" s="1"/>
  <c r="AS19" i="34" s="1"/>
  <c r="AT19" i="34" s="1"/>
  <c r="AU19" i="34" s="1"/>
  <c r="AV19" i="34" s="1"/>
  <c r="AW19" i="34" s="1"/>
  <c r="AX19" i="34" s="1"/>
  <c r="AY19" i="34" s="1"/>
  <c r="AZ19" i="34" s="1"/>
  <c r="BA19" i="34" s="1"/>
  <c r="BB19" i="34" s="1"/>
  <c r="BC19" i="34" s="1"/>
  <c r="BD19" i="34" s="1"/>
  <c r="BE19" i="34" s="1"/>
  <c r="BF19" i="34" s="1"/>
  <c r="BG19" i="34" s="1"/>
  <c r="BH19" i="34" s="1"/>
  <c r="BI19" i="34" s="1"/>
  <c r="BJ19" i="34" s="1"/>
  <c r="BK19" i="34" s="1"/>
  <c r="BL19" i="34" s="1"/>
  <c r="BM19" i="34" s="1"/>
  <c r="BN19" i="34" s="1"/>
  <c r="BO19" i="34" s="1"/>
  <c r="BP19" i="34" s="1"/>
  <c r="BQ19" i="34" s="1"/>
  <c r="BR19" i="34" s="1"/>
  <c r="BS19" i="34" s="1"/>
  <c r="BT19" i="34" s="1"/>
  <c r="BU19" i="34" s="1"/>
  <c r="BV19" i="34" s="1"/>
  <c r="BW19" i="34" s="1"/>
  <c r="BX19" i="34" s="1"/>
  <c r="BY19" i="34" s="1"/>
  <c r="BZ19" i="34" s="1"/>
  <c r="CA19" i="34" s="1"/>
  <c r="CB19" i="34" s="1"/>
  <c r="CC19" i="34" s="1"/>
  <c r="CD19" i="34" s="1"/>
  <c r="CE19" i="34" s="1"/>
  <c r="CF19" i="34" s="1"/>
  <c r="CG19" i="34" s="1"/>
  <c r="CH19" i="34" s="1"/>
  <c r="CI19" i="34" s="1"/>
  <c r="CJ19" i="34" s="1"/>
  <c r="CK19" i="34" s="1"/>
  <c r="CL19" i="34" s="1"/>
  <c r="CM19" i="34" s="1"/>
  <c r="CN19" i="34" s="1"/>
  <c r="CO19" i="34" s="1"/>
  <c r="CP19" i="34" s="1"/>
  <c r="CQ19" i="34" s="1"/>
  <c r="CR19" i="34" s="1"/>
  <c r="CS19" i="34" s="1"/>
  <c r="CT19" i="34" s="1"/>
  <c r="CU19" i="34" s="1"/>
  <c r="CV19" i="34" s="1"/>
  <c r="CW19" i="34" s="1"/>
  <c r="CX19" i="34" s="1"/>
  <c r="CY19" i="34" s="1"/>
  <c r="CZ19" i="34" s="1"/>
  <c r="DA19" i="34" s="1"/>
  <c r="DB19" i="34" s="1"/>
  <c r="DC19" i="34" s="1"/>
  <c r="DD19" i="34" s="1"/>
  <c r="DE19" i="34" s="1"/>
  <c r="DF19" i="34" s="1"/>
  <c r="DG19" i="34" s="1"/>
  <c r="DH19" i="34" s="1"/>
  <c r="DI19" i="34" s="1"/>
  <c r="DJ19" i="34" s="1"/>
  <c r="DK19" i="34" s="1"/>
  <c r="DL19" i="34" s="1"/>
  <c r="DM19" i="34" s="1"/>
  <c r="S57" i="34"/>
  <c r="T57" i="34" s="1"/>
  <c r="U57" i="34" s="1"/>
  <c r="V57" i="34" s="1"/>
  <c r="W57" i="34" s="1"/>
  <c r="X57" i="34" s="1"/>
  <c r="Y57" i="34" s="1"/>
  <c r="Z57" i="34" s="1"/>
  <c r="AA57" i="34" s="1"/>
  <c r="AB57" i="34" s="1"/>
  <c r="AC57" i="34" s="1"/>
  <c r="AD57" i="34" s="1"/>
  <c r="AE57" i="34" s="1"/>
  <c r="AF57" i="34" s="1"/>
  <c r="AG57" i="34" s="1"/>
  <c r="AH57" i="34" s="1"/>
  <c r="AI57" i="34" s="1"/>
  <c r="AJ57" i="34" s="1"/>
  <c r="AK57" i="34" s="1"/>
  <c r="AL57" i="34" s="1"/>
  <c r="AM57" i="34" s="1"/>
  <c r="AN57" i="34" s="1"/>
  <c r="AO57" i="34" s="1"/>
  <c r="AP57" i="34" s="1"/>
  <c r="AQ57" i="34" s="1"/>
  <c r="AR57" i="34" s="1"/>
  <c r="AS57" i="34" s="1"/>
  <c r="AT57" i="34" s="1"/>
  <c r="AU57" i="34" s="1"/>
  <c r="AV57" i="34" s="1"/>
  <c r="AW57" i="34" s="1"/>
  <c r="AX57" i="34" s="1"/>
  <c r="AY57" i="34" s="1"/>
  <c r="AZ57" i="34" s="1"/>
  <c r="BA57" i="34" s="1"/>
  <c r="BB57" i="34" s="1"/>
  <c r="BC57" i="34" s="1"/>
  <c r="BD57" i="34" s="1"/>
  <c r="BE57" i="34" s="1"/>
  <c r="BF57" i="34" s="1"/>
  <c r="BG57" i="34" s="1"/>
  <c r="BH57" i="34" s="1"/>
  <c r="BI57" i="34" s="1"/>
  <c r="BJ57" i="34" s="1"/>
  <c r="BK57" i="34" s="1"/>
  <c r="BL57" i="34" s="1"/>
  <c r="BM57" i="34" s="1"/>
  <c r="BN57" i="34" s="1"/>
  <c r="BO57" i="34" s="1"/>
  <c r="BP57" i="34" s="1"/>
  <c r="BQ57" i="34" s="1"/>
  <c r="BR57" i="34" s="1"/>
  <c r="BS57" i="34" s="1"/>
  <c r="BT57" i="34" s="1"/>
  <c r="BU57" i="34" s="1"/>
  <c r="BV57" i="34" s="1"/>
  <c r="BW57" i="34" s="1"/>
  <c r="BX57" i="34" s="1"/>
  <c r="BY57" i="34" s="1"/>
  <c r="BZ57" i="34" s="1"/>
  <c r="CA57" i="34" s="1"/>
  <c r="CB57" i="34" s="1"/>
  <c r="CC57" i="34" s="1"/>
  <c r="CD57" i="34" s="1"/>
  <c r="CE57" i="34" s="1"/>
  <c r="CF57" i="34" s="1"/>
  <c r="CG57" i="34" s="1"/>
  <c r="CH57" i="34" s="1"/>
  <c r="CI57" i="34" s="1"/>
  <c r="CJ57" i="34" s="1"/>
  <c r="CK57" i="34" s="1"/>
  <c r="CL57" i="34" s="1"/>
  <c r="CM57" i="34" s="1"/>
  <c r="CN57" i="34" s="1"/>
  <c r="CO57" i="34" s="1"/>
  <c r="CP57" i="34" s="1"/>
  <c r="CQ57" i="34" s="1"/>
  <c r="CR57" i="34" s="1"/>
  <c r="CS57" i="34" s="1"/>
  <c r="CT57" i="34" s="1"/>
  <c r="CU57" i="34" s="1"/>
  <c r="CV57" i="34" s="1"/>
  <c r="CW57" i="34" s="1"/>
  <c r="CX57" i="34" s="1"/>
  <c r="CY57" i="34" s="1"/>
  <c r="CZ57" i="34" s="1"/>
  <c r="DA57" i="34" s="1"/>
  <c r="DB57" i="34" s="1"/>
  <c r="DC57" i="34" s="1"/>
  <c r="DD57" i="34" s="1"/>
  <c r="DE57" i="34" s="1"/>
  <c r="DF57" i="34" s="1"/>
  <c r="DG57" i="34" s="1"/>
  <c r="DH57" i="34" s="1"/>
  <c r="DI57" i="34" s="1"/>
  <c r="DJ57" i="34" s="1"/>
  <c r="DK57" i="34" s="1"/>
  <c r="DL57" i="34" s="1"/>
  <c r="DM57" i="34" s="1"/>
  <c r="S37" i="34"/>
  <c r="T37" i="34" s="1"/>
  <c r="U37" i="34" s="1"/>
  <c r="V37" i="34" s="1"/>
  <c r="W37" i="34" s="1"/>
  <c r="X37" i="34" s="1"/>
  <c r="Y37" i="34" s="1"/>
  <c r="Z37" i="34" s="1"/>
  <c r="AA37" i="34" s="1"/>
  <c r="AB37" i="34" s="1"/>
  <c r="AC37" i="34" s="1"/>
  <c r="AD37" i="34" s="1"/>
  <c r="AE37" i="34" s="1"/>
  <c r="AF37" i="34" s="1"/>
  <c r="AG37" i="34" s="1"/>
  <c r="AH37" i="34" s="1"/>
  <c r="AI37" i="34" s="1"/>
  <c r="AJ37" i="34" s="1"/>
  <c r="AK37" i="34" s="1"/>
  <c r="AL37" i="34" s="1"/>
  <c r="AM37" i="34" s="1"/>
  <c r="AN37" i="34" s="1"/>
  <c r="AO37" i="34" s="1"/>
  <c r="AP37" i="34" s="1"/>
  <c r="AQ37" i="34" s="1"/>
  <c r="AR37" i="34" s="1"/>
  <c r="AS37" i="34" s="1"/>
  <c r="AT37" i="34" s="1"/>
  <c r="AU37" i="34" s="1"/>
  <c r="AV37" i="34" s="1"/>
  <c r="AW37" i="34" s="1"/>
  <c r="AX37" i="34" s="1"/>
  <c r="AY37" i="34" s="1"/>
  <c r="AZ37" i="34" s="1"/>
  <c r="BA37" i="34" s="1"/>
  <c r="BB37" i="34" s="1"/>
  <c r="BC37" i="34" s="1"/>
  <c r="BD37" i="34" s="1"/>
  <c r="BE37" i="34" s="1"/>
  <c r="BF37" i="34" s="1"/>
  <c r="BG37" i="34" s="1"/>
  <c r="BH37" i="34" s="1"/>
  <c r="BI37" i="34" s="1"/>
  <c r="BJ37" i="34" s="1"/>
  <c r="BK37" i="34" s="1"/>
  <c r="BL37" i="34" s="1"/>
  <c r="BM37" i="34" s="1"/>
  <c r="BN37" i="34" s="1"/>
  <c r="BO37" i="34" s="1"/>
  <c r="BP37" i="34" s="1"/>
  <c r="BQ37" i="34" s="1"/>
  <c r="BR37" i="34" s="1"/>
  <c r="BS37" i="34" s="1"/>
  <c r="BT37" i="34" s="1"/>
  <c r="BU37" i="34" s="1"/>
  <c r="BV37" i="34" s="1"/>
  <c r="BW37" i="34" s="1"/>
  <c r="BX37" i="34" s="1"/>
  <c r="BY37" i="34" s="1"/>
  <c r="BZ37" i="34" s="1"/>
  <c r="CA37" i="34" s="1"/>
  <c r="CB37" i="34" s="1"/>
  <c r="CC37" i="34" s="1"/>
  <c r="CD37" i="34" s="1"/>
  <c r="CE37" i="34" s="1"/>
  <c r="CF37" i="34" s="1"/>
  <c r="CG37" i="34" s="1"/>
  <c r="CH37" i="34" s="1"/>
  <c r="CI37" i="34" s="1"/>
  <c r="CJ37" i="34" s="1"/>
  <c r="CK37" i="34" s="1"/>
  <c r="CL37" i="34" s="1"/>
  <c r="CM37" i="34" s="1"/>
  <c r="CN37" i="34" s="1"/>
  <c r="CO37" i="34" s="1"/>
  <c r="CP37" i="34" s="1"/>
  <c r="CQ37" i="34" s="1"/>
  <c r="CR37" i="34" s="1"/>
  <c r="CS37" i="34" s="1"/>
  <c r="CT37" i="34" s="1"/>
  <c r="CU37" i="34" s="1"/>
  <c r="CV37" i="34" s="1"/>
  <c r="CW37" i="34" s="1"/>
  <c r="CX37" i="34" s="1"/>
  <c r="CY37" i="34" s="1"/>
  <c r="CZ37" i="34" s="1"/>
  <c r="DA37" i="34" s="1"/>
  <c r="DB37" i="34" s="1"/>
  <c r="DC37" i="34" s="1"/>
  <c r="DD37" i="34" s="1"/>
  <c r="DE37" i="34" s="1"/>
  <c r="DF37" i="34" s="1"/>
  <c r="DG37" i="34" s="1"/>
  <c r="DH37" i="34" s="1"/>
  <c r="DI37" i="34" s="1"/>
  <c r="DJ37" i="34" s="1"/>
  <c r="DK37" i="34" s="1"/>
  <c r="DL37" i="34" s="1"/>
  <c r="DM37" i="34" s="1"/>
  <c r="S39" i="34"/>
  <c r="T39" i="34" s="1"/>
  <c r="U39" i="34" s="1"/>
  <c r="V39" i="34" s="1"/>
  <c r="W39" i="34" s="1"/>
  <c r="X39" i="34" s="1"/>
  <c r="Y39" i="34" s="1"/>
  <c r="Z39" i="34" s="1"/>
  <c r="AA39" i="34" s="1"/>
  <c r="AB39" i="34" s="1"/>
  <c r="AC39" i="34" s="1"/>
  <c r="AD39" i="34" s="1"/>
  <c r="AE39" i="34" s="1"/>
  <c r="AF39" i="34" s="1"/>
  <c r="AG39" i="34" s="1"/>
  <c r="AH39" i="34" s="1"/>
  <c r="AI39" i="34" s="1"/>
  <c r="AJ39" i="34" s="1"/>
  <c r="AK39" i="34" s="1"/>
  <c r="AL39" i="34" s="1"/>
  <c r="AM39" i="34" s="1"/>
  <c r="AN39" i="34" s="1"/>
  <c r="AO39" i="34" s="1"/>
  <c r="AP39" i="34" s="1"/>
  <c r="AQ39" i="34" s="1"/>
  <c r="AR39" i="34" s="1"/>
  <c r="AS39" i="34" s="1"/>
  <c r="AT39" i="34" s="1"/>
  <c r="AU39" i="34" s="1"/>
  <c r="AV39" i="34" s="1"/>
  <c r="AW39" i="34" s="1"/>
  <c r="AX39" i="34" s="1"/>
  <c r="AY39" i="34" s="1"/>
  <c r="AZ39" i="34" s="1"/>
  <c r="BA39" i="34" s="1"/>
  <c r="BB39" i="34" s="1"/>
  <c r="BC39" i="34" s="1"/>
  <c r="BD39" i="34" s="1"/>
  <c r="BE39" i="34" s="1"/>
  <c r="BF39" i="34" s="1"/>
  <c r="BG39" i="34" s="1"/>
  <c r="BH39" i="34" s="1"/>
  <c r="BI39" i="34" s="1"/>
  <c r="BJ39" i="34" s="1"/>
  <c r="BK39" i="34" s="1"/>
  <c r="BL39" i="34" s="1"/>
  <c r="BM39" i="34" s="1"/>
  <c r="BN39" i="34" s="1"/>
  <c r="BO39" i="34" s="1"/>
  <c r="BP39" i="34" s="1"/>
  <c r="BQ39" i="34" s="1"/>
  <c r="BR39" i="34" s="1"/>
  <c r="BS39" i="34" s="1"/>
  <c r="BT39" i="34" s="1"/>
  <c r="BU39" i="34" s="1"/>
  <c r="BV39" i="34" s="1"/>
  <c r="BW39" i="34" s="1"/>
  <c r="BX39" i="34" s="1"/>
  <c r="BY39" i="34" s="1"/>
  <c r="BZ39" i="34" s="1"/>
  <c r="CA39" i="34" s="1"/>
  <c r="CB39" i="34" s="1"/>
  <c r="CC39" i="34" s="1"/>
  <c r="CD39" i="34" s="1"/>
  <c r="CE39" i="34" s="1"/>
  <c r="CF39" i="34" s="1"/>
  <c r="CG39" i="34" s="1"/>
  <c r="CH39" i="34" s="1"/>
  <c r="CI39" i="34" s="1"/>
  <c r="CJ39" i="34" s="1"/>
  <c r="CK39" i="34" s="1"/>
  <c r="CL39" i="34" s="1"/>
  <c r="CM39" i="34" s="1"/>
  <c r="CN39" i="34" s="1"/>
  <c r="CO39" i="34" s="1"/>
  <c r="CP39" i="34" s="1"/>
  <c r="CQ39" i="34" s="1"/>
  <c r="CR39" i="34" s="1"/>
  <c r="CS39" i="34" s="1"/>
  <c r="CT39" i="34" s="1"/>
  <c r="CU39" i="34" s="1"/>
  <c r="CV39" i="34" s="1"/>
  <c r="CW39" i="34" s="1"/>
  <c r="CX39" i="34" s="1"/>
  <c r="CY39" i="34" s="1"/>
  <c r="CZ39" i="34" s="1"/>
  <c r="DA39" i="34" s="1"/>
  <c r="DB39" i="34" s="1"/>
  <c r="DC39" i="34" s="1"/>
  <c r="DD39" i="34" s="1"/>
  <c r="DE39" i="34" s="1"/>
  <c r="DF39" i="34" s="1"/>
  <c r="DG39" i="34" s="1"/>
  <c r="DH39" i="34" s="1"/>
  <c r="DI39" i="34" s="1"/>
  <c r="DJ39" i="34" s="1"/>
  <c r="DK39" i="34" s="1"/>
  <c r="DL39" i="34" s="1"/>
  <c r="DM39" i="34" s="1"/>
  <c r="S54" i="34"/>
  <c r="T54" i="34" s="1"/>
  <c r="U54" i="34" s="1"/>
  <c r="V54" i="34" s="1"/>
  <c r="W54" i="34" s="1"/>
  <c r="X54" i="34" s="1"/>
  <c r="Y54" i="34" s="1"/>
  <c r="Z54" i="34" s="1"/>
  <c r="AA54" i="34" s="1"/>
  <c r="AB54" i="34" s="1"/>
  <c r="AC54" i="34" s="1"/>
  <c r="AD54" i="34" s="1"/>
  <c r="AE54" i="34" s="1"/>
  <c r="AF54" i="34" s="1"/>
  <c r="AG54" i="34" s="1"/>
  <c r="AH54" i="34" s="1"/>
  <c r="AI54" i="34" s="1"/>
  <c r="AJ54" i="34" s="1"/>
  <c r="AK54" i="34" s="1"/>
  <c r="AL54" i="34" s="1"/>
  <c r="AM54" i="34" s="1"/>
  <c r="AN54" i="34" s="1"/>
  <c r="AO54" i="34" s="1"/>
  <c r="AP54" i="34" s="1"/>
  <c r="AQ54" i="34" s="1"/>
  <c r="AR54" i="34" s="1"/>
  <c r="AS54" i="34" s="1"/>
  <c r="AT54" i="34" s="1"/>
  <c r="AU54" i="34" s="1"/>
  <c r="AV54" i="34" s="1"/>
  <c r="AW54" i="34" s="1"/>
  <c r="AX54" i="34" s="1"/>
  <c r="AY54" i="34" s="1"/>
  <c r="AZ54" i="34" s="1"/>
  <c r="BA54" i="34" s="1"/>
  <c r="BB54" i="34" s="1"/>
  <c r="BC54" i="34" s="1"/>
  <c r="BD54" i="34" s="1"/>
  <c r="BE54" i="34" s="1"/>
  <c r="BF54" i="34" s="1"/>
  <c r="BG54" i="34" s="1"/>
  <c r="BH54" i="34" s="1"/>
  <c r="BI54" i="34" s="1"/>
  <c r="BJ54" i="34" s="1"/>
  <c r="BK54" i="34" s="1"/>
  <c r="BL54" i="34" s="1"/>
  <c r="BM54" i="34" s="1"/>
  <c r="BN54" i="34" s="1"/>
  <c r="BO54" i="34" s="1"/>
  <c r="BP54" i="34" s="1"/>
  <c r="BQ54" i="34" s="1"/>
  <c r="BR54" i="34" s="1"/>
  <c r="BS54" i="34" s="1"/>
  <c r="BT54" i="34" s="1"/>
  <c r="BU54" i="34" s="1"/>
  <c r="BV54" i="34" s="1"/>
  <c r="BW54" i="34" s="1"/>
  <c r="BX54" i="34" s="1"/>
  <c r="BY54" i="34" s="1"/>
  <c r="BZ54" i="34" s="1"/>
  <c r="CA54" i="34" s="1"/>
  <c r="CB54" i="34" s="1"/>
  <c r="CC54" i="34" s="1"/>
  <c r="CD54" i="34" s="1"/>
  <c r="CE54" i="34" s="1"/>
  <c r="CF54" i="34" s="1"/>
  <c r="CG54" i="34" s="1"/>
  <c r="CH54" i="34" s="1"/>
  <c r="CI54" i="34" s="1"/>
  <c r="CJ54" i="34" s="1"/>
  <c r="CK54" i="34" s="1"/>
  <c r="CL54" i="34" s="1"/>
  <c r="CM54" i="34" s="1"/>
  <c r="CN54" i="34" s="1"/>
  <c r="CO54" i="34" s="1"/>
  <c r="CP54" i="34" s="1"/>
  <c r="CQ54" i="34" s="1"/>
  <c r="CR54" i="34" s="1"/>
  <c r="CS54" i="34" s="1"/>
  <c r="CT54" i="34" s="1"/>
  <c r="CU54" i="34" s="1"/>
  <c r="CV54" i="34" s="1"/>
  <c r="CW54" i="34" s="1"/>
  <c r="CX54" i="34" s="1"/>
  <c r="CY54" i="34" s="1"/>
  <c r="CZ54" i="34" s="1"/>
  <c r="DA54" i="34" s="1"/>
  <c r="DB54" i="34" s="1"/>
  <c r="DC54" i="34" s="1"/>
  <c r="DD54" i="34" s="1"/>
  <c r="DE54" i="34" s="1"/>
  <c r="DF54" i="34" s="1"/>
  <c r="DG54" i="34" s="1"/>
  <c r="DH54" i="34" s="1"/>
  <c r="DI54" i="34" s="1"/>
  <c r="DJ54" i="34" s="1"/>
  <c r="DK54" i="34" s="1"/>
  <c r="DL54" i="34" s="1"/>
  <c r="DM54" i="34" s="1"/>
  <c r="S10" i="34"/>
  <c r="T10" i="34" s="1"/>
  <c r="U10" i="34" s="1"/>
  <c r="V10" i="34" s="1"/>
  <c r="W10" i="34" s="1"/>
  <c r="X10" i="34" s="1"/>
  <c r="Y10" i="34" s="1"/>
  <c r="Z10" i="34" s="1"/>
  <c r="AA10" i="34" s="1"/>
  <c r="AB10" i="34" s="1"/>
  <c r="AC10" i="34" s="1"/>
  <c r="AD10" i="34" s="1"/>
  <c r="AE10" i="34" s="1"/>
  <c r="AF10" i="34" s="1"/>
  <c r="AG10" i="34" s="1"/>
  <c r="AH10" i="34" s="1"/>
  <c r="AI10" i="34" s="1"/>
  <c r="AJ10" i="34" s="1"/>
  <c r="AK10" i="34" s="1"/>
  <c r="AL10" i="34" s="1"/>
  <c r="AM10" i="34" s="1"/>
  <c r="AN10" i="34" s="1"/>
  <c r="AO10" i="34" s="1"/>
  <c r="AP10" i="34" s="1"/>
  <c r="AQ10" i="34" s="1"/>
  <c r="AR10" i="34" s="1"/>
  <c r="AS10" i="34" s="1"/>
  <c r="AT10" i="34" s="1"/>
  <c r="AU10" i="34" s="1"/>
  <c r="AV10" i="34" s="1"/>
  <c r="AW10" i="34" s="1"/>
  <c r="AX10" i="34" s="1"/>
  <c r="AY10" i="34" s="1"/>
  <c r="AZ10" i="34" s="1"/>
  <c r="BA10" i="34" s="1"/>
  <c r="BB10" i="34" s="1"/>
  <c r="BC10" i="34" s="1"/>
  <c r="BD10" i="34" s="1"/>
  <c r="BE10" i="34" s="1"/>
  <c r="BF10" i="34" s="1"/>
  <c r="BG10" i="34" s="1"/>
  <c r="BH10" i="34" s="1"/>
  <c r="BI10" i="34" s="1"/>
  <c r="BJ10" i="34" s="1"/>
  <c r="BK10" i="34" s="1"/>
  <c r="BL10" i="34" s="1"/>
  <c r="BM10" i="34" s="1"/>
  <c r="BN10" i="34" s="1"/>
  <c r="BO10" i="34" s="1"/>
  <c r="BP10" i="34" s="1"/>
  <c r="BQ10" i="34" s="1"/>
  <c r="BR10" i="34" s="1"/>
  <c r="BS10" i="34" s="1"/>
  <c r="BT10" i="34" s="1"/>
  <c r="BU10" i="34" s="1"/>
  <c r="BV10" i="34" s="1"/>
  <c r="BW10" i="34" s="1"/>
  <c r="BX10" i="34" s="1"/>
  <c r="BY10" i="34" s="1"/>
  <c r="BZ10" i="34" s="1"/>
  <c r="CA10" i="34" s="1"/>
  <c r="CB10" i="34" s="1"/>
  <c r="CC10" i="34" s="1"/>
  <c r="CD10" i="34" s="1"/>
  <c r="CE10" i="34" s="1"/>
  <c r="CF10" i="34" s="1"/>
  <c r="CG10" i="34" s="1"/>
  <c r="CH10" i="34" s="1"/>
  <c r="CI10" i="34" s="1"/>
  <c r="CJ10" i="34" s="1"/>
  <c r="CK10" i="34" s="1"/>
  <c r="CL10" i="34" s="1"/>
  <c r="CM10" i="34" s="1"/>
  <c r="CN10" i="34" s="1"/>
  <c r="CO10" i="34" s="1"/>
  <c r="CP10" i="34" s="1"/>
  <c r="CQ10" i="34" s="1"/>
  <c r="CR10" i="34" s="1"/>
  <c r="CS10" i="34" s="1"/>
  <c r="CT10" i="34" s="1"/>
  <c r="CU10" i="34" s="1"/>
  <c r="CV10" i="34" s="1"/>
  <c r="CW10" i="34" s="1"/>
  <c r="CX10" i="34" s="1"/>
  <c r="CY10" i="34" s="1"/>
  <c r="CZ10" i="34" s="1"/>
  <c r="DA10" i="34" s="1"/>
  <c r="DB10" i="34" s="1"/>
  <c r="DC10" i="34" s="1"/>
  <c r="DD10" i="34" s="1"/>
  <c r="DE10" i="34" s="1"/>
  <c r="DF10" i="34" s="1"/>
  <c r="DG10" i="34" s="1"/>
  <c r="DH10" i="34" s="1"/>
  <c r="DI10" i="34" s="1"/>
  <c r="DJ10" i="34" s="1"/>
  <c r="DK10" i="34" s="1"/>
  <c r="DL10" i="34" s="1"/>
  <c r="DM10" i="34" s="1"/>
  <c r="S23" i="34"/>
  <c r="T23" i="34" s="1"/>
  <c r="U23" i="34" s="1"/>
  <c r="V23" i="34" s="1"/>
  <c r="W23" i="34" s="1"/>
  <c r="X23" i="34" s="1"/>
  <c r="Y23" i="34" s="1"/>
  <c r="Z23" i="34" s="1"/>
  <c r="AA23" i="34" s="1"/>
  <c r="AB23" i="34" s="1"/>
  <c r="AC23" i="34" s="1"/>
  <c r="AD23" i="34" s="1"/>
  <c r="AE23" i="34" s="1"/>
  <c r="AF23" i="34" s="1"/>
  <c r="AG23" i="34" s="1"/>
  <c r="AH23" i="34" s="1"/>
  <c r="AI23" i="34" s="1"/>
  <c r="AJ23" i="34" s="1"/>
  <c r="AK23" i="34" s="1"/>
  <c r="AL23" i="34" s="1"/>
  <c r="AM23" i="34" s="1"/>
  <c r="AN23" i="34" s="1"/>
  <c r="AO23" i="34" s="1"/>
  <c r="AP23" i="34" s="1"/>
  <c r="AQ23" i="34" s="1"/>
  <c r="AR23" i="34" s="1"/>
  <c r="AS23" i="34" s="1"/>
  <c r="AT23" i="34" s="1"/>
  <c r="AU23" i="34" s="1"/>
  <c r="AV23" i="34" s="1"/>
  <c r="AW23" i="34" s="1"/>
  <c r="AX23" i="34" s="1"/>
  <c r="AY23" i="34" s="1"/>
  <c r="AZ23" i="34" s="1"/>
  <c r="BA23" i="34" s="1"/>
  <c r="BB23" i="34" s="1"/>
  <c r="BC23" i="34" s="1"/>
  <c r="BD23" i="34" s="1"/>
  <c r="BE23" i="34" s="1"/>
  <c r="BF23" i="34" s="1"/>
  <c r="BG23" i="34" s="1"/>
  <c r="BH23" i="34" s="1"/>
  <c r="BI23" i="34" s="1"/>
  <c r="BJ23" i="34" s="1"/>
  <c r="BK23" i="34" s="1"/>
  <c r="BL23" i="34" s="1"/>
  <c r="BM23" i="34" s="1"/>
  <c r="BN23" i="34" s="1"/>
  <c r="BO23" i="34" s="1"/>
  <c r="BP23" i="34" s="1"/>
  <c r="BQ23" i="34" s="1"/>
  <c r="BR23" i="34" s="1"/>
  <c r="BS23" i="34" s="1"/>
  <c r="BT23" i="34" s="1"/>
  <c r="BU23" i="34" s="1"/>
  <c r="BV23" i="34" s="1"/>
  <c r="BW23" i="34" s="1"/>
  <c r="BX23" i="34" s="1"/>
  <c r="BY23" i="34" s="1"/>
  <c r="BZ23" i="34" s="1"/>
  <c r="CA23" i="34" s="1"/>
  <c r="CB23" i="34" s="1"/>
  <c r="CC23" i="34" s="1"/>
  <c r="CD23" i="34" s="1"/>
  <c r="CE23" i="34" s="1"/>
  <c r="CF23" i="34" s="1"/>
  <c r="CG23" i="34" s="1"/>
  <c r="CH23" i="34" s="1"/>
  <c r="CI23" i="34" s="1"/>
  <c r="CJ23" i="34" s="1"/>
  <c r="CK23" i="34" s="1"/>
  <c r="CL23" i="34" s="1"/>
  <c r="CM23" i="34" s="1"/>
  <c r="CN23" i="34" s="1"/>
  <c r="CO23" i="34" s="1"/>
  <c r="CP23" i="34" s="1"/>
  <c r="CQ23" i="34" s="1"/>
  <c r="CR23" i="34" s="1"/>
  <c r="CS23" i="34" s="1"/>
  <c r="CT23" i="34" s="1"/>
  <c r="CU23" i="34" s="1"/>
  <c r="CV23" i="34" s="1"/>
  <c r="CW23" i="34" s="1"/>
  <c r="CX23" i="34" s="1"/>
  <c r="CY23" i="34" s="1"/>
  <c r="CZ23" i="34" s="1"/>
  <c r="DA23" i="34" s="1"/>
  <c r="DB23" i="34" s="1"/>
  <c r="DC23" i="34" s="1"/>
  <c r="DD23" i="34" s="1"/>
  <c r="DE23" i="34" s="1"/>
  <c r="DF23" i="34" s="1"/>
  <c r="DG23" i="34" s="1"/>
  <c r="DH23" i="34" s="1"/>
  <c r="DI23" i="34" s="1"/>
  <c r="DJ23" i="34" s="1"/>
  <c r="DK23" i="34" s="1"/>
  <c r="DL23" i="34" s="1"/>
  <c r="DM23" i="34" s="1"/>
  <c r="G81" i="33"/>
  <c r="E81" i="33"/>
  <c r="S77" i="34"/>
  <c r="T77" i="34" s="1"/>
  <c r="U77" i="34" s="1"/>
  <c r="V77" i="34" s="1"/>
  <c r="W77" i="34" s="1"/>
  <c r="X77" i="34" s="1"/>
  <c r="Y77" i="34" s="1"/>
  <c r="Z77" i="34" s="1"/>
  <c r="AA77" i="34" s="1"/>
  <c r="AB77" i="34" s="1"/>
  <c r="AC77" i="34" s="1"/>
  <c r="AD77" i="34" s="1"/>
  <c r="AE77" i="34" s="1"/>
  <c r="AF77" i="34" s="1"/>
  <c r="AG77" i="34" s="1"/>
  <c r="AH77" i="34" s="1"/>
  <c r="AI77" i="34" s="1"/>
  <c r="AJ77" i="34" s="1"/>
  <c r="AK77" i="34" s="1"/>
  <c r="AL77" i="34" s="1"/>
  <c r="AM77" i="34" s="1"/>
  <c r="AN77" i="34" s="1"/>
  <c r="AO77" i="34" s="1"/>
  <c r="AP77" i="34" s="1"/>
  <c r="AQ77" i="34" s="1"/>
  <c r="AR77" i="34" s="1"/>
  <c r="AS77" i="34" s="1"/>
  <c r="AT77" i="34" s="1"/>
  <c r="AU77" i="34" s="1"/>
  <c r="AV77" i="34" s="1"/>
  <c r="AW77" i="34" s="1"/>
  <c r="AX77" i="34" s="1"/>
  <c r="AY77" i="34" s="1"/>
  <c r="AZ77" i="34" s="1"/>
  <c r="BA77" i="34" s="1"/>
  <c r="BB77" i="34" s="1"/>
  <c r="BC77" i="34" s="1"/>
  <c r="BD77" i="34" s="1"/>
  <c r="BE77" i="34" s="1"/>
  <c r="BF77" i="34" s="1"/>
  <c r="BG77" i="34" s="1"/>
  <c r="BH77" i="34" s="1"/>
  <c r="BI77" i="34" s="1"/>
  <c r="BJ77" i="34" s="1"/>
  <c r="BK77" i="34" s="1"/>
  <c r="BL77" i="34" s="1"/>
  <c r="BM77" i="34" s="1"/>
  <c r="BN77" i="34" s="1"/>
  <c r="BO77" i="34" s="1"/>
  <c r="BP77" i="34" s="1"/>
  <c r="BQ77" i="34" s="1"/>
  <c r="BR77" i="34" s="1"/>
  <c r="BS77" i="34" s="1"/>
  <c r="BT77" i="34" s="1"/>
  <c r="BU77" i="34" s="1"/>
  <c r="BV77" i="34" s="1"/>
  <c r="BW77" i="34" s="1"/>
  <c r="BX77" i="34" s="1"/>
  <c r="BY77" i="34" s="1"/>
  <c r="BZ77" i="34" s="1"/>
  <c r="CA77" i="34" s="1"/>
  <c r="CB77" i="34" s="1"/>
  <c r="CC77" i="34" s="1"/>
  <c r="CD77" i="34" s="1"/>
  <c r="CE77" i="34" s="1"/>
  <c r="CF77" i="34" s="1"/>
  <c r="CG77" i="34" s="1"/>
  <c r="CH77" i="34" s="1"/>
  <c r="CI77" i="34" s="1"/>
  <c r="CJ77" i="34" s="1"/>
  <c r="CK77" i="34" s="1"/>
  <c r="CL77" i="34" s="1"/>
  <c r="CM77" i="34" s="1"/>
  <c r="CN77" i="34" s="1"/>
  <c r="CO77" i="34" s="1"/>
  <c r="CP77" i="34" s="1"/>
  <c r="CQ77" i="34" s="1"/>
  <c r="CR77" i="34" s="1"/>
  <c r="CS77" i="34" s="1"/>
  <c r="CT77" i="34" s="1"/>
  <c r="CU77" i="34" s="1"/>
  <c r="CV77" i="34" s="1"/>
  <c r="CW77" i="34" s="1"/>
  <c r="CX77" i="34" s="1"/>
  <c r="CY77" i="34" s="1"/>
  <c r="CZ77" i="34" s="1"/>
  <c r="DA77" i="34" s="1"/>
  <c r="DB77" i="34" s="1"/>
  <c r="DC77" i="34" s="1"/>
  <c r="DD77" i="34" s="1"/>
  <c r="DE77" i="34" s="1"/>
  <c r="DF77" i="34" s="1"/>
  <c r="DG77" i="34" s="1"/>
  <c r="DH77" i="34" s="1"/>
  <c r="DI77" i="34" s="1"/>
  <c r="DJ77" i="34" s="1"/>
  <c r="DK77" i="34" s="1"/>
  <c r="DL77" i="34" s="1"/>
  <c r="DM77" i="34" s="1"/>
  <c r="S13" i="34"/>
  <c r="T13" i="34" s="1"/>
  <c r="U13" i="34" s="1"/>
  <c r="V13" i="34" s="1"/>
  <c r="W13" i="34" s="1"/>
  <c r="X13" i="34" s="1"/>
  <c r="Y13" i="34" s="1"/>
  <c r="Z13" i="34" s="1"/>
  <c r="AA13" i="34" s="1"/>
  <c r="AB13" i="34" s="1"/>
  <c r="AC13" i="34" s="1"/>
  <c r="AD13" i="34" s="1"/>
  <c r="AE13" i="34" s="1"/>
  <c r="AF13" i="34" s="1"/>
  <c r="AG13" i="34" s="1"/>
  <c r="AH13" i="34" s="1"/>
  <c r="AI13" i="34" s="1"/>
  <c r="AJ13" i="34" s="1"/>
  <c r="AK13" i="34" s="1"/>
  <c r="AL13" i="34" s="1"/>
  <c r="AM13" i="34" s="1"/>
  <c r="AN13" i="34" s="1"/>
  <c r="AO13" i="34" s="1"/>
  <c r="AP13" i="34" s="1"/>
  <c r="AQ13" i="34" s="1"/>
  <c r="AR13" i="34" s="1"/>
  <c r="AS13" i="34" s="1"/>
  <c r="AT13" i="34" s="1"/>
  <c r="AU13" i="34" s="1"/>
  <c r="AV13" i="34" s="1"/>
  <c r="AW13" i="34" s="1"/>
  <c r="AX13" i="34" s="1"/>
  <c r="AY13" i="34" s="1"/>
  <c r="AZ13" i="34" s="1"/>
  <c r="BA13" i="34" s="1"/>
  <c r="BB13" i="34" s="1"/>
  <c r="BC13" i="34" s="1"/>
  <c r="BD13" i="34" s="1"/>
  <c r="BE13" i="34" s="1"/>
  <c r="BF13" i="34" s="1"/>
  <c r="BG13" i="34" s="1"/>
  <c r="BH13" i="34" s="1"/>
  <c r="BI13" i="34" s="1"/>
  <c r="BJ13" i="34" s="1"/>
  <c r="BK13" i="34" s="1"/>
  <c r="BL13" i="34" s="1"/>
  <c r="BM13" i="34" s="1"/>
  <c r="BN13" i="34" s="1"/>
  <c r="BO13" i="34" s="1"/>
  <c r="BP13" i="34" s="1"/>
  <c r="BQ13" i="34" s="1"/>
  <c r="BR13" i="34" s="1"/>
  <c r="BS13" i="34" s="1"/>
  <c r="BT13" i="34" s="1"/>
  <c r="BU13" i="34" s="1"/>
  <c r="BV13" i="34" s="1"/>
  <c r="BW13" i="34" s="1"/>
  <c r="BX13" i="34" s="1"/>
  <c r="BY13" i="34" s="1"/>
  <c r="BZ13" i="34" s="1"/>
  <c r="CA13" i="34" s="1"/>
  <c r="CB13" i="34" s="1"/>
  <c r="CC13" i="34" s="1"/>
  <c r="CD13" i="34" s="1"/>
  <c r="CE13" i="34" s="1"/>
  <c r="CF13" i="34" s="1"/>
  <c r="CG13" i="34" s="1"/>
  <c r="CH13" i="34" s="1"/>
  <c r="CI13" i="34" s="1"/>
  <c r="CJ13" i="34" s="1"/>
  <c r="CK13" i="34" s="1"/>
  <c r="CL13" i="34" s="1"/>
  <c r="CM13" i="34" s="1"/>
  <c r="CN13" i="34" s="1"/>
  <c r="CO13" i="34" s="1"/>
  <c r="CP13" i="34" s="1"/>
  <c r="CQ13" i="34" s="1"/>
  <c r="CR13" i="34" s="1"/>
  <c r="CS13" i="34" s="1"/>
  <c r="CT13" i="34" s="1"/>
  <c r="CU13" i="34" s="1"/>
  <c r="CV13" i="34" s="1"/>
  <c r="CW13" i="34" s="1"/>
  <c r="CX13" i="34" s="1"/>
  <c r="CY13" i="34" s="1"/>
  <c r="CZ13" i="34" s="1"/>
  <c r="DA13" i="34" s="1"/>
  <c r="DB13" i="34" s="1"/>
  <c r="DC13" i="34" s="1"/>
  <c r="DD13" i="34" s="1"/>
  <c r="DE13" i="34" s="1"/>
  <c r="DF13" i="34" s="1"/>
  <c r="DG13" i="34" s="1"/>
  <c r="DH13" i="34" s="1"/>
  <c r="DI13" i="34" s="1"/>
  <c r="DJ13" i="34" s="1"/>
  <c r="DK13" i="34" s="1"/>
  <c r="DL13" i="34" s="1"/>
  <c r="DM13" i="34" s="1"/>
  <c r="S17" i="34"/>
  <c r="T17" i="34" s="1"/>
  <c r="U17" i="34" s="1"/>
  <c r="V17" i="34" s="1"/>
  <c r="W17" i="34" s="1"/>
  <c r="X17" i="34" s="1"/>
  <c r="Y17" i="34" s="1"/>
  <c r="Z17" i="34" s="1"/>
  <c r="AA17" i="34" s="1"/>
  <c r="AB17" i="34" s="1"/>
  <c r="AC17" i="34" s="1"/>
  <c r="AD17" i="34" s="1"/>
  <c r="AE17" i="34" s="1"/>
  <c r="AF17" i="34" s="1"/>
  <c r="AG17" i="34" s="1"/>
  <c r="AH17" i="34" s="1"/>
  <c r="AI17" i="34" s="1"/>
  <c r="AJ17" i="34" s="1"/>
  <c r="AK17" i="34" s="1"/>
  <c r="AL17" i="34" s="1"/>
  <c r="AM17" i="34" s="1"/>
  <c r="AN17" i="34" s="1"/>
  <c r="AO17" i="34" s="1"/>
  <c r="AP17" i="34" s="1"/>
  <c r="AQ17" i="34" s="1"/>
  <c r="AR17" i="34" s="1"/>
  <c r="AS17" i="34" s="1"/>
  <c r="AT17" i="34" s="1"/>
  <c r="AU17" i="34" s="1"/>
  <c r="AV17" i="34" s="1"/>
  <c r="AW17" i="34" s="1"/>
  <c r="AX17" i="34" s="1"/>
  <c r="AY17" i="34" s="1"/>
  <c r="AZ17" i="34" s="1"/>
  <c r="BA17" i="34" s="1"/>
  <c r="BB17" i="34" s="1"/>
  <c r="BC17" i="34" s="1"/>
  <c r="BD17" i="34" s="1"/>
  <c r="BE17" i="34" s="1"/>
  <c r="BF17" i="34" s="1"/>
  <c r="BG17" i="34" s="1"/>
  <c r="BH17" i="34" s="1"/>
  <c r="BI17" i="34" s="1"/>
  <c r="BJ17" i="34" s="1"/>
  <c r="BK17" i="34" s="1"/>
  <c r="BL17" i="34" s="1"/>
  <c r="BM17" i="34" s="1"/>
  <c r="BN17" i="34" s="1"/>
  <c r="BO17" i="34" s="1"/>
  <c r="BP17" i="34" s="1"/>
  <c r="BQ17" i="34" s="1"/>
  <c r="BR17" i="34" s="1"/>
  <c r="BS17" i="34" s="1"/>
  <c r="BT17" i="34" s="1"/>
  <c r="BU17" i="34" s="1"/>
  <c r="BV17" i="34" s="1"/>
  <c r="BW17" i="34" s="1"/>
  <c r="BX17" i="34" s="1"/>
  <c r="BY17" i="34" s="1"/>
  <c r="BZ17" i="34" s="1"/>
  <c r="CA17" i="34" s="1"/>
  <c r="CB17" i="34" s="1"/>
  <c r="CC17" i="34" s="1"/>
  <c r="CD17" i="34" s="1"/>
  <c r="CE17" i="34" s="1"/>
  <c r="CF17" i="34" s="1"/>
  <c r="CG17" i="34" s="1"/>
  <c r="CH17" i="34" s="1"/>
  <c r="CI17" i="34" s="1"/>
  <c r="CJ17" i="34" s="1"/>
  <c r="CK17" i="34" s="1"/>
  <c r="CL17" i="34" s="1"/>
  <c r="CM17" i="34" s="1"/>
  <c r="CN17" i="34" s="1"/>
  <c r="CO17" i="34" s="1"/>
  <c r="CP17" i="34" s="1"/>
  <c r="CQ17" i="34" s="1"/>
  <c r="CR17" i="34" s="1"/>
  <c r="CS17" i="34" s="1"/>
  <c r="CT17" i="34" s="1"/>
  <c r="CU17" i="34" s="1"/>
  <c r="CV17" i="34" s="1"/>
  <c r="CW17" i="34" s="1"/>
  <c r="CX17" i="34" s="1"/>
  <c r="CY17" i="34" s="1"/>
  <c r="CZ17" i="34" s="1"/>
  <c r="DA17" i="34" s="1"/>
  <c r="DB17" i="34" s="1"/>
  <c r="DC17" i="34" s="1"/>
  <c r="DD17" i="34" s="1"/>
  <c r="DE17" i="34" s="1"/>
  <c r="DF17" i="34" s="1"/>
  <c r="DG17" i="34" s="1"/>
  <c r="DH17" i="34" s="1"/>
  <c r="DI17" i="34" s="1"/>
  <c r="DJ17" i="34" s="1"/>
  <c r="DK17" i="34" s="1"/>
  <c r="DL17" i="34" s="1"/>
  <c r="DM17" i="34" s="1"/>
  <c r="S24" i="34"/>
  <c r="T24" i="34" s="1"/>
  <c r="U24" i="34" s="1"/>
  <c r="V24" i="34" s="1"/>
  <c r="W24" i="34" s="1"/>
  <c r="X24" i="34" s="1"/>
  <c r="Y24" i="34" s="1"/>
  <c r="Z24" i="34" s="1"/>
  <c r="AA24" i="34" s="1"/>
  <c r="AB24" i="34" s="1"/>
  <c r="AC24" i="34" s="1"/>
  <c r="AD24" i="34" s="1"/>
  <c r="AE24" i="34" s="1"/>
  <c r="AF24" i="34" s="1"/>
  <c r="AG24" i="34" s="1"/>
  <c r="AH24" i="34" s="1"/>
  <c r="AI24" i="34" s="1"/>
  <c r="AJ24" i="34" s="1"/>
  <c r="AK24" i="34" s="1"/>
  <c r="AL24" i="34" s="1"/>
  <c r="AM24" i="34" s="1"/>
  <c r="AN24" i="34" s="1"/>
  <c r="AO24" i="34" s="1"/>
  <c r="AP24" i="34" s="1"/>
  <c r="AQ24" i="34" s="1"/>
  <c r="AR24" i="34" s="1"/>
  <c r="AS24" i="34" s="1"/>
  <c r="AT24" i="34" s="1"/>
  <c r="AU24" i="34" s="1"/>
  <c r="AV24" i="34" s="1"/>
  <c r="AW24" i="34" s="1"/>
  <c r="AX24" i="34" s="1"/>
  <c r="AY24" i="34" s="1"/>
  <c r="AZ24" i="34" s="1"/>
  <c r="BA24" i="34" s="1"/>
  <c r="BB24" i="34" s="1"/>
  <c r="BC24" i="34" s="1"/>
  <c r="BD24" i="34" s="1"/>
  <c r="BE24" i="34" s="1"/>
  <c r="BF24" i="34" s="1"/>
  <c r="BG24" i="34" s="1"/>
  <c r="BH24" i="34" s="1"/>
  <c r="BI24" i="34" s="1"/>
  <c r="BJ24" i="34" s="1"/>
  <c r="BK24" i="34" s="1"/>
  <c r="BL24" i="34" s="1"/>
  <c r="BM24" i="34" s="1"/>
  <c r="BN24" i="34" s="1"/>
  <c r="BO24" i="34" s="1"/>
  <c r="BP24" i="34" s="1"/>
  <c r="BQ24" i="34" s="1"/>
  <c r="BR24" i="34" s="1"/>
  <c r="BS24" i="34" s="1"/>
  <c r="BT24" i="34" s="1"/>
  <c r="BU24" i="34" s="1"/>
  <c r="BV24" i="34" s="1"/>
  <c r="BW24" i="34" s="1"/>
  <c r="BX24" i="34" s="1"/>
  <c r="BY24" i="34" s="1"/>
  <c r="BZ24" i="34" s="1"/>
  <c r="CA24" i="34" s="1"/>
  <c r="CB24" i="34" s="1"/>
  <c r="CC24" i="34" s="1"/>
  <c r="CD24" i="34" s="1"/>
  <c r="CE24" i="34" s="1"/>
  <c r="CF24" i="34" s="1"/>
  <c r="CG24" i="34" s="1"/>
  <c r="CH24" i="34" s="1"/>
  <c r="CI24" i="34" s="1"/>
  <c r="CJ24" i="34" s="1"/>
  <c r="CK24" i="34" s="1"/>
  <c r="CL24" i="34" s="1"/>
  <c r="CM24" i="34" s="1"/>
  <c r="CN24" i="34" s="1"/>
  <c r="CO24" i="34" s="1"/>
  <c r="CP24" i="34" s="1"/>
  <c r="CQ24" i="34" s="1"/>
  <c r="CR24" i="34" s="1"/>
  <c r="CS24" i="34" s="1"/>
  <c r="CT24" i="34" s="1"/>
  <c r="CU24" i="34" s="1"/>
  <c r="CV24" i="34" s="1"/>
  <c r="CW24" i="34" s="1"/>
  <c r="CX24" i="34" s="1"/>
  <c r="CY24" i="34" s="1"/>
  <c r="CZ24" i="34" s="1"/>
  <c r="DA24" i="34" s="1"/>
  <c r="DB24" i="34" s="1"/>
  <c r="DC24" i="34" s="1"/>
  <c r="DD24" i="34" s="1"/>
  <c r="DE24" i="34" s="1"/>
  <c r="DF24" i="34" s="1"/>
  <c r="DG24" i="34" s="1"/>
  <c r="DH24" i="34" s="1"/>
  <c r="DI24" i="34" s="1"/>
  <c r="DJ24" i="34" s="1"/>
  <c r="DK24" i="34" s="1"/>
  <c r="DL24" i="34" s="1"/>
  <c r="DM24" i="34" s="1"/>
  <c r="S21" i="34"/>
  <c r="T21" i="34" s="1"/>
  <c r="U21" i="34" s="1"/>
  <c r="V21" i="34" s="1"/>
  <c r="W21" i="34" s="1"/>
  <c r="X21" i="34" s="1"/>
  <c r="Y21" i="34" s="1"/>
  <c r="Z21" i="34" s="1"/>
  <c r="AA21" i="34" s="1"/>
  <c r="AB21" i="34" s="1"/>
  <c r="AC21" i="34" s="1"/>
  <c r="AD21" i="34" s="1"/>
  <c r="AE21" i="34" s="1"/>
  <c r="AF21" i="34" s="1"/>
  <c r="AG21" i="34" s="1"/>
  <c r="AH21" i="34" s="1"/>
  <c r="AI21" i="34" s="1"/>
  <c r="AJ21" i="34" s="1"/>
  <c r="AK21" i="34" s="1"/>
  <c r="AL21" i="34" s="1"/>
  <c r="AM21" i="34" s="1"/>
  <c r="AN21" i="34" s="1"/>
  <c r="AO21" i="34" s="1"/>
  <c r="AP21" i="34" s="1"/>
  <c r="AQ21" i="34" s="1"/>
  <c r="AR21" i="34" s="1"/>
  <c r="AS21" i="34" s="1"/>
  <c r="AT21" i="34" s="1"/>
  <c r="AU21" i="34" s="1"/>
  <c r="AV21" i="34" s="1"/>
  <c r="AW21" i="34" s="1"/>
  <c r="AX21" i="34" s="1"/>
  <c r="AY21" i="34" s="1"/>
  <c r="AZ21" i="34" s="1"/>
  <c r="BA21" i="34" s="1"/>
  <c r="BB21" i="34" s="1"/>
  <c r="BC21" i="34" s="1"/>
  <c r="BD21" i="34" s="1"/>
  <c r="BE21" i="34" s="1"/>
  <c r="BF21" i="34" s="1"/>
  <c r="BG21" i="34" s="1"/>
  <c r="BH21" i="34" s="1"/>
  <c r="BI21" i="34" s="1"/>
  <c r="BJ21" i="34" s="1"/>
  <c r="BK21" i="34" s="1"/>
  <c r="BL21" i="34" s="1"/>
  <c r="BM21" i="34" s="1"/>
  <c r="BN21" i="34" s="1"/>
  <c r="BO21" i="34" s="1"/>
  <c r="BP21" i="34" s="1"/>
  <c r="BQ21" i="34" s="1"/>
  <c r="BR21" i="34" s="1"/>
  <c r="BS21" i="34" s="1"/>
  <c r="BT21" i="34" s="1"/>
  <c r="BU21" i="34" s="1"/>
  <c r="BV21" i="34" s="1"/>
  <c r="BW21" i="34" s="1"/>
  <c r="BX21" i="34" s="1"/>
  <c r="BY21" i="34" s="1"/>
  <c r="BZ21" i="34" s="1"/>
  <c r="CA21" i="34" s="1"/>
  <c r="CB21" i="34" s="1"/>
  <c r="CC21" i="34" s="1"/>
  <c r="CD21" i="34" s="1"/>
  <c r="CE21" i="34" s="1"/>
  <c r="CF21" i="34" s="1"/>
  <c r="CG21" i="34" s="1"/>
  <c r="CH21" i="34" s="1"/>
  <c r="CI21" i="34" s="1"/>
  <c r="CJ21" i="34" s="1"/>
  <c r="CK21" i="34" s="1"/>
  <c r="CL21" i="34" s="1"/>
  <c r="CM21" i="34" s="1"/>
  <c r="CN21" i="34" s="1"/>
  <c r="CO21" i="34" s="1"/>
  <c r="CP21" i="34" s="1"/>
  <c r="CQ21" i="34" s="1"/>
  <c r="CR21" i="34" s="1"/>
  <c r="CS21" i="34" s="1"/>
  <c r="CT21" i="34" s="1"/>
  <c r="CU21" i="34" s="1"/>
  <c r="CV21" i="34" s="1"/>
  <c r="CW21" i="34" s="1"/>
  <c r="CX21" i="34" s="1"/>
  <c r="CY21" i="34" s="1"/>
  <c r="CZ21" i="34" s="1"/>
  <c r="DA21" i="34" s="1"/>
  <c r="DB21" i="34" s="1"/>
  <c r="DC21" i="34" s="1"/>
  <c r="DD21" i="34" s="1"/>
  <c r="DE21" i="34" s="1"/>
  <c r="DF21" i="34" s="1"/>
  <c r="DG21" i="34" s="1"/>
  <c r="DH21" i="34" s="1"/>
  <c r="DI21" i="34" s="1"/>
  <c r="DJ21" i="34" s="1"/>
  <c r="DK21" i="34" s="1"/>
  <c r="DL21" i="34" s="1"/>
  <c r="DM21" i="34" s="1"/>
  <c r="S70" i="34"/>
  <c r="T70" i="34" s="1"/>
  <c r="U70" i="34" s="1"/>
  <c r="V70" i="34" s="1"/>
  <c r="W70" i="34" s="1"/>
  <c r="X70" i="34" s="1"/>
  <c r="Y70" i="34" s="1"/>
  <c r="Z70" i="34" s="1"/>
  <c r="AA70" i="34" s="1"/>
  <c r="AB70" i="34" s="1"/>
  <c r="AC70" i="34" s="1"/>
  <c r="AD70" i="34" s="1"/>
  <c r="AE70" i="34" s="1"/>
  <c r="AF70" i="34" s="1"/>
  <c r="AG70" i="34" s="1"/>
  <c r="AH70" i="34" s="1"/>
  <c r="AI70" i="34" s="1"/>
  <c r="AJ70" i="34" s="1"/>
  <c r="AK70" i="34" s="1"/>
  <c r="AL70" i="34" s="1"/>
  <c r="AM70" i="34" s="1"/>
  <c r="AN70" i="34" s="1"/>
  <c r="AO70" i="34" s="1"/>
  <c r="AP70" i="34" s="1"/>
  <c r="AQ70" i="34" s="1"/>
  <c r="AR70" i="34" s="1"/>
  <c r="AS70" i="34" s="1"/>
  <c r="AT70" i="34" s="1"/>
  <c r="AU70" i="34" s="1"/>
  <c r="AV70" i="34" s="1"/>
  <c r="AW70" i="34" s="1"/>
  <c r="AX70" i="34" s="1"/>
  <c r="AY70" i="34" s="1"/>
  <c r="AZ70" i="34" s="1"/>
  <c r="BA70" i="34" s="1"/>
  <c r="BB70" i="34" s="1"/>
  <c r="BC70" i="34" s="1"/>
  <c r="BD70" i="34" s="1"/>
  <c r="BE70" i="34" s="1"/>
  <c r="BF70" i="34" s="1"/>
  <c r="BG70" i="34" s="1"/>
  <c r="BH70" i="34" s="1"/>
  <c r="BI70" i="34" s="1"/>
  <c r="BJ70" i="34" s="1"/>
  <c r="BK70" i="34" s="1"/>
  <c r="BL70" i="34" s="1"/>
  <c r="BM70" i="34" s="1"/>
  <c r="BN70" i="34" s="1"/>
  <c r="BO70" i="34" s="1"/>
  <c r="BP70" i="34" s="1"/>
  <c r="BQ70" i="34" s="1"/>
  <c r="BR70" i="34" s="1"/>
  <c r="BS70" i="34" s="1"/>
  <c r="BT70" i="34" s="1"/>
  <c r="BU70" i="34" s="1"/>
  <c r="BV70" i="34" s="1"/>
  <c r="BW70" i="34" s="1"/>
  <c r="BX70" i="34" s="1"/>
  <c r="BY70" i="34" s="1"/>
  <c r="BZ70" i="34" s="1"/>
  <c r="CA70" i="34" s="1"/>
  <c r="CB70" i="34" s="1"/>
  <c r="CC70" i="34" s="1"/>
  <c r="CD70" i="34" s="1"/>
  <c r="CE70" i="34" s="1"/>
  <c r="CF70" i="34" s="1"/>
  <c r="CG70" i="34" s="1"/>
  <c r="CH70" i="34" s="1"/>
  <c r="CI70" i="34" s="1"/>
  <c r="CJ70" i="34" s="1"/>
  <c r="CK70" i="34" s="1"/>
  <c r="CL70" i="34" s="1"/>
  <c r="CM70" i="34" s="1"/>
  <c r="CN70" i="34" s="1"/>
  <c r="CO70" i="34" s="1"/>
  <c r="CP70" i="34" s="1"/>
  <c r="CQ70" i="34" s="1"/>
  <c r="CR70" i="34" s="1"/>
  <c r="CS70" i="34" s="1"/>
  <c r="CT70" i="34" s="1"/>
  <c r="CU70" i="34" s="1"/>
  <c r="CV70" i="34" s="1"/>
  <c r="CW70" i="34" s="1"/>
  <c r="CX70" i="34" s="1"/>
  <c r="CY70" i="34" s="1"/>
  <c r="CZ70" i="34" s="1"/>
  <c r="DA70" i="34" s="1"/>
  <c r="DB70" i="34" s="1"/>
  <c r="DC70" i="34" s="1"/>
  <c r="DD70" i="34" s="1"/>
  <c r="DE70" i="34" s="1"/>
  <c r="DF70" i="34" s="1"/>
  <c r="DG70" i="34" s="1"/>
  <c r="DH70" i="34" s="1"/>
  <c r="DI70" i="34" s="1"/>
  <c r="DJ70" i="34" s="1"/>
  <c r="DK70" i="34" s="1"/>
  <c r="DL70" i="34" s="1"/>
  <c r="DM70" i="34" s="1"/>
  <c r="S62" i="34"/>
  <c r="T62" i="34" s="1"/>
  <c r="U62" i="34" s="1"/>
  <c r="V62" i="34" s="1"/>
  <c r="W62" i="34" s="1"/>
  <c r="X62" i="34" s="1"/>
  <c r="Y62" i="34" s="1"/>
  <c r="Z62" i="34" s="1"/>
  <c r="AA62" i="34" s="1"/>
  <c r="AB62" i="34" s="1"/>
  <c r="AC62" i="34" s="1"/>
  <c r="AD62" i="34" s="1"/>
  <c r="AE62" i="34" s="1"/>
  <c r="AF62" i="34" s="1"/>
  <c r="AG62" i="34" s="1"/>
  <c r="AH62" i="34" s="1"/>
  <c r="AI62" i="34" s="1"/>
  <c r="AJ62" i="34" s="1"/>
  <c r="AK62" i="34" s="1"/>
  <c r="AL62" i="34" s="1"/>
  <c r="AM62" i="34" s="1"/>
  <c r="AN62" i="34" s="1"/>
  <c r="AO62" i="34" s="1"/>
  <c r="AP62" i="34" s="1"/>
  <c r="AQ62" i="34" s="1"/>
  <c r="AR62" i="34" s="1"/>
  <c r="AS62" i="34" s="1"/>
  <c r="AT62" i="34" s="1"/>
  <c r="AU62" i="34" s="1"/>
  <c r="AV62" i="34" s="1"/>
  <c r="AW62" i="34" s="1"/>
  <c r="AX62" i="34" s="1"/>
  <c r="AY62" i="34" s="1"/>
  <c r="AZ62" i="34" s="1"/>
  <c r="BA62" i="34" s="1"/>
  <c r="BB62" i="34" s="1"/>
  <c r="BC62" i="34" s="1"/>
  <c r="BD62" i="34" s="1"/>
  <c r="BE62" i="34" s="1"/>
  <c r="BF62" i="34" s="1"/>
  <c r="BG62" i="34" s="1"/>
  <c r="BH62" i="34" s="1"/>
  <c r="BI62" i="34" s="1"/>
  <c r="BJ62" i="34" s="1"/>
  <c r="BK62" i="34" s="1"/>
  <c r="BL62" i="34" s="1"/>
  <c r="BM62" i="34" s="1"/>
  <c r="BN62" i="34" s="1"/>
  <c r="BO62" i="34" s="1"/>
  <c r="BP62" i="34" s="1"/>
  <c r="BQ62" i="34" s="1"/>
  <c r="BR62" i="34" s="1"/>
  <c r="BS62" i="34" s="1"/>
  <c r="BT62" i="34" s="1"/>
  <c r="BU62" i="34" s="1"/>
  <c r="BV62" i="34" s="1"/>
  <c r="BW62" i="34" s="1"/>
  <c r="BX62" i="34" s="1"/>
  <c r="BY62" i="34" s="1"/>
  <c r="BZ62" i="34" s="1"/>
  <c r="CA62" i="34" s="1"/>
  <c r="CB62" i="34" s="1"/>
  <c r="CC62" i="34" s="1"/>
  <c r="CD62" i="34" s="1"/>
  <c r="CE62" i="34" s="1"/>
  <c r="CF62" i="34" s="1"/>
  <c r="CG62" i="34" s="1"/>
  <c r="CH62" i="34" s="1"/>
  <c r="CI62" i="34" s="1"/>
  <c r="CJ62" i="34" s="1"/>
  <c r="CK62" i="34" s="1"/>
  <c r="CL62" i="34" s="1"/>
  <c r="CM62" i="34" s="1"/>
  <c r="CN62" i="34" s="1"/>
  <c r="CO62" i="34" s="1"/>
  <c r="CP62" i="34" s="1"/>
  <c r="CQ62" i="34" s="1"/>
  <c r="CR62" i="34" s="1"/>
  <c r="CS62" i="34" s="1"/>
  <c r="CT62" i="34" s="1"/>
  <c r="CU62" i="34" s="1"/>
  <c r="CV62" i="34" s="1"/>
  <c r="CW62" i="34" s="1"/>
  <c r="CX62" i="34" s="1"/>
  <c r="CY62" i="34" s="1"/>
  <c r="CZ62" i="34" s="1"/>
  <c r="DA62" i="34" s="1"/>
  <c r="DB62" i="34" s="1"/>
  <c r="DC62" i="34" s="1"/>
  <c r="DD62" i="34" s="1"/>
  <c r="DE62" i="34" s="1"/>
  <c r="DF62" i="34" s="1"/>
  <c r="DG62" i="34" s="1"/>
  <c r="DH62" i="34" s="1"/>
  <c r="DI62" i="34" s="1"/>
  <c r="DJ62" i="34" s="1"/>
  <c r="DK62" i="34" s="1"/>
  <c r="DL62" i="34" s="1"/>
  <c r="DM62" i="34" s="1"/>
  <c r="S43" i="34"/>
  <c r="T43" i="34" s="1"/>
  <c r="U43" i="34" s="1"/>
  <c r="V43" i="34" s="1"/>
  <c r="W43" i="34" s="1"/>
  <c r="X43" i="34" s="1"/>
  <c r="Y43" i="34" s="1"/>
  <c r="Z43" i="34" s="1"/>
  <c r="AA43" i="34" s="1"/>
  <c r="AB43" i="34" s="1"/>
  <c r="AC43" i="34" s="1"/>
  <c r="AD43" i="34" s="1"/>
  <c r="AE43" i="34" s="1"/>
  <c r="AF43" i="34" s="1"/>
  <c r="AG43" i="34" s="1"/>
  <c r="AH43" i="34" s="1"/>
  <c r="AI43" i="34" s="1"/>
  <c r="AJ43" i="34" s="1"/>
  <c r="AK43" i="34" s="1"/>
  <c r="AL43" i="34" s="1"/>
  <c r="AM43" i="34" s="1"/>
  <c r="AN43" i="34" s="1"/>
  <c r="AO43" i="34" s="1"/>
  <c r="AP43" i="34" s="1"/>
  <c r="AQ43" i="34" s="1"/>
  <c r="AR43" i="34" s="1"/>
  <c r="AS43" i="34" s="1"/>
  <c r="AT43" i="34" s="1"/>
  <c r="AU43" i="34" s="1"/>
  <c r="AV43" i="34" s="1"/>
  <c r="AW43" i="34" s="1"/>
  <c r="AX43" i="34" s="1"/>
  <c r="AY43" i="34" s="1"/>
  <c r="AZ43" i="34" s="1"/>
  <c r="BA43" i="34" s="1"/>
  <c r="BB43" i="34" s="1"/>
  <c r="BC43" i="34" s="1"/>
  <c r="BD43" i="34" s="1"/>
  <c r="BE43" i="34" s="1"/>
  <c r="BF43" i="34" s="1"/>
  <c r="BG43" i="34" s="1"/>
  <c r="BH43" i="34" s="1"/>
  <c r="BI43" i="34" s="1"/>
  <c r="BJ43" i="34" s="1"/>
  <c r="BK43" i="34" s="1"/>
  <c r="BL43" i="34" s="1"/>
  <c r="BM43" i="34" s="1"/>
  <c r="BN43" i="34" s="1"/>
  <c r="BO43" i="34" s="1"/>
  <c r="BP43" i="34" s="1"/>
  <c r="BQ43" i="34" s="1"/>
  <c r="BR43" i="34" s="1"/>
  <c r="BS43" i="34" s="1"/>
  <c r="BT43" i="34" s="1"/>
  <c r="BU43" i="34" s="1"/>
  <c r="BV43" i="34" s="1"/>
  <c r="BW43" i="34" s="1"/>
  <c r="BX43" i="34" s="1"/>
  <c r="BY43" i="34" s="1"/>
  <c r="BZ43" i="34" s="1"/>
  <c r="CA43" i="34" s="1"/>
  <c r="CB43" i="34" s="1"/>
  <c r="CC43" i="34" s="1"/>
  <c r="CD43" i="34" s="1"/>
  <c r="CE43" i="34" s="1"/>
  <c r="CF43" i="34" s="1"/>
  <c r="CG43" i="34" s="1"/>
  <c r="CH43" i="34" s="1"/>
  <c r="CI43" i="34" s="1"/>
  <c r="CJ43" i="34" s="1"/>
  <c r="CK43" i="34" s="1"/>
  <c r="CL43" i="34" s="1"/>
  <c r="CM43" i="34" s="1"/>
  <c r="CN43" i="34" s="1"/>
  <c r="CO43" i="34" s="1"/>
  <c r="CP43" i="34" s="1"/>
  <c r="CQ43" i="34" s="1"/>
  <c r="CR43" i="34" s="1"/>
  <c r="CS43" i="34" s="1"/>
  <c r="CT43" i="34" s="1"/>
  <c r="CU43" i="34" s="1"/>
  <c r="CV43" i="34" s="1"/>
  <c r="CW43" i="34" s="1"/>
  <c r="CX43" i="34" s="1"/>
  <c r="CY43" i="34" s="1"/>
  <c r="CZ43" i="34" s="1"/>
  <c r="DA43" i="34" s="1"/>
  <c r="DB43" i="34" s="1"/>
  <c r="DC43" i="34" s="1"/>
  <c r="DD43" i="34" s="1"/>
  <c r="DE43" i="34" s="1"/>
  <c r="DF43" i="34" s="1"/>
  <c r="DG43" i="34" s="1"/>
  <c r="DH43" i="34" s="1"/>
  <c r="DI43" i="34" s="1"/>
  <c r="DJ43" i="34" s="1"/>
  <c r="DK43" i="34" s="1"/>
  <c r="DL43" i="34" s="1"/>
  <c r="DM43" i="34" s="1"/>
  <c r="S63" i="34"/>
  <c r="T63" i="34" s="1"/>
  <c r="U63" i="34" s="1"/>
  <c r="V63" i="34" s="1"/>
  <c r="W63" i="34" s="1"/>
  <c r="X63" i="34" s="1"/>
  <c r="Y63" i="34" s="1"/>
  <c r="Z63" i="34" s="1"/>
  <c r="AA63" i="34" s="1"/>
  <c r="AB63" i="34" s="1"/>
  <c r="AC63" i="34" s="1"/>
  <c r="AD63" i="34" s="1"/>
  <c r="AE63" i="34" s="1"/>
  <c r="AF63" i="34" s="1"/>
  <c r="AG63" i="34" s="1"/>
  <c r="AH63" i="34" s="1"/>
  <c r="AI63" i="34" s="1"/>
  <c r="AJ63" i="34" s="1"/>
  <c r="AK63" i="34" s="1"/>
  <c r="AL63" i="34" s="1"/>
  <c r="AM63" i="34" s="1"/>
  <c r="AN63" i="34" s="1"/>
  <c r="AO63" i="34" s="1"/>
  <c r="AP63" i="34" s="1"/>
  <c r="AQ63" i="34" s="1"/>
  <c r="AR63" i="34" s="1"/>
  <c r="AS63" i="34" s="1"/>
  <c r="AT63" i="34" s="1"/>
  <c r="AU63" i="34" s="1"/>
  <c r="AV63" i="34" s="1"/>
  <c r="AW63" i="34" s="1"/>
  <c r="AX63" i="34" s="1"/>
  <c r="AY63" i="34" s="1"/>
  <c r="AZ63" i="34" s="1"/>
  <c r="BA63" i="34" s="1"/>
  <c r="BB63" i="34" s="1"/>
  <c r="BC63" i="34" s="1"/>
  <c r="BD63" i="34" s="1"/>
  <c r="BE63" i="34" s="1"/>
  <c r="BF63" i="34" s="1"/>
  <c r="BG63" i="34" s="1"/>
  <c r="BH63" i="34" s="1"/>
  <c r="BI63" i="34" s="1"/>
  <c r="BJ63" i="34" s="1"/>
  <c r="BK63" i="34" s="1"/>
  <c r="BL63" i="34" s="1"/>
  <c r="BM63" i="34" s="1"/>
  <c r="BN63" i="34" s="1"/>
  <c r="BO63" i="34" s="1"/>
  <c r="BP63" i="34" s="1"/>
  <c r="BQ63" i="34" s="1"/>
  <c r="BR63" i="34" s="1"/>
  <c r="BS63" i="34" s="1"/>
  <c r="BT63" i="34" s="1"/>
  <c r="BU63" i="34" s="1"/>
  <c r="BV63" i="34" s="1"/>
  <c r="BW63" i="34" s="1"/>
  <c r="BX63" i="34" s="1"/>
  <c r="BY63" i="34" s="1"/>
  <c r="BZ63" i="34" s="1"/>
  <c r="CA63" i="34" s="1"/>
  <c r="CB63" i="34" s="1"/>
  <c r="CC63" i="34" s="1"/>
  <c r="CD63" i="34" s="1"/>
  <c r="CE63" i="34" s="1"/>
  <c r="CF63" i="34" s="1"/>
  <c r="CG63" i="34" s="1"/>
  <c r="CH63" i="34" s="1"/>
  <c r="CI63" i="34" s="1"/>
  <c r="CJ63" i="34" s="1"/>
  <c r="CK63" i="34" s="1"/>
  <c r="CL63" i="34" s="1"/>
  <c r="CM63" i="34" s="1"/>
  <c r="CN63" i="34" s="1"/>
  <c r="CO63" i="34" s="1"/>
  <c r="CP63" i="34" s="1"/>
  <c r="CQ63" i="34" s="1"/>
  <c r="CR63" i="34" s="1"/>
  <c r="CS63" i="34" s="1"/>
  <c r="CT63" i="34" s="1"/>
  <c r="CU63" i="34" s="1"/>
  <c r="CV63" i="34" s="1"/>
  <c r="CW63" i="34" s="1"/>
  <c r="CX63" i="34" s="1"/>
  <c r="CY63" i="34" s="1"/>
  <c r="CZ63" i="34" s="1"/>
  <c r="DA63" i="34" s="1"/>
  <c r="DB63" i="34" s="1"/>
  <c r="DC63" i="34" s="1"/>
  <c r="DD63" i="34" s="1"/>
  <c r="DE63" i="34" s="1"/>
  <c r="DF63" i="34" s="1"/>
  <c r="DG63" i="34" s="1"/>
  <c r="DH63" i="34" s="1"/>
  <c r="DI63" i="34" s="1"/>
  <c r="DJ63" i="34" s="1"/>
  <c r="DK63" i="34" s="1"/>
  <c r="DL63" i="34" s="1"/>
  <c r="DM63" i="34" s="1"/>
  <c r="S12" i="34"/>
  <c r="T12" i="34" s="1"/>
  <c r="U12" i="34" s="1"/>
  <c r="V12" i="34" s="1"/>
  <c r="W12" i="34" s="1"/>
  <c r="X12" i="34" s="1"/>
  <c r="Y12" i="34" s="1"/>
  <c r="Z12" i="34" s="1"/>
  <c r="AA12" i="34" s="1"/>
  <c r="AB12" i="34" s="1"/>
  <c r="AC12" i="34" s="1"/>
  <c r="AD12" i="34" s="1"/>
  <c r="AE12" i="34" s="1"/>
  <c r="AF12" i="34" s="1"/>
  <c r="AG12" i="34" s="1"/>
  <c r="AH12" i="34" s="1"/>
  <c r="AI12" i="34" s="1"/>
  <c r="AJ12" i="34" s="1"/>
  <c r="AK12" i="34" s="1"/>
  <c r="AL12" i="34" s="1"/>
  <c r="AM12" i="34" s="1"/>
  <c r="AN12" i="34" s="1"/>
  <c r="AO12" i="34" s="1"/>
  <c r="AP12" i="34" s="1"/>
  <c r="AQ12" i="34" s="1"/>
  <c r="AR12" i="34" s="1"/>
  <c r="AS12" i="34" s="1"/>
  <c r="AT12" i="34" s="1"/>
  <c r="AU12" i="34" s="1"/>
  <c r="AV12" i="34" s="1"/>
  <c r="AW12" i="34" s="1"/>
  <c r="AX12" i="34" s="1"/>
  <c r="AY12" i="34" s="1"/>
  <c r="AZ12" i="34" s="1"/>
  <c r="BA12" i="34" s="1"/>
  <c r="BB12" i="34" s="1"/>
  <c r="BC12" i="34" s="1"/>
  <c r="BD12" i="34" s="1"/>
  <c r="BE12" i="34" s="1"/>
  <c r="BF12" i="34" s="1"/>
  <c r="BG12" i="34" s="1"/>
  <c r="BH12" i="34" s="1"/>
  <c r="BI12" i="34" s="1"/>
  <c r="BJ12" i="34" s="1"/>
  <c r="BK12" i="34" s="1"/>
  <c r="BL12" i="34" s="1"/>
  <c r="BM12" i="34" s="1"/>
  <c r="BN12" i="34" s="1"/>
  <c r="BO12" i="34" s="1"/>
  <c r="BP12" i="34" s="1"/>
  <c r="BQ12" i="34" s="1"/>
  <c r="BR12" i="34" s="1"/>
  <c r="BS12" i="34" s="1"/>
  <c r="BT12" i="34" s="1"/>
  <c r="BU12" i="34" s="1"/>
  <c r="BV12" i="34" s="1"/>
  <c r="BW12" i="34" s="1"/>
  <c r="BX12" i="34" s="1"/>
  <c r="BY12" i="34" s="1"/>
  <c r="BZ12" i="34" s="1"/>
  <c r="CA12" i="34" s="1"/>
  <c r="CB12" i="34" s="1"/>
  <c r="CC12" i="34" s="1"/>
  <c r="CD12" i="34" s="1"/>
  <c r="CE12" i="34" s="1"/>
  <c r="CF12" i="34" s="1"/>
  <c r="CG12" i="34" s="1"/>
  <c r="CH12" i="34" s="1"/>
  <c r="CI12" i="34" s="1"/>
  <c r="CJ12" i="34" s="1"/>
  <c r="CK12" i="34" s="1"/>
  <c r="CL12" i="34" s="1"/>
  <c r="CM12" i="34" s="1"/>
  <c r="CN12" i="34" s="1"/>
  <c r="CO12" i="34" s="1"/>
  <c r="CP12" i="34" s="1"/>
  <c r="CQ12" i="34" s="1"/>
  <c r="CR12" i="34" s="1"/>
  <c r="CS12" i="34" s="1"/>
  <c r="CT12" i="34" s="1"/>
  <c r="CU12" i="34" s="1"/>
  <c r="CV12" i="34" s="1"/>
  <c r="CW12" i="34" s="1"/>
  <c r="CX12" i="34" s="1"/>
  <c r="CY12" i="34" s="1"/>
  <c r="CZ12" i="34" s="1"/>
  <c r="DA12" i="34" s="1"/>
  <c r="DB12" i="34" s="1"/>
  <c r="DC12" i="34" s="1"/>
  <c r="DD12" i="34" s="1"/>
  <c r="DE12" i="34" s="1"/>
  <c r="DF12" i="34" s="1"/>
  <c r="DG12" i="34" s="1"/>
  <c r="DH12" i="34" s="1"/>
  <c r="DI12" i="34" s="1"/>
  <c r="DJ12" i="34" s="1"/>
  <c r="DK12" i="34" s="1"/>
  <c r="DL12" i="34" s="1"/>
  <c r="DM12" i="34" s="1"/>
  <c r="S78" i="34"/>
  <c r="T78" i="34" s="1"/>
  <c r="U78" i="34" s="1"/>
  <c r="V78" i="34" s="1"/>
  <c r="W78" i="34" s="1"/>
  <c r="X78" i="34" s="1"/>
  <c r="Y78" i="34" s="1"/>
  <c r="Z78" i="34" s="1"/>
  <c r="AA78" i="34" s="1"/>
  <c r="AB78" i="34" s="1"/>
  <c r="AC78" i="34" s="1"/>
  <c r="AD78" i="34" s="1"/>
  <c r="AE78" i="34" s="1"/>
  <c r="AF78" i="34" s="1"/>
  <c r="AG78" i="34" s="1"/>
  <c r="AH78" i="34" s="1"/>
  <c r="AI78" i="34" s="1"/>
  <c r="AJ78" i="34" s="1"/>
  <c r="AK78" i="34" s="1"/>
  <c r="AL78" i="34" s="1"/>
  <c r="AM78" i="34" s="1"/>
  <c r="AN78" i="34" s="1"/>
  <c r="AO78" i="34" s="1"/>
  <c r="AP78" i="34" s="1"/>
  <c r="AQ78" i="34" s="1"/>
  <c r="AR78" i="34" s="1"/>
  <c r="AS78" i="34" s="1"/>
  <c r="AT78" i="34" s="1"/>
  <c r="AU78" i="34" s="1"/>
  <c r="AV78" i="34" s="1"/>
  <c r="AW78" i="34" s="1"/>
  <c r="AX78" i="34" s="1"/>
  <c r="AY78" i="34" s="1"/>
  <c r="AZ78" i="34" s="1"/>
  <c r="BA78" i="34" s="1"/>
  <c r="BB78" i="34" s="1"/>
  <c r="BC78" i="34" s="1"/>
  <c r="BD78" i="34" s="1"/>
  <c r="BE78" i="34" s="1"/>
  <c r="BF78" i="34" s="1"/>
  <c r="BG78" i="34" s="1"/>
  <c r="BH78" i="34" s="1"/>
  <c r="BI78" i="34" s="1"/>
  <c r="BJ78" i="34" s="1"/>
  <c r="BK78" i="34" s="1"/>
  <c r="BL78" i="34" s="1"/>
  <c r="BM78" i="34" s="1"/>
  <c r="BN78" i="34" s="1"/>
  <c r="BO78" i="34" s="1"/>
  <c r="BP78" i="34" s="1"/>
  <c r="BQ78" i="34" s="1"/>
  <c r="BR78" i="34" s="1"/>
  <c r="BS78" i="34" s="1"/>
  <c r="BT78" i="34" s="1"/>
  <c r="BU78" i="34" s="1"/>
  <c r="BV78" i="34" s="1"/>
  <c r="BW78" i="34" s="1"/>
  <c r="BX78" i="34" s="1"/>
  <c r="BY78" i="34" s="1"/>
  <c r="BZ78" i="34" s="1"/>
  <c r="CA78" i="34" s="1"/>
  <c r="CB78" i="34" s="1"/>
  <c r="CC78" i="34" s="1"/>
  <c r="CD78" i="34" s="1"/>
  <c r="CE78" i="34" s="1"/>
  <c r="CF78" i="34" s="1"/>
  <c r="CG78" i="34" s="1"/>
  <c r="CH78" i="34" s="1"/>
  <c r="CI78" i="34" s="1"/>
  <c r="CJ78" i="34" s="1"/>
  <c r="CK78" i="34" s="1"/>
  <c r="CL78" i="34" s="1"/>
  <c r="CM78" i="34" s="1"/>
  <c r="CN78" i="34" s="1"/>
  <c r="CO78" i="34" s="1"/>
  <c r="CP78" i="34" s="1"/>
  <c r="CQ78" i="34" s="1"/>
  <c r="CR78" i="34" s="1"/>
  <c r="CS78" i="34" s="1"/>
  <c r="CT78" i="34" s="1"/>
  <c r="CU78" i="34" s="1"/>
  <c r="CV78" i="34" s="1"/>
  <c r="CW78" i="34" s="1"/>
  <c r="CX78" i="34" s="1"/>
  <c r="CY78" i="34" s="1"/>
  <c r="CZ78" i="34" s="1"/>
  <c r="DA78" i="34" s="1"/>
  <c r="DB78" i="34" s="1"/>
  <c r="DC78" i="34" s="1"/>
  <c r="DD78" i="34" s="1"/>
  <c r="DE78" i="34" s="1"/>
  <c r="DF78" i="34" s="1"/>
  <c r="DG78" i="34" s="1"/>
  <c r="DH78" i="34" s="1"/>
  <c r="DI78" i="34" s="1"/>
  <c r="DJ78" i="34" s="1"/>
  <c r="DK78" i="34" s="1"/>
  <c r="DL78" i="34" s="1"/>
  <c r="DM78" i="34" s="1"/>
  <c r="S60" i="34"/>
  <c r="T60" i="34" s="1"/>
  <c r="U60" i="34" s="1"/>
  <c r="V60" i="34" s="1"/>
  <c r="W60" i="34" s="1"/>
  <c r="X60" i="34" s="1"/>
  <c r="Y60" i="34" s="1"/>
  <c r="Z60" i="34" s="1"/>
  <c r="AA60" i="34" s="1"/>
  <c r="AB60" i="34" s="1"/>
  <c r="AC60" i="34" s="1"/>
  <c r="AD60" i="34" s="1"/>
  <c r="AE60" i="34" s="1"/>
  <c r="AF60" i="34" s="1"/>
  <c r="AG60" i="34" s="1"/>
  <c r="AH60" i="34" s="1"/>
  <c r="AI60" i="34" s="1"/>
  <c r="AJ60" i="34" s="1"/>
  <c r="AK60" i="34" s="1"/>
  <c r="AL60" i="34" s="1"/>
  <c r="AM60" i="34" s="1"/>
  <c r="AN60" i="34" s="1"/>
  <c r="AO60" i="34" s="1"/>
  <c r="AP60" i="34" s="1"/>
  <c r="AQ60" i="34" s="1"/>
  <c r="AR60" i="34" s="1"/>
  <c r="AS60" i="34" s="1"/>
  <c r="AT60" i="34" s="1"/>
  <c r="AU60" i="34" s="1"/>
  <c r="AV60" i="34" s="1"/>
  <c r="AW60" i="34" s="1"/>
  <c r="AX60" i="34" s="1"/>
  <c r="AY60" i="34" s="1"/>
  <c r="AZ60" i="34" s="1"/>
  <c r="BA60" i="34" s="1"/>
  <c r="BB60" i="34" s="1"/>
  <c r="BC60" i="34" s="1"/>
  <c r="BD60" i="34" s="1"/>
  <c r="BE60" i="34" s="1"/>
  <c r="BF60" i="34" s="1"/>
  <c r="BG60" i="34" s="1"/>
  <c r="BH60" i="34" s="1"/>
  <c r="BI60" i="34" s="1"/>
  <c r="BJ60" i="34" s="1"/>
  <c r="BK60" i="34" s="1"/>
  <c r="BL60" i="34" s="1"/>
  <c r="BM60" i="34" s="1"/>
  <c r="BN60" i="34" s="1"/>
  <c r="BO60" i="34" s="1"/>
  <c r="BP60" i="34" s="1"/>
  <c r="BQ60" i="34" s="1"/>
  <c r="BR60" i="34" s="1"/>
  <c r="BS60" i="34" s="1"/>
  <c r="BT60" i="34" s="1"/>
  <c r="BU60" i="34" s="1"/>
  <c r="BV60" i="34" s="1"/>
  <c r="BW60" i="34" s="1"/>
  <c r="BX60" i="34" s="1"/>
  <c r="BY60" i="34" s="1"/>
  <c r="BZ60" i="34" s="1"/>
  <c r="CA60" i="34" s="1"/>
  <c r="CB60" i="34" s="1"/>
  <c r="CC60" i="34" s="1"/>
  <c r="CD60" i="34" s="1"/>
  <c r="CE60" i="34" s="1"/>
  <c r="CF60" i="34" s="1"/>
  <c r="CG60" i="34" s="1"/>
  <c r="CH60" i="34" s="1"/>
  <c r="CI60" i="34" s="1"/>
  <c r="CJ60" i="34" s="1"/>
  <c r="CK60" i="34" s="1"/>
  <c r="CL60" i="34" s="1"/>
  <c r="CM60" i="34" s="1"/>
  <c r="CN60" i="34" s="1"/>
  <c r="CO60" i="34" s="1"/>
  <c r="CP60" i="34" s="1"/>
  <c r="CQ60" i="34" s="1"/>
  <c r="CR60" i="34" s="1"/>
  <c r="CS60" i="34" s="1"/>
  <c r="CT60" i="34" s="1"/>
  <c r="CU60" i="34" s="1"/>
  <c r="CV60" i="34" s="1"/>
  <c r="CW60" i="34" s="1"/>
  <c r="CX60" i="34" s="1"/>
  <c r="CY60" i="34" s="1"/>
  <c r="CZ60" i="34" s="1"/>
  <c r="DA60" i="34" s="1"/>
  <c r="DB60" i="34" s="1"/>
  <c r="DC60" i="34" s="1"/>
  <c r="DD60" i="34" s="1"/>
  <c r="DE60" i="34" s="1"/>
  <c r="DF60" i="34" s="1"/>
  <c r="DG60" i="34" s="1"/>
  <c r="DH60" i="34" s="1"/>
  <c r="DI60" i="34" s="1"/>
  <c r="DJ60" i="34" s="1"/>
  <c r="DK60" i="34" s="1"/>
  <c r="DL60" i="34" s="1"/>
  <c r="DM60" i="34" s="1"/>
  <c r="S72" i="34"/>
  <c r="T72" i="34" s="1"/>
  <c r="U72" i="34" s="1"/>
  <c r="V72" i="34" s="1"/>
  <c r="W72" i="34" s="1"/>
  <c r="X72" i="34" s="1"/>
  <c r="Y72" i="34" s="1"/>
  <c r="Z72" i="34" s="1"/>
  <c r="AA72" i="34" s="1"/>
  <c r="AB72" i="34" s="1"/>
  <c r="AC72" i="34" s="1"/>
  <c r="AD72" i="34" s="1"/>
  <c r="AE72" i="34" s="1"/>
  <c r="AF72" i="34" s="1"/>
  <c r="AG72" i="34" s="1"/>
  <c r="AH72" i="34" s="1"/>
  <c r="AI72" i="34" s="1"/>
  <c r="AJ72" i="34" s="1"/>
  <c r="AK72" i="34" s="1"/>
  <c r="AL72" i="34" s="1"/>
  <c r="AM72" i="34" s="1"/>
  <c r="AN72" i="34" s="1"/>
  <c r="AO72" i="34" s="1"/>
  <c r="AP72" i="34" s="1"/>
  <c r="AQ72" i="34" s="1"/>
  <c r="AR72" i="34" s="1"/>
  <c r="AS72" i="34" s="1"/>
  <c r="AT72" i="34" s="1"/>
  <c r="AU72" i="34" s="1"/>
  <c r="AV72" i="34" s="1"/>
  <c r="AW72" i="34" s="1"/>
  <c r="AX72" i="34" s="1"/>
  <c r="AY72" i="34" s="1"/>
  <c r="AZ72" i="34" s="1"/>
  <c r="BA72" i="34" s="1"/>
  <c r="BB72" i="34" s="1"/>
  <c r="BC72" i="34" s="1"/>
  <c r="BD72" i="34" s="1"/>
  <c r="BE72" i="34" s="1"/>
  <c r="BF72" i="34" s="1"/>
  <c r="BG72" i="34" s="1"/>
  <c r="BH72" i="34" s="1"/>
  <c r="BI72" i="34" s="1"/>
  <c r="BJ72" i="34" s="1"/>
  <c r="BK72" i="34" s="1"/>
  <c r="BL72" i="34" s="1"/>
  <c r="BM72" i="34" s="1"/>
  <c r="BN72" i="34" s="1"/>
  <c r="BO72" i="34" s="1"/>
  <c r="BP72" i="34" s="1"/>
  <c r="BQ72" i="34" s="1"/>
  <c r="BR72" i="34" s="1"/>
  <c r="BS72" i="34" s="1"/>
  <c r="BT72" i="34" s="1"/>
  <c r="BU72" i="34" s="1"/>
  <c r="BV72" i="34" s="1"/>
  <c r="BW72" i="34" s="1"/>
  <c r="BX72" i="34" s="1"/>
  <c r="BY72" i="34" s="1"/>
  <c r="BZ72" i="34" s="1"/>
  <c r="CA72" i="34" s="1"/>
  <c r="CB72" i="34" s="1"/>
  <c r="CC72" i="34" s="1"/>
  <c r="CD72" i="34" s="1"/>
  <c r="CE72" i="34" s="1"/>
  <c r="CF72" i="34" s="1"/>
  <c r="CG72" i="34" s="1"/>
  <c r="CH72" i="34" s="1"/>
  <c r="CI72" i="34" s="1"/>
  <c r="CJ72" i="34" s="1"/>
  <c r="CK72" i="34" s="1"/>
  <c r="CL72" i="34" s="1"/>
  <c r="CM72" i="34" s="1"/>
  <c r="CN72" i="34" s="1"/>
  <c r="CO72" i="34" s="1"/>
  <c r="CP72" i="34" s="1"/>
  <c r="CQ72" i="34" s="1"/>
  <c r="CR72" i="34" s="1"/>
  <c r="CS72" i="34" s="1"/>
  <c r="CT72" i="34" s="1"/>
  <c r="CU72" i="34" s="1"/>
  <c r="CV72" i="34" s="1"/>
  <c r="CW72" i="34" s="1"/>
  <c r="CX72" i="34" s="1"/>
  <c r="CY72" i="34" s="1"/>
  <c r="CZ72" i="34" s="1"/>
  <c r="DA72" i="34" s="1"/>
  <c r="DB72" i="34" s="1"/>
  <c r="DC72" i="34" s="1"/>
  <c r="DD72" i="34" s="1"/>
  <c r="DE72" i="34" s="1"/>
  <c r="DF72" i="34" s="1"/>
  <c r="DG72" i="34" s="1"/>
  <c r="DH72" i="34" s="1"/>
  <c r="DI72" i="34" s="1"/>
  <c r="DJ72" i="34" s="1"/>
  <c r="DK72" i="34" s="1"/>
  <c r="DL72" i="34" s="1"/>
  <c r="DM72" i="34" s="1"/>
  <c r="S29" i="34"/>
  <c r="T29" i="34" s="1"/>
  <c r="U29" i="34" s="1"/>
  <c r="V29" i="34" s="1"/>
  <c r="W29" i="34" s="1"/>
  <c r="X29" i="34" s="1"/>
  <c r="Y29" i="34" s="1"/>
  <c r="Z29" i="34" s="1"/>
  <c r="AA29" i="34" s="1"/>
  <c r="AB29" i="34" s="1"/>
  <c r="AC29" i="34" s="1"/>
  <c r="AD29" i="34" s="1"/>
  <c r="AE29" i="34" s="1"/>
  <c r="AF29" i="34" s="1"/>
  <c r="AG29" i="34" s="1"/>
  <c r="AH29" i="34" s="1"/>
  <c r="AI29" i="34" s="1"/>
  <c r="AJ29" i="34" s="1"/>
  <c r="AK29" i="34" s="1"/>
  <c r="AL29" i="34" s="1"/>
  <c r="AM29" i="34" s="1"/>
  <c r="AN29" i="34" s="1"/>
  <c r="AO29" i="34" s="1"/>
  <c r="AP29" i="34" s="1"/>
  <c r="AQ29" i="34" s="1"/>
  <c r="AR29" i="34" s="1"/>
  <c r="AS29" i="34" s="1"/>
  <c r="AT29" i="34" s="1"/>
  <c r="AU29" i="34" s="1"/>
  <c r="AV29" i="34" s="1"/>
  <c r="AW29" i="34" s="1"/>
  <c r="AX29" i="34" s="1"/>
  <c r="AY29" i="34" s="1"/>
  <c r="AZ29" i="34" s="1"/>
  <c r="BA29" i="34" s="1"/>
  <c r="BB29" i="34" s="1"/>
  <c r="BC29" i="34" s="1"/>
  <c r="BD29" i="34" s="1"/>
  <c r="BE29" i="34" s="1"/>
  <c r="BF29" i="34" s="1"/>
  <c r="BG29" i="34" s="1"/>
  <c r="BH29" i="34" s="1"/>
  <c r="BI29" i="34" s="1"/>
  <c r="BJ29" i="34" s="1"/>
  <c r="BK29" i="34" s="1"/>
  <c r="BL29" i="34" s="1"/>
  <c r="BM29" i="34" s="1"/>
  <c r="BN29" i="34" s="1"/>
  <c r="BO29" i="34" s="1"/>
  <c r="BP29" i="34" s="1"/>
  <c r="BQ29" i="34" s="1"/>
  <c r="BR29" i="34" s="1"/>
  <c r="BS29" i="34" s="1"/>
  <c r="BT29" i="34" s="1"/>
  <c r="BU29" i="34" s="1"/>
  <c r="BV29" i="34" s="1"/>
  <c r="BW29" i="34" s="1"/>
  <c r="BX29" i="34" s="1"/>
  <c r="BY29" i="34" s="1"/>
  <c r="BZ29" i="34" s="1"/>
  <c r="CA29" i="34" s="1"/>
  <c r="CB29" i="34" s="1"/>
  <c r="CC29" i="34" s="1"/>
  <c r="CD29" i="34" s="1"/>
  <c r="CE29" i="34" s="1"/>
  <c r="CF29" i="34" s="1"/>
  <c r="CG29" i="34" s="1"/>
  <c r="CH29" i="34" s="1"/>
  <c r="CI29" i="34" s="1"/>
  <c r="CJ29" i="34" s="1"/>
  <c r="CK29" i="34" s="1"/>
  <c r="CL29" i="34" s="1"/>
  <c r="CM29" i="34" s="1"/>
  <c r="CN29" i="34" s="1"/>
  <c r="CO29" i="34" s="1"/>
  <c r="CP29" i="34" s="1"/>
  <c r="CQ29" i="34" s="1"/>
  <c r="CR29" i="34" s="1"/>
  <c r="CS29" i="34" s="1"/>
  <c r="CT29" i="34" s="1"/>
  <c r="CU29" i="34" s="1"/>
  <c r="CV29" i="34" s="1"/>
  <c r="CW29" i="34" s="1"/>
  <c r="CX29" i="34" s="1"/>
  <c r="CY29" i="34" s="1"/>
  <c r="CZ29" i="34" s="1"/>
  <c r="DA29" i="34" s="1"/>
  <c r="DB29" i="34" s="1"/>
  <c r="DC29" i="34" s="1"/>
  <c r="DD29" i="34" s="1"/>
  <c r="DE29" i="34" s="1"/>
  <c r="DF29" i="34" s="1"/>
  <c r="DG29" i="34" s="1"/>
  <c r="DH29" i="34" s="1"/>
  <c r="DI29" i="34" s="1"/>
  <c r="DJ29" i="34" s="1"/>
  <c r="DK29" i="34" s="1"/>
  <c r="DL29" i="34" s="1"/>
  <c r="DM29" i="34" s="1"/>
  <c r="S27" i="34"/>
  <c r="T27" i="34" s="1"/>
  <c r="U27" i="34" s="1"/>
  <c r="V27" i="34" s="1"/>
  <c r="W27" i="34" s="1"/>
  <c r="X27" i="34" s="1"/>
  <c r="Y27" i="34" s="1"/>
  <c r="Z27" i="34" s="1"/>
  <c r="AA27" i="34" s="1"/>
  <c r="AB27" i="34" s="1"/>
  <c r="AC27" i="34" s="1"/>
  <c r="AD27" i="34" s="1"/>
  <c r="AE27" i="34" s="1"/>
  <c r="AF27" i="34" s="1"/>
  <c r="AG27" i="34" s="1"/>
  <c r="AH27" i="34" s="1"/>
  <c r="AI27" i="34" s="1"/>
  <c r="AJ27" i="34" s="1"/>
  <c r="AK27" i="34" s="1"/>
  <c r="AL27" i="34" s="1"/>
  <c r="AM27" i="34" s="1"/>
  <c r="AN27" i="34" s="1"/>
  <c r="AO27" i="34" s="1"/>
  <c r="AP27" i="34" s="1"/>
  <c r="AQ27" i="34" s="1"/>
  <c r="AR27" i="34" s="1"/>
  <c r="AS27" i="34" s="1"/>
  <c r="AT27" i="34" s="1"/>
  <c r="AU27" i="34" s="1"/>
  <c r="AV27" i="34" s="1"/>
  <c r="AW27" i="34" s="1"/>
  <c r="AX27" i="34" s="1"/>
  <c r="AY27" i="34" s="1"/>
  <c r="AZ27" i="34" s="1"/>
  <c r="BA27" i="34" s="1"/>
  <c r="BB27" i="34" s="1"/>
  <c r="BC27" i="34" s="1"/>
  <c r="BD27" i="34" s="1"/>
  <c r="BE27" i="34" s="1"/>
  <c r="BF27" i="34" s="1"/>
  <c r="BG27" i="34" s="1"/>
  <c r="BH27" i="34" s="1"/>
  <c r="BI27" i="34" s="1"/>
  <c r="BJ27" i="34" s="1"/>
  <c r="BK27" i="34" s="1"/>
  <c r="BL27" i="34" s="1"/>
  <c r="BM27" i="34" s="1"/>
  <c r="BN27" i="34" s="1"/>
  <c r="BO27" i="34" s="1"/>
  <c r="BP27" i="34" s="1"/>
  <c r="BQ27" i="34" s="1"/>
  <c r="BR27" i="34" s="1"/>
  <c r="BS27" i="34" s="1"/>
  <c r="BT27" i="34" s="1"/>
  <c r="BU27" i="34" s="1"/>
  <c r="BV27" i="34" s="1"/>
  <c r="BW27" i="34" s="1"/>
  <c r="BX27" i="34" s="1"/>
  <c r="BY27" i="34" s="1"/>
  <c r="BZ27" i="34" s="1"/>
  <c r="CA27" i="34" s="1"/>
  <c r="CB27" i="34" s="1"/>
  <c r="CC27" i="34" s="1"/>
  <c r="CD27" i="34" s="1"/>
  <c r="CE27" i="34" s="1"/>
  <c r="CF27" i="34" s="1"/>
  <c r="CG27" i="34" s="1"/>
  <c r="CH27" i="34" s="1"/>
  <c r="CI27" i="34" s="1"/>
  <c r="CJ27" i="34" s="1"/>
  <c r="CK27" i="34" s="1"/>
  <c r="CL27" i="34" s="1"/>
  <c r="CM27" i="34" s="1"/>
  <c r="CN27" i="34" s="1"/>
  <c r="CO27" i="34" s="1"/>
  <c r="CP27" i="34" s="1"/>
  <c r="CQ27" i="34" s="1"/>
  <c r="CR27" i="34" s="1"/>
  <c r="CS27" i="34" s="1"/>
  <c r="CT27" i="34" s="1"/>
  <c r="CU27" i="34" s="1"/>
  <c r="CV27" i="34" s="1"/>
  <c r="CW27" i="34" s="1"/>
  <c r="CX27" i="34" s="1"/>
  <c r="CY27" i="34" s="1"/>
  <c r="CZ27" i="34" s="1"/>
  <c r="DA27" i="34" s="1"/>
  <c r="DB27" i="34" s="1"/>
  <c r="DC27" i="34" s="1"/>
  <c r="DD27" i="34" s="1"/>
  <c r="DE27" i="34" s="1"/>
  <c r="DF27" i="34" s="1"/>
  <c r="DG27" i="34" s="1"/>
  <c r="DH27" i="34" s="1"/>
  <c r="DI27" i="34" s="1"/>
  <c r="DJ27" i="34" s="1"/>
  <c r="DK27" i="34" s="1"/>
  <c r="DL27" i="34" s="1"/>
  <c r="DM27" i="34" s="1"/>
  <c r="S58" i="34"/>
  <c r="T58" i="34" s="1"/>
  <c r="U58" i="34" s="1"/>
  <c r="V58" i="34" s="1"/>
  <c r="W58" i="34" s="1"/>
  <c r="X58" i="34" s="1"/>
  <c r="Y58" i="34" s="1"/>
  <c r="Z58" i="34" s="1"/>
  <c r="AA58" i="34" s="1"/>
  <c r="AB58" i="34" s="1"/>
  <c r="AC58" i="34" s="1"/>
  <c r="AD58" i="34" s="1"/>
  <c r="AE58" i="34" s="1"/>
  <c r="AF58" i="34" s="1"/>
  <c r="AG58" i="34" s="1"/>
  <c r="AH58" i="34" s="1"/>
  <c r="AI58" i="34" s="1"/>
  <c r="AJ58" i="34" s="1"/>
  <c r="AK58" i="34" s="1"/>
  <c r="AL58" i="34" s="1"/>
  <c r="AM58" i="34" s="1"/>
  <c r="AN58" i="34" s="1"/>
  <c r="AO58" i="34" s="1"/>
  <c r="AP58" i="34" s="1"/>
  <c r="AQ58" i="34" s="1"/>
  <c r="AR58" i="34" s="1"/>
  <c r="AS58" i="34" s="1"/>
  <c r="AT58" i="34" s="1"/>
  <c r="AU58" i="34" s="1"/>
  <c r="AV58" i="34" s="1"/>
  <c r="AW58" i="34" s="1"/>
  <c r="AX58" i="34" s="1"/>
  <c r="AY58" i="34" s="1"/>
  <c r="AZ58" i="34" s="1"/>
  <c r="BA58" i="34" s="1"/>
  <c r="BB58" i="34" s="1"/>
  <c r="BC58" i="34" s="1"/>
  <c r="BD58" i="34" s="1"/>
  <c r="BE58" i="34" s="1"/>
  <c r="BF58" i="34" s="1"/>
  <c r="BG58" i="34" s="1"/>
  <c r="BH58" i="34" s="1"/>
  <c r="BI58" i="34" s="1"/>
  <c r="BJ58" i="34" s="1"/>
  <c r="BK58" i="34" s="1"/>
  <c r="BL58" i="34" s="1"/>
  <c r="BM58" i="34" s="1"/>
  <c r="BN58" i="34" s="1"/>
  <c r="BO58" i="34" s="1"/>
  <c r="BP58" i="34" s="1"/>
  <c r="BQ58" i="34" s="1"/>
  <c r="BR58" i="34" s="1"/>
  <c r="BS58" i="34" s="1"/>
  <c r="BT58" i="34" s="1"/>
  <c r="BU58" i="34" s="1"/>
  <c r="BV58" i="34" s="1"/>
  <c r="BW58" i="34" s="1"/>
  <c r="BX58" i="34" s="1"/>
  <c r="BY58" i="34" s="1"/>
  <c r="BZ58" i="34" s="1"/>
  <c r="CA58" i="34" s="1"/>
  <c r="CB58" i="34" s="1"/>
  <c r="CC58" i="34" s="1"/>
  <c r="CD58" i="34" s="1"/>
  <c r="CE58" i="34" s="1"/>
  <c r="CF58" i="34" s="1"/>
  <c r="CG58" i="34" s="1"/>
  <c r="CH58" i="34" s="1"/>
  <c r="CI58" i="34" s="1"/>
  <c r="CJ58" i="34" s="1"/>
  <c r="CK58" i="34" s="1"/>
  <c r="CL58" i="34" s="1"/>
  <c r="CM58" i="34" s="1"/>
  <c r="CN58" i="34" s="1"/>
  <c r="CO58" i="34" s="1"/>
  <c r="CP58" i="34" s="1"/>
  <c r="CQ58" i="34" s="1"/>
  <c r="CR58" i="34" s="1"/>
  <c r="CS58" i="34" s="1"/>
  <c r="CT58" i="34" s="1"/>
  <c r="CU58" i="34" s="1"/>
  <c r="CV58" i="34" s="1"/>
  <c r="CW58" i="34" s="1"/>
  <c r="CX58" i="34" s="1"/>
  <c r="CY58" i="34" s="1"/>
  <c r="CZ58" i="34" s="1"/>
  <c r="DA58" i="34" s="1"/>
  <c r="DB58" i="34" s="1"/>
  <c r="DC58" i="34" s="1"/>
  <c r="DD58" i="34" s="1"/>
  <c r="DE58" i="34" s="1"/>
  <c r="DF58" i="34" s="1"/>
  <c r="DG58" i="34" s="1"/>
  <c r="DH58" i="34" s="1"/>
  <c r="DI58" i="34" s="1"/>
  <c r="DJ58" i="34" s="1"/>
  <c r="DK58" i="34" s="1"/>
  <c r="DL58" i="34" s="1"/>
  <c r="DM58" i="34" s="1"/>
  <c r="S75" i="34"/>
  <c r="T75" i="34" s="1"/>
  <c r="U75" i="34" s="1"/>
  <c r="V75" i="34" s="1"/>
  <c r="W75" i="34" s="1"/>
  <c r="X75" i="34" s="1"/>
  <c r="Y75" i="34" s="1"/>
  <c r="Z75" i="34" s="1"/>
  <c r="AA75" i="34" s="1"/>
  <c r="AB75" i="34" s="1"/>
  <c r="AC75" i="34" s="1"/>
  <c r="AD75" i="34" s="1"/>
  <c r="AE75" i="34" s="1"/>
  <c r="AF75" i="34" s="1"/>
  <c r="AG75" i="34" s="1"/>
  <c r="AH75" i="34" s="1"/>
  <c r="AI75" i="34" s="1"/>
  <c r="AJ75" i="34" s="1"/>
  <c r="AK75" i="34" s="1"/>
  <c r="AL75" i="34" s="1"/>
  <c r="AM75" i="34" s="1"/>
  <c r="AN75" i="34" s="1"/>
  <c r="AO75" i="34" s="1"/>
  <c r="AP75" i="34" s="1"/>
  <c r="AQ75" i="34" s="1"/>
  <c r="AR75" i="34" s="1"/>
  <c r="AS75" i="34" s="1"/>
  <c r="AT75" i="34" s="1"/>
  <c r="AU75" i="34" s="1"/>
  <c r="AV75" i="34" s="1"/>
  <c r="AW75" i="34" s="1"/>
  <c r="AX75" i="34" s="1"/>
  <c r="AY75" i="34" s="1"/>
  <c r="AZ75" i="34" s="1"/>
  <c r="BA75" i="34" s="1"/>
  <c r="BB75" i="34" s="1"/>
  <c r="BC75" i="34" s="1"/>
  <c r="BD75" i="34" s="1"/>
  <c r="BE75" i="34" s="1"/>
  <c r="BF75" i="34" s="1"/>
  <c r="BG75" i="34" s="1"/>
  <c r="BH75" i="34" s="1"/>
  <c r="BI75" i="34" s="1"/>
  <c r="BJ75" i="34" s="1"/>
  <c r="BK75" i="34" s="1"/>
  <c r="BL75" i="34" s="1"/>
  <c r="BM75" i="34" s="1"/>
  <c r="BN75" i="34" s="1"/>
  <c r="BO75" i="34" s="1"/>
  <c r="BP75" i="34" s="1"/>
  <c r="BQ75" i="34" s="1"/>
  <c r="BR75" i="34" s="1"/>
  <c r="BS75" i="34" s="1"/>
  <c r="BT75" i="34" s="1"/>
  <c r="BU75" i="34" s="1"/>
  <c r="BV75" i="34" s="1"/>
  <c r="BW75" i="34" s="1"/>
  <c r="BX75" i="34" s="1"/>
  <c r="BY75" i="34" s="1"/>
  <c r="BZ75" i="34" s="1"/>
  <c r="CA75" i="34" s="1"/>
  <c r="CB75" i="34" s="1"/>
  <c r="CC75" i="34" s="1"/>
  <c r="CD75" i="34" s="1"/>
  <c r="CE75" i="34" s="1"/>
  <c r="CF75" i="34" s="1"/>
  <c r="CG75" i="34" s="1"/>
  <c r="CH75" i="34" s="1"/>
  <c r="CI75" i="34" s="1"/>
  <c r="CJ75" i="34" s="1"/>
  <c r="CK75" i="34" s="1"/>
  <c r="CL75" i="34" s="1"/>
  <c r="CM75" i="34" s="1"/>
  <c r="CN75" i="34" s="1"/>
  <c r="CO75" i="34" s="1"/>
  <c r="CP75" i="34" s="1"/>
  <c r="CQ75" i="34" s="1"/>
  <c r="CR75" i="34" s="1"/>
  <c r="CS75" i="34" s="1"/>
  <c r="CT75" i="34" s="1"/>
  <c r="CU75" i="34" s="1"/>
  <c r="CV75" i="34" s="1"/>
  <c r="CW75" i="34" s="1"/>
  <c r="CX75" i="34" s="1"/>
  <c r="CY75" i="34" s="1"/>
  <c r="CZ75" i="34" s="1"/>
  <c r="DA75" i="34" s="1"/>
  <c r="DB75" i="34" s="1"/>
  <c r="DC75" i="34" s="1"/>
  <c r="DD75" i="34" s="1"/>
  <c r="DE75" i="34" s="1"/>
  <c r="DF75" i="34" s="1"/>
  <c r="DG75" i="34" s="1"/>
  <c r="DH75" i="34" s="1"/>
  <c r="DI75" i="34" s="1"/>
  <c r="DJ75" i="34" s="1"/>
  <c r="DK75" i="34" s="1"/>
  <c r="DL75" i="34" s="1"/>
  <c r="DM75" i="34" s="1"/>
  <c r="AP43" i="59"/>
  <c r="S74" i="34"/>
  <c r="T74" i="34" s="1"/>
  <c r="U74" i="34" s="1"/>
  <c r="V74" i="34" s="1"/>
  <c r="W74" i="34" s="1"/>
  <c r="X74" i="34" s="1"/>
  <c r="Y74" i="34" s="1"/>
  <c r="Z74" i="34" s="1"/>
  <c r="AA74" i="34" s="1"/>
  <c r="AB74" i="34" s="1"/>
  <c r="AC74" i="34" s="1"/>
  <c r="AD74" i="34" s="1"/>
  <c r="AE74" i="34" s="1"/>
  <c r="AF74" i="34" s="1"/>
  <c r="AG74" i="34" s="1"/>
  <c r="AH74" i="34" s="1"/>
  <c r="AI74" i="34" s="1"/>
  <c r="AJ74" i="34" s="1"/>
  <c r="AK74" i="34" s="1"/>
  <c r="AL74" i="34" s="1"/>
  <c r="AM74" i="34" s="1"/>
  <c r="AN74" i="34" s="1"/>
  <c r="AO74" i="34" s="1"/>
  <c r="AP74" i="34" s="1"/>
  <c r="AQ74" i="34" s="1"/>
  <c r="AR74" i="34" s="1"/>
  <c r="AS74" i="34" s="1"/>
  <c r="AT74" i="34" s="1"/>
  <c r="AU74" i="34" s="1"/>
  <c r="AV74" i="34" s="1"/>
  <c r="AW74" i="34" s="1"/>
  <c r="AX74" i="34" s="1"/>
  <c r="AY74" i="34" s="1"/>
  <c r="AZ74" i="34" s="1"/>
  <c r="BA74" i="34" s="1"/>
  <c r="BB74" i="34" s="1"/>
  <c r="BC74" i="34" s="1"/>
  <c r="BD74" i="34" s="1"/>
  <c r="BE74" i="34" s="1"/>
  <c r="BF74" i="34" s="1"/>
  <c r="BG74" i="34" s="1"/>
  <c r="BH74" i="34" s="1"/>
  <c r="BI74" i="34" s="1"/>
  <c r="BJ74" i="34" s="1"/>
  <c r="BK74" i="34" s="1"/>
  <c r="BL74" i="34" s="1"/>
  <c r="BM74" i="34" s="1"/>
  <c r="BN74" i="34" s="1"/>
  <c r="BO74" i="34" s="1"/>
  <c r="BP74" i="34" s="1"/>
  <c r="BQ74" i="34" s="1"/>
  <c r="BR74" i="34" s="1"/>
  <c r="BS74" i="34" s="1"/>
  <c r="BT74" i="34" s="1"/>
  <c r="BU74" i="34" s="1"/>
  <c r="BV74" i="34" s="1"/>
  <c r="BW74" i="34" s="1"/>
  <c r="BX74" i="34" s="1"/>
  <c r="BY74" i="34" s="1"/>
  <c r="BZ74" i="34" s="1"/>
  <c r="CA74" i="34" s="1"/>
  <c r="CB74" i="34" s="1"/>
  <c r="CC74" i="34" s="1"/>
  <c r="CD74" i="34" s="1"/>
  <c r="CE74" i="34" s="1"/>
  <c r="CF74" i="34" s="1"/>
  <c r="CG74" i="34" s="1"/>
  <c r="CH74" i="34" s="1"/>
  <c r="CI74" i="34" s="1"/>
  <c r="CJ74" i="34" s="1"/>
  <c r="CK74" i="34" s="1"/>
  <c r="CL74" i="34" s="1"/>
  <c r="CM74" i="34" s="1"/>
  <c r="CN74" i="34" s="1"/>
  <c r="CO74" i="34" s="1"/>
  <c r="CP74" i="34" s="1"/>
  <c r="CQ74" i="34" s="1"/>
  <c r="CR74" i="34" s="1"/>
  <c r="CS74" i="34" s="1"/>
  <c r="CT74" i="34" s="1"/>
  <c r="CU74" i="34" s="1"/>
  <c r="CV74" i="34" s="1"/>
  <c r="CW74" i="34" s="1"/>
  <c r="CX74" i="34" s="1"/>
  <c r="CY74" i="34" s="1"/>
  <c r="CZ74" i="34" s="1"/>
  <c r="DA74" i="34" s="1"/>
  <c r="DB74" i="34" s="1"/>
  <c r="DC74" i="34" s="1"/>
  <c r="DD74" i="34" s="1"/>
  <c r="DE74" i="34" s="1"/>
  <c r="DF74" i="34" s="1"/>
  <c r="DG74" i="34" s="1"/>
  <c r="DH74" i="34" s="1"/>
  <c r="DI74" i="34" s="1"/>
  <c r="DJ74" i="34" s="1"/>
  <c r="DK74" i="34" s="1"/>
  <c r="DL74" i="34" s="1"/>
  <c r="DM74" i="34" s="1"/>
  <c r="X8" i="59"/>
  <c r="E4" i="60"/>
  <c r="E17" i="60" s="1"/>
  <c r="I53" i="52"/>
  <c r="U53" i="52" s="1"/>
  <c r="I68" i="34"/>
  <c r="E71" i="43" s="1"/>
  <c r="AC8" i="59"/>
  <c r="F4" i="60"/>
  <c r="F17" i="60" s="1"/>
  <c r="AC10" i="59"/>
  <c r="F6" i="60"/>
  <c r="F19" i="60" s="1"/>
  <c r="Y11" i="59"/>
  <c r="Z11" i="59"/>
  <c r="AA11" i="59"/>
  <c r="AB11" i="59"/>
  <c r="I33" i="34"/>
  <c r="V34" i="33" s="1"/>
  <c r="N21" i="59"/>
  <c r="AC21" i="59" s="1"/>
  <c r="H42" i="52"/>
  <c r="AP42" i="59"/>
  <c r="Y10" i="59"/>
  <c r="AA10" i="59"/>
  <c r="AB10" i="59"/>
  <c r="Z10" i="59"/>
  <c r="AA37" i="59"/>
  <c r="Z37" i="59"/>
  <c r="Y37" i="59"/>
  <c r="AB37" i="59"/>
  <c r="H51" i="52"/>
  <c r="AP51" i="59"/>
  <c r="I35" i="34"/>
  <c r="V35" i="43" s="1"/>
  <c r="N23" i="59"/>
  <c r="AC23" i="59" s="1"/>
  <c r="I11" i="34"/>
  <c r="V10" i="33" s="1"/>
  <c r="N9" i="59"/>
  <c r="AB21" i="59"/>
  <c r="AA21" i="59"/>
  <c r="Y21" i="59"/>
  <c r="Z21" i="59"/>
  <c r="AB22" i="59"/>
  <c r="AA22" i="59"/>
  <c r="Z22" i="59"/>
  <c r="Y22" i="59"/>
  <c r="AA6" i="59"/>
  <c r="Z6" i="59"/>
  <c r="AB6" i="59"/>
  <c r="H27" i="52"/>
  <c r="AP27" i="59"/>
  <c r="Z25" i="59"/>
  <c r="Y25" i="59"/>
  <c r="AB25" i="59"/>
  <c r="AA25" i="59"/>
  <c r="AA36" i="59"/>
  <c r="Z36" i="59"/>
  <c r="Y36" i="59"/>
  <c r="AB36" i="59"/>
  <c r="I37" i="34"/>
  <c r="V37" i="49" s="1"/>
  <c r="N25" i="59"/>
  <c r="AC25" i="59" s="1"/>
  <c r="H57" i="52"/>
  <c r="AP57" i="59"/>
  <c r="H58" i="52"/>
  <c r="AP58" i="59"/>
  <c r="H38" i="52"/>
  <c r="AP38" i="59"/>
  <c r="H40" i="52"/>
  <c r="AP40" i="59"/>
  <c r="I67" i="34"/>
  <c r="K70" i="43" s="1"/>
  <c r="N52" i="59"/>
  <c r="AC52" i="59" s="1"/>
  <c r="Y9" i="59"/>
  <c r="Z9" i="59"/>
  <c r="AA9" i="59"/>
  <c r="AB9" i="59"/>
  <c r="Y8" i="59"/>
  <c r="Z8" i="59"/>
  <c r="AB8" i="59"/>
  <c r="AA8" i="59"/>
  <c r="H60" i="52"/>
  <c r="AP60" i="59"/>
  <c r="H45" i="52"/>
  <c r="AP45" i="59"/>
  <c r="H59" i="52"/>
  <c r="AP59" i="59"/>
  <c r="Z14" i="59"/>
  <c r="AA14" i="59"/>
  <c r="AB14" i="59"/>
  <c r="Y14" i="59"/>
  <c r="I57" i="52"/>
  <c r="U57" i="52" s="1"/>
  <c r="N57" i="59"/>
  <c r="AC57" i="59" s="1"/>
  <c r="AA15" i="59"/>
  <c r="AB15" i="59"/>
  <c r="Y15" i="59"/>
  <c r="Z15" i="59"/>
  <c r="H53" i="52"/>
  <c r="AP53" i="59"/>
  <c r="Y7" i="59"/>
  <c r="AB7" i="59"/>
  <c r="Z7" i="59"/>
  <c r="AA7" i="59"/>
  <c r="H52" i="52"/>
  <c r="AP52" i="59"/>
  <c r="H28" i="52"/>
  <c r="AP28" i="59"/>
  <c r="Y12" i="59"/>
  <c r="AA12" i="59"/>
  <c r="AB12" i="59"/>
  <c r="Z12" i="59"/>
  <c r="H44" i="52"/>
  <c r="AP44" i="59"/>
  <c r="H56" i="52"/>
  <c r="AP56" i="59"/>
  <c r="I6" i="52"/>
  <c r="U6" i="52" s="1"/>
  <c r="N6" i="59"/>
  <c r="I30" i="52"/>
  <c r="U30" i="52" s="1"/>
  <c r="N30" i="59"/>
  <c r="AC30" i="59" s="1"/>
  <c r="Z24" i="59"/>
  <c r="Y24" i="59"/>
  <c r="AB24" i="59"/>
  <c r="AA24" i="59"/>
  <c r="F8" i="43"/>
  <c r="G8" i="43" s="1"/>
  <c r="H54" i="52"/>
  <c r="AP54" i="59"/>
  <c r="Z23" i="59"/>
  <c r="AB23" i="59"/>
  <c r="AA23" i="59"/>
  <c r="Y23" i="59"/>
  <c r="H29" i="52"/>
  <c r="AP29" i="59"/>
  <c r="I74" i="34"/>
  <c r="K77" i="43" s="1"/>
  <c r="N59" i="59"/>
  <c r="AC59" i="59" s="1"/>
  <c r="Y41" i="59"/>
  <c r="AB41" i="59"/>
  <c r="AA41" i="59"/>
  <c r="Z41" i="59"/>
  <c r="H26" i="52"/>
  <c r="AP26" i="59"/>
  <c r="H30" i="52"/>
  <c r="AP30" i="59"/>
  <c r="H55" i="52"/>
  <c r="AP55" i="59"/>
  <c r="K53" i="52"/>
  <c r="W53" i="52" s="1"/>
  <c r="P53" i="59"/>
  <c r="AE53" i="59" s="1"/>
  <c r="AB43" i="59"/>
  <c r="AA43" i="59"/>
  <c r="Z43" i="59"/>
  <c r="Y43" i="59"/>
  <c r="AA13" i="59"/>
  <c r="AB13" i="59"/>
  <c r="Y13" i="59"/>
  <c r="Z13" i="59"/>
  <c r="S66" i="34"/>
  <c r="T66" i="34" s="1"/>
  <c r="U66" i="34" s="1"/>
  <c r="V66" i="34" s="1"/>
  <c r="W66" i="34" s="1"/>
  <c r="X66" i="34" s="1"/>
  <c r="Y66" i="34" s="1"/>
  <c r="Z66" i="34" s="1"/>
  <c r="AA66" i="34" s="1"/>
  <c r="AB66" i="34" s="1"/>
  <c r="AC66" i="34" s="1"/>
  <c r="AD66" i="34" s="1"/>
  <c r="AE66" i="34" s="1"/>
  <c r="AF66" i="34" s="1"/>
  <c r="AG66" i="34" s="1"/>
  <c r="AH66" i="34" s="1"/>
  <c r="AI66" i="34" s="1"/>
  <c r="AJ66" i="34" s="1"/>
  <c r="AK66" i="34" s="1"/>
  <c r="AL66" i="34" s="1"/>
  <c r="AM66" i="34" s="1"/>
  <c r="AN66" i="34" s="1"/>
  <c r="AO66" i="34" s="1"/>
  <c r="AP66" i="34" s="1"/>
  <c r="AQ66" i="34" s="1"/>
  <c r="AR66" i="34" s="1"/>
  <c r="AS66" i="34" s="1"/>
  <c r="AT66" i="34" s="1"/>
  <c r="AU66" i="34" s="1"/>
  <c r="AV66" i="34" s="1"/>
  <c r="AW66" i="34" s="1"/>
  <c r="AX66" i="34" s="1"/>
  <c r="AY66" i="34" s="1"/>
  <c r="AZ66" i="34" s="1"/>
  <c r="BA66" i="34" s="1"/>
  <c r="BB66" i="34" s="1"/>
  <c r="BC66" i="34" s="1"/>
  <c r="BD66" i="34" s="1"/>
  <c r="BE66" i="34" s="1"/>
  <c r="BF66" i="34" s="1"/>
  <c r="BG66" i="34" s="1"/>
  <c r="BH66" i="34" s="1"/>
  <c r="BI66" i="34" s="1"/>
  <c r="BJ66" i="34" s="1"/>
  <c r="BK66" i="34" s="1"/>
  <c r="BL66" i="34" s="1"/>
  <c r="BM66" i="34" s="1"/>
  <c r="BN66" i="34" s="1"/>
  <c r="BO66" i="34" s="1"/>
  <c r="BP66" i="34" s="1"/>
  <c r="BQ66" i="34" s="1"/>
  <c r="BR66" i="34" s="1"/>
  <c r="BS66" i="34" s="1"/>
  <c r="BT66" i="34" s="1"/>
  <c r="BU66" i="34" s="1"/>
  <c r="BV66" i="34" s="1"/>
  <c r="BW66" i="34" s="1"/>
  <c r="BX66" i="34" s="1"/>
  <c r="BY66" i="34" s="1"/>
  <c r="BZ66" i="34" s="1"/>
  <c r="CA66" i="34" s="1"/>
  <c r="CB66" i="34" s="1"/>
  <c r="CC66" i="34" s="1"/>
  <c r="CD66" i="34" s="1"/>
  <c r="CE66" i="34" s="1"/>
  <c r="CF66" i="34" s="1"/>
  <c r="CG66" i="34" s="1"/>
  <c r="CH66" i="34" s="1"/>
  <c r="CI66" i="34" s="1"/>
  <c r="CJ66" i="34" s="1"/>
  <c r="CK66" i="34" s="1"/>
  <c r="CL66" i="34" s="1"/>
  <c r="CM66" i="34" s="1"/>
  <c r="CN66" i="34" s="1"/>
  <c r="CO66" i="34" s="1"/>
  <c r="CP66" i="34" s="1"/>
  <c r="CQ66" i="34" s="1"/>
  <c r="CR66" i="34" s="1"/>
  <c r="CS66" i="34" s="1"/>
  <c r="CT66" i="34" s="1"/>
  <c r="CU66" i="34" s="1"/>
  <c r="CV66" i="34" s="1"/>
  <c r="CW66" i="34" s="1"/>
  <c r="CX66" i="34" s="1"/>
  <c r="CY66" i="34" s="1"/>
  <c r="CZ66" i="34" s="1"/>
  <c r="DA66" i="34" s="1"/>
  <c r="DB66" i="34" s="1"/>
  <c r="DC66" i="34" s="1"/>
  <c r="DD66" i="34" s="1"/>
  <c r="DE66" i="34" s="1"/>
  <c r="DF66" i="34" s="1"/>
  <c r="DG66" i="34" s="1"/>
  <c r="DH66" i="34" s="1"/>
  <c r="DI66" i="34" s="1"/>
  <c r="DJ66" i="34" s="1"/>
  <c r="DK66" i="34" s="1"/>
  <c r="DL66" i="34" s="1"/>
  <c r="DM66" i="34" s="1"/>
  <c r="S49" i="34"/>
  <c r="T49" i="34" s="1"/>
  <c r="U49" i="34" s="1"/>
  <c r="V49" i="34" s="1"/>
  <c r="W49" i="34" s="1"/>
  <c r="X49" i="34" s="1"/>
  <c r="Y49" i="34" s="1"/>
  <c r="Z49" i="34" s="1"/>
  <c r="AA49" i="34" s="1"/>
  <c r="AB49" i="34" s="1"/>
  <c r="AC49" i="34" s="1"/>
  <c r="AD49" i="34" s="1"/>
  <c r="AE49" i="34" s="1"/>
  <c r="AF49" i="34" s="1"/>
  <c r="AG49" i="34" s="1"/>
  <c r="AH49" i="34" s="1"/>
  <c r="AI49" i="34" s="1"/>
  <c r="AJ49" i="34" s="1"/>
  <c r="AK49" i="34" s="1"/>
  <c r="AL49" i="34" s="1"/>
  <c r="AM49" i="34" s="1"/>
  <c r="AN49" i="34" s="1"/>
  <c r="AO49" i="34" s="1"/>
  <c r="AP49" i="34" s="1"/>
  <c r="AQ49" i="34" s="1"/>
  <c r="AR49" i="34" s="1"/>
  <c r="AS49" i="34" s="1"/>
  <c r="AT49" i="34" s="1"/>
  <c r="AU49" i="34" s="1"/>
  <c r="AV49" i="34" s="1"/>
  <c r="AW49" i="34" s="1"/>
  <c r="AX49" i="34" s="1"/>
  <c r="AY49" i="34" s="1"/>
  <c r="AZ49" i="34" s="1"/>
  <c r="BA49" i="34" s="1"/>
  <c r="BB49" i="34" s="1"/>
  <c r="BC49" i="34" s="1"/>
  <c r="BD49" i="34" s="1"/>
  <c r="BE49" i="34" s="1"/>
  <c r="BF49" i="34" s="1"/>
  <c r="BG49" i="34" s="1"/>
  <c r="BH49" i="34" s="1"/>
  <c r="BI49" i="34" s="1"/>
  <c r="BJ49" i="34" s="1"/>
  <c r="BK49" i="34" s="1"/>
  <c r="BL49" i="34" s="1"/>
  <c r="BM49" i="34" s="1"/>
  <c r="BN49" i="34" s="1"/>
  <c r="BO49" i="34" s="1"/>
  <c r="BP49" i="34" s="1"/>
  <c r="BQ49" i="34" s="1"/>
  <c r="BR49" i="34" s="1"/>
  <c r="BS49" i="34" s="1"/>
  <c r="BT49" i="34" s="1"/>
  <c r="BU49" i="34" s="1"/>
  <c r="BV49" i="34" s="1"/>
  <c r="BW49" i="34" s="1"/>
  <c r="BX49" i="34" s="1"/>
  <c r="BY49" i="34" s="1"/>
  <c r="BZ49" i="34" s="1"/>
  <c r="CA49" i="34" s="1"/>
  <c r="CB49" i="34" s="1"/>
  <c r="CC49" i="34" s="1"/>
  <c r="CD49" i="34" s="1"/>
  <c r="CE49" i="34" s="1"/>
  <c r="CF49" i="34" s="1"/>
  <c r="CG49" i="34" s="1"/>
  <c r="CH49" i="34" s="1"/>
  <c r="CI49" i="34" s="1"/>
  <c r="CJ49" i="34" s="1"/>
  <c r="CK49" i="34" s="1"/>
  <c r="CL49" i="34" s="1"/>
  <c r="CM49" i="34" s="1"/>
  <c r="CN49" i="34" s="1"/>
  <c r="CO49" i="34" s="1"/>
  <c r="CP49" i="34" s="1"/>
  <c r="CQ49" i="34" s="1"/>
  <c r="CR49" i="34" s="1"/>
  <c r="CS49" i="34" s="1"/>
  <c r="CT49" i="34" s="1"/>
  <c r="CU49" i="34" s="1"/>
  <c r="CV49" i="34" s="1"/>
  <c r="CW49" i="34" s="1"/>
  <c r="CX49" i="34" s="1"/>
  <c r="CY49" i="34" s="1"/>
  <c r="CZ49" i="34" s="1"/>
  <c r="DA49" i="34" s="1"/>
  <c r="DB49" i="34" s="1"/>
  <c r="DC49" i="34" s="1"/>
  <c r="DD49" i="34" s="1"/>
  <c r="DE49" i="34" s="1"/>
  <c r="DF49" i="34" s="1"/>
  <c r="DG49" i="34" s="1"/>
  <c r="DH49" i="34" s="1"/>
  <c r="DI49" i="34" s="1"/>
  <c r="DJ49" i="34" s="1"/>
  <c r="DK49" i="34" s="1"/>
  <c r="DL49" i="34" s="1"/>
  <c r="DM49" i="34" s="1"/>
  <c r="S33" i="34"/>
  <c r="T33" i="34" s="1"/>
  <c r="U33" i="34" s="1"/>
  <c r="V33" i="34" s="1"/>
  <c r="W33" i="34" s="1"/>
  <c r="X33" i="34" s="1"/>
  <c r="Y33" i="34" s="1"/>
  <c r="Z33" i="34" s="1"/>
  <c r="AA33" i="34" s="1"/>
  <c r="AB33" i="34" s="1"/>
  <c r="AC33" i="34" s="1"/>
  <c r="AD33" i="34" s="1"/>
  <c r="AE33" i="34" s="1"/>
  <c r="AF33" i="34" s="1"/>
  <c r="AG33" i="34" s="1"/>
  <c r="AH33" i="34" s="1"/>
  <c r="AI33" i="34" s="1"/>
  <c r="AJ33" i="34" s="1"/>
  <c r="AK33" i="34" s="1"/>
  <c r="AL33" i="34" s="1"/>
  <c r="AM33" i="34" s="1"/>
  <c r="AN33" i="34" s="1"/>
  <c r="AO33" i="34" s="1"/>
  <c r="AP33" i="34" s="1"/>
  <c r="AQ33" i="34" s="1"/>
  <c r="AR33" i="34" s="1"/>
  <c r="AS33" i="34" s="1"/>
  <c r="AT33" i="34" s="1"/>
  <c r="AU33" i="34" s="1"/>
  <c r="AV33" i="34" s="1"/>
  <c r="AW33" i="34" s="1"/>
  <c r="AX33" i="34" s="1"/>
  <c r="AY33" i="34" s="1"/>
  <c r="AZ33" i="34" s="1"/>
  <c r="BA33" i="34" s="1"/>
  <c r="BB33" i="34" s="1"/>
  <c r="BC33" i="34" s="1"/>
  <c r="BD33" i="34" s="1"/>
  <c r="BE33" i="34" s="1"/>
  <c r="BF33" i="34" s="1"/>
  <c r="BG33" i="34" s="1"/>
  <c r="BH33" i="34" s="1"/>
  <c r="BI33" i="34" s="1"/>
  <c r="BJ33" i="34" s="1"/>
  <c r="BK33" i="34" s="1"/>
  <c r="BL33" i="34" s="1"/>
  <c r="BM33" i="34" s="1"/>
  <c r="BN33" i="34" s="1"/>
  <c r="BO33" i="34" s="1"/>
  <c r="BP33" i="34" s="1"/>
  <c r="BQ33" i="34" s="1"/>
  <c r="BR33" i="34" s="1"/>
  <c r="BS33" i="34" s="1"/>
  <c r="BT33" i="34" s="1"/>
  <c r="BU33" i="34" s="1"/>
  <c r="BV33" i="34" s="1"/>
  <c r="BW33" i="34" s="1"/>
  <c r="BX33" i="34" s="1"/>
  <c r="BY33" i="34" s="1"/>
  <c r="BZ33" i="34" s="1"/>
  <c r="CA33" i="34" s="1"/>
  <c r="CB33" i="34" s="1"/>
  <c r="CC33" i="34" s="1"/>
  <c r="CD33" i="34" s="1"/>
  <c r="CE33" i="34" s="1"/>
  <c r="CF33" i="34" s="1"/>
  <c r="CG33" i="34" s="1"/>
  <c r="CH33" i="34" s="1"/>
  <c r="CI33" i="34" s="1"/>
  <c r="CJ33" i="34" s="1"/>
  <c r="CK33" i="34" s="1"/>
  <c r="CL33" i="34" s="1"/>
  <c r="CM33" i="34" s="1"/>
  <c r="CN33" i="34" s="1"/>
  <c r="CO33" i="34" s="1"/>
  <c r="CP33" i="34" s="1"/>
  <c r="CQ33" i="34" s="1"/>
  <c r="CR33" i="34" s="1"/>
  <c r="CS33" i="34" s="1"/>
  <c r="CT33" i="34" s="1"/>
  <c r="CU33" i="34" s="1"/>
  <c r="CV33" i="34" s="1"/>
  <c r="CW33" i="34" s="1"/>
  <c r="CX33" i="34" s="1"/>
  <c r="CY33" i="34" s="1"/>
  <c r="CZ33" i="34" s="1"/>
  <c r="DA33" i="34" s="1"/>
  <c r="DB33" i="34" s="1"/>
  <c r="DC33" i="34" s="1"/>
  <c r="DD33" i="34" s="1"/>
  <c r="DE33" i="34" s="1"/>
  <c r="DF33" i="34" s="1"/>
  <c r="DG33" i="34" s="1"/>
  <c r="DH33" i="34" s="1"/>
  <c r="DI33" i="34" s="1"/>
  <c r="DJ33" i="34" s="1"/>
  <c r="DK33" i="34" s="1"/>
  <c r="DL33" i="34" s="1"/>
  <c r="DM33" i="34" s="1"/>
  <c r="S34" i="34"/>
  <c r="T34" i="34" s="1"/>
  <c r="U34" i="34" s="1"/>
  <c r="V34" i="34" s="1"/>
  <c r="W34" i="34" s="1"/>
  <c r="X34" i="34" s="1"/>
  <c r="Y34" i="34" s="1"/>
  <c r="Z34" i="34" s="1"/>
  <c r="AA34" i="34" s="1"/>
  <c r="AB34" i="34" s="1"/>
  <c r="AC34" i="34" s="1"/>
  <c r="AD34" i="34" s="1"/>
  <c r="AE34" i="34" s="1"/>
  <c r="AF34" i="34" s="1"/>
  <c r="T8" i="34"/>
  <c r="U8" i="34" s="1"/>
  <c r="V8" i="34" s="1"/>
  <c r="W8" i="34" s="1"/>
  <c r="X8" i="34" s="1"/>
  <c r="Y8" i="34" s="1"/>
  <c r="Z8" i="34" s="1"/>
  <c r="AA8" i="34" s="1"/>
  <c r="AB8" i="34" s="1"/>
  <c r="AC8" i="34" s="1"/>
  <c r="AD8" i="34" s="1"/>
  <c r="AE8" i="34" s="1"/>
  <c r="AF8" i="34" s="1"/>
  <c r="AG8" i="34" s="1"/>
  <c r="AH8" i="34" s="1"/>
  <c r="AI8" i="34" s="1"/>
  <c r="AJ8" i="34" s="1"/>
  <c r="AK8" i="34" s="1"/>
  <c r="AL8" i="34" s="1"/>
  <c r="AM8" i="34" s="1"/>
  <c r="AN8" i="34" s="1"/>
  <c r="AO8" i="34" s="1"/>
  <c r="AP8" i="34" s="1"/>
  <c r="AQ8" i="34" s="1"/>
  <c r="AR8" i="34" s="1"/>
  <c r="AS8" i="34" s="1"/>
  <c r="AT8" i="34" s="1"/>
  <c r="AU8" i="34" s="1"/>
  <c r="AV8" i="34" s="1"/>
  <c r="AW8" i="34" s="1"/>
  <c r="AX8" i="34" s="1"/>
  <c r="AY8" i="34" s="1"/>
  <c r="AZ8" i="34" s="1"/>
  <c r="BA8" i="34" s="1"/>
  <c r="BB8" i="34" s="1"/>
  <c r="BC8" i="34" s="1"/>
  <c r="BD8" i="34" s="1"/>
  <c r="BE8" i="34" s="1"/>
  <c r="BF8" i="34" s="1"/>
  <c r="BG8" i="34" s="1"/>
  <c r="BH8" i="34" s="1"/>
  <c r="BI8" i="34" s="1"/>
  <c r="BJ8" i="34" s="1"/>
  <c r="BK8" i="34" s="1"/>
  <c r="BL8" i="34" s="1"/>
  <c r="BM8" i="34" s="1"/>
  <c r="BN8" i="34" s="1"/>
  <c r="BO8" i="34" s="1"/>
  <c r="BP8" i="34" s="1"/>
  <c r="BQ8" i="34" s="1"/>
  <c r="BR8" i="34" s="1"/>
  <c r="BS8" i="34" s="1"/>
  <c r="BT8" i="34" s="1"/>
  <c r="BU8" i="34" s="1"/>
  <c r="BV8" i="34" s="1"/>
  <c r="BW8" i="34" s="1"/>
  <c r="BX8" i="34" s="1"/>
  <c r="BY8" i="34" s="1"/>
  <c r="BZ8" i="34" s="1"/>
  <c r="CA8" i="34" s="1"/>
  <c r="CB8" i="34" s="1"/>
  <c r="CC8" i="34" s="1"/>
  <c r="CD8" i="34" s="1"/>
  <c r="CE8" i="34" s="1"/>
  <c r="CF8" i="34" s="1"/>
  <c r="CG8" i="34" s="1"/>
  <c r="CH8" i="34" s="1"/>
  <c r="CI8" i="34" s="1"/>
  <c r="CJ8" i="34" s="1"/>
  <c r="CK8" i="34" s="1"/>
  <c r="CL8" i="34" s="1"/>
  <c r="CM8" i="34" s="1"/>
  <c r="CN8" i="34" s="1"/>
  <c r="CO8" i="34" s="1"/>
  <c r="CP8" i="34" s="1"/>
  <c r="CQ8" i="34" s="1"/>
  <c r="CR8" i="34" s="1"/>
  <c r="CS8" i="34" s="1"/>
  <c r="CT8" i="34" s="1"/>
  <c r="CU8" i="34" s="1"/>
  <c r="CV8" i="34" s="1"/>
  <c r="CW8" i="34" s="1"/>
  <c r="CX8" i="34" s="1"/>
  <c r="CY8" i="34" s="1"/>
  <c r="CZ8" i="34" s="1"/>
  <c r="DA8" i="34" s="1"/>
  <c r="DB8" i="34" s="1"/>
  <c r="DC8" i="34" s="1"/>
  <c r="DD8" i="34" s="1"/>
  <c r="DE8" i="34" s="1"/>
  <c r="DF8" i="34" s="1"/>
  <c r="DG8" i="34" s="1"/>
  <c r="DH8" i="34" s="1"/>
  <c r="DI8" i="34" s="1"/>
  <c r="DJ8" i="34" s="1"/>
  <c r="DK8" i="34" s="1"/>
  <c r="DL8" i="34" s="1"/>
  <c r="DM8" i="34" s="1"/>
  <c r="I23" i="52"/>
  <c r="U23" i="52" s="1"/>
  <c r="I59" i="52"/>
  <c r="U59" i="52" s="1"/>
  <c r="I21" i="52"/>
  <c r="U21" i="52" s="1"/>
  <c r="V45" i="49"/>
  <c r="I25" i="52"/>
  <c r="U25" i="52" s="1"/>
  <c r="I42" i="34"/>
  <c r="K43" i="33" s="1"/>
  <c r="I9" i="52"/>
  <c r="U9" i="52" s="1"/>
  <c r="V18" i="49"/>
  <c r="V19" i="33"/>
  <c r="K60" i="43"/>
  <c r="K61" i="33"/>
  <c r="E61" i="33"/>
  <c r="E60" i="43"/>
  <c r="G61" i="33"/>
  <c r="G60" i="43"/>
  <c r="V47" i="33"/>
  <c r="K47" i="33"/>
  <c r="E47" i="33"/>
  <c r="G47" i="33"/>
  <c r="E25" i="33"/>
  <c r="K25" i="33"/>
  <c r="G25" i="33"/>
  <c r="K63" i="43"/>
  <c r="K64" i="33"/>
  <c r="E64" i="33"/>
  <c r="E63" i="43"/>
  <c r="G64" i="33"/>
  <c r="G63" i="43"/>
  <c r="K30" i="33"/>
  <c r="G30" i="33"/>
  <c r="E21" i="33"/>
  <c r="K21" i="33"/>
  <c r="G21" i="33"/>
  <c r="G38" i="33"/>
  <c r="G71" i="43"/>
  <c r="E22" i="33"/>
  <c r="K22" i="33"/>
  <c r="G22" i="33"/>
  <c r="K26" i="33"/>
  <c r="E26" i="33"/>
  <c r="G26" i="33"/>
  <c r="E28" i="33"/>
  <c r="K28" i="33"/>
  <c r="G28" i="33"/>
  <c r="E19" i="33"/>
  <c r="K19" i="33"/>
  <c r="G19" i="33"/>
  <c r="G10" i="33"/>
  <c r="K65" i="33"/>
  <c r="K64" i="43"/>
  <c r="E65" i="33"/>
  <c r="E64" i="43"/>
  <c r="G65" i="33"/>
  <c r="G64" i="43"/>
  <c r="G7" i="43"/>
  <c r="G77" i="43"/>
  <c r="K63" i="33"/>
  <c r="K62" i="43"/>
  <c r="E63" i="33"/>
  <c r="E62" i="43"/>
  <c r="G63" i="33"/>
  <c r="G62" i="43"/>
  <c r="K29" i="33"/>
  <c r="E29" i="33"/>
  <c r="G29" i="33"/>
  <c r="K24" i="33"/>
  <c r="E24" i="33"/>
  <c r="G24" i="33"/>
  <c r="G36" i="33"/>
  <c r="V45" i="43"/>
  <c r="E45" i="33"/>
  <c r="K45" i="33"/>
  <c r="G45" i="33"/>
  <c r="K27" i="33"/>
  <c r="E27" i="33"/>
  <c r="G27" i="33"/>
  <c r="K46" i="33"/>
  <c r="E46" i="33"/>
  <c r="G46" i="33"/>
  <c r="T7" i="49"/>
  <c r="U7" i="49" s="1"/>
  <c r="G7" i="49"/>
  <c r="E17" i="33"/>
  <c r="K17" i="33"/>
  <c r="G17" i="33"/>
  <c r="G34" i="33"/>
  <c r="K82" i="43"/>
  <c r="K82" i="33"/>
  <c r="E82" i="43"/>
  <c r="G82" i="43"/>
  <c r="E44" i="33"/>
  <c r="K44" i="33"/>
  <c r="G44" i="33"/>
  <c r="K61" i="43"/>
  <c r="K62" i="33"/>
  <c r="E62" i="33"/>
  <c r="E61" i="43"/>
  <c r="G62" i="33"/>
  <c r="G61" i="43"/>
  <c r="K81" i="43"/>
  <c r="K81" i="33"/>
  <c r="E81" i="43"/>
  <c r="G81" i="43"/>
  <c r="E23" i="33"/>
  <c r="K23" i="33"/>
  <c r="G23" i="33"/>
  <c r="V46" i="43"/>
  <c r="E18" i="33"/>
  <c r="K18" i="33"/>
  <c r="G18" i="33"/>
  <c r="V44" i="43"/>
  <c r="K20" i="33"/>
  <c r="E20" i="33"/>
  <c r="G20" i="33"/>
  <c r="G70" i="43"/>
  <c r="K7" i="46"/>
  <c r="N7" i="46" s="1"/>
  <c r="O7" i="46"/>
  <c r="I52" i="52"/>
  <c r="U52" i="52" s="1"/>
  <c r="V45" i="33"/>
  <c r="I72" i="34"/>
  <c r="E75" i="33" s="1"/>
  <c r="I16" i="34"/>
  <c r="I14" i="52"/>
  <c r="U14" i="52" s="1"/>
  <c r="I15" i="34"/>
  <c r="I13" i="52"/>
  <c r="U13" i="52" s="1"/>
  <c r="I41" i="34"/>
  <c r="I29" i="52"/>
  <c r="U29" i="52" s="1"/>
  <c r="I42" i="52"/>
  <c r="U42" i="52" s="1"/>
  <c r="I55" i="34"/>
  <c r="I53" i="34"/>
  <c r="I40" i="52"/>
  <c r="U40" i="52" s="1"/>
  <c r="V23" i="33"/>
  <c r="V22" i="49"/>
  <c r="V22" i="43"/>
  <c r="I37" i="52"/>
  <c r="U37" i="52" s="1"/>
  <c r="I50" i="34"/>
  <c r="I38" i="52"/>
  <c r="U38" i="52" s="1"/>
  <c r="I51" i="34"/>
  <c r="I56" i="34"/>
  <c r="I43" i="52"/>
  <c r="U43" i="52" s="1"/>
  <c r="V29" i="33"/>
  <c r="V28" i="49"/>
  <c r="V28" i="43"/>
  <c r="I66" i="34"/>
  <c r="I51" i="52"/>
  <c r="U51" i="52" s="1"/>
  <c r="V20" i="43"/>
  <c r="V21" i="33"/>
  <c r="V20" i="49"/>
  <c r="I34" i="34"/>
  <c r="I22" i="52"/>
  <c r="U22" i="52" s="1"/>
  <c r="V17" i="49"/>
  <c r="V17" i="43"/>
  <c r="V18" i="33"/>
  <c r="I36" i="34"/>
  <c r="I24" i="52"/>
  <c r="U24" i="52" s="1"/>
  <c r="I54" i="34"/>
  <c r="I41" i="52"/>
  <c r="U41" i="52" s="1"/>
  <c r="V64" i="43"/>
  <c r="V65" i="33"/>
  <c r="V63" i="49"/>
  <c r="V26" i="49"/>
  <c r="V26" i="43"/>
  <c r="V27" i="33"/>
  <c r="I17" i="34"/>
  <c r="I15" i="52"/>
  <c r="U15" i="52" s="1"/>
  <c r="V26" i="33"/>
  <c r="V25" i="43"/>
  <c r="V25" i="49"/>
  <c r="V62" i="33"/>
  <c r="V61" i="43"/>
  <c r="V60" i="49"/>
  <c r="V62" i="43"/>
  <c r="V63" i="33"/>
  <c r="V61" i="49"/>
  <c r="I26" i="52"/>
  <c r="U26" i="52" s="1"/>
  <c r="I38" i="34"/>
  <c r="E30" i="33"/>
  <c r="V29" i="43"/>
  <c r="V29" i="49"/>
  <c r="V30" i="33"/>
  <c r="V19" i="49"/>
  <c r="V19" i="43"/>
  <c r="V20" i="33"/>
  <c r="I14" i="34"/>
  <c r="I12" i="52"/>
  <c r="U12" i="52" s="1"/>
  <c r="V81" i="43"/>
  <c r="V79" i="49"/>
  <c r="V81" i="33"/>
  <c r="V23" i="49"/>
  <c r="V23" i="43"/>
  <c r="V24" i="33"/>
  <c r="V16" i="49"/>
  <c r="V17" i="33"/>
  <c r="V16" i="43"/>
  <c r="I27" i="52"/>
  <c r="U27" i="52" s="1"/>
  <c r="I39" i="34"/>
  <c r="V80" i="49"/>
  <c r="V82" i="33"/>
  <c r="V82" i="43"/>
  <c r="I75" i="34"/>
  <c r="I60" i="52"/>
  <c r="U60" i="52" s="1"/>
  <c r="V43" i="43"/>
  <c r="V44" i="33"/>
  <c r="V43" i="49"/>
  <c r="V28" i="33"/>
  <c r="V27" i="49"/>
  <c r="V27" i="43"/>
  <c r="V61" i="33"/>
  <c r="V60" i="43"/>
  <c r="V59" i="49"/>
  <c r="I57" i="34"/>
  <c r="I44" i="52"/>
  <c r="U44" i="52" s="1"/>
  <c r="I12" i="34"/>
  <c r="I10" i="52"/>
  <c r="U10" i="52" s="1"/>
  <c r="I54" i="52"/>
  <c r="U54" i="52" s="1"/>
  <c r="I69" i="34"/>
  <c r="I58" i="52"/>
  <c r="U58" i="52" s="1"/>
  <c r="I73" i="34"/>
  <c r="V25" i="33"/>
  <c r="V24" i="43"/>
  <c r="V24" i="49"/>
  <c r="I11" i="52"/>
  <c r="U11" i="52" s="1"/>
  <c r="I13" i="34"/>
  <c r="V22" i="33"/>
  <c r="V21" i="49"/>
  <c r="V21" i="43"/>
  <c r="I52" i="34"/>
  <c r="I39" i="52"/>
  <c r="U39" i="52" s="1"/>
  <c r="V62" i="49"/>
  <c r="V63" i="43"/>
  <c r="V64" i="33"/>
  <c r="I36" i="52"/>
  <c r="U36" i="52" s="1"/>
  <c r="I49" i="34"/>
  <c r="I71" i="34"/>
  <c r="I56" i="52"/>
  <c r="U56" i="52" s="1"/>
  <c r="I58" i="34"/>
  <c r="I45" i="52"/>
  <c r="U45" i="52" s="1"/>
  <c r="I70" i="34"/>
  <c r="I55" i="52"/>
  <c r="U55" i="52" s="1"/>
  <c r="I28" i="52"/>
  <c r="U28" i="52" s="1"/>
  <c r="I40" i="34"/>
  <c r="K12" i="52"/>
  <c r="W12" i="52" s="1"/>
  <c r="K57" i="52"/>
  <c r="W57" i="52" s="1"/>
  <c r="K22" i="52"/>
  <c r="W22" i="52" s="1"/>
  <c r="K55" i="52"/>
  <c r="W55" i="52" s="1"/>
  <c r="K36" i="52"/>
  <c r="W36" i="52" s="1"/>
  <c r="K43" i="52"/>
  <c r="W43" i="52" s="1"/>
  <c r="K13" i="52"/>
  <c r="W13" i="52" s="1"/>
  <c r="I9" i="34"/>
  <c r="I7" i="52"/>
  <c r="U7" i="52" s="1"/>
  <c r="I10" i="34"/>
  <c r="I8" i="52"/>
  <c r="U8" i="52" s="1"/>
  <c r="J43" i="45"/>
  <c r="J38" i="45"/>
  <c r="J76" i="45"/>
  <c r="U6" i="49"/>
  <c r="H7" i="46"/>
  <c r="I7" i="46" s="1"/>
  <c r="K33" i="45"/>
  <c r="L54" i="49"/>
  <c r="P53" i="49"/>
  <c r="P54" i="49" s="1"/>
  <c r="N54" i="49"/>
  <c r="N55" i="49" s="1"/>
  <c r="K77" i="45"/>
  <c r="K69" i="45"/>
  <c r="J33" i="45"/>
  <c r="K45" i="45"/>
  <c r="K70" i="45"/>
  <c r="J42" i="45"/>
  <c r="U67" i="49"/>
  <c r="J77" i="45"/>
  <c r="J37" i="45"/>
  <c r="J45" i="45"/>
  <c r="J67" i="45"/>
  <c r="K42" i="45"/>
  <c r="J71" i="45"/>
  <c r="K38" i="45"/>
  <c r="J68" i="45"/>
  <c r="K68" i="45"/>
  <c r="K76" i="45"/>
  <c r="J36" i="45"/>
  <c r="K36" i="45"/>
  <c r="J44" i="45"/>
  <c r="K78" i="45"/>
  <c r="H53" i="49"/>
  <c r="J34" i="45"/>
  <c r="J72" i="45"/>
  <c r="K71" i="45"/>
  <c r="K59" i="52"/>
  <c r="W59" i="52" s="1"/>
  <c r="J73" i="45"/>
  <c r="J69" i="45"/>
  <c r="K9" i="52"/>
  <c r="W9" i="52" s="1"/>
  <c r="J78" i="45"/>
  <c r="K34" i="45"/>
  <c r="K72" i="45"/>
  <c r="K73" i="45"/>
  <c r="K35" i="45"/>
  <c r="J35" i="45"/>
  <c r="W7" i="46"/>
  <c r="X7" i="46" s="1"/>
  <c r="Q7" i="45"/>
  <c r="R52" i="49"/>
  <c r="K37" i="45"/>
  <c r="J52" i="49"/>
  <c r="K52" i="49" s="1"/>
  <c r="G7" i="45"/>
  <c r="G7" i="46"/>
  <c r="G7" i="50"/>
  <c r="F8" i="49"/>
  <c r="G8" i="49" s="1"/>
  <c r="K82" i="45"/>
  <c r="T66" i="45"/>
  <c r="K43" i="45"/>
  <c r="K44" i="45"/>
  <c r="J79" i="45"/>
  <c r="J70" i="45"/>
  <c r="F8" i="45"/>
  <c r="N8" i="45"/>
  <c r="F8" i="46"/>
  <c r="M8" i="46" s="1"/>
  <c r="F8" i="50"/>
  <c r="T7" i="43"/>
  <c r="U7" i="43" s="1"/>
  <c r="K67" i="45"/>
  <c r="Q7" i="50"/>
  <c r="K28" i="52"/>
  <c r="W28" i="52" s="1"/>
  <c r="K79" i="45"/>
  <c r="K71" i="43" l="1"/>
  <c r="AC7" i="59"/>
  <c r="K36" i="33"/>
  <c r="V69" i="49"/>
  <c r="T28" i="52"/>
  <c r="N28" i="61"/>
  <c r="T57" i="52"/>
  <c r="N57" i="61"/>
  <c r="T52" i="52"/>
  <c r="N52" i="61"/>
  <c r="T29" i="52"/>
  <c r="N29" i="61"/>
  <c r="E7" i="33"/>
  <c r="K7" i="33"/>
  <c r="T43" i="52"/>
  <c r="N43" i="61"/>
  <c r="T56" i="52"/>
  <c r="N56" i="61"/>
  <c r="T59" i="52"/>
  <c r="N59" i="61"/>
  <c r="T30" i="52"/>
  <c r="N30" i="61"/>
  <c r="T55" i="52"/>
  <c r="N55" i="61"/>
  <c r="T44" i="52"/>
  <c r="N44" i="61"/>
  <c r="T53" i="52"/>
  <c r="N53" i="61"/>
  <c r="T45" i="52"/>
  <c r="N45" i="61"/>
  <c r="T40" i="52"/>
  <c r="N40" i="61"/>
  <c r="T26" i="52"/>
  <c r="N26" i="61"/>
  <c r="T54" i="52"/>
  <c r="N54" i="61"/>
  <c r="J74" i="34"/>
  <c r="J59" i="52" s="1"/>
  <c r="V59" i="52" s="1"/>
  <c r="T60" i="52"/>
  <c r="N60" i="61"/>
  <c r="T38" i="52"/>
  <c r="N38" i="61"/>
  <c r="T42" i="52"/>
  <c r="N42" i="61"/>
  <c r="T58" i="52"/>
  <c r="N58" i="61"/>
  <c r="T27" i="52"/>
  <c r="N27" i="61"/>
  <c r="T51" i="52"/>
  <c r="N51" i="61"/>
  <c r="V71" i="33"/>
  <c r="K38" i="33"/>
  <c r="E38" i="33"/>
  <c r="K77" i="33"/>
  <c r="V71" i="43"/>
  <c r="K71" i="33"/>
  <c r="J27" i="34"/>
  <c r="J43" i="34"/>
  <c r="J77" i="34"/>
  <c r="J57" i="34"/>
  <c r="J14" i="34"/>
  <c r="P12" i="61" s="1"/>
  <c r="AE12" i="61" s="1"/>
  <c r="J16" i="34"/>
  <c r="J20" i="34"/>
  <c r="J55" i="34"/>
  <c r="J22" i="34"/>
  <c r="J50" i="34"/>
  <c r="J37" i="52" s="1"/>
  <c r="V37" i="52" s="1"/>
  <c r="J72" i="34"/>
  <c r="P57" i="61" s="1"/>
  <c r="AE57" i="61" s="1"/>
  <c r="J70" i="34"/>
  <c r="P55" i="61" s="1"/>
  <c r="AE55" i="61" s="1"/>
  <c r="J23" i="34"/>
  <c r="J68" i="34"/>
  <c r="P53" i="61" s="1"/>
  <c r="AE53" i="61" s="1"/>
  <c r="J30" i="34"/>
  <c r="J45" i="34"/>
  <c r="J76" i="34"/>
  <c r="J35" i="34"/>
  <c r="J61" i="34"/>
  <c r="J58" i="34"/>
  <c r="J37" i="34"/>
  <c r="J15" i="34"/>
  <c r="J29" i="34"/>
  <c r="J19" i="34"/>
  <c r="J25" i="34"/>
  <c r="J36" i="34"/>
  <c r="J60" i="34"/>
  <c r="J21" i="34"/>
  <c r="J10" i="34"/>
  <c r="J8" i="52" s="1"/>
  <c r="V8" i="52" s="1"/>
  <c r="J79" i="34"/>
  <c r="J31" i="34"/>
  <c r="J73" i="34"/>
  <c r="J26" i="34"/>
  <c r="J18" i="34"/>
  <c r="J71" i="34"/>
  <c r="J46" i="34"/>
  <c r="J78" i="34"/>
  <c r="J24" i="34"/>
  <c r="J54" i="34"/>
  <c r="P41" i="61" s="1"/>
  <c r="AE41" i="61" s="1"/>
  <c r="J41" i="34"/>
  <c r="J38" i="34"/>
  <c r="J42" i="34"/>
  <c r="J51" i="34"/>
  <c r="J69" i="34"/>
  <c r="J54" i="52" s="1"/>
  <c r="V54" i="52" s="1"/>
  <c r="J11" i="34"/>
  <c r="J63" i="34"/>
  <c r="J13" i="34"/>
  <c r="J40" i="34"/>
  <c r="J62" i="34"/>
  <c r="J52" i="34"/>
  <c r="J28" i="34"/>
  <c r="J75" i="34"/>
  <c r="J60" i="52" s="1"/>
  <c r="V60" i="52" s="1"/>
  <c r="J12" i="34"/>
  <c r="J17" i="34"/>
  <c r="J39" i="34"/>
  <c r="J44" i="34"/>
  <c r="J67" i="34"/>
  <c r="J56" i="34"/>
  <c r="P43" i="61" s="1"/>
  <c r="AE43" i="61" s="1"/>
  <c r="J59" i="34"/>
  <c r="J53" i="34"/>
  <c r="K34" i="33"/>
  <c r="K10" i="33"/>
  <c r="E10" i="33"/>
  <c r="E36" i="33"/>
  <c r="E77" i="43"/>
  <c r="K70" i="33"/>
  <c r="G72" i="33"/>
  <c r="E72" i="33"/>
  <c r="G76" i="33"/>
  <c r="E76" i="33"/>
  <c r="G73" i="33"/>
  <c r="E73" i="33"/>
  <c r="G78" i="33"/>
  <c r="E78" i="33"/>
  <c r="G71" i="33"/>
  <c r="E71" i="33"/>
  <c r="G70" i="33"/>
  <c r="E70" i="33"/>
  <c r="G74" i="33"/>
  <c r="E74" i="33"/>
  <c r="E43" i="33"/>
  <c r="E70" i="43"/>
  <c r="E34" i="33"/>
  <c r="G77" i="33"/>
  <c r="E77" i="33"/>
  <c r="AG34" i="34"/>
  <c r="AH34" i="34" s="1"/>
  <c r="AI34" i="34" s="1"/>
  <c r="AJ34" i="34" s="1"/>
  <c r="AK34" i="34" s="1"/>
  <c r="AL34" i="34" s="1"/>
  <c r="AM34" i="34" s="1"/>
  <c r="AN34" i="34" s="1"/>
  <c r="AO34" i="34" s="1"/>
  <c r="AP34" i="34" s="1"/>
  <c r="AQ34" i="34" s="1"/>
  <c r="AR34" i="34" s="1"/>
  <c r="AS34" i="34" s="1"/>
  <c r="AT34" i="34" s="1"/>
  <c r="AU34" i="34" s="1"/>
  <c r="AV34" i="34" s="1"/>
  <c r="AW34" i="34" s="1"/>
  <c r="AX34" i="34" s="1"/>
  <c r="AY34" i="34" s="1"/>
  <c r="AZ34" i="34" s="1"/>
  <c r="BA34" i="34" s="1"/>
  <c r="BB34" i="34" s="1"/>
  <c r="BC34" i="34" s="1"/>
  <c r="BD34" i="34" s="1"/>
  <c r="BE34" i="34" s="1"/>
  <c r="BF34" i="34" s="1"/>
  <c r="BG34" i="34" s="1"/>
  <c r="BH34" i="34" s="1"/>
  <c r="BI34" i="34" s="1"/>
  <c r="BJ34" i="34" s="1"/>
  <c r="BK34" i="34" s="1"/>
  <c r="BL34" i="34" s="1"/>
  <c r="BM34" i="34" s="1"/>
  <c r="BN34" i="34" s="1"/>
  <c r="BO34" i="34" s="1"/>
  <c r="BP34" i="34" s="1"/>
  <c r="BQ34" i="34" s="1"/>
  <c r="BR34" i="34" s="1"/>
  <c r="BS34" i="34" s="1"/>
  <c r="BT34" i="34" s="1"/>
  <c r="BU34" i="34" s="1"/>
  <c r="BV34" i="34" s="1"/>
  <c r="BW34" i="34" s="1"/>
  <c r="BX34" i="34" s="1"/>
  <c r="BY34" i="34" s="1"/>
  <c r="BZ34" i="34" s="1"/>
  <c r="CA34" i="34" s="1"/>
  <c r="CB34" i="34" s="1"/>
  <c r="CC34" i="34" s="1"/>
  <c r="CD34" i="34" s="1"/>
  <c r="CE34" i="34" s="1"/>
  <c r="CF34" i="34" s="1"/>
  <c r="CG34" i="34" s="1"/>
  <c r="CH34" i="34" s="1"/>
  <c r="CI34" i="34" s="1"/>
  <c r="CJ34" i="34" s="1"/>
  <c r="CK34" i="34" s="1"/>
  <c r="CL34" i="34" s="1"/>
  <c r="CM34" i="34" s="1"/>
  <c r="CN34" i="34" s="1"/>
  <c r="CO34" i="34" s="1"/>
  <c r="CP34" i="34" s="1"/>
  <c r="CQ34" i="34" s="1"/>
  <c r="CR34" i="34" s="1"/>
  <c r="CS34" i="34" s="1"/>
  <c r="CT34" i="34" s="1"/>
  <c r="CU34" i="34" s="1"/>
  <c r="CV34" i="34" s="1"/>
  <c r="CW34" i="34" s="1"/>
  <c r="CX34" i="34" s="1"/>
  <c r="CY34" i="34" s="1"/>
  <c r="CZ34" i="34" s="1"/>
  <c r="DA34" i="34" s="1"/>
  <c r="DB34" i="34" s="1"/>
  <c r="DC34" i="34" s="1"/>
  <c r="DD34" i="34" s="1"/>
  <c r="DE34" i="34" s="1"/>
  <c r="DF34" i="34" s="1"/>
  <c r="DG34" i="34" s="1"/>
  <c r="DH34" i="34" s="1"/>
  <c r="DI34" i="34" s="1"/>
  <c r="DJ34" i="34" s="1"/>
  <c r="DK34" i="34" s="1"/>
  <c r="DL34" i="34" s="1"/>
  <c r="DM34" i="34" s="1"/>
  <c r="V33" i="49"/>
  <c r="V33" i="43"/>
  <c r="AC9" i="59"/>
  <c r="F5" i="60"/>
  <c r="F18" i="60" s="1"/>
  <c r="AC6" i="59"/>
  <c r="F2" i="60"/>
  <c r="F15" i="60" s="1"/>
  <c r="V9" i="43"/>
  <c r="V9" i="49"/>
  <c r="V36" i="33"/>
  <c r="V35" i="49"/>
  <c r="V70" i="33"/>
  <c r="V70" i="43"/>
  <c r="V68" i="49"/>
  <c r="Z27" i="59"/>
  <c r="AB27" i="59"/>
  <c r="AA27" i="59"/>
  <c r="Y27" i="59"/>
  <c r="AB55" i="59"/>
  <c r="AA55" i="59"/>
  <c r="Z55" i="59"/>
  <c r="Y55" i="59"/>
  <c r="AA30" i="59"/>
  <c r="AB30" i="59"/>
  <c r="Z30" i="59"/>
  <c r="Y30" i="59"/>
  <c r="Z58" i="59"/>
  <c r="Y58" i="59"/>
  <c r="AA58" i="59"/>
  <c r="AB58" i="59"/>
  <c r="AA44" i="59"/>
  <c r="Z44" i="59"/>
  <c r="Y44" i="59"/>
  <c r="AB44" i="59"/>
  <c r="AB59" i="59"/>
  <c r="AA59" i="59"/>
  <c r="Y59" i="59"/>
  <c r="Z59" i="59"/>
  <c r="Z51" i="59"/>
  <c r="Y51" i="59"/>
  <c r="AB51" i="59"/>
  <c r="AA51" i="59"/>
  <c r="Y57" i="59"/>
  <c r="Z57" i="59"/>
  <c r="AB57" i="59"/>
  <c r="AA57" i="59"/>
  <c r="V77" i="33"/>
  <c r="V38" i="33"/>
  <c r="V75" i="49"/>
  <c r="Z26" i="59"/>
  <c r="AA26" i="59"/>
  <c r="Y26" i="59"/>
  <c r="AB26" i="59"/>
  <c r="AA54" i="59"/>
  <c r="AB54" i="59"/>
  <c r="Y54" i="59"/>
  <c r="Z54" i="59"/>
  <c r="Z28" i="59"/>
  <c r="AA28" i="59"/>
  <c r="Y28" i="59"/>
  <c r="AB28" i="59"/>
  <c r="Y52" i="59"/>
  <c r="Z52" i="59"/>
  <c r="AB52" i="59"/>
  <c r="AA52" i="59"/>
  <c r="Y29" i="59"/>
  <c r="AB29" i="59"/>
  <c r="Z29" i="59"/>
  <c r="AA29" i="59"/>
  <c r="AB56" i="59"/>
  <c r="Z56" i="59"/>
  <c r="Y56" i="59"/>
  <c r="AA56" i="59"/>
  <c r="V37" i="43"/>
  <c r="V77" i="43"/>
  <c r="Z53" i="59"/>
  <c r="AB53" i="59"/>
  <c r="Y53" i="59"/>
  <c r="AA53" i="59"/>
  <c r="Y45" i="59"/>
  <c r="AB45" i="59"/>
  <c r="Z45" i="59"/>
  <c r="AA45" i="59"/>
  <c r="Z40" i="59"/>
  <c r="AB40" i="59"/>
  <c r="AA40" i="59"/>
  <c r="Y40" i="59"/>
  <c r="AB42" i="59"/>
  <c r="Z42" i="59"/>
  <c r="Y42" i="59"/>
  <c r="AA42" i="59"/>
  <c r="F9" i="43"/>
  <c r="F10" i="43" s="1"/>
  <c r="F11" i="43" s="1"/>
  <c r="F12" i="43" s="1"/>
  <c r="F13" i="43" s="1"/>
  <c r="F14" i="43" s="1"/>
  <c r="F15" i="43" s="1"/>
  <c r="F16" i="43" s="1"/>
  <c r="Y60" i="59"/>
  <c r="Z60" i="59"/>
  <c r="AB60" i="59"/>
  <c r="AA60" i="59"/>
  <c r="Z38" i="59"/>
  <c r="AB38" i="59"/>
  <c r="AA38" i="59"/>
  <c r="Y38" i="59"/>
  <c r="J9" i="34"/>
  <c r="V42" i="43"/>
  <c r="V42" i="49"/>
  <c r="G43" i="33"/>
  <c r="V73" i="49"/>
  <c r="G75" i="33"/>
  <c r="V43" i="33"/>
  <c r="G69" i="33"/>
  <c r="E69" i="33"/>
  <c r="J49" i="34"/>
  <c r="P36" i="61" s="1"/>
  <c r="AE36" i="61" s="1"/>
  <c r="J66" i="34"/>
  <c r="P51" i="61" s="1"/>
  <c r="AE51" i="61" s="1"/>
  <c r="J33" i="34"/>
  <c r="P21" i="61" s="1"/>
  <c r="AE21" i="61" s="1"/>
  <c r="Y7" i="46"/>
  <c r="J8" i="34"/>
  <c r="F9" i="45"/>
  <c r="Q9" i="45" s="1"/>
  <c r="R9" i="45" s="1"/>
  <c r="S9" i="45" s="1"/>
  <c r="T9" i="45" s="1"/>
  <c r="U9" i="45" s="1"/>
  <c r="V9" i="45" s="1"/>
  <c r="W9" i="45" s="1"/>
  <c r="X9" i="45" s="1"/>
  <c r="Y9" i="45" s="1"/>
  <c r="Z9" i="45" s="1"/>
  <c r="AA9" i="45" s="1"/>
  <c r="AB9" i="45" s="1"/>
  <c r="AC9" i="45" s="1"/>
  <c r="AD9" i="45" s="1"/>
  <c r="AE9" i="45" s="1"/>
  <c r="AF9" i="45" s="1"/>
  <c r="AG9" i="45" s="1"/>
  <c r="AH9" i="45" s="1"/>
  <c r="AI9" i="45" s="1"/>
  <c r="AJ9" i="45" s="1"/>
  <c r="AK9" i="45" s="1"/>
  <c r="AL9" i="45" s="1"/>
  <c r="AM9" i="45" s="1"/>
  <c r="AN9" i="45" s="1"/>
  <c r="AO9" i="45" s="1"/>
  <c r="AP9" i="45" s="1"/>
  <c r="AQ9" i="45" s="1"/>
  <c r="AR9" i="45" s="1"/>
  <c r="AS9" i="45" s="1"/>
  <c r="AT9" i="45" s="1"/>
  <c r="AU9" i="45" s="1"/>
  <c r="AV9" i="45" s="1"/>
  <c r="AW9" i="45" s="1"/>
  <c r="AX9" i="45" s="1"/>
  <c r="AY9" i="45" s="1"/>
  <c r="AZ9" i="45" s="1"/>
  <c r="BA9" i="45" s="1"/>
  <c r="BB9" i="45" s="1"/>
  <c r="BC9" i="45" s="1"/>
  <c r="BD9" i="45" s="1"/>
  <c r="F9" i="46"/>
  <c r="M9" i="46" s="1"/>
  <c r="T8" i="43"/>
  <c r="U8" i="43" s="1"/>
  <c r="N9" i="45"/>
  <c r="V6" i="43"/>
  <c r="F9" i="50"/>
  <c r="Q9" i="50" s="1"/>
  <c r="R9" i="50" s="1"/>
  <c r="S9" i="50" s="1"/>
  <c r="T9" i="50" s="1"/>
  <c r="U9" i="50" s="1"/>
  <c r="V9" i="50" s="1"/>
  <c r="W9" i="50" s="1"/>
  <c r="X9" i="50" s="1"/>
  <c r="Y9" i="50" s="1"/>
  <c r="Z9" i="50" s="1"/>
  <c r="AA9" i="50" s="1"/>
  <c r="AB9" i="50" s="1"/>
  <c r="AC9" i="50" s="1"/>
  <c r="AD9" i="50" s="1"/>
  <c r="AE9" i="50" s="1"/>
  <c r="AF9" i="50" s="1"/>
  <c r="AG9" i="50" s="1"/>
  <c r="AH9" i="50" s="1"/>
  <c r="AI9" i="50" s="1"/>
  <c r="AJ9" i="50" s="1"/>
  <c r="AK9" i="50" s="1"/>
  <c r="AL9" i="50" s="1"/>
  <c r="AM9" i="50" s="1"/>
  <c r="AN9" i="50" s="1"/>
  <c r="AO9" i="50" s="1"/>
  <c r="AP9" i="50" s="1"/>
  <c r="AQ9" i="50" s="1"/>
  <c r="AR9" i="50" s="1"/>
  <c r="AS9" i="50" s="1"/>
  <c r="AT9" i="50" s="1"/>
  <c r="V6" i="49"/>
  <c r="V7" i="33"/>
  <c r="G7" i="33"/>
  <c r="K74" i="33"/>
  <c r="K74" i="43"/>
  <c r="E74" i="43"/>
  <c r="G74" i="43"/>
  <c r="K50" i="43"/>
  <c r="K51" i="33"/>
  <c r="E51" i="33"/>
  <c r="E50" i="43"/>
  <c r="G51" i="33"/>
  <c r="E12" i="33"/>
  <c r="K12" i="33"/>
  <c r="G12" i="33"/>
  <c r="K16" i="33"/>
  <c r="E16" i="33"/>
  <c r="G16" i="33"/>
  <c r="K37" i="33"/>
  <c r="E37" i="33"/>
  <c r="G37" i="33"/>
  <c r="K69" i="43"/>
  <c r="E69" i="43"/>
  <c r="K69" i="33"/>
  <c r="E55" i="33"/>
  <c r="K55" i="33"/>
  <c r="K54" i="43"/>
  <c r="E54" i="43"/>
  <c r="G55" i="33"/>
  <c r="G54" i="43"/>
  <c r="K11" i="33"/>
  <c r="G11" i="33"/>
  <c r="K56" i="43"/>
  <c r="K57" i="33"/>
  <c r="E57" i="33"/>
  <c r="E56" i="43"/>
  <c r="G57" i="33"/>
  <c r="G56" i="43"/>
  <c r="K41" i="33"/>
  <c r="E41" i="33"/>
  <c r="G41" i="33"/>
  <c r="K39" i="33"/>
  <c r="E39" i="33"/>
  <c r="G39" i="33"/>
  <c r="K58" i="43"/>
  <c r="K59" i="33"/>
  <c r="E59" i="33"/>
  <c r="E58" i="43"/>
  <c r="G59" i="33"/>
  <c r="G58" i="43"/>
  <c r="K78" i="43"/>
  <c r="K78" i="33"/>
  <c r="E78" i="43"/>
  <c r="G78" i="43"/>
  <c r="K42" i="33"/>
  <c r="E42" i="33"/>
  <c r="G42" i="33"/>
  <c r="G9" i="33"/>
  <c r="K9" i="33"/>
  <c r="E9" i="33"/>
  <c r="K57" i="43"/>
  <c r="K58" i="33"/>
  <c r="E57" i="43"/>
  <c r="G58" i="33"/>
  <c r="G57" i="43"/>
  <c r="K76" i="43"/>
  <c r="K76" i="33"/>
  <c r="E76" i="43"/>
  <c r="G76" i="43"/>
  <c r="K73" i="33"/>
  <c r="K73" i="43"/>
  <c r="E73" i="43"/>
  <c r="G73" i="43"/>
  <c r="K52" i="43"/>
  <c r="K53" i="33"/>
  <c r="E53" i="33"/>
  <c r="E52" i="43"/>
  <c r="G53" i="33"/>
  <c r="G52" i="43"/>
  <c r="K14" i="33"/>
  <c r="E14" i="33"/>
  <c r="G14" i="33"/>
  <c r="K8" i="33"/>
  <c r="E8" i="33"/>
  <c r="K40" i="33"/>
  <c r="E40" i="33"/>
  <c r="G40" i="33"/>
  <c r="K56" i="33"/>
  <c r="K55" i="43"/>
  <c r="E56" i="33"/>
  <c r="E55" i="43"/>
  <c r="G56" i="33"/>
  <c r="G55" i="43"/>
  <c r="E52" i="33"/>
  <c r="K51" i="43"/>
  <c r="K52" i="33"/>
  <c r="E51" i="43"/>
  <c r="G52" i="33"/>
  <c r="G51" i="43"/>
  <c r="K15" i="33"/>
  <c r="E15" i="33"/>
  <c r="G15" i="33"/>
  <c r="K54" i="33"/>
  <c r="K53" i="43"/>
  <c r="E54" i="33"/>
  <c r="E53" i="43"/>
  <c r="G54" i="33"/>
  <c r="G53" i="43"/>
  <c r="K72" i="33"/>
  <c r="K72" i="43"/>
  <c r="G72" i="43"/>
  <c r="E35" i="33"/>
  <c r="K35" i="33"/>
  <c r="G35" i="33"/>
  <c r="E13" i="33"/>
  <c r="K13" i="33"/>
  <c r="G13" i="33"/>
  <c r="K60" i="33"/>
  <c r="K59" i="43"/>
  <c r="E60" i="33"/>
  <c r="E59" i="43"/>
  <c r="G60" i="33"/>
  <c r="G59" i="43"/>
  <c r="V75" i="33"/>
  <c r="K75" i="33"/>
  <c r="K75" i="43"/>
  <c r="E75" i="43"/>
  <c r="G75" i="43"/>
  <c r="K8" i="46"/>
  <c r="N8" i="46" s="1"/>
  <c r="O8" i="46"/>
  <c r="V75" i="43"/>
  <c r="V51" i="33"/>
  <c r="V50" i="43"/>
  <c r="V49" i="49"/>
  <c r="V57" i="49"/>
  <c r="V58" i="43"/>
  <c r="V59" i="33"/>
  <c r="V34" i="43"/>
  <c r="V35" i="33"/>
  <c r="V34" i="49"/>
  <c r="V12" i="49"/>
  <c r="V12" i="43"/>
  <c r="V13" i="33"/>
  <c r="V38" i="43"/>
  <c r="V39" i="33"/>
  <c r="V38" i="49"/>
  <c r="V14" i="33"/>
  <c r="V13" i="43"/>
  <c r="V13" i="49"/>
  <c r="V71" i="49"/>
  <c r="V73" i="43"/>
  <c r="V73" i="33"/>
  <c r="V53" i="43"/>
  <c r="V54" i="33"/>
  <c r="V52" i="49"/>
  <c r="V39" i="49"/>
  <c r="V40" i="33"/>
  <c r="V39" i="43"/>
  <c r="V56" i="49"/>
  <c r="V57" i="43"/>
  <c r="V58" i="33"/>
  <c r="V76" i="33"/>
  <c r="V74" i="49"/>
  <c r="V76" i="43"/>
  <c r="V53" i="33"/>
  <c r="V51" i="49"/>
  <c r="V52" i="43"/>
  <c r="V55" i="33"/>
  <c r="V54" i="43"/>
  <c r="V53" i="49"/>
  <c r="V56" i="43"/>
  <c r="V57" i="33"/>
  <c r="V55" i="49"/>
  <c r="V40" i="43"/>
  <c r="V40" i="49"/>
  <c r="V41" i="33"/>
  <c r="V60" i="33"/>
  <c r="V58" i="49"/>
  <c r="V59" i="43"/>
  <c r="V16" i="33"/>
  <c r="V15" i="43"/>
  <c r="V15" i="49"/>
  <c r="V55" i="43"/>
  <c r="V54" i="49"/>
  <c r="V56" i="33"/>
  <c r="V69" i="43"/>
  <c r="V69" i="33"/>
  <c r="V67" i="49"/>
  <c r="V52" i="33"/>
  <c r="V51" i="43"/>
  <c r="V50" i="49"/>
  <c r="V14" i="49"/>
  <c r="V14" i="43"/>
  <c r="V15" i="33"/>
  <c r="V11" i="49"/>
  <c r="V11" i="43"/>
  <c r="V12" i="33"/>
  <c r="E72" i="43"/>
  <c r="V72" i="33"/>
  <c r="V70" i="49"/>
  <c r="V72" i="43"/>
  <c r="E11" i="33"/>
  <c r="V11" i="33"/>
  <c r="V10" i="43"/>
  <c r="V10" i="49"/>
  <c r="V78" i="33"/>
  <c r="V76" i="49"/>
  <c r="V78" i="43"/>
  <c r="V72" i="49"/>
  <c r="V74" i="33"/>
  <c r="V74" i="43"/>
  <c r="V36" i="43"/>
  <c r="V37" i="33"/>
  <c r="V36" i="49"/>
  <c r="V41" i="49"/>
  <c r="V41" i="43"/>
  <c r="V42" i="33"/>
  <c r="H8" i="46"/>
  <c r="I8" i="46" s="1"/>
  <c r="K14" i="52"/>
  <c r="W14" i="52" s="1"/>
  <c r="K15" i="52"/>
  <c r="W15" i="52" s="1"/>
  <c r="K24" i="52"/>
  <c r="W24" i="52" s="1"/>
  <c r="K41" i="52"/>
  <c r="W41" i="52" s="1"/>
  <c r="K23" i="52"/>
  <c r="W23" i="52" s="1"/>
  <c r="K8" i="52"/>
  <c r="W8" i="52" s="1"/>
  <c r="K26" i="52"/>
  <c r="W26" i="52" s="1"/>
  <c r="K42" i="52"/>
  <c r="W42" i="52" s="1"/>
  <c r="K27" i="52"/>
  <c r="W27" i="52" s="1"/>
  <c r="V8" i="49"/>
  <c r="K44" i="52"/>
  <c r="W44" i="52" s="1"/>
  <c r="K21" i="52"/>
  <c r="W21" i="52" s="1"/>
  <c r="K11" i="52"/>
  <c r="W11" i="52" s="1"/>
  <c r="V8" i="43"/>
  <c r="K38" i="52"/>
  <c r="W38" i="52" s="1"/>
  <c r="K60" i="52"/>
  <c r="W60" i="52" s="1"/>
  <c r="K56" i="52"/>
  <c r="W56" i="52" s="1"/>
  <c r="K37" i="52"/>
  <c r="W37" i="52" s="1"/>
  <c r="K58" i="52"/>
  <c r="W58" i="52" s="1"/>
  <c r="V9" i="33"/>
  <c r="G8" i="33"/>
  <c r="V7" i="49"/>
  <c r="V8" i="33"/>
  <c r="V7" i="43"/>
  <c r="N56" i="49"/>
  <c r="N57" i="49" s="1"/>
  <c r="N58" i="49" s="1"/>
  <c r="N59" i="49" s="1"/>
  <c r="L55" i="49"/>
  <c r="P55" i="49"/>
  <c r="P56" i="49" s="1"/>
  <c r="Q8" i="50"/>
  <c r="R8" i="50" s="1"/>
  <c r="S8" i="50" s="1"/>
  <c r="T8" i="50" s="1"/>
  <c r="U8" i="50" s="1"/>
  <c r="V8" i="50" s="1"/>
  <c r="W8" i="50" s="1"/>
  <c r="X8" i="50" s="1"/>
  <c r="Y8" i="50" s="1"/>
  <c r="Z8" i="50" s="1"/>
  <c r="AA8" i="50" s="1"/>
  <c r="AB8" i="50" s="1"/>
  <c r="AC8" i="50" s="1"/>
  <c r="AD8" i="50" s="1"/>
  <c r="AE8" i="50" s="1"/>
  <c r="AF8" i="50" s="1"/>
  <c r="AG8" i="50" s="1"/>
  <c r="AH8" i="50" s="1"/>
  <c r="AI8" i="50" s="1"/>
  <c r="AJ8" i="50" s="1"/>
  <c r="AK8" i="50" s="1"/>
  <c r="AL8" i="50" s="1"/>
  <c r="AM8" i="50" s="1"/>
  <c r="AN8" i="50" s="1"/>
  <c r="AO8" i="50" s="1"/>
  <c r="AP8" i="50" s="1"/>
  <c r="AQ8" i="50" s="1"/>
  <c r="AR8" i="50" s="1"/>
  <c r="AS8" i="50" s="1"/>
  <c r="AT8" i="50" s="1"/>
  <c r="H8" i="50"/>
  <c r="I8" i="50" s="1"/>
  <c r="Q8" i="45"/>
  <c r="R8" i="45" s="1"/>
  <c r="S8" i="45" s="1"/>
  <c r="T8" i="45" s="1"/>
  <c r="U8" i="45" s="1"/>
  <c r="V8" i="45" s="1"/>
  <c r="W8" i="45" s="1"/>
  <c r="X8" i="45" s="1"/>
  <c r="Y8" i="45" s="1"/>
  <c r="Z8" i="45" s="1"/>
  <c r="AA8" i="45" s="1"/>
  <c r="AB8" i="45" s="1"/>
  <c r="AC8" i="45" s="1"/>
  <c r="AD8" i="45" s="1"/>
  <c r="AE8" i="45" s="1"/>
  <c r="AF8" i="45" s="1"/>
  <c r="AG8" i="45" s="1"/>
  <c r="AH8" i="45" s="1"/>
  <c r="AI8" i="45" s="1"/>
  <c r="AJ8" i="45" s="1"/>
  <c r="AK8" i="45" s="1"/>
  <c r="AL8" i="45" s="1"/>
  <c r="AM8" i="45" s="1"/>
  <c r="AN8" i="45" s="1"/>
  <c r="AO8" i="45" s="1"/>
  <c r="AP8" i="45" s="1"/>
  <c r="AQ8" i="45" s="1"/>
  <c r="AR8" i="45" s="1"/>
  <c r="AS8" i="45" s="1"/>
  <c r="AT8" i="45" s="1"/>
  <c r="AU8" i="45" s="1"/>
  <c r="AV8" i="45" s="1"/>
  <c r="AW8" i="45" s="1"/>
  <c r="AX8" i="45" s="1"/>
  <c r="AY8" i="45" s="1"/>
  <c r="AZ8" i="45" s="1"/>
  <c r="BA8" i="45" s="1"/>
  <c r="BB8" i="45" s="1"/>
  <c r="BC8" i="45" s="1"/>
  <c r="BD8" i="45" s="1"/>
  <c r="H8" i="45"/>
  <c r="I8" i="45" s="1"/>
  <c r="K45" i="52"/>
  <c r="W45" i="52" s="1"/>
  <c r="K39" i="52"/>
  <c r="W39" i="52" s="1"/>
  <c r="K7" i="52"/>
  <c r="W7" i="52" s="1"/>
  <c r="K29" i="52"/>
  <c r="W29" i="52" s="1"/>
  <c r="K51" i="52"/>
  <c r="W51" i="52" s="1"/>
  <c r="J62" i="50"/>
  <c r="K40" i="52"/>
  <c r="W40" i="52" s="1"/>
  <c r="K10" i="52"/>
  <c r="W10" i="52" s="1"/>
  <c r="K25" i="52"/>
  <c r="W25" i="52" s="1"/>
  <c r="R53" i="49"/>
  <c r="R54" i="49" s="1"/>
  <c r="K54" i="52"/>
  <c r="W54" i="52" s="1"/>
  <c r="G8" i="46"/>
  <c r="G8" i="45"/>
  <c r="G8" i="50"/>
  <c r="K30" i="52"/>
  <c r="W30" i="52" s="1"/>
  <c r="R7" i="50"/>
  <c r="S7" i="50" s="1"/>
  <c r="T7" i="50" s="1"/>
  <c r="U7" i="50" s="1"/>
  <c r="V7" i="50" s="1"/>
  <c r="W7" i="50" s="1"/>
  <c r="X7" i="50" s="1"/>
  <c r="Y7" i="50" s="1"/>
  <c r="Z7" i="50" s="1"/>
  <c r="AA7" i="50" s="1"/>
  <c r="AB7" i="50" s="1"/>
  <c r="AC7" i="50" s="1"/>
  <c r="AD7" i="50" s="1"/>
  <c r="AE7" i="50" s="1"/>
  <c r="AF7" i="50" s="1"/>
  <c r="AG7" i="50" s="1"/>
  <c r="AH7" i="50" s="1"/>
  <c r="AI7" i="50" s="1"/>
  <c r="AJ7" i="50" s="1"/>
  <c r="AK7" i="50" s="1"/>
  <c r="AL7" i="50" s="1"/>
  <c r="AM7" i="50" s="1"/>
  <c r="AN7" i="50" s="1"/>
  <c r="AO7" i="50" s="1"/>
  <c r="AP7" i="50" s="1"/>
  <c r="AQ7" i="50" s="1"/>
  <c r="AR7" i="50" s="1"/>
  <c r="AS7" i="50" s="1"/>
  <c r="AT7" i="50" s="1"/>
  <c r="W8" i="46"/>
  <c r="U66" i="45"/>
  <c r="H54" i="49"/>
  <c r="J53" i="49"/>
  <c r="K53" i="49" s="1"/>
  <c r="T8" i="49"/>
  <c r="F9" i="49"/>
  <c r="G9" i="49" s="1"/>
  <c r="R7" i="45"/>
  <c r="S7" i="45" s="1"/>
  <c r="T7" i="45" s="1"/>
  <c r="U7" i="45" s="1"/>
  <c r="V7" i="45" s="1"/>
  <c r="W7" i="45" s="1"/>
  <c r="X7" i="45" s="1"/>
  <c r="Y7" i="45" s="1"/>
  <c r="Z7" i="45" s="1"/>
  <c r="AA7" i="45" s="1"/>
  <c r="AB7" i="45" s="1"/>
  <c r="AC7" i="45" s="1"/>
  <c r="AD7" i="45" s="1"/>
  <c r="AE7" i="45" s="1"/>
  <c r="AF7" i="45" s="1"/>
  <c r="AG7" i="45" s="1"/>
  <c r="AH7" i="45" s="1"/>
  <c r="AI7" i="45" s="1"/>
  <c r="AJ7" i="45" s="1"/>
  <c r="AK7" i="45" s="1"/>
  <c r="AL7" i="45" s="1"/>
  <c r="AM7" i="45" s="1"/>
  <c r="AN7" i="45" s="1"/>
  <c r="AO7" i="45" s="1"/>
  <c r="AP7" i="45" s="1"/>
  <c r="AQ7" i="45" s="1"/>
  <c r="AR7" i="45" s="1"/>
  <c r="AS7" i="45" s="1"/>
  <c r="AT7" i="45" s="1"/>
  <c r="AU7" i="45" s="1"/>
  <c r="AV7" i="45" s="1"/>
  <c r="AW7" i="45" s="1"/>
  <c r="AX7" i="45" s="1"/>
  <c r="AY7" i="45" s="1"/>
  <c r="AZ7" i="45" s="1"/>
  <c r="BA7" i="45" s="1"/>
  <c r="BB7" i="45" s="1"/>
  <c r="BC7" i="45" s="1"/>
  <c r="BD7" i="45" s="1"/>
  <c r="K62" i="50"/>
  <c r="O40" i="59" l="1"/>
  <c r="AD40" i="59" s="1"/>
  <c r="P40" i="61"/>
  <c r="AE40" i="61" s="1"/>
  <c r="O58" i="59"/>
  <c r="AD58" i="59" s="1"/>
  <c r="P58" i="61"/>
  <c r="AE58" i="61" s="1"/>
  <c r="O44" i="59"/>
  <c r="AD44" i="59" s="1"/>
  <c r="P44" i="61"/>
  <c r="AE44" i="61" s="1"/>
  <c r="O9" i="59"/>
  <c r="AD9" i="59" s="1"/>
  <c r="P9" i="61"/>
  <c r="AE9" i="61" s="1"/>
  <c r="O11" i="59"/>
  <c r="AD11" i="59" s="1"/>
  <c r="P11" i="61"/>
  <c r="AE11" i="61" s="1"/>
  <c r="O23" i="59"/>
  <c r="AD23" i="59" s="1"/>
  <c r="P23" i="61"/>
  <c r="AE23" i="61" s="1"/>
  <c r="O54" i="59"/>
  <c r="AD54" i="59" s="1"/>
  <c r="P54" i="61"/>
  <c r="AE54" i="61" s="1"/>
  <c r="O27" i="59"/>
  <c r="AD27" i="59" s="1"/>
  <c r="P27" i="61"/>
  <c r="AE27" i="61" s="1"/>
  <c r="O26" i="59"/>
  <c r="AD26" i="59" s="1"/>
  <c r="P26" i="61"/>
  <c r="AE26" i="61" s="1"/>
  <c r="O6" i="59"/>
  <c r="AD6" i="59" s="1"/>
  <c r="P6" i="61"/>
  <c r="AE6" i="61" s="1"/>
  <c r="O52" i="59"/>
  <c r="AD52" i="59" s="1"/>
  <c r="P52" i="61"/>
  <c r="AE52" i="61" s="1"/>
  <c r="O15" i="59"/>
  <c r="AD15" i="59" s="1"/>
  <c r="P15" i="61"/>
  <c r="AE15" i="61" s="1"/>
  <c r="O29" i="59"/>
  <c r="AD29" i="59" s="1"/>
  <c r="P29" i="61"/>
  <c r="AE29" i="61" s="1"/>
  <c r="O24" i="59"/>
  <c r="AD24" i="59" s="1"/>
  <c r="P24" i="61"/>
  <c r="AE24" i="61" s="1"/>
  <c r="O38" i="59"/>
  <c r="AD38" i="59" s="1"/>
  <c r="P38" i="61"/>
  <c r="AE38" i="61" s="1"/>
  <c r="O30" i="59"/>
  <c r="AD30" i="59" s="1"/>
  <c r="P30" i="61"/>
  <c r="AE30" i="61" s="1"/>
  <c r="O10" i="59"/>
  <c r="AD10" i="59" s="1"/>
  <c r="P10" i="61"/>
  <c r="AE10" i="61" s="1"/>
  <c r="O7" i="59"/>
  <c r="AD7" i="59" s="1"/>
  <c r="P7" i="61"/>
  <c r="AE7" i="61" s="1"/>
  <c r="O8" i="59"/>
  <c r="AD8" i="59" s="1"/>
  <c r="P8" i="61"/>
  <c r="AE8" i="61" s="1"/>
  <c r="J44" i="52"/>
  <c r="V44" i="52" s="1"/>
  <c r="O60" i="59"/>
  <c r="AD60" i="59" s="1"/>
  <c r="P60" i="61"/>
  <c r="AE60" i="61" s="1"/>
  <c r="O37" i="59"/>
  <c r="AD37" i="59" s="1"/>
  <c r="P37" i="61"/>
  <c r="AE37" i="61" s="1"/>
  <c r="O59" i="59"/>
  <c r="AD59" i="59" s="1"/>
  <c r="P59" i="61"/>
  <c r="AE59" i="61" s="1"/>
  <c r="J11" i="52"/>
  <c r="V11" i="52" s="1"/>
  <c r="J30" i="52"/>
  <c r="V30" i="52" s="1"/>
  <c r="O39" i="59"/>
  <c r="AD39" i="59" s="1"/>
  <c r="P39" i="61"/>
  <c r="AE39" i="61" s="1"/>
  <c r="O13" i="59"/>
  <c r="AD13" i="59" s="1"/>
  <c r="P13" i="61"/>
  <c r="AE13" i="61" s="1"/>
  <c r="O42" i="59"/>
  <c r="AD42" i="59" s="1"/>
  <c r="P42" i="61"/>
  <c r="AE42" i="61" s="1"/>
  <c r="J23" i="52"/>
  <c r="V23" i="52" s="1"/>
  <c r="O56" i="59"/>
  <c r="AD56" i="59" s="1"/>
  <c r="P56" i="61"/>
  <c r="AE56" i="61" s="1"/>
  <c r="O25" i="59"/>
  <c r="AD25" i="59" s="1"/>
  <c r="P25" i="61"/>
  <c r="AE25" i="61" s="1"/>
  <c r="J58" i="52"/>
  <c r="V58" i="52" s="1"/>
  <c r="J38" i="52"/>
  <c r="V38" i="52" s="1"/>
  <c r="O28" i="59"/>
  <c r="AD28" i="59" s="1"/>
  <c r="P28" i="61"/>
  <c r="AE28" i="61" s="1"/>
  <c r="O45" i="59"/>
  <c r="AD45" i="59" s="1"/>
  <c r="P45" i="61"/>
  <c r="AE45" i="61" s="1"/>
  <c r="O14" i="59"/>
  <c r="AD14" i="59" s="1"/>
  <c r="P14" i="61"/>
  <c r="AE14" i="61" s="1"/>
  <c r="J39" i="52"/>
  <c r="V39" i="52" s="1"/>
  <c r="J28" i="52"/>
  <c r="V28" i="52" s="1"/>
  <c r="J9" i="52"/>
  <c r="V9" i="52" s="1"/>
  <c r="J42" i="52"/>
  <c r="V42" i="52" s="1"/>
  <c r="O41" i="59"/>
  <c r="AD41" i="59" s="1"/>
  <c r="J41" i="52"/>
  <c r="V41" i="52" s="1"/>
  <c r="O57" i="59"/>
  <c r="AD57" i="59" s="1"/>
  <c r="J57" i="52"/>
  <c r="V57" i="52" s="1"/>
  <c r="J15" i="52"/>
  <c r="V15" i="52" s="1"/>
  <c r="J13" i="52"/>
  <c r="V13" i="52" s="1"/>
  <c r="J25" i="52"/>
  <c r="V25" i="52" s="1"/>
  <c r="J29" i="52"/>
  <c r="V29" i="52" s="1"/>
  <c r="O12" i="59"/>
  <c r="AD12" i="59" s="1"/>
  <c r="J12" i="52"/>
  <c r="V12" i="52" s="1"/>
  <c r="J56" i="52"/>
  <c r="V56" i="52" s="1"/>
  <c r="J10" i="52"/>
  <c r="V10" i="52" s="1"/>
  <c r="J34" i="34"/>
  <c r="P22" i="61" s="1"/>
  <c r="AE22" i="61" s="1"/>
  <c r="J24" i="52"/>
  <c r="V24" i="52" s="1"/>
  <c r="J40" i="52"/>
  <c r="V40" i="52" s="1"/>
  <c r="J45" i="52"/>
  <c r="V45" i="52" s="1"/>
  <c r="O43" i="59"/>
  <c r="AD43" i="59" s="1"/>
  <c r="J43" i="52"/>
  <c r="V43" i="52" s="1"/>
  <c r="J26" i="52"/>
  <c r="V26" i="52" s="1"/>
  <c r="J27" i="52"/>
  <c r="V27" i="52" s="1"/>
  <c r="O53" i="59"/>
  <c r="AD53" i="59" s="1"/>
  <c r="J53" i="52"/>
  <c r="V53" i="52" s="1"/>
  <c r="O55" i="59"/>
  <c r="AD55" i="59" s="1"/>
  <c r="J55" i="52"/>
  <c r="V55" i="52" s="1"/>
  <c r="J14" i="52"/>
  <c r="V14" i="52" s="1"/>
  <c r="G9" i="43"/>
  <c r="X8" i="46"/>
  <c r="Y8" i="46" s="1"/>
  <c r="Z8" i="46" s="1"/>
  <c r="AA8" i="46" s="1"/>
  <c r="AB8" i="46" s="1"/>
  <c r="AC8" i="46" s="1"/>
  <c r="AD8" i="46" s="1"/>
  <c r="AE8" i="46" s="1"/>
  <c r="AF8" i="46" s="1"/>
  <c r="AG8" i="46" s="1"/>
  <c r="AH8" i="46" s="1"/>
  <c r="AI8" i="46" s="1"/>
  <c r="AJ8" i="46" s="1"/>
  <c r="AK8" i="46" s="1"/>
  <c r="AL8" i="46" s="1"/>
  <c r="AM8" i="46" s="1"/>
  <c r="AN8" i="46" s="1"/>
  <c r="AO8" i="46" s="1"/>
  <c r="AP8" i="46" s="1"/>
  <c r="AQ8" i="46" s="1"/>
  <c r="AR8" i="46" s="1"/>
  <c r="AS8" i="46" s="1"/>
  <c r="AT8" i="46" s="1"/>
  <c r="AU8" i="46" s="1"/>
  <c r="AV8" i="46" s="1"/>
  <c r="AW8" i="46" s="1"/>
  <c r="AX8" i="46" s="1"/>
  <c r="AY8" i="46" s="1"/>
  <c r="AZ8" i="46" s="1"/>
  <c r="BA8" i="46" s="1"/>
  <c r="BB8" i="46" s="1"/>
  <c r="BC8" i="46" s="1"/>
  <c r="BD8" i="46" s="1"/>
  <c r="BE8" i="46" s="1"/>
  <c r="BF8" i="46" s="1"/>
  <c r="BG8" i="46" s="1"/>
  <c r="BH8" i="46" s="1"/>
  <c r="BI8" i="46" s="1"/>
  <c r="BJ8" i="46" s="1"/>
  <c r="BK8" i="46" s="1"/>
  <c r="BL8" i="46" s="1"/>
  <c r="BM8" i="46" s="1"/>
  <c r="BN8" i="46" s="1"/>
  <c r="BO8" i="46" s="1"/>
  <c r="BP8" i="46" s="1"/>
  <c r="BQ8" i="46" s="1"/>
  <c r="BR8" i="46" s="1"/>
  <c r="BS8" i="46" s="1"/>
  <c r="BT8" i="46" s="1"/>
  <c r="BU8" i="46" s="1"/>
  <c r="BV8" i="46" s="1"/>
  <c r="BW8" i="46" s="1"/>
  <c r="BX8" i="46" s="1"/>
  <c r="BY8" i="46" s="1"/>
  <c r="BZ8" i="46" s="1"/>
  <c r="CA8" i="46" s="1"/>
  <c r="CB8" i="46" s="1"/>
  <c r="CC8" i="46" s="1"/>
  <c r="CD8" i="46" s="1"/>
  <c r="CE8" i="46" s="1"/>
  <c r="CF8" i="46" s="1"/>
  <c r="CG8" i="46" s="1"/>
  <c r="CH8" i="46" s="1"/>
  <c r="CI8" i="46" s="1"/>
  <c r="CJ8" i="46" s="1"/>
  <c r="CK8" i="46" s="1"/>
  <c r="CL8" i="46" s="1"/>
  <c r="CM8" i="46" s="1"/>
  <c r="CN8" i="46" s="1"/>
  <c r="CO8" i="46" s="1"/>
  <c r="CP8" i="46" s="1"/>
  <c r="CQ8" i="46" s="1"/>
  <c r="CR8" i="46" s="1"/>
  <c r="CS8" i="46" s="1"/>
  <c r="CT8" i="46" s="1"/>
  <c r="CU8" i="46" s="1"/>
  <c r="CV8" i="46" s="1"/>
  <c r="CW8" i="46" s="1"/>
  <c r="CX8" i="46" s="1"/>
  <c r="CY8" i="46" s="1"/>
  <c r="CZ8" i="46" s="1"/>
  <c r="DA8" i="46" s="1"/>
  <c r="DB8" i="46" s="1"/>
  <c r="DC8" i="46" s="1"/>
  <c r="DD8" i="46" s="1"/>
  <c r="DE8" i="46" s="1"/>
  <c r="DF8" i="46" s="1"/>
  <c r="DG8" i="46" s="1"/>
  <c r="DH8" i="46" s="1"/>
  <c r="DI8" i="46" s="1"/>
  <c r="DJ8" i="46" s="1"/>
  <c r="DK8" i="46" s="1"/>
  <c r="DL8" i="46" s="1"/>
  <c r="DM8" i="46" s="1"/>
  <c r="DN8" i="46" s="1"/>
  <c r="DO8" i="46" s="1"/>
  <c r="DP8" i="46" s="1"/>
  <c r="DQ8" i="46" s="1"/>
  <c r="DR8" i="46" s="1"/>
  <c r="H9" i="46"/>
  <c r="I9" i="46" s="1"/>
  <c r="G9" i="45"/>
  <c r="G9" i="50"/>
  <c r="G9" i="46"/>
  <c r="J21" i="52"/>
  <c r="V21" i="52" s="1"/>
  <c r="O21" i="59"/>
  <c r="AD21" i="59" s="1"/>
  <c r="J51" i="52"/>
  <c r="V51" i="52" s="1"/>
  <c r="O51" i="59"/>
  <c r="AD51" i="59" s="1"/>
  <c r="J7" i="52"/>
  <c r="V7" i="52" s="1"/>
  <c r="J36" i="52"/>
  <c r="V36" i="52" s="1"/>
  <c r="O36" i="59"/>
  <c r="AD36" i="59" s="1"/>
  <c r="T9" i="43"/>
  <c r="U9" i="43" s="1"/>
  <c r="H9" i="50"/>
  <c r="I9" i="50" s="1"/>
  <c r="Z7" i="46"/>
  <c r="G10" i="43"/>
  <c r="N10" i="45"/>
  <c r="F10" i="50"/>
  <c r="Q10" i="50" s="1"/>
  <c r="R10" i="50" s="1"/>
  <c r="S10" i="50" s="1"/>
  <c r="T10" i="50" s="1"/>
  <c r="U10" i="50" s="1"/>
  <c r="V10" i="50" s="1"/>
  <c r="W10" i="50" s="1"/>
  <c r="X10" i="50" s="1"/>
  <c r="Y10" i="50" s="1"/>
  <c r="Z10" i="50" s="1"/>
  <c r="AA10" i="50" s="1"/>
  <c r="AB10" i="50" s="1"/>
  <c r="AC10" i="50" s="1"/>
  <c r="AD10" i="50" s="1"/>
  <c r="AE10" i="50" s="1"/>
  <c r="AF10" i="50" s="1"/>
  <c r="AG10" i="50" s="1"/>
  <c r="AH10" i="50" s="1"/>
  <c r="AI10" i="50" s="1"/>
  <c r="AJ10" i="50" s="1"/>
  <c r="AK10" i="50" s="1"/>
  <c r="AL10" i="50" s="1"/>
  <c r="AM10" i="50" s="1"/>
  <c r="AN10" i="50" s="1"/>
  <c r="AO10" i="50" s="1"/>
  <c r="AP10" i="50" s="1"/>
  <c r="AQ10" i="50" s="1"/>
  <c r="AR10" i="50" s="1"/>
  <c r="AS10" i="50" s="1"/>
  <c r="AT10" i="50" s="1"/>
  <c r="F10" i="46"/>
  <c r="O10" i="46" s="1"/>
  <c r="F10" i="45"/>
  <c r="H10" i="45" s="1"/>
  <c r="I10" i="45" s="1"/>
  <c r="H9" i="45"/>
  <c r="I9" i="45" s="1"/>
  <c r="F11" i="46"/>
  <c r="O11" i="46" s="1"/>
  <c r="N11" i="45"/>
  <c r="F11" i="45"/>
  <c r="Q11" i="45" s="1"/>
  <c r="R11" i="45" s="1"/>
  <c r="S11" i="45" s="1"/>
  <c r="T11" i="45" s="1"/>
  <c r="U11" i="45" s="1"/>
  <c r="V11" i="45" s="1"/>
  <c r="W11" i="45" s="1"/>
  <c r="X11" i="45" s="1"/>
  <c r="Y11" i="45" s="1"/>
  <c r="Z11" i="45" s="1"/>
  <c r="AA11" i="45" s="1"/>
  <c r="AB11" i="45" s="1"/>
  <c r="AC11" i="45" s="1"/>
  <c r="AD11" i="45" s="1"/>
  <c r="AE11" i="45" s="1"/>
  <c r="AF11" i="45" s="1"/>
  <c r="AG11" i="45" s="1"/>
  <c r="AH11" i="45" s="1"/>
  <c r="AI11" i="45" s="1"/>
  <c r="AJ11" i="45" s="1"/>
  <c r="AK11" i="45" s="1"/>
  <c r="AL11" i="45" s="1"/>
  <c r="AM11" i="45" s="1"/>
  <c r="AN11" i="45" s="1"/>
  <c r="AO11" i="45" s="1"/>
  <c r="AP11" i="45" s="1"/>
  <c r="AQ11" i="45" s="1"/>
  <c r="AR11" i="45" s="1"/>
  <c r="AS11" i="45" s="1"/>
  <c r="AT11" i="45" s="1"/>
  <c r="AU11" i="45" s="1"/>
  <c r="AV11" i="45" s="1"/>
  <c r="AW11" i="45" s="1"/>
  <c r="AX11" i="45" s="1"/>
  <c r="AY11" i="45" s="1"/>
  <c r="AZ11" i="45" s="1"/>
  <c r="BA11" i="45" s="1"/>
  <c r="BB11" i="45" s="1"/>
  <c r="BC11" i="45" s="1"/>
  <c r="BD11" i="45" s="1"/>
  <c r="F11" i="50"/>
  <c r="Q11" i="50" s="1"/>
  <c r="R11" i="50" s="1"/>
  <c r="S11" i="50" s="1"/>
  <c r="T11" i="50" s="1"/>
  <c r="U11" i="50" s="1"/>
  <c r="V11" i="50" s="1"/>
  <c r="W11" i="50" s="1"/>
  <c r="X11" i="50" s="1"/>
  <c r="Y11" i="50" s="1"/>
  <c r="Z11" i="50" s="1"/>
  <c r="AA11" i="50" s="1"/>
  <c r="AB11" i="50" s="1"/>
  <c r="AC11" i="50" s="1"/>
  <c r="AD11" i="50" s="1"/>
  <c r="AE11" i="50" s="1"/>
  <c r="AF11" i="50" s="1"/>
  <c r="AG11" i="50" s="1"/>
  <c r="AH11" i="50" s="1"/>
  <c r="AI11" i="50" s="1"/>
  <c r="AJ11" i="50" s="1"/>
  <c r="AK11" i="50" s="1"/>
  <c r="AL11" i="50" s="1"/>
  <c r="AM11" i="50" s="1"/>
  <c r="AN11" i="50" s="1"/>
  <c r="AO11" i="50" s="1"/>
  <c r="AP11" i="50" s="1"/>
  <c r="AQ11" i="50" s="1"/>
  <c r="AR11" i="50" s="1"/>
  <c r="AS11" i="50" s="1"/>
  <c r="AT11" i="50" s="1"/>
  <c r="T10" i="43"/>
  <c r="U10" i="43" s="1"/>
  <c r="W9" i="46"/>
  <c r="O9" i="46"/>
  <c r="K9" i="46"/>
  <c r="N9" i="46" s="1"/>
  <c r="U8" i="49"/>
  <c r="P57" i="49"/>
  <c r="P58" i="49" s="1"/>
  <c r="L56" i="49"/>
  <c r="K9" i="50"/>
  <c r="J8" i="45"/>
  <c r="K7" i="50"/>
  <c r="J7" i="45"/>
  <c r="K7" i="45"/>
  <c r="J9" i="50"/>
  <c r="K9" i="45"/>
  <c r="T9" i="49"/>
  <c r="U9" i="49" s="1"/>
  <c r="J8" i="50"/>
  <c r="J9" i="45"/>
  <c r="J54" i="49"/>
  <c r="K54" i="49" s="1"/>
  <c r="N60" i="49"/>
  <c r="N61" i="49" s="1"/>
  <c r="H55" i="49"/>
  <c r="F10" i="49"/>
  <c r="G10" i="49" s="1"/>
  <c r="K8" i="45"/>
  <c r="K8" i="50"/>
  <c r="V66" i="45"/>
  <c r="J7" i="50"/>
  <c r="R55" i="49"/>
  <c r="O22" i="59" l="1"/>
  <c r="AD22" i="59" s="1"/>
  <c r="J22" i="52"/>
  <c r="V22" i="52" s="1"/>
  <c r="J8" i="46"/>
  <c r="X9" i="46"/>
  <c r="Y9" i="46" s="1"/>
  <c r="Z9" i="46" s="1"/>
  <c r="AA9" i="46" s="1"/>
  <c r="AB9" i="46" s="1"/>
  <c r="AC9" i="46" s="1"/>
  <c r="AD9" i="46" s="1"/>
  <c r="AE9" i="46" s="1"/>
  <c r="AF9" i="46" s="1"/>
  <c r="AG9" i="46" s="1"/>
  <c r="AH9" i="46" s="1"/>
  <c r="AI9" i="46" s="1"/>
  <c r="AJ9" i="46" s="1"/>
  <c r="AK9" i="46" s="1"/>
  <c r="AL9" i="46" s="1"/>
  <c r="AM9" i="46" s="1"/>
  <c r="AN9" i="46" s="1"/>
  <c r="AO9" i="46" s="1"/>
  <c r="AP9" i="46" s="1"/>
  <c r="AQ9" i="46" s="1"/>
  <c r="AR9" i="46" s="1"/>
  <c r="AS9" i="46" s="1"/>
  <c r="AT9" i="46" s="1"/>
  <c r="AU9" i="46" s="1"/>
  <c r="AV9" i="46" s="1"/>
  <c r="AW9" i="46" s="1"/>
  <c r="AX9" i="46" s="1"/>
  <c r="AY9" i="46" s="1"/>
  <c r="AZ9" i="46" s="1"/>
  <c r="BA9" i="46" s="1"/>
  <c r="BB9" i="46" s="1"/>
  <c r="BC9" i="46" s="1"/>
  <c r="BD9" i="46" s="1"/>
  <c r="BE9" i="46" s="1"/>
  <c r="BF9" i="46" s="1"/>
  <c r="BG9" i="46" s="1"/>
  <c r="BH9" i="46" s="1"/>
  <c r="BI9" i="46" s="1"/>
  <c r="BJ9" i="46" s="1"/>
  <c r="BK9" i="46" s="1"/>
  <c r="BL9" i="46" s="1"/>
  <c r="BM9" i="46" s="1"/>
  <c r="BN9" i="46" s="1"/>
  <c r="BO9" i="46" s="1"/>
  <c r="BP9" i="46" s="1"/>
  <c r="BQ9" i="46" s="1"/>
  <c r="BR9" i="46" s="1"/>
  <c r="BS9" i="46" s="1"/>
  <c r="BT9" i="46" s="1"/>
  <c r="BU9" i="46" s="1"/>
  <c r="BV9" i="46" s="1"/>
  <c r="BW9" i="46" s="1"/>
  <c r="BX9" i="46" s="1"/>
  <c r="BY9" i="46" s="1"/>
  <c r="BZ9" i="46" s="1"/>
  <c r="CA9" i="46" s="1"/>
  <c r="CB9" i="46" s="1"/>
  <c r="CC9" i="46" s="1"/>
  <c r="CD9" i="46" s="1"/>
  <c r="CE9" i="46" s="1"/>
  <c r="CF9" i="46" s="1"/>
  <c r="CG9" i="46" s="1"/>
  <c r="CH9" i="46" s="1"/>
  <c r="CI9" i="46" s="1"/>
  <c r="CJ9" i="46" s="1"/>
  <c r="CK9" i="46" s="1"/>
  <c r="CL9" i="46" s="1"/>
  <c r="CM9" i="46" s="1"/>
  <c r="CN9" i="46" s="1"/>
  <c r="CO9" i="46" s="1"/>
  <c r="CP9" i="46" s="1"/>
  <c r="CQ9" i="46" s="1"/>
  <c r="CR9" i="46" s="1"/>
  <c r="CS9" i="46" s="1"/>
  <c r="CT9" i="46" s="1"/>
  <c r="CU9" i="46" s="1"/>
  <c r="CV9" i="46" s="1"/>
  <c r="CW9" i="46" s="1"/>
  <c r="CX9" i="46" s="1"/>
  <c r="CY9" i="46" s="1"/>
  <c r="CZ9" i="46" s="1"/>
  <c r="DA9" i="46" s="1"/>
  <c r="DB9" i="46" s="1"/>
  <c r="DC9" i="46" s="1"/>
  <c r="DD9" i="46" s="1"/>
  <c r="DE9" i="46" s="1"/>
  <c r="DF9" i="46" s="1"/>
  <c r="DG9" i="46" s="1"/>
  <c r="DH9" i="46" s="1"/>
  <c r="DI9" i="46" s="1"/>
  <c r="DJ9" i="46" s="1"/>
  <c r="DK9" i="46" s="1"/>
  <c r="DL9" i="46" s="1"/>
  <c r="DM9" i="46" s="1"/>
  <c r="DN9" i="46" s="1"/>
  <c r="DO9" i="46" s="1"/>
  <c r="DP9" i="46" s="1"/>
  <c r="DQ9" i="46" s="1"/>
  <c r="DR9" i="46" s="1"/>
  <c r="G10" i="46"/>
  <c r="G10" i="45"/>
  <c r="G10" i="50"/>
  <c r="AA7" i="46"/>
  <c r="T11" i="43"/>
  <c r="U11" i="43" s="1"/>
  <c r="Q10" i="45"/>
  <c r="R10" i="45" s="1"/>
  <c r="S10" i="45" s="1"/>
  <c r="T10" i="45" s="1"/>
  <c r="U10" i="45" s="1"/>
  <c r="V10" i="45" s="1"/>
  <c r="W10" i="45" s="1"/>
  <c r="X10" i="45" s="1"/>
  <c r="Y10" i="45" s="1"/>
  <c r="Z10" i="45" s="1"/>
  <c r="AA10" i="45" s="1"/>
  <c r="AB10" i="45" s="1"/>
  <c r="AC10" i="45" s="1"/>
  <c r="AD10" i="45" s="1"/>
  <c r="AE10" i="45" s="1"/>
  <c r="AF10" i="45" s="1"/>
  <c r="AG10" i="45" s="1"/>
  <c r="AH10" i="45" s="1"/>
  <c r="AI10" i="45" s="1"/>
  <c r="AJ10" i="45" s="1"/>
  <c r="AK10" i="45" s="1"/>
  <c r="AL10" i="45" s="1"/>
  <c r="AM10" i="45" s="1"/>
  <c r="AN10" i="45" s="1"/>
  <c r="AO10" i="45" s="1"/>
  <c r="AP10" i="45" s="1"/>
  <c r="AQ10" i="45" s="1"/>
  <c r="AR10" i="45" s="1"/>
  <c r="AS10" i="45" s="1"/>
  <c r="AT10" i="45" s="1"/>
  <c r="AU10" i="45" s="1"/>
  <c r="AV10" i="45" s="1"/>
  <c r="AW10" i="45" s="1"/>
  <c r="AX10" i="45" s="1"/>
  <c r="AY10" i="45" s="1"/>
  <c r="AZ10" i="45" s="1"/>
  <c r="BA10" i="45" s="1"/>
  <c r="BB10" i="45" s="1"/>
  <c r="BC10" i="45" s="1"/>
  <c r="BD10" i="45" s="1"/>
  <c r="W10" i="46"/>
  <c r="H11" i="46"/>
  <c r="I11" i="46" s="1"/>
  <c r="H10" i="46"/>
  <c r="I10" i="46" s="1"/>
  <c r="M10" i="46"/>
  <c r="K11" i="46"/>
  <c r="N11" i="46" s="1"/>
  <c r="K10" i="46"/>
  <c r="N10" i="46" s="1"/>
  <c r="H10" i="50"/>
  <c r="I10" i="50" s="1"/>
  <c r="H11" i="50"/>
  <c r="I11" i="50" s="1"/>
  <c r="G12" i="43"/>
  <c r="G11" i="45"/>
  <c r="M11" i="46"/>
  <c r="W11" i="46"/>
  <c r="F12" i="50"/>
  <c r="H12" i="50" s="1"/>
  <c r="I12" i="50" s="1"/>
  <c r="G11" i="43"/>
  <c r="F12" i="46"/>
  <c r="K12" i="46" s="1"/>
  <c r="N12" i="46" s="1"/>
  <c r="N12" i="45"/>
  <c r="G11" i="46"/>
  <c r="G11" i="50"/>
  <c r="H11" i="45"/>
  <c r="I11" i="45" s="1"/>
  <c r="J52" i="52"/>
  <c r="V52" i="52" s="1"/>
  <c r="K52" i="52"/>
  <c r="W52" i="52" s="1"/>
  <c r="N62" i="49"/>
  <c r="N63" i="49" s="1"/>
  <c r="N64" i="49" s="1"/>
  <c r="O64" i="49" s="1"/>
  <c r="L57" i="49"/>
  <c r="J11" i="50"/>
  <c r="J10" i="50"/>
  <c r="K10" i="50"/>
  <c r="K11" i="50"/>
  <c r="P59" i="49"/>
  <c r="W66" i="45"/>
  <c r="J11" i="45"/>
  <c r="K11" i="45"/>
  <c r="R56" i="49"/>
  <c r="R57" i="49" s="1"/>
  <c r="T10" i="49"/>
  <c r="U10" i="49" s="1"/>
  <c r="F11" i="49"/>
  <c r="G11" i="49" s="1"/>
  <c r="H56" i="49"/>
  <c r="J55" i="49"/>
  <c r="K55" i="49" s="1"/>
  <c r="J9" i="46" l="1"/>
  <c r="X10" i="46"/>
  <c r="Y10" i="46" s="1"/>
  <c r="Z10" i="46" s="1"/>
  <c r="AA10" i="46" s="1"/>
  <c r="AB10" i="46" s="1"/>
  <c r="AC10" i="46" s="1"/>
  <c r="AD10" i="46" s="1"/>
  <c r="AE10" i="46" s="1"/>
  <c r="AF10" i="46" s="1"/>
  <c r="AG10" i="46" s="1"/>
  <c r="AH10" i="46" s="1"/>
  <c r="AI10" i="46" s="1"/>
  <c r="AJ10" i="46" s="1"/>
  <c r="AK10" i="46" s="1"/>
  <c r="AL10" i="46" s="1"/>
  <c r="AM10" i="46" s="1"/>
  <c r="AN10" i="46" s="1"/>
  <c r="AO10" i="46" s="1"/>
  <c r="AP10" i="46" s="1"/>
  <c r="AQ10" i="46" s="1"/>
  <c r="AR10" i="46" s="1"/>
  <c r="AS10" i="46" s="1"/>
  <c r="AT10" i="46" s="1"/>
  <c r="AU10" i="46" s="1"/>
  <c r="AV10" i="46" s="1"/>
  <c r="AW10" i="46" s="1"/>
  <c r="AX10" i="46" s="1"/>
  <c r="AY10" i="46" s="1"/>
  <c r="AZ10" i="46" s="1"/>
  <c r="BA10" i="46" s="1"/>
  <c r="BB10" i="46" s="1"/>
  <c r="BC10" i="46" s="1"/>
  <c r="BD10" i="46" s="1"/>
  <c r="BE10" i="46" s="1"/>
  <c r="BF10" i="46" s="1"/>
  <c r="BG10" i="46" s="1"/>
  <c r="BH10" i="46" s="1"/>
  <c r="BI10" i="46" s="1"/>
  <c r="BJ10" i="46" s="1"/>
  <c r="BK10" i="46" s="1"/>
  <c r="BL10" i="46" s="1"/>
  <c r="BM10" i="46" s="1"/>
  <c r="BN10" i="46" s="1"/>
  <c r="BO10" i="46" s="1"/>
  <c r="BP10" i="46" s="1"/>
  <c r="BQ10" i="46" s="1"/>
  <c r="BR10" i="46" s="1"/>
  <c r="BS10" i="46" s="1"/>
  <c r="BT10" i="46" s="1"/>
  <c r="BU10" i="46" s="1"/>
  <c r="BV10" i="46" s="1"/>
  <c r="BW10" i="46" s="1"/>
  <c r="BX10" i="46" s="1"/>
  <c r="BY10" i="46" s="1"/>
  <c r="BZ10" i="46" s="1"/>
  <c r="CA10" i="46" s="1"/>
  <c r="CB10" i="46" s="1"/>
  <c r="CC10" i="46" s="1"/>
  <c r="CD10" i="46" s="1"/>
  <c r="CE10" i="46" s="1"/>
  <c r="CF10" i="46" s="1"/>
  <c r="CG10" i="46" s="1"/>
  <c r="CH10" i="46" s="1"/>
  <c r="CI10" i="46" s="1"/>
  <c r="CJ10" i="46" s="1"/>
  <c r="CK10" i="46" s="1"/>
  <c r="CL10" i="46" s="1"/>
  <c r="CM10" i="46" s="1"/>
  <c r="CN10" i="46" s="1"/>
  <c r="CO10" i="46" s="1"/>
  <c r="CP10" i="46" s="1"/>
  <c r="CQ10" i="46" s="1"/>
  <c r="CR10" i="46" s="1"/>
  <c r="CS10" i="46" s="1"/>
  <c r="CT10" i="46" s="1"/>
  <c r="CU10" i="46" s="1"/>
  <c r="CV10" i="46" s="1"/>
  <c r="CW10" i="46" s="1"/>
  <c r="CX10" i="46" s="1"/>
  <c r="CY10" i="46" s="1"/>
  <c r="CZ10" i="46" s="1"/>
  <c r="DA10" i="46" s="1"/>
  <c r="DB10" i="46" s="1"/>
  <c r="DC10" i="46" s="1"/>
  <c r="DD10" i="46" s="1"/>
  <c r="DE10" i="46" s="1"/>
  <c r="DF10" i="46" s="1"/>
  <c r="DG10" i="46" s="1"/>
  <c r="DH10" i="46" s="1"/>
  <c r="DI10" i="46" s="1"/>
  <c r="DJ10" i="46" s="1"/>
  <c r="DK10" i="46" s="1"/>
  <c r="DL10" i="46" s="1"/>
  <c r="DM10" i="46" s="1"/>
  <c r="DN10" i="46" s="1"/>
  <c r="DO10" i="46" s="1"/>
  <c r="DP10" i="46" s="1"/>
  <c r="DQ10" i="46" s="1"/>
  <c r="DR10" i="46" s="1"/>
  <c r="X11" i="46"/>
  <c r="Y11" i="46" s="1"/>
  <c r="Z11" i="46" s="1"/>
  <c r="AA11" i="46" s="1"/>
  <c r="AB11" i="46" s="1"/>
  <c r="AC11" i="46" s="1"/>
  <c r="AD11" i="46" s="1"/>
  <c r="AE11" i="46" s="1"/>
  <c r="AF11" i="46" s="1"/>
  <c r="AG11" i="46" s="1"/>
  <c r="AH11" i="46" s="1"/>
  <c r="AI11" i="46" s="1"/>
  <c r="AJ11" i="46" s="1"/>
  <c r="AK11" i="46" s="1"/>
  <c r="AL11" i="46" s="1"/>
  <c r="AM11" i="46" s="1"/>
  <c r="AN11" i="46" s="1"/>
  <c r="AO11" i="46" s="1"/>
  <c r="AP11" i="46" s="1"/>
  <c r="AQ11" i="46" s="1"/>
  <c r="AR11" i="46" s="1"/>
  <c r="AS11" i="46" s="1"/>
  <c r="AT11" i="46" s="1"/>
  <c r="AU11" i="46" s="1"/>
  <c r="AV11" i="46" s="1"/>
  <c r="AW11" i="46" s="1"/>
  <c r="AX11" i="46" s="1"/>
  <c r="AY11" i="46" s="1"/>
  <c r="AZ11" i="46" s="1"/>
  <c r="BA11" i="46" s="1"/>
  <c r="BB11" i="46" s="1"/>
  <c r="BC11" i="46" s="1"/>
  <c r="BD11" i="46" s="1"/>
  <c r="BE11" i="46" s="1"/>
  <c r="BF11" i="46" s="1"/>
  <c r="BG11" i="46" s="1"/>
  <c r="BH11" i="46" s="1"/>
  <c r="BI11" i="46" s="1"/>
  <c r="BJ11" i="46" s="1"/>
  <c r="BK11" i="46" s="1"/>
  <c r="BL11" i="46" s="1"/>
  <c r="BM11" i="46" s="1"/>
  <c r="BN11" i="46" s="1"/>
  <c r="BO11" i="46" s="1"/>
  <c r="BP11" i="46" s="1"/>
  <c r="BQ11" i="46" s="1"/>
  <c r="BR11" i="46" s="1"/>
  <c r="BS11" i="46" s="1"/>
  <c r="BT11" i="46" s="1"/>
  <c r="BU11" i="46" s="1"/>
  <c r="BV11" i="46" s="1"/>
  <c r="BW11" i="46" s="1"/>
  <c r="BX11" i="46" s="1"/>
  <c r="BY11" i="46" s="1"/>
  <c r="BZ11" i="46" s="1"/>
  <c r="CA11" i="46" s="1"/>
  <c r="CB11" i="46" s="1"/>
  <c r="CC11" i="46" s="1"/>
  <c r="CD11" i="46" s="1"/>
  <c r="CE11" i="46" s="1"/>
  <c r="CF11" i="46" s="1"/>
  <c r="CG11" i="46" s="1"/>
  <c r="CH11" i="46" s="1"/>
  <c r="CI11" i="46" s="1"/>
  <c r="CJ11" i="46" s="1"/>
  <c r="CK11" i="46" s="1"/>
  <c r="CL11" i="46" s="1"/>
  <c r="CM11" i="46" s="1"/>
  <c r="CN11" i="46" s="1"/>
  <c r="CO11" i="46" s="1"/>
  <c r="CP11" i="46" s="1"/>
  <c r="CQ11" i="46" s="1"/>
  <c r="CR11" i="46" s="1"/>
  <c r="CS11" i="46" s="1"/>
  <c r="CT11" i="46" s="1"/>
  <c r="CU11" i="46" s="1"/>
  <c r="CV11" i="46" s="1"/>
  <c r="CW11" i="46" s="1"/>
  <c r="CX11" i="46" s="1"/>
  <c r="CY11" i="46" s="1"/>
  <c r="CZ11" i="46" s="1"/>
  <c r="DA11" i="46" s="1"/>
  <c r="DB11" i="46" s="1"/>
  <c r="DC11" i="46" s="1"/>
  <c r="DD11" i="46" s="1"/>
  <c r="DE11" i="46" s="1"/>
  <c r="DF11" i="46" s="1"/>
  <c r="DG11" i="46" s="1"/>
  <c r="DH11" i="46" s="1"/>
  <c r="DI11" i="46" s="1"/>
  <c r="DJ11" i="46" s="1"/>
  <c r="DK11" i="46" s="1"/>
  <c r="DL11" i="46" s="1"/>
  <c r="DM11" i="46" s="1"/>
  <c r="DN11" i="46" s="1"/>
  <c r="DO11" i="46" s="1"/>
  <c r="DP11" i="46" s="1"/>
  <c r="DQ11" i="46" s="1"/>
  <c r="DR11" i="46" s="1"/>
  <c r="G12" i="46"/>
  <c r="AB7" i="46"/>
  <c r="G12" i="45"/>
  <c r="F12" i="45"/>
  <c r="Q12" i="45" s="1"/>
  <c r="R12" i="45" s="1"/>
  <c r="S12" i="45" s="1"/>
  <c r="T12" i="45" s="1"/>
  <c r="U12" i="45" s="1"/>
  <c r="V12" i="45" s="1"/>
  <c r="W12" i="45" s="1"/>
  <c r="X12" i="45" s="1"/>
  <c r="Y12" i="45" s="1"/>
  <c r="Z12" i="45" s="1"/>
  <c r="AA12" i="45" s="1"/>
  <c r="AB12" i="45" s="1"/>
  <c r="AC12" i="45" s="1"/>
  <c r="AD12" i="45" s="1"/>
  <c r="AE12" i="45" s="1"/>
  <c r="AF12" i="45" s="1"/>
  <c r="AG12" i="45" s="1"/>
  <c r="AH12" i="45" s="1"/>
  <c r="AI12" i="45" s="1"/>
  <c r="AJ12" i="45" s="1"/>
  <c r="AK12" i="45" s="1"/>
  <c r="AL12" i="45" s="1"/>
  <c r="AM12" i="45" s="1"/>
  <c r="AN12" i="45" s="1"/>
  <c r="AO12" i="45" s="1"/>
  <c r="AP12" i="45" s="1"/>
  <c r="AQ12" i="45" s="1"/>
  <c r="AR12" i="45" s="1"/>
  <c r="AS12" i="45" s="1"/>
  <c r="AT12" i="45" s="1"/>
  <c r="AU12" i="45" s="1"/>
  <c r="AV12" i="45" s="1"/>
  <c r="AW12" i="45" s="1"/>
  <c r="AX12" i="45" s="1"/>
  <c r="AY12" i="45" s="1"/>
  <c r="AZ12" i="45" s="1"/>
  <c r="BA12" i="45" s="1"/>
  <c r="BB12" i="45" s="1"/>
  <c r="BC12" i="45" s="1"/>
  <c r="BD12" i="45" s="1"/>
  <c r="G12" i="50"/>
  <c r="N13" i="45"/>
  <c r="F13" i="46"/>
  <c r="K13" i="46" s="1"/>
  <c r="N13" i="46" s="1"/>
  <c r="T12" i="43"/>
  <c r="U12" i="43" s="1"/>
  <c r="F13" i="50"/>
  <c r="Q13" i="50" s="1"/>
  <c r="R13" i="50" s="1"/>
  <c r="S13" i="50" s="1"/>
  <c r="T13" i="50" s="1"/>
  <c r="U13" i="50" s="1"/>
  <c r="V13" i="50" s="1"/>
  <c r="W13" i="50" s="1"/>
  <c r="X13" i="50" s="1"/>
  <c r="Y13" i="50" s="1"/>
  <c r="Z13" i="50" s="1"/>
  <c r="AA13" i="50" s="1"/>
  <c r="AB13" i="50" s="1"/>
  <c r="AC13" i="50" s="1"/>
  <c r="AD13" i="50" s="1"/>
  <c r="AE13" i="50" s="1"/>
  <c r="AF13" i="50" s="1"/>
  <c r="AG13" i="50" s="1"/>
  <c r="AH13" i="50" s="1"/>
  <c r="AI13" i="50" s="1"/>
  <c r="AJ13" i="50" s="1"/>
  <c r="AK13" i="50" s="1"/>
  <c r="AL13" i="50" s="1"/>
  <c r="AM13" i="50" s="1"/>
  <c r="AN13" i="50" s="1"/>
  <c r="AO13" i="50" s="1"/>
  <c r="AP13" i="50" s="1"/>
  <c r="AQ13" i="50" s="1"/>
  <c r="AR13" i="50" s="1"/>
  <c r="AS13" i="50" s="1"/>
  <c r="AT13" i="50" s="1"/>
  <c r="W12" i="46"/>
  <c r="F14" i="50"/>
  <c r="Q14" i="50" s="1"/>
  <c r="R14" i="50" s="1"/>
  <c r="S14" i="50" s="1"/>
  <c r="T14" i="50" s="1"/>
  <c r="U14" i="50" s="1"/>
  <c r="V14" i="50" s="1"/>
  <c r="W14" i="50" s="1"/>
  <c r="X14" i="50" s="1"/>
  <c r="Y14" i="50" s="1"/>
  <c r="Z14" i="50" s="1"/>
  <c r="AA14" i="50" s="1"/>
  <c r="AB14" i="50" s="1"/>
  <c r="AC14" i="50" s="1"/>
  <c r="AD14" i="50" s="1"/>
  <c r="AE14" i="50" s="1"/>
  <c r="AF14" i="50" s="1"/>
  <c r="AG14" i="50" s="1"/>
  <c r="AH14" i="50" s="1"/>
  <c r="AI14" i="50" s="1"/>
  <c r="AJ14" i="50" s="1"/>
  <c r="AK14" i="50" s="1"/>
  <c r="AL14" i="50" s="1"/>
  <c r="AM14" i="50" s="1"/>
  <c r="AN14" i="50" s="1"/>
  <c r="AO14" i="50" s="1"/>
  <c r="AP14" i="50" s="1"/>
  <c r="AQ14" i="50" s="1"/>
  <c r="AR14" i="50" s="1"/>
  <c r="AS14" i="50" s="1"/>
  <c r="AT14" i="50" s="1"/>
  <c r="F13" i="45"/>
  <c r="Q13" i="45" s="1"/>
  <c r="R13" i="45" s="1"/>
  <c r="S13" i="45" s="1"/>
  <c r="T13" i="45" s="1"/>
  <c r="U13" i="45" s="1"/>
  <c r="V13" i="45" s="1"/>
  <c r="W13" i="45" s="1"/>
  <c r="X13" i="45" s="1"/>
  <c r="Y13" i="45" s="1"/>
  <c r="Z13" i="45" s="1"/>
  <c r="AA13" i="45" s="1"/>
  <c r="AB13" i="45" s="1"/>
  <c r="AC13" i="45" s="1"/>
  <c r="AD13" i="45" s="1"/>
  <c r="AE13" i="45" s="1"/>
  <c r="AF13" i="45" s="1"/>
  <c r="AG13" i="45" s="1"/>
  <c r="AH13" i="45" s="1"/>
  <c r="AI13" i="45" s="1"/>
  <c r="AJ13" i="45" s="1"/>
  <c r="AK13" i="45" s="1"/>
  <c r="AL13" i="45" s="1"/>
  <c r="AM13" i="45" s="1"/>
  <c r="AN13" i="45" s="1"/>
  <c r="AO13" i="45" s="1"/>
  <c r="AP13" i="45" s="1"/>
  <c r="AQ13" i="45" s="1"/>
  <c r="AR13" i="45" s="1"/>
  <c r="AS13" i="45" s="1"/>
  <c r="AT13" i="45" s="1"/>
  <c r="AU13" i="45" s="1"/>
  <c r="AV13" i="45" s="1"/>
  <c r="AW13" i="45" s="1"/>
  <c r="AX13" i="45" s="1"/>
  <c r="AY13" i="45" s="1"/>
  <c r="AZ13" i="45" s="1"/>
  <c r="BA13" i="45" s="1"/>
  <c r="BB13" i="45" s="1"/>
  <c r="BC13" i="45" s="1"/>
  <c r="BD13" i="45" s="1"/>
  <c r="H12" i="46"/>
  <c r="I12" i="46" s="1"/>
  <c r="Q12" i="50"/>
  <c r="R12" i="50" s="1"/>
  <c r="S12" i="50" s="1"/>
  <c r="T12" i="50" s="1"/>
  <c r="U12" i="50" s="1"/>
  <c r="V12" i="50" s="1"/>
  <c r="W12" i="50" s="1"/>
  <c r="X12" i="50" s="1"/>
  <c r="Y12" i="50" s="1"/>
  <c r="Z12" i="50" s="1"/>
  <c r="AA12" i="50" s="1"/>
  <c r="AB12" i="50" s="1"/>
  <c r="AC12" i="50" s="1"/>
  <c r="AD12" i="50" s="1"/>
  <c r="AE12" i="50" s="1"/>
  <c r="AF12" i="50" s="1"/>
  <c r="AG12" i="50" s="1"/>
  <c r="AH12" i="50" s="1"/>
  <c r="AI12" i="50" s="1"/>
  <c r="AJ12" i="50" s="1"/>
  <c r="AK12" i="50" s="1"/>
  <c r="AL12" i="50" s="1"/>
  <c r="AM12" i="50" s="1"/>
  <c r="AN12" i="50" s="1"/>
  <c r="AO12" i="50" s="1"/>
  <c r="AP12" i="50" s="1"/>
  <c r="AQ12" i="50" s="1"/>
  <c r="AR12" i="50" s="1"/>
  <c r="AS12" i="50" s="1"/>
  <c r="AT12" i="50" s="1"/>
  <c r="M12" i="46"/>
  <c r="O12" i="46"/>
  <c r="G14" i="43"/>
  <c r="H83" i="43"/>
  <c r="H86" i="43" s="1"/>
  <c r="R58" i="49"/>
  <c r="L58" i="49"/>
  <c r="J10" i="45"/>
  <c r="K10" i="45"/>
  <c r="K12" i="45"/>
  <c r="J12" i="45"/>
  <c r="H57" i="49"/>
  <c r="K13" i="45"/>
  <c r="X66" i="45"/>
  <c r="J13" i="45"/>
  <c r="J56" i="49"/>
  <c r="K56" i="49" s="1"/>
  <c r="T11" i="49"/>
  <c r="U11" i="49" s="1"/>
  <c r="F12" i="49"/>
  <c r="G12" i="49" s="1"/>
  <c r="P60" i="49"/>
  <c r="J11" i="46" l="1"/>
  <c r="J10" i="46"/>
  <c r="X12" i="46"/>
  <c r="Y12" i="46" s="1"/>
  <c r="Z12" i="46" s="1"/>
  <c r="AA12" i="46" s="1"/>
  <c r="AB12" i="46" s="1"/>
  <c r="AC12" i="46" s="1"/>
  <c r="AD12" i="46" s="1"/>
  <c r="AE12" i="46" s="1"/>
  <c r="AF12" i="46" s="1"/>
  <c r="AG12" i="46" s="1"/>
  <c r="AH12" i="46" s="1"/>
  <c r="AI12" i="46" s="1"/>
  <c r="AJ12" i="46" s="1"/>
  <c r="AK12" i="46" s="1"/>
  <c r="AL12" i="46" s="1"/>
  <c r="AM12" i="46" s="1"/>
  <c r="AN12" i="46" s="1"/>
  <c r="AO12" i="46" s="1"/>
  <c r="AP12" i="46" s="1"/>
  <c r="AQ12" i="46" s="1"/>
  <c r="AR12" i="46" s="1"/>
  <c r="AS12" i="46" s="1"/>
  <c r="AT12" i="46" s="1"/>
  <c r="AU12" i="46" s="1"/>
  <c r="AV12" i="46" s="1"/>
  <c r="AW12" i="46" s="1"/>
  <c r="AX12" i="46" s="1"/>
  <c r="AY12" i="46" s="1"/>
  <c r="AZ12" i="46" s="1"/>
  <c r="BA12" i="46" s="1"/>
  <c r="BB12" i="46" s="1"/>
  <c r="BC12" i="46" s="1"/>
  <c r="BD12" i="46" s="1"/>
  <c r="BE12" i="46" s="1"/>
  <c r="BF12" i="46" s="1"/>
  <c r="BG12" i="46" s="1"/>
  <c r="BH12" i="46" s="1"/>
  <c r="BI12" i="46" s="1"/>
  <c r="BJ12" i="46" s="1"/>
  <c r="BK12" i="46" s="1"/>
  <c r="BL12" i="46" s="1"/>
  <c r="BM12" i="46" s="1"/>
  <c r="BN12" i="46" s="1"/>
  <c r="BO12" i="46" s="1"/>
  <c r="BP12" i="46" s="1"/>
  <c r="BQ12" i="46" s="1"/>
  <c r="BR12" i="46" s="1"/>
  <c r="BS12" i="46" s="1"/>
  <c r="BT12" i="46" s="1"/>
  <c r="BU12" i="46" s="1"/>
  <c r="BV12" i="46" s="1"/>
  <c r="BW12" i="46" s="1"/>
  <c r="BX12" i="46" s="1"/>
  <c r="BY12" i="46" s="1"/>
  <c r="BZ12" i="46" s="1"/>
  <c r="CA12" i="46" s="1"/>
  <c r="CB12" i="46" s="1"/>
  <c r="CC12" i="46" s="1"/>
  <c r="CD12" i="46" s="1"/>
  <c r="CE12" i="46" s="1"/>
  <c r="CF12" i="46" s="1"/>
  <c r="CG12" i="46" s="1"/>
  <c r="CH12" i="46" s="1"/>
  <c r="CI12" i="46" s="1"/>
  <c r="CJ12" i="46" s="1"/>
  <c r="CK12" i="46" s="1"/>
  <c r="CL12" i="46" s="1"/>
  <c r="CM12" i="46" s="1"/>
  <c r="CN12" i="46" s="1"/>
  <c r="CO12" i="46" s="1"/>
  <c r="CP12" i="46" s="1"/>
  <c r="CQ12" i="46" s="1"/>
  <c r="CR12" i="46" s="1"/>
  <c r="CS12" i="46" s="1"/>
  <c r="CT12" i="46" s="1"/>
  <c r="CU12" i="46" s="1"/>
  <c r="CV12" i="46" s="1"/>
  <c r="CW12" i="46" s="1"/>
  <c r="CX12" i="46" s="1"/>
  <c r="CY12" i="46" s="1"/>
  <c r="CZ12" i="46" s="1"/>
  <c r="DA12" i="46" s="1"/>
  <c r="DB12" i="46" s="1"/>
  <c r="DC12" i="46" s="1"/>
  <c r="DD12" i="46" s="1"/>
  <c r="DE12" i="46" s="1"/>
  <c r="DF12" i="46" s="1"/>
  <c r="DG12" i="46" s="1"/>
  <c r="DH12" i="46" s="1"/>
  <c r="DI12" i="46" s="1"/>
  <c r="DJ12" i="46" s="1"/>
  <c r="DK12" i="46" s="1"/>
  <c r="DL12" i="46" s="1"/>
  <c r="DM12" i="46" s="1"/>
  <c r="DN12" i="46" s="1"/>
  <c r="DO12" i="46" s="1"/>
  <c r="DP12" i="46" s="1"/>
  <c r="DQ12" i="46" s="1"/>
  <c r="DR12" i="46" s="1"/>
  <c r="J156" i="42"/>
  <c r="H87" i="43"/>
  <c r="H12" i="45"/>
  <c r="I12" i="45" s="1"/>
  <c r="AC7" i="46"/>
  <c r="H13" i="45"/>
  <c r="I13" i="45" s="1"/>
  <c r="N15" i="45"/>
  <c r="K13" i="50"/>
  <c r="H13" i="46"/>
  <c r="I13" i="46" s="1"/>
  <c r="W13" i="46"/>
  <c r="G13" i="46"/>
  <c r="G13" i="45"/>
  <c r="G13" i="50"/>
  <c r="J13" i="50"/>
  <c r="O13" i="46"/>
  <c r="M13" i="46"/>
  <c r="T14" i="43"/>
  <c r="U14" i="43" s="1"/>
  <c r="N14" i="45"/>
  <c r="F14" i="45"/>
  <c r="H14" i="45" s="1"/>
  <c r="I14" i="45" s="1"/>
  <c r="H13" i="50"/>
  <c r="I13" i="50" s="1"/>
  <c r="F14" i="46"/>
  <c r="M14" i="46" s="1"/>
  <c r="G13" i="43"/>
  <c r="T13" i="43"/>
  <c r="H14" i="50"/>
  <c r="I14" i="50" s="1"/>
  <c r="K157" i="42"/>
  <c r="K158" i="42" s="1"/>
  <c r="I83" i="43"/>
  <c r="R59" i="49"/>
  <c r="R60" i="49" s="1"/>
  <c r="R61" i="49" s="1"/>
  <c r="R62" i="49" s="1"/>
  <c r="R63" i="49" s="1"/>
  <c r="R64" i="49" s="1"/>
  <c r="S64" i="49" s="1"/>
  <c r="L59" i="49"/>
  <c r="J14" i="45"/>
  <c r="K14" i="50"/>
  <c r="J14" i="50"/>
  <c r="K12" i="50"/>
  <c r="K14" i="45"/>
  <c r="J57" i="49"/>
  <c r="Y66" i="45"/>
  <c r="Z66" i="45" s="1"/>
  <c r="AA66" i="45" s="1"/>
  <c r="AB66" i="45" s="1"/>
  <c r="AC66" i="45" s="1"/>
  <c r="AD66" i="45" s="1"/>
  <c r="AE66" i="45" s="1"/>
  <c r="AF66" i="45" s="1"/>
  <c r="AG66" i="45" s="1"/>
  <c r="AH66" i="45" s="1"/>
  <c r="AI66" i="45" s="1"/>
  <c r="AJ66" i="45" s="1"/>
  <c r="AK66" i="45" s="1"/>
  <c r="AL66" i="45" s="1"/>
  <c r="AM66" i="45" s="1"/>
  <c r="AN66" i="45" s="1"/>
  <c r="AO66" i="45" s="1"/>
  <c r="AP66" i="45" s="1"/>
  <c r="AQ66" i="45" s="1"/>
  <c r="AR66" i="45" s="1"/>
  <c r="AS66" i="45" s="1"/>
  <c r="AT66" i="45" s="1"/>
  <c r="J66" i="45" s="1"/>
  <c r="P61" i="49"/>
  <c r="P62" i="49" s="1"/>
  <c r="P63" i="49" s="1"/>
  <c r="P64" i="49" s="1"/>
  <c r="Q64" i="49" s="1"/>
  <c r="T12" i="49"/>
  <c r="U12" i="49" s="1"/>
  <c r="F13" i="49"/>
  <c r="G13" i="49" s="1"/>
  <c r="J12" i="50"/>
  <c r="H58" i="49"/>
  <c r="H59" i="49" s="1"/>
  <c r="H60" i="49" s="1"/>
  <c r="L66" i="59" l="1"/>
  <c r="D7" i="60" s="1"/>
  <c r="D20" i="60" s="1"/>
  <c r="L66" i="61"/>
  <c r="AB66" i="61" s="1"/>
  <c r="J12" i="46"/>
  <c r="X13" i="46"/>
  <c r="Y13" i="46" s="1"/>
  <c r="Z13" i="46" s="1"/>
  <c r="AA13" i="46" s="1"/>
  <c r="AB13" i="46" s="1"/>
  <c r="AC13" i="46" s="1"/>
  <c r="AD13" i="46" s="1"/>
  <c r="AE13" i="46" s="1"/>
  <c r="AF13" i="46" s="1"/>
  <c r="AG13" i="46" s="1"/>
  <c r="AH13" i="46" s="1"/>
  <c r="AI13" i="46" s="1"/>
  <c r="AJ13" i="46" s="1"/>
  <c r="AK13" i="46" s="1"/>
  <c r="AL13" i="46" s="1"/>
  <c r="AM13" i="46" s="1"/>
  <c r="AN13" i="46" s="1"/>
  <c r="AO13" i="46" s="1"/>
  <c r="AP13" i="46" s="1"/>
  <c r="AQ13" i="46" s="1"/>
  <c r="AR13" i="46" s="1"/>
  <c r="AS13" i="46" s="1"/>
  <c r="AT13" i="46" s="1"/>
  <c r="AU13" i="46" s="1"/>
  <c r="AV13" i="46" s="1"/>
  <c r="AW13" i="46" s="1"/>
  <c r="AX13" i="46" s="1"/>
  <c r="AY13" i="46" s="1"/>
  <c r="AZ13" i="46" s="1"/>
  <c r="BA13" i="46" s="1"/>
  <c r="BB13" i="46" s="1"/>
  <c r="BC13" i="46" s="1"/>
  <c r="BD13" i="46" s="1"/>
  <c r="BE13" i="46" s="1"/>
  <c r="BF13" i="46" s="1"/>
  <c r="BG13" i="46" s="1"/>
  <c r="BH13" i="46" s="1"/>
  <c r="BI13" i="46" s="1"/>
  <c r="BJ13" i="46" s="1"/>
  <c r="BK13" i="46" s="1"/>
  <c r="BL13" i="46" s="1"/>
  <c r="BM13" i="46" s="1"/>
  <c r="BN13" i="46" s="1"/>
  <c r="BO13" i="46" s="1"/>
  <c r="BP13" i="46" s="1"/>
  <c r="BQ13" i="46" s="1"/>
  <c r="BR13" i="46" s="1"/>
  <c r="BS13" i="46" s="1"/>
  <c r="BT13" i="46" s="1"/>
  <c r="BU13" i="46" s="1"/>
  <c r="BV13" i="46" s="1"/>
  <c r="BW13" i="46" s="1"/>
  <c r="BX13" i="46" s="1"/>
  <c r="BY13" i="46" s="1"/>
  <c r="BZ13" i="46" s="1"/>
  <c r="CA13" i="46" s="1"/>
  <c r="CB13" i="46" s="1"/>
  <c r="CC13" i="46" s="1"/>
  <c r="CD13" i="46" s="1"/>
  <c r="CE13" i="46" s="1"/>
  <c r="CF13" i="46" s="1"/>
  <c r="CG13" i="46" s="1"/>
  <c r="CH13" i="46" s="1"/>
  <c r="CI13" i="46" s="1"/>
  <c r="CJ13" i="46" s="1"/>
  <c r="CK13" i="46" s="1"/>
  <c r="CL13" i="46" s="1"/>
  <c r="CM13" i="46" s="1"/>
  <c r="CN13" i="46" s="1"/>
  <c r="CO13" i="46" s="1"/>
  <c r="CP13" i="46" s="1"/>
  <c r="CQ13" i="46" s="1"/>
  <c r="CR13" i="46" s="1"/>
  <c r="CS13" i="46" s="1"/>
  <c r="CT13" i="46" s="1"/>
  <c r="CU13" i="46" s="1"/>
  <c r="CV13" i="46" s="1"/>
  <c r="CW13" i="46" s="1"/>
  <c r="CX13" i="46" s="1"/>
  <c r="CY13" i="46" s="1"/>
  <c r="CZ13" i="46" s="1"/>
  <c r="DA13" i="46" s="1"/>
  <c r="DB13" i="46" s="1"/>
  <c r="DC13" i="46" s="1"/>
  <c r="DD13" i="46" s="1"/>
  <c r="DE13" i="46" s="1"/>
  <c r="DF13" i="46" s="1"/>
  <c r="DG13" i="46" s="1"/>
  <c r="DH13" i="46" s="1"/>
  <c r="DI13" i="46" s="1"/>
  <c r="DJ13" i="46" s="1"/>
  <c r="DK13" i="46" s="1"/>
  <c r="DL13" i="46" s="1"/>
  <c r="DM13" i="46" s="1"/>
  <c r="DN13" i="46" s="1"/>
  <c r="DO13" i="46" s="1"/>
  <c r="DP13" i="46" s="1"/>
  <c r="DQ13" i="46" s="1"/>
  <c r="DR13" i="46" s="1"/>
  <c r="AA66" i="59"/>
  <c r="AD7" i="46"/>
  <c r="F15" i="46"/>
  <c r="W15" i="46" s="1"/>
  <c r="F15" i="45"/>
  <c r="F15" i="50"/>
  <c r="H15" i="50" s="1"/>
  <c r="I15" i="50" s="1"/>
  <c r="G15" i="50"/>
  <c r="G15" i="45"/>
  <c r="G15" i="46"/>
  <c r="O14" i="46"/>
  <c r="K14" i="46"/>
  <c r="N14" i="46" s="1"/>
  <c r="H14" i="46"/>
  <c r="I14" i="46" s="1"/>
  <c r="W14" i="46"/>
  <c r="Q14" i="45"/>
  <c r="R14" i="45" s="1"/>
  <c r="S14" i="45" s="1"/>
  <c r="T14" i="45" s="1"/>
  <c r="U14" i="45" s="1"/>
  <c r="V14" i="45" s="1"/>
  <c r="W14" i="45" s="1"/>
  <c r="X14" i="45" s="1"/>
  <c r="Y14" i="45" s="1"/>
  <c r="Z14" i="45" s="1"/>
  <c r="AA14" i="45" s="1"/>
  <c r="AB14" i="45" s="1"/>
  <c r="AC14" i="45" s="1"/>
  <c r="AD14" i="45" s="1"/>
  <c r="AE14" i="45" s="1"/>
  <c r="AF14" i="45" s="1"/>
  <c r="AG14" i="45" s="1"/>
  <c r="AH14" i="45" s="1"/>
  <c r="AI14" i="45" s="1"/>
  <c r="AJ14" i="45" s="1"/>
  <c r="AK14" i="45" s="1"/>
  <c r="AL14" i="45" s="1"/>
  <c r="AM14" i="45" s="1"/>
  <c r="AN14" i="45" s="1"/>
  <c r="AO14" i="45" s="1"/>
  <c r="AP14" i="45" s="1"/>
  <c r="AQ14" i="45" s="1"/>
  <c r="AR14" i="45" s="1"/>
  <c r="AS14" i="45" s="1"/>
  <c r="AT14" i="45" s="1"/>
  <c r="AU14" i="45" s="1"/>
  <c r="AV14" i="45" s="1"/>
  <c r="AW14" i="45" s="1"/>
  <c r="AX14" i="45" s="1"/>
  <c r="AY14" i="45" s="1"/>
  <c r="AZ14" i="45" s="1"/>
  <c r="BA14" i="45" s="1"/>
  <c r="BB14" i="45" s="1"/>
  <c r="BC14" i="45" s="1"/>
  <c r="BD14" i="45" s="1"/>
  <c r="U13" i="43"/>
  <c r="G14" i="50"/>
  <c r="G14" i="46"/>
  <c r="G14" i="45"/>
  <c r="J58" i="49"/>
  <c r="K58" i="49" s="1"/>
  <c r="K57" i="49"/>
  <c r="L157" i="42"/>
  <c r="L158" i="42" s="1"/>
  <c r="J6" i="52"/>
  <c r="V6" i="52" s="1"/>
  <c r="L60" i="49"/>
  <c r="J16" i="45"/>
  <c r="H61" i="49"/>
  <c r="H62" i="49" s="1"/>
  <c r="H63" i="49" s="1"/>
  <c r="H64" i="49" s="1"/>
  <c r="I64" i="49" s="1"/>
  <c r="K66" i="45"/>
  <c r="T13" i="49"/>
  <c r="U13" i="49" s="1"/>
  <c r="F14" i="49"/>
  <c r="G14" i="49" s="1"/>
  <c r="AU66" i="45"/>
  <c r="AV66" i="45" s="1"/>
  <c r="AW66" i="45" s="1"/>
  <c r="AX66" i="45" s="1"/>
  <c r="AY66" i="45" s="1"/>
  <c r="AZ66" i="45" s="1"/>
  <c r="BA66" i="45" s="1"/>
  <c r="BB66" i="45" s="1"/>
  <c r="BC66" i="45" s="1"/>
  <c r="BD66" i="45" s="1"/>
  <c r="K81" i="45"/>
  <c r="K16" i="45"/>
  <c r="J13" i="46" l="1"/>
  <c r="X14" i="46"/>
  <c r="Y14" i="46" s="1"/>
  <c r="Z14" i="46" s="1"/>
  <c r="AA14" i="46" s="1"/>
  <c r="AB14" i="46" s="1"/>
  <c r="AC14" i="46" s="1"/>
  <c r="AD14" i="46" s="1"/>
  <c r="AE14" i="46" s="1"/>
  <c r="AF14" i="46" s="1"/>
  <c r="AG14" i="46" s="1"/>
  <c r="AH14" i="46" s="1"/>
  <c r="AI14" i="46" s="1"/>
  <c r="AJ14" i="46" s="1"/>
  <c r="AK14" i="46" s="1"/>
  <c r="AL14" i="46" s="1"/>
  <c r="AM14" i="46" s="1"/>
  <c r="AN14" i="46" s="1"/>
  <c r="AO14" i="46" s="1"/>
  <c r="AP14" i="46" s="1"/>
  <c r="AQ14" i="46" s="1"/>
  <c r="AR14" i="46" s="1"/>
  <c r="AS14" i="46" s="1"/>
  <c r="AT14" i="46" s="1"/>
  <c r="AU14" i="46" s="1"/>
  <c r="AV14" i="46" s="1"/>
  <c r="AW14" i="46" s="1"/>
  <c r="AX14" i="46" s="1"/>
  <c r="AY14" i="46" s="1"/>
  <c r="AZ14" i="46" s="1"/>
  <c r="BA14" i="46" s="1"/>
  <c r="BB14" i="46" s="1"/>
  <c r="BC14" i="46" s="1"/>
  <c r="BD14" i="46" s="1"/>
  <c r="BE14" i="46" s="1"/>
  <c r="BF14" i="46" s="1"/>
  <c r="BG14" i="46" s="1"/>
  <c r="BH14" i="46" s="1"/>
  <c r="BI14" i="46" s="1"/>
  <c r="BJ14" i="46" s="1"/>
  <c r="BK14" i="46" s="1"/>
  <c r="BL14" i="46" s="1"/>
  <c r="BM14" i="46" s="1"/>
  <c r="BN14" i="46" s="1"/>
  <c r="BO14" i="46" s="1"/>
  <c r="BP14" i="46" s="1"/>
  <c r="BQ14" i="46" s="1"/>
  <c r="BR14" i="46" s="1"/>
  <c r="BS14" i="46" s="1"/>
  <c r="BT14" i="46" s="1"/>
  <c r="BU14" i="46" s="1"/>
  <c r="BV14" i="46" s="1"/>
  <c r="BW14" i="46" s="1"/>
  <c r="BX14" i="46" s="1"/>
  <c r="BY14" i="46" s="1"/>
  <c r="BZ14" i="46" s="1"/>
  <c r="CA14" i="46" s="1"/>
  <c r="CB14" i="46" s="1"/>
  <c r="CC14" i="46" s="1"/>
  <c r="CD14" i="46" s="1"/>
  <c r="CE14" i="46" s="1"/>
  <c r="CF14" i="46" s="1"/>
  <c r="CG14" i="46" s="1"/>
  <c r="CH14" i="46" s="1"/>
  <c r="CI14" i="46" s="1"/>
  <c r="CJ14" i="46" s="1"/>
  <c r="CK14" i="46" s="1"/>
  <c r="CL14" i="46" s="1"/>
  <c r="CM14" i="46" s="1"/>
  <c r="CN14" i="46" s="1"/>
  <c r="CO14" i="46" s="1"/>
  <c r="CP14" i="46" s="1"/>
  <c r="CQ14" i="46" s="1"/>
  <c r="CR14" i="46" s="1"/>
  <c r="CS14" i="46" s="1"/>
  <c r="CT14" i="46" s="1"/>
  <c r="CU14" i="46" s="1"/>
  <c r="CV14" i="46" s="1"/>
  <c r="CW14" i="46" s="1"/>
  <c r="CX14" i="46" s="1"/>
  <c r="CY14" i="46" s="1"/>
  <c r="CZ14" i="46" s="1"/>
  <c r="DA14" i="46" s="1"/>
  <c r="DB14" i="46" s="1"/>
  <c r="DC14" i="46" s="1"/>
  <c r="DD14" i="46" s="1"/>
  <c r="DE14" i="46" s="1"/>
  <c r="DF14" i="46" s="1"/>
  <c r="DG14" i="46" s="1"/>
  <c r="DH14" i="46" s="1"/>
  <c r="DI14" i="46" s="1"/>
  <c r="DJ14" i="46" s="1"/>
  <c r="DK14" i="46" s="1"/>
  <c r="DL14" i="46" s="1"/>
  <c r="DM14" i="46" s="1"/>
  <c r="DN14" i="46" s="1"/>
  <c r="DO14" i="46" s="1"/>
  <c r="DP14" i="46" s="1"/>
  <c r="DQ14" i="46" s="1"/>
  <c r="DR14" i="46" s="1"/>
  <c r="X15" i="46"/>
  <c r="Y15" i="46" s="1"/>
  <c r="Z15" i="46" s="1"/>
  <c r="AA15" i="46" s="1"/>
  <c r="AB15" i="46" s="1"/>
  <c r="AC15" i="46" s="1"/>
  <c r="AD15" i="46" s="1"/>
  <c r="AE15" i="46" s="1"/>
  <c r="AF15" i="46" s="1"/>
  <c r="AG15" i="46" s="1"/>
  <c r="AH15" i="46" s="1"/>
  <c r="AI15" i="46" s="1"/>
  <c r="AJ15" i="46" s="1"/>
  <c r="AK15" i="46" s="1"/>
  <c r="AL15" i="46" s="1"/>
  <c r="AM15" i="46" s="1"/>
  <c r="AN15" i="46" s="1"/>
  <c r="AO15" i="46" s="1"/>
  <c r="AP15" i="46" s="1"/>
  <c r="AQ15" i="46" s="1"/>
  <c r="AR15" i="46" s="1"/>
  <c r="AS15" i="46" s="1"/>
  <c r="AT15" i="46" s="1"/>
  <c r="AU15" i="46" s="1"/>
  <c r="AV15" i="46" s="1"/>
  <c r="AW15" i="46" s="1"/>
  <c r="AX15" i="46" s="1"/>
  <c r="AY15" i="46" s="1"/>
  <c r="AZ15" i="46" s="1"/>
  <c r="BA15" i="46" s="1"/>
  <c r="BB15" i="46" s="1"/>
  <c r="BC15" i="46" s="1"/>
  <c r="BD15" i="46" s="1"/>
  <c r="BE15" i="46" s="1"/>
  <c r="BF15" i="46" s="1"/>
  <c r="BG15" i="46" s="1"/>
  <c r="BH15" i="46" s="1"/>
  <c r="BI15" i="46" s="1"/>
  <c r="BJ15" i="46" s="1"/>
  <c r="BK15" i="46" s="1"/>
  <c r="BL15" i="46" s="1"/>
  <c r="BM15" i="46" s="1"/>
  <c r="BN15" i="46" s="1"/>
  <c r="BO15" i="46" s="1"/>
  <c r="BP15" i="46" s="1"/>
  <c r="BQ15" i="46" s="1"/>
  <c r="BR15" i="46" s="1"/>
  <c r="BS15" i="46" s="1"/>
  <c r="BT15" i="46" s="1"/>
  <c r="BU15" i="46" s="1"/>
  <c r="BV15" i="46" s="1"/>
  <c r="BW15" i="46" s="1"/>
  <c r="BX15" i="46" s="1"/>
  <c r="BY15" i="46" s="1"/>
  <c r="BZ15" i="46" s="1"/>
  <c r="CA15" i="46" s="1"/>
  <c r="CB15" i="46" s="1"/>
  <c r="CC15" i="46" s="1"/>
  <c r="CD15" i="46" s="1"/>
  <c r="CE15" i="46" s="1"/>
  <c r="CF15" i="46" s="1"/>
  <c r="CG15" i="46" s="1"/>
  <c r="CH15" i="46" s="1"/>
  <c r="CI15" i="46" s="1"/>
  <c r="CJ15" i="46" s="1"/>
  <c r="CK15" i="46" s="1"/>
  <c r="CL15" i="46" s="1"/>
  <c r="CM15" i="46" s="1"/>
  <c r="CN15" i="46" s="1"/>
  <c r="CO15" i="46" s="1"/>
  <c r="CP15" i="46" s="1"/>
  <c r="CQ15" i="46" s="1"/>
  <c r="CR15" i="46" s="1"/>
  <c r="CS15" i="46" s="1"/>
  <c r="CT15" i="46" s="1"/>
  <c r="CU15" i="46" s="1"/>
  <c r="CV15" i="46" s="1"/>
  <c r="CW15" i="46" s="1"/>
  <c r="CX15" i="46" s="1"/>
  <c r="CY15" i="46" s="1"/>
  <c r="CZ15" i="46" s="1"/>
  <c r="DA15" i="46" s="1"/>
  <c r="DB15" i="46" s="1"/>
  <c r="DC15" i="46" s="1"/>
  <c r="DD15" i="46" s="1"/>
  <c r="DE15" i="46" s="1"/>
  <c r="DF15" i="46" s="1"/>
  <c r="DG15" i="46" s="1"/>
  <c r="DH15" i="46" s="1"/>
  <c r="DI15" i="46" s="1"/>
  <c r="DJ15" i="46" s="1"/>
  <c r="DK15" i="46" s="1"/>
  <c r="DL15" i="46" s="1"/>
  <c r="DM15" i="46" s="1"/>
  <c r="DN15" i="46" s="1"/>
  <c r="DO15" i="46" s="1"/>
  <c r="DP15" i="46" s="1"/>
  <c r="DQ15" i="46" s="1"/>
  <c r="DR15" i="46" s="1"/>
  <c r="H15" i="46"/>
  <c r="I15" i="46" s="1"/>
  <c r="K15" i="46"/>
  <c r="N15" i="46" s="1"/>
  <c r="O15" i="46"/>
  <c r="M15" i="46"/>
  <c r="AE7" i="46"/>
  <c r="G15" i="43"/>
  <c r="F16" i="50"/>
  <c r="H16" i="50" s="1"/>
  <c r="I16" i="50" s="1"/>
  <c r="F16" i="46"/>
  <c r="T15" i="43"/>
  <c r="N16" i="45"/>
  <c r="F16" i="45"/>
  <c r="H15" i="45"/>
  <c r="I15" i="45" s="1"/>
  <c r="Q15" i="45"/>
  <c r="R15" i="45" s="1"/>
  <c r="S15" i="45" s="1"/>
  <c r="T15" i="45" s="1"/>
  <c r="U15" i="45" s="1"/>
  <c r="V15" i="45" s="1"/>
  <c r="W15" i="45" s="1"/>
  <c r="X15" i="45" s="1"/>
  <c r="Y15" i="45" s="1"/>
  <c r="Z15" i="45" s="1"/>
  <c r="AA15" i="45" s="1"/>
  <c r="AB15" i="45" s="1"/>
  <c r="AC15" i="45" s="1"/>
  <c r="AD15" i="45" s="1"/>
  <c r="AE15" i="45" s="1"/>
  <c r="AF15" i="45" s="1"/>
  <c r="AG15" i="45" s="1"/>
  <c r="AH15" i="45" s="1"/>
  <c r="AI15" i="45" s="1"/>
  <c r="AJ15" i="45" s="1"/>
  <c r="AK15" i="45" s="1"/>
  <c r="AL15" i="45" s="1"/>
  <c r="AM15" i="45" s="1"/>
  <c r="AN15" i="45" s="1"/>
  <c r="AO15" i="45" s="1"/>
  <c r="AP15" i="45" s="1"/>
  <c r="AQ15" i="45" s="1"/>
  <c r="AR15" i="45" s="1"/>
  <c r="AS15" i="45" s="1"/>
  <c r="AT15" i="45" s="1"/>
  <c r="AU15" i="45" s="1"/>
  <c r="AV15" i="45" s="1"/>
  <c r="AW15" i="45" s="1"/>
  <c r="AX15" i="45" s="1"/>
  <c r="AY15" i="45" s="1"/>
  <c r="AZ15" i="45" s="1"/>
  <c r="BA15" i="45" s="1"/>
  <c r="BB15" i="45" s="1"/>
  <c r="BC15" i="45" s="1"/>
  <c r="BD15" i="45" s="1"/>
  <c r="J59" i="49"/>
  <c r="J60" i="49" s="1"/>
  <c r="K6" i="52"/>
  <c r="W6" i="52" s="1"/>
  <c r="L61" i="49"/>
  <c r="L62" i="49" s="1"/>
  <c r="L63" i="49" s="1"/>
  <c r="L64" i="49" s="1"/>
  <c r="M64" i="49" s="1"/>
  <c r="J15" i="45"/>
  <c r="K15" i="45"/>
  <c r="T14" i="49"/>
  <c r="U14" i="49" s="1"/>
  <c r="F15" i="49"/>
  <c r="G15" i="49" s="1"/>
  <c r="J17" i="45"/>
  <c r="K17" i="45"/>
  <c r="J15" i="46" l="1"/>
  <c r="J14" i="46"/>
  <c r="AF7" i="46"/>
  <c r="Q16" i="45"/>
  <c r="R16" i="45" s="1"/>
  <c r="S16" i="45" s="1"/>
  <c r="T16" i="45" s="1"/>
  <c r="U16" i="45" s="1"/>
  <c r="V16" i="45" s="1"/>
  <c r="W16" i="45" s="1"/>
  <c r="X16" i="45" s="1"/>
  <c r="Y16" i="45" s="1"/>
  <c r="Z16" i="45" s="1"/>
  <c r="AA16" i="45" s="1"/>
  <c r="AB16" i="45" s="1"/>
  <c r="AC16" i="45" s="1"/>
  <c r="AD16" i="45" s="1"/>
  <c r="AE16" i="45" s="1"/>
  <c r="AF16" i="45" s="1"/>
  <c r="AG16" i="45" s="1"/>
  <c r="AH16" i="45" s="1"/>
  <c r="AI16" i="45" s="1"/>
  <c r="AJ16" i="45" s="1"/>
  <c r="AK16" i="45" s="1"/>
  <c r="AL16" i="45" s="1"/>
  <c r="AM16" i="45" s="1"/>
  <c r="AN16" i="45" s="1"/>
  <c r="AO16" i="45" s="1"/>
  <c r="AP16" i="45" s="1"/>
  <c r="AQ16" i="45" s="1"/>
  <c r="AR16" i="45" s="1"/>
  <c r="AS16" i="45" s="1"/>
  <c r="AT16" i="45" s="1"/>
  <c r="AU16" i="45" s="1"/>
  <c r="AV16" i="45" s="1"/>
  <c r="AW16" i="45" s="1"/>
  <c r="AX16" i="45" s="1"/>
  <c r="AY16" i="45" s="1"/>
  <c r="AZ16" i="45" s="1"/>
  <c r="BA16" i="45" s="1"/>
  <c r="BB16" i="45" s="1"/>
  <c r="BC16" i="45" s="1"/>
  <c r="BD16" i="45" s="1"/>
  <c r="H16" i="45"/>
  <c r="I16" i="45" s="1"/>
  <c r="U15" i="43"/>
  <c r="G16" i="50"/>
  <c r="G16" i="46"/>
  <c r="G16" i="45"/>
  <c r="G16" i="43"/>
  <c r="F17" i="46"/>
  <c r="T16" i="43"/>
  <c r="F17" i="50"/>
  <c r="H17" i="50" s="1"/>
  <c r="I17" i="50" s="1"/>
  <c r="F17" i="43"/>
  <c r="F18" i="43" s="1"/>
  <c r="N17" i="45"/>
  <c r="F17" i="45"/>
  <c r="K16" i="46"/>
  <c r="N16" i="46" s="1"/>
  <c r="M16" i="46"/>
  <c r="O16" i="46"/>
  <c r="W16" i="46"/>
  <c r="H16" i="46"/>
  <c r="I16" i="46" s="1"/>
  <c r="K59" i="49"/>
  <c r="J61" i="49"/>
  <c r="K60" i="49"/>
  <c r="T15" i="49"/>
  <c r="U15" i="49" s="1"/>
  <c r="F16" i="49"/>
  <c r="G16" i="49" s="1"/>
  <c r="F19" i="43" l="1"/>
  <c r="G18" i="43"/>
  <c r="X16" i="46"/>
  <c r="Y16" i="46" s="1"/>
  <c r="Z16" i="46" s="1"/>
  <c r="AA16" i="46" s="1"/>
  <c r="AB16" i="46" s="1"/>
  <c r="AC16" i="46" s="1"/>
  <c r="AD16" i="46" s="1"/>
  <c r="AE16" i="46" s="1"/>
  <c r="AF16" i="46" s="1"/>
  <c r="AG16" i="46" s="1"/>
  <c r="AH16" i="46" s="1"/>
  <c r="AI16" i="46" s="1"/>
  <c r="AJ16" i="46" s="1"/>
  <c r="AK16" i="46" s="1"/>
  <c r="AL16" i="46" s="1"/>
  <c r="AM16" i="46" s="1"/>
  <c r="AN16" i="46" s="1"/>
  <c r="AO16" i="46" s="1"/>
  <c r="AP16" i="46" s="1"/>
  <c r="AQ16" i="46" s="1"/>
  <c r="AR16" i="46" s="1"/>
  <c r="AS16" i="46" s="1"/>
  <c r="AT16" i="46" s="1"/>
  <c r="AU16" i="46" s="1"/>
  <c r="AV16" i="46" s="1"/>
  <c r="AW16" i="46" s="1"/>
  <c r="AX16" i="46" s="1"/>
  <c r="AY16" i="46" s="1"/>
  <c r="AZ16" i="46" s="1"/>
  <c r="BA16" i="46" s="1"/>
  <c r="BB16" i="46" s="1"/>
  <c r="BC16" i="46" s="1"/>
  <c r="BD16" i="46" s="1"/>
  <c r="BE16" i="46" s="1"/>
  <c r="BF16" i="46" s="1"/>
  <c r="BG16" i="46" s="1"/>
  <c r="BH16" i="46" s="1"/>
  <c r="BI16" i="46" s="1"/>
  <c r="BJ16" i="46" s="1"/>
  <c r="BK16" i="46" s="1"/>
  <c r="BL16" i="46" s="1"/>
  <c r="BM16" i="46" s="1"/>
  <c r="BN16" i="46" s="1"/>
  <c r="BO16" i="46" s="1"/>
  <c r="BP16" i="46" s="1"/>
  <c r="BQ16" i="46" s="1"/>
  <c r="BR16" i="46" s="1"/>
  <c r="BS16" i="46" s="1"/>
  <c r="BT16" i="46" s="1"/>
  <c r="BU16" i="46" s="1"/>
  <c r="BV16" i="46" s="1"/>
  <c r="BW16" i="46" s="1"/>
  <c r="BX16" i="46" s="1"/>
  <c r="BY16" i="46" s="1"/>
  <c r="BZ16" i="46" s="1"/>
  <c r="CA16" i="46" s="1"/>
  <c r="CB16" i="46" s="1"/>
  <c r="CC16" i="46" s="1"/>
  <c r="CD16" i="46" s="1"/>
  <c r="CE16" i="46" s="1"/>
  <c r="CF16" i="46" s="1"/>
  <c r="CG16" i="46" s="1"/>
  <c r="CH16" i="46" s="1"/>
  <c r="CI16" i="46" s="1"/>
  <c r="CJ16" i="46" s="1"/>
  <c r="CK16" i="46" s="1"/>
  <c r="CL16" i="46" s="1"/>
  <c r="CM16" i="46" s="1"/>
  <c r="CN16" i="46" s="1"/>
  <c r="CO16" i="46" s="1"/>
  <c r="CP16" i="46" s="1"/>
  <c r="CQ16" i="46" s="1"/>
  <c r="CR16" i="46" s="1"/>
  <c r="CS16" i="46" s="1"/>
  <c r="CT16" i="46" s="1"/>
  <c r="CU16" i="46" s="1"/>
  <c r="CV16" i="46" s="1"/>
  <c r="CW16" i="46" s="1"/>
  <c r="CX16" i="46" s="1"/>
  <c r="CY16" i="46" s="1"/>
  <c r="CZ16" i="46" s="1"/>
  <c r="DA16" i="46" s="1"/>
  <c r="DB16" i="46" s="1"/>
  <c r="DC16" i="46" s="1"/>
  <c r="DD16" i="46" s="1"/>
  <c r="DE16" i="46" s="1"/>
  <c r="DF16" i="46" s="1"/>
  <c r="DG16" i="46" s="1"/>
  <c r="DH16" i="46" s="1"/>
  <c r="DI16" i="46" s="1"/>
  <c r="DJ16" i="46" s="1"/>
  <c r="DK16" i="46" s="1"/>
  <c r="DL16" i="46" s="1"/>
  <c r="DM16" i="46" s="1"/>
  <c r="DN16" i="46" s="1"/>
  <c r="DO16" i="46" s="1"/>
  <c r="DP16" i="46" s="1"/>
  <c r="DQ16" i="46" s="1"/>
  <c r="DR16" i="46" s="1"/>
  <c r="AG7" i="46"/>
  <c r="AH7" i="46" s="1"/>
  <c r="AI7" i="46" s="1"/>
  <c r="AJ7" i="46" s="1"/>
  <c r="AK7" i="46" s="1"/>
  <c r="AL7" i="46" s="1"/>
  <c r="AM7" i="46" s="1"/>
  <c r="AN7" i="46" s="1"/>
  <c r="AO7" i="46" s="1"/>
  <c r="AP7" i="46" s="1"/>
  <c r="AQ7" i="46" s="1"/>
  <c r="AR7" i="46" s="1"/>
  <c r="AS7" i="46" s="1"/>
  <c r="AT7" i="46" s="1"/>
  <c r="AU7" i="46" s="1"/>
  <c r="AV7" i="46" s="1"/>
  <c r="AW7" i="46" s="1"/>
  <c r="AX7" i="46" s="1"/>
  <c r="AY7" i="46" s="1"/>
  <c r="AZ7" i="46" s="1"/>
  <c r="BA7" i="46" s="1"/>
  <c r="K17" i="46"/>
  <c r="N17" i="46" s="1"/>
  <c r="H17" i="46"/>
  <c r="I17" i="46" s="1"/>
  <c r="O17" i="46"/>
  <c r="W17" i="46"/>
  <c r="M17" i="46"/>
  <c r="G17" i="43"/>
  <c r="F18" i="46"/>
  <c r="T17" i="43"/>
  <c r="F18" i="50"/>
  <c r="H18" i="50" s="1"/>
  <c r="I18" i="50" s="1"/>
  <c r="N18" i="45"/>
  <c r="F18" i="45"/>
  <c r="Q17" i="45"/>
  <c r="R17" i="45" s="1"/>
  <c r="S17" i="45" s="1"/>
  <c r="T17" i="45" s="1"/>
  <c r="U17" i="45" s="1"/>
  <c r="V17" i="45" s="1"/>
  <c r="W17" i="45" s="1"/>
  <c r="X17" i="45" s="1"/>
  <c r="Y17" i="45" s="1"/>
  <c r="Z17" i="45" s="1"/>
  <c r="AA17" i="45" s="1"/>
  <c r="AB17" i="45" s="1"/>
  <c r="AC17" i="45" s="1"/>
  <c r="AD17" i="45" s="1"/>
  <c r="AE17" i="45" s="1"/>
  <c r="AF17" i="45" s="1"/>
  <c r="AG17" i="45" s="1"/>
  <c r="AH17" i="45" s="1"/>
  <c r="AI17" i="45" s="1"/>
  <c r="AJ17" i="45" s="1"/>
  <c r="AK17" i="45" s="1"/>
  <c r="AL17" i="45" s="1"/>
  <c r="AM17" i="45" s="1"/>
  <c r="AN17" i="45" s="1"/>
  <c r="AO17" i="45" s="1"/>
  <c r="AP17" i="45" s="1"/>
  <c r="AQ17" i="45" s="1"/>
  <c r="AR17" i="45" s="1"/>
  <c r="AS17" i="45" s="1"/>
  <c r="AT17" i="45" s="1"/>
  <c r="AU17" i="45" s="1"/>
  <c r="AV17" i="45" s="1"/>
  <c r="AW17" i="45" s="1"/>
  <c r="AX17" i="45" s="1"/>
  <c r="AY17" i="45" s="1"/>
  <c r="AZ17" i="45" s="1"/>
  <c r="BA17" i="45" s="1"/>
  <c r="BB17" i="45" s="1"/>
  <c r="BC17" i="45" s="1"/>
  <c r="BD17" i="45" s="1"/>
  <c r="H17" i="45"/>
  <c r="I17" i="45" s="1"/>
  <c r="U16" i="43"/>
  <c r="G17" i="46"/>
  <c r="G17" i="45"/>
  <c r="G17" i="50"/>
  <c r="J62" i="49"/>
  <c r="K61" i="49"/>
  <c r="J18" i="45"/>
  <c r="K19" i="45"/>
  <c r="T16" i="49"/>
  <c r="U16" i="49" s="1"/>
  <c r="F17" i="49"/>
  <c r="G17" i="49" s="1"/>
  <c r="K18" i="45"/>
  <c r="J19" i="45"/>
  <c r="J16" i="46" l="1"/>
  <c r="X17" i="46"/>
  <c r="Y17" i="46" s="1"/>
  <c r="Z17" i="46" s="1"/>
  <c r="AA17" i="46" s="1"/>
  <c r="AB17" i="46" s="1"/>
  <c r="AC17" i="46" s="1"/>
  <c r="AD17" i="46" s="1"/>
  <c r="AE17" i="46" s="1"/>
  <c r="AF17" i="46" s="1"/>
  <c r="AG17" i="46" s="1"/>
  <c r="AH17" i="46" s="1"/>
  <c r="AI17" i="46" s="1"/>
  <c r="AJ17" i="46" s="1"/>
  <c r="AK17" i="46" s="1"/>
  <c r="AL17" i="46" s="1"/>
  <c r="AM17" i="46" s="1"/>
  <c r="AN17" i="46" s="1"/>
  <c r="AO17" i="46" s="1"/>
  <c r="AP17" i="46" s="1"/>
  <c r="AQ17" i="46" s="1"/>
  <c r="AR17" i="46" s="1"/>
  <c r="AS17" i="46" s="1"/>
  <c r="AT17" i="46" s="1"/>
  <c r="AU17" i="46" s="1"/>
  <c r="AV17" i="46" s="1"/>
  <c r="AW17" i="46" s="1"/>
  <c r="AX17" i="46" s="1"/>
  <c r="AY17" i="46" s="1"/>
  <c r="AZ17" i="46" s="1"/>
  <c r="BA17" i="46" s="1"/>
  <c r="BB17" i="46" s="1"/>
  <c r="BC17" i="46" s="1"/>
  <c r="BD17" i="46" s="1"/>
  <c r="BE17" i="46" s="1"/>
  <c r="BF17" i="46" s="1"/>
  <c r="BG17" i="46" s="1"/>
  <c r="BH17" i="46" s="1"/>
  <c r="BI17" i="46" s="1"/>
  <c r="BJ17" i="46" s="1"/>
  <c r="BK17" i="46" s="1"/>
  <c r="BL17" i="46" s="1"/>
  <c r="BM17" i="46" s="1"/>
  <c r="BN17" i="46" s="1"/>
  <c r="BO17" i="46" s="1"/>
  <c r="BP17" i="46" s="1"/>
  <c r="BQ17" i="46" s="1"/>
  <c r="BR17" i="46" s="1"/>
  <c r="BS17" i="46" s="1"/>
  <c r="BT17" i="46" s="1"/>
  <c r="BU17" i="46" s="1"/>
  <c r="BV17" i="46" s="1"/>
  <c r="BW17" i="46" s="1"/>
  <c r="BX17" i="46" s="1"/>
  <c r="BY17" i="46" s="1"/>
  <c r="BZ17" i="46" s="1"/>
  <c r="CA17" i="46" s="1"/>
  <c r="CB17" i="46" s="1"/>
  <c r="CC17" i="46" s="1"/>
  <c r="CD17" i="46" s="1"/>
  <c r="CE17" i="46" s="1"/>
  <c r="CF17" i="46" s="1"/>
  <c r="CG17" i="46" s="1"/>
  <c r="CH17" i="46" s="1"/>
  <c r="CI17" i="46" s="1"/>
  <c r="CJ17" i="46" s="1"/>
  <c r="CK17" i="46" s="1"/>
  <c r="CL17" i="46" s="1"/>
  <c r="CM17" i="46" s="1"/>
  <c r="CN17" i="46" s="1"/>
  <c r="CO17" i="46" s="1"/>
  <c r="CP17" i="46" s="1"/>
  <c r="CQ17" i="46" s="1"/>
  <c r="CR17" i="46" s="1"/>
  <c r="CS17" i="46" s="1"/>
  <c r="CT17" i="46" s="1"/>
  <c r="CU17" i="46" s="1"/>
  <c r="CV17" i="46" s="1"/>
  <c r="CW17" i="46" s="1"/>
  <c r="CX17" i="46" s="1"/>
  <c r="CY17" i="46" s="1"/>
  <c r="CZ17" i="46" s="1"/>
  <c r="DA17" i="46" s="1"/>
  <c r="DB17" i="46" s="1"/>
  <c r="DC17" i="46" s="1"/>
  <c r="DD17" i="46" s="1"/>
  <c r="DE17" i="46" s="1"/>
  <c r="DF17" i="46" s="1"/>
  <c r="DG17" i="46" s="1"/>
  <c r="DH17" i="46" s="1"/>
  <c r="DI17" i="46" s="1"/>
  <c r="DJ17" i="46" s="1"/>
  <c r="DK17" i="46" s="1"/>
  <c r="DL17" i="46" s="1"/>
  <c r="DM17" i="46" s="1"/>
  <c r="DN17" i="46" s="1"/>
  <c r="DO17" i="46" s="1"/>
  <c r="DP17" i="46" s="1"/>
  <c r="DQ17" i="46" s="1"/>
  <c r="DR17" i="46" s="1"/>
  <c r="BB7" i="46"/>
  <c r="H18" i="45"/>
  <c r="I18" i="45" s="1"/>
  <c r="Q18" i="45"/>
  <c r="R18" i="45" s="1"/>
  <c r="S18" i="45" s="1"/>
  <c r="T18" i="45" s="1"/>
  <c r="U18" i="45" s="1"/>
  <c r="V18" i="45" s="1"/>
  <c r="W18" i="45" s="1"/>
  <c r="X18" i="45" s="1"/>
  <c r="Y18" i="45" s="1"/>
  <c r="Z18" i="45" s="1"/>
  <c r="AA18" i="45" s="1"/>
  <c r="AB18" i="45" s="1"/>
  <c r="AC18" i="45" s="1"/>
  <c r="AD18" i="45" s="1"/>
  <c r="AE18" i="45" s="1"/>
  <c r="AF18" i="45" s="1"/>
  <c r="AG18" i="45" s="1"/>
  <c r="AH18" i="45" s="1"/>
  <c r="AI18" i="45" s="1"/>
  <c r="AJ18" i="45" s="1"/>
  <c r="AK18" i="45" s="1"/>
  <c r="AL18" i="45" s="1"/>
  <c r="AM18" i="45" s="1"/>
  <c r="AN18" i="45" s="1"/>
  <c r="AO18" i="45" s="1"/>
  <c r="AP18" i="45" s="1"/>
  <c r="AQ18" i="45" s="1"/>
  <c r="AR18" i="45" s="1"/>
  <c r="AS18" i="45" s="1"/>
  <c r="AT18" i="45" s="1"/>
  <c r="AU18" i="45" s="1"/>
  <c r="AV18" i="45" s="1"/>
  <c r="AW18" i="45" s="1"/>
  <c r="AX18" i="45" s="1"/>
  <c r="AY18" i="45" s="1"/>
  <c r="AZ18" i="45" s="1"/>
  <c r="BA18" i="45" s="1"/>
  <c r="BB18" i="45" s="1"/>
  <c r="BC18" i="45" s="1"/>
  <c r="BD18" i="45" s="1"/>
  <c r="U17" i="43"/>
  <c r="G18" i="50"/>
  <c r="G18" i="45"/>
  <c r="G18" i="46"/>
  <c r="T18" i="43"/>
  <c r="N19" i="45"/>
  <c r="F19" i="50"/>
  <c r="H19" i="50" s="1"/>
  <c r="I19" i="50" s="1"/>
  <c r="F19" i="46"/>
  <c r="F19" i="45"/>
  <c r="M18" i="46"/>
  <c r="H18" i="46"/>
  <c r="I18" i="46" s="1"/>
  <c r="W18" i="46"/>
  <c r="K18" i="46"/>
  <c r="N18" i="46" s="1"/>
  <c r="O18" i="46"/>
  <c r="J63" i="49"/>
  <c r="K62" i="49"/>
  <c r="J20" i="45"/>
  <c r="T17" i="49"/>
  <c r="U17" i="49" s="1"/>
  <c r="F18" i="49"/>
  <c r="G18" i="49" s="1"/>
  <c r="K20" i="45"/>
  <c r="J17" i="46" l="1"/>
  <c r="X18" i="46"/>
  <c r="Y18" i="46" s="1"/>
  <c r="Z18" i="46" s="1"/>
  <c r="AA18" i="46" s="1"/>
  <c r="AB18" i="46" s="1"/>
  <c r="AC18" i="46" s="1"/>
  <c r="AD18" i="46" s="1"/>
  <c r="AE18" i="46" s="1"/>
  <c r="AF18" i="46" s="1"/>
  <c r="AG18" i="46" s="1"/>
  <c r="AH18" i="46" s="1"/>
  <c r="AI18" i="46" s="1"/>
  <c r="AJ18" i="46" s="1"/>
  <c r="AK18" i="46" s="1"/>
  <c r="AL18" i="46" s="1"/>
  <c r="AM18" i="46" s="1"/>
  <c r="AN18" i="46" s="1"/>
  <c r="AO18" i="46" s="1"/>
  <c r="AP18" i="46" s="1"/>
  <c r="AQ18" i="46" s="1"/>
  <c r="AR18" i="46" s="1"/>
  <c r="AS18" i="46" s="1"/>
  <c r="AT18" i="46" s="1"/>
  <c r="AU18" i="46" s="1"/>
  <c r="AV18" i="46" s="1"/>
  <c r="AW18" i="46" s="1"/>
  <c r="AX18" i="46" s="1"/>
  <c r="AY18" i="46" s="1"/>
  <c r="AZ18" i="46" s="1"/>
  <c r="BA18" i="46" s="1"/>
  <c r="BB18" i="46" s="1"/>
  <c r="BC18" i="46" s="1"/>
  <c r="BD18" i="46" s="1"/>
  <c r="BE18" i="46" s="1"/>
  <c r="BF18" i="46" s="1"/>
  <c r="BG18" i="46" s="1"/>
  <c r="BH18" i="46" s="1"/>
  <c r="BI18" i="46" s="1"/>
  <c r="BJ18" i="46" s="1"/>
  <c r="BK18" i="46" s="1"/>
  <c r="BL18" i="46" s="1"/>
  <c r="BM18" i="46" s="1"/>
  <c r="BN18" i="46" s="1"/>
  <c r="BO18" i="46" s="1"/>
  <c r="BP18" i="46" s="1"/>
  <c r="BQ18" i="46" s="1"/>
  <c r="BR18" i="46" s="1"/>
  <c r="BS18" i="46" s="1"/>
  <c r="BT18" i="46" s="1"/>
  <c r="BU18" i="46" s="1"/>
  <c r="BV18" i="46" s="1"/>
  <c r="BW18" i="46" s="1"/>
  <c r="BX18" i="46" s="1"/>
  <c r="BY18" i="46" s="1"/>
  <c r="BZ18" i="46" s="1"/>
  <c r="CA18" i="46" s="1"/>
  <c r="CB18" i="46" s="1"/>
  <c r="CC18" i="46" s="1"/>
  <c r="CD18" i="46" s="1"/>
  <c r="CE18" i="46" s="1"/>
  <c r="CF18" i="46" s="1"/>
  <c r="CG18" i="46" s="1"/>
  <c r="CH18" i="46" s="1"/>
  <c r="CI18" i="46" s="1"/>
  <c r="CJ18" i="46" s="1"/>
  <c r="CK18" i="46" s="1"/>
  <c r="CL18" i="46" s="1"/>
  <c r="CM18" i="46" s="1"/>
  <c r="CN18" i="46" s="1"/>
  <c r="CO18" i="46" s="1"/>
  <c r="CP18" i="46" s="1"/>
  <c r="CQ18" i="46" s="1"/>
  <c r="CR18" i="46" s="1"/>
  <c r="CS18" i="46" s="1"/>
  <c r="CT18" i="46" s="1"/>
  <c r="CU18" i="46" s="1"/>
  <c r="CV18" i="46" s="1"/>
  <c r="CW18" i="46" s="1"/>
  <c r="CX18" i="46" s="1"/>
  <c r="CY18" i="46" s="1"/>
  <c r="CZ18" i="46" s="1"/>
  <c r="DA18" i="46" s="1"/>
  <c r="DB18" i="46" s="1"/>
  <c r="DC18" i="46" s="1"/>
  <c r="DD18" i="46" s="1"/>
  <c r="DE18" i="46" s="1"/>
  <c r="DF18" i="46" s="1"/>
  <c r="DG18" i="46" s="1"/>
  <c r="DH18" i="46" s="1"/>
  <c r="DI18" i="46" s="1"/>
  <c r="DJ18" i="46" s="1"/>
  <c r="DK18" i="46" s="1"/>
  <c r="DL18" i="46" s="1"/>
  <c r="DM18" i="46" s="1"/>
  <c r="DN18" i="46" s="1"/>
  <c r="DO18" i="46" s="1"/>
  <c r="DP18" i="46" s="1"/>
  <c r="DQ18" i="46" s="1"/>
  <c r="DR18" i="46" s="1"/>
  <c r="BC7" i="46"/>
  <c r="F20" i="43"/>
  <c r="O19" i="46"/>
  <c r="W19" i="46"/>
  <c r="M19" i="46"/>
  <c r="K19" i="46"/>
  <c r="N19" i="46" s="1"/>
  <c r="H19" i="46"/>
  <c r="I19" i="46" s="1"/>
  <c r="U18" i="43"/>
  <c r="G19" i="50"/>
  <c r="G19" i="45"/>
  <c r="G19" i="46"/>
  <c r="Q19" i="45"/>
  <c r="R19" i="45" s="1"/>
  <c r="S19" i="45" s="1"/>
  <c r="T19" i="45" s="1"/>
  <c r="U19" i="45" s="1"/>
  <c r="V19" i="45" s="1"/>
  <c r="W19" i="45" s="1"/>
  <c r="X19" i="45" s="1"/>
  <c r="Y19" i="45" s="1"/>
  <c r="Z19" i="45" s="1"/>
  <c r="AA19" i="45" s="1"/>
  <c r="AB19" i="45" s="1"/>
  <c r="AC19" i="45" s="1"/>
  <c r="AD19" i="45" s="1"/>
  <c r="AE19" i="45" s="1"/>
  <c r="AF19" i="45" s="1"/>
  <c r="AG19" i="45" s="1"/>
  <c r="AH19" i="45" s="1"/>
  <c r="AI19" i="45" s="1"/>
  <c r="AJ19" i="45" s="1"/>
  <c r="AK19" i="45" s="1"/>
  <c r="AL19" i="45" s="1"/>
  <c r="AM19" i="45" s="1"/>
  <c r="AN19" i="45" s="1"/>
  <c r="AO19" i="45" s="1"/>
  <c r="AP19" i="45" s="1"/>
  <c r="AQ19" i="45" s="1"/>
  <c r="AR19" i="45" s="1"/>
  <c r="AS19" i="45" s="1"/>
  <c r="AT19" i="45" s="1"/>
  <c r="AU19" i="45" s="1"/>
  <c r="AV19" i="45" s="1"/>
  <c r="AW19" i="45" s="1"/>
  <c r="AX19" i="45" s="1"/>
  <c r="AY19" i="45" s="1"/>
  <c r="AZ19" i="45" s="1"/>
  <c r="BA19" i="45" s="1"/>
  <c r="BB19" i="45" s="1"/>
  <c r="BC19" i="45" s="1"/>
  <c r="BD19" i="45" s="1"/>
  <c r="H19" i="45"/>
  <c r="I19" i="45" s="1"/>
  <c r="G19" i="43"/>
  <c r="F20" i="46"/>
  <c r="T19" i="43"/>
  <c r="F20" i="50"/>
  <c r="H20" i="50" s="1"/>
  <c r="I20" i="50" s="1"/>
  <c r="N20" i="45"/>
  <c r="F20" i="45"/>
  <c r="J64" i="49"/>
  <c r="K64" i="49" s="1"/>
  <c r="K63" i="49"/>
  <c r="K21" i="45"/>
  <c r="T18" i="49"/>
  <c r="U18" i="49" s="1"/>
  <c r="F19" i="49"/>
  <c r="G19" i="49" s="1"/>
  <c r="J21" i="45"/>
  <c r="J18" i="46" l="1"/>
  <c r="F21" i="43"/>
  <c r="F22" i="46" s="1"/>
  <c r="H22" i="46" s="1"/>
  <c r="I22" i="46" s="1"/>
  <c r="G20" i="43"/>
  <c r="T20" i="43"/>
  <c r="U20" i="43" s="1"/>
  <c r="F21" i="45"/>
  <c r="H21" i="45" s="1"/>
  <c r="I21" i="45" s="1"/>
  <c r="F21" i="46"/>
  <c r="M21" i="46" s="1"/>
  <c r="N21" i="45"/>
  <c r="X19" i="46"/>
  <c r="Y19" i="46" s="1"/>
  <c r="Z19" i="46" s="1"/>
  <c r="AA19" i="46" s="1"/>
  <c r="AB19" i="46" s="1"/>
  <c r="AC19" i="46" s="1"/>
  <c r="AD19" i="46" s="1"/>
  <c r="AE19" i="46" s="1"/>
  <c r="AF19" i="46" s="1"/>
  <c r="AG19" i="46" s="1"/>
  <c r="AH19" i="46" s="1"/>
  <c r="AI19" i="46" s="1"/>
  <c r="AJ19" i="46" s="1"/>
  <c r="AK19" i="46" s="1"/>
  <c r="AL19" i="46" s="1"/>
  <c r="AM19" i="46" s="1"/>
  <c r="AN19" i="46" s="1"/>
  <c r="AO19" i="46" s="1"/>
  <c r="AP19" i="46" s="1"/>
  <c r="AQ19" i="46" s="1"/>
  <c r="AR19" i="46" s="1"/>
  <c r="AS19" i="46" s="1"/>
  <c r="AT19" i="46" s="1"/>
  <c r="AU19" i="46" s="1"/>
  <c r="AV19" i="46" s="1"/>
  <c r="AW19" i="46" s="1"/>
  <c r="AX19" i="46" s="1"/>
  <c r="AY19" i="46" s="1"/>
  <c r="AZ19" i="46" s="1"/>
  <c r="BA19" i="46" s="1"/>
  <c r="BB19" i="46" s="1"/>
  <c r="BC19" i="46" s="1"/>
  <c r="BD19" i="46" s="1"/>
  <c r="BE19" i="46" s="1"/>
  <c r="BF19" i="46" s="1"/>
  <c r="BG19" i="46" s="1"/>
  <c r="BH19" i="46" s="1"/>
  <c r="BI19" i="46" s="1"/>
  <c r="BJ19" i="46" s="1"/>
  <c r="BK19" i="46" s="1"/>
  <c r="BL19" i="46" s="1"/>
  <c r="BM19" i="46" s="1"/>
  <c r="BN19" i="46" s="1"/>
  <c r="BO19" i="46" s="1"/>
  <c r="BP19" i="46" s="1"/>
  <c r="BQ19" i="46" s="1"/>
  <c r="BR19" i="46" s="1"/>
  <c r="BS19" i="46" s="1"/>
  <c r="BT19" i="46" s="1"/>
  <c r="BU19" i="46" s="1"/>
  <c r="BV19" i="46" s="1"/>
  <c r="BW19" i="46" s="1"/>
  <c r="BX19" i="46" s="1"/>
  <c r="BY19" i="46" s="1"/>
  <c r="BZ19" i="46" s="1"/>
  <c r="CA19" i="46" s="1"/>
  <c r="CB19" i="46" s="1"/>
  <c r="CC19" i="46" s="1"/>
  <c r="CD19" i="46" s="1"/>
  <c r="CE19" i="46" s="1"/>
  <c r="CF19" i="46" s="1"/>
  <c r="CG19" i="46" s="1"/>
  <c r="CH19" i="46" s="1"/>
  <c r="CI19" i="46" s="1"/>
  <c r="CJ19" i="46" s="1"/>
  <c r="CK19" i="46" s="1"/>
  <c r="CL19" i="46" s="1"/>
  <c r="CM19" i="46" s="1"/>
  <c r="CN19" i="46" s="1"/>
  <c r="CO19" i="46" s="1"/>
  <c r="CP19" i="46" s="1"/>
  <c r="CQ19" i="46" s="1"/>
  <c r="CR19" i="46" s="1"/>
  <c r="CS19" i="46" s="1"/>
  <c r="CT19" i="46" s="1"/>
  <c r="CU19" i="46" s="1"/>
  <c r="CV19" i="46" s="1"/>
  <c r="CW19" i="46" s="1"/>
  <c r="CX19" i="46" s="1"/>
  <c r="CY19" i="46" s="1"/>
  <c r="CZ19" i="46" s="1"/>
  <c r="DA19" i="46" s="1"/>
  <c r="DB19" i="46" s="1"/>
  <c r="DC19" i="46" s="1"/>
  <c r="DD19" i="46" s="1"/>
  <c r="DE19" i="46" s="1"/>
  <c r="DF19" i="46" s="1"/>
  <c r="DG19" i="46" s="1"/>
  <c r="DH19" i="46" s="1"/>
  <c r="DI19" i="46" s="1"/>
  <c r="DJ19" i="46" s="1"/>
  <c r="DK19" i="46" s="1"/>
  <c r="DL19" i="46" s="1"/>
  <c r="DM19" i="46" s="1"/>
  <c r="DN19" i="46" s="1"/>
  <c r="DO19" i="46" s="1"/>
  <c r="DP19" i="46" s="1"/>
  <c r="DQ19" i="46" s="1"/>
  <c r="DR19" i="46" s="1"/>
  <c r="BD7" i="46"/>
  <c r="T21" i="43"/>
  <c r="F22" i="45"/>
  <c r="Q20" i="45"/>
  <c r="R20" i="45" s="1"/>
  <c r="S20" i="45" s="1"/>
  <c r="T20" i="45" s="1"/>
  <c r="U20" i="45" s="1"/>
  <c r="V20" i="45" s="1"/>
  <c r="W20" i="45" s="1"/>
  <c r="X20" i="45" s="1"/>
  <c r="Y20" i="45" s="1"/>
  <c r="Z20" i="45" s="1"/>
  <c r="AA20" i="45" s="1"/>
  <c r="AB20" i="45" s="1"/>
  <c r="AC20" i="45" s="1"/>
  <c r="AD20" i="45" s="1"/>
  <c r="AE20" i="45" s="1"/>
  <c r="AF20" i="45" s="1"/>
  <c r="AG20" i="45" s="1"/>
  <c r="AH20" i="45" s="1"/>
  <c r="AI20" i="45" s="1"/>
  <c r="AJ20" i="45" s="1"/>
  <c r="AK20" i="45" s="1"/>
  <c r="AL20" i="45" s="1"/>
  <c r="AM20" i="45" s="1"/>
  <c r="AN20" i="45" s="1"/>
  <c r="AO20" i="45" s="1"/>
  <c r="AP20" i="45" s="1"/>
  <c r="AQ20" i="45" s="1"/>
  <c r="AR20" i="45" s="1"/>
  <c r="AS20" i="45" s="1"/>
  <c r="AT20" i="45" s="1"/>
  <c r="AU20" i="45" s="1"/>
  <c r="AV20" i="45" s="1"/>
  <c r="AW20" i="45" s="1"/>
  <c r="AX20" i="45" s="1"/>
  <c r="AY20" i="45" s="1"/>
  <c r="AZ20" i="45" s="1"/>
  <c r="BA20" i="45" s="1"/>
  <c r="BB20" i="45" s="1"/>
  <c r="BC20" i="45" s="1"/>
  <c r="BD20" i="45" s="1"/>
  <c r="H20" i="45"/>
  <c r="I20" i="45" s="1"/>
  <c r="U19" i="43"/>
  <c r="G20" i="46"/>
  <c r="G20" i="45"/>
  <c r="G20" i="50"/>
  <c r="T30" i="43"/>
  <c r="O20" i="46"/>
  <c r="K20" i="46"/>
  <c r="N20" i="46" s="1"/>
  <c r="W20" i="46"/>
  <c r="H20" i="46"/>
  <c r="I20" i="46" s="1"/>
  <c r="M20" i="46"/>
  <c r="J22" i="45"/>
  <c r="K22" i="45"/>
  <c r="T19" i="49"/>
  <c r="U19" i="49" s="1"/>
  <c r="F20" i="49"/>
  <c r="G20" i="49" s="1"/>
  <c r="F22" i="43" l="1"/>
  <c r="G22" i="43" s="1"/>
  <c r="N22" i="45"/>
  <c r="G21" i="43"/>
  <c r="J19" i="46"/>
  <c r="H21" i="46"/>
  <c r="I21" i="46" s="1"/>
  <c r="K21" i="46"/>
  <c r="N21" i="46" s="1"/>
  <c r="O21" i="46"/>
  <c r="W21" i="46"/>
  <c r="X21" i="46" s="1"/>
  <c r="G21" i="46"/>
  <c r="G21" i="45"/>
  <c r="Q21" i="45"/>
  <c r="R21" i="45" s="1"/>
  <c r="S21" i="45" s="1"/>
  <c r="T21" i="45" s="1"/>
  <c r="U21" i="45" s="1"/>
  <c r="V21" i="45" s="1"/>
  <c r="W21" i="45" s="1"/>
  <c r="X21" i="45" s="1"/>
  <c r="Y21" i="45" s="1"/>
  <c r="Z21" i="45" s="1"/>
  <c r="AA21" i="45" s="1"/>
  <c r="AB21" i="45" s="1"/>
  <c r="AC21" i="45" s="1"/>
  <c r="AD21" i="45" s="1"/>
  <c r="AE21" i="45" s="1"/>
  <c r="AF21" i="45" s="1"/>
  <c r="AG21" i="45" s="1"/>
  <c r="AH21" i="45" s="1"/>
  <c r="AI21" i="45" s="1"/>
  <c r="AJ21" i="45" s="1"/>
  <c r="AK21" i="45" s="1"/>
  <c r="AL21" i="45" s="1"/>
  <c r="AM21" i="45" s="1"/>
  <c r="AN21" i="45" s="1"/>
  <c r="AO21" i="45" s="1"/>
  <c r="AP21" i="45" s="1"/>
  <c r="AQ21" i="45" s="1"/>
  <c r="AR21" i="45" s="1"/>
  <c r="AS21" i="45" s="1"/>
  <c r="AT21" i="45" s="1"/>
  <c r="AU21" i="45" s="1"/>
  <c r="AV21" i="45" s="1"/>
  <c r="AW21" i="45" s="1"/>
  <c r="AX21" i="45" s="1"/>
  <c r="AY21" i="45" s="1"/>
  <c r="AZ21" i="45" s="1"/>
  <c r="BA21" i="45" s="1"/>
  <c r="BB21" i="45" s="1"/>
  <c r="BC21" i="45" s="1"/>
  <c r="BD21" i="45" s="1"/>
  <c r="F23" i="45"/>
  <c r="Q23" i="45" s="1"/>
  <c r="R23" i="45" s="1"/>
  <c r="S23" i="45" s="1"/>
  <c r="T23" i="45" s="1"/>
  <c r="U23" i="45" s="1"/>
  <c r="V23" i="45" s="1"/>
  <c r="W23" i="45" s="1"/>
  <c r="X23" i="45" s="1"/>
  <c r="Y23" i="45" s="1"/>
  <c r="Z23" i="45" s="1"/>
  <c r="AA23" i="45" s="1"/>
  <c r="AB23" i="45" s="1"/>
  <c r="AC23" i="45" s="1"/>
  <c r="AD23" i="45" s="1"/>
  <c r="AE23" i="45" s="1"/>
  <c r="AF23" i="45" s="1"/>
  <c r="AG23" i="45" s="1"/>
  <c r="AH23" i="45" s="1"/>
  <c r="AI23" i="45" s="1"/>
  <c r="AJ23" i="45" s="1"/>
  <c r="AK23" i="45" s="1"/>
  <c r="AL23" i="45" s="1"/>
  <c r="AM23" i="45" s="1"/>
  <c r="AN23" i="45" s="1"/>
  <c r="AO23" i="45" s="1"/>
  <c r="AP23" i="45" s="1"/>
  <c r="AQ23" i="45" s="1"/>
  <c r="AR23" i="45" s="1"/>
  <c r="AS23" i="45" s="1"/>
  <c r="AT23" i="45" s="1"/>
  <c r="AU23" i="45" s="1"/>
  <c r="AV23" i="45" s="1"/>
  <c r="AW23" i="45" s="1"/>
  <c r="AX23" i="45" s="1"/>
  <c r="AY23" i="45" s="1"/>
  <c r="AZ23" i="45" s="1"/>
  <c r="BA23" i="45" s="1"/>
  <c r="BB23" i="45" s="1"/>
  <c r="BC23" i="45" s="1"/>
  <c r="BD23" i="45" s="1"/>
  <c r="F23" i="46"/>
  <c r="O23" i="46" s="1"/>
  <c r="X20" i="46"/>
  <c r="Y20" i="46" s="1"/>
  <c r="Z20" i="46" s="1"/>
  <c r="AA20" i="46" s="1"/>
  <c r="AB20" i="46" s="1"/>
  <c r="AC20" i="46" s="1"/>
  <c r="AD20" i="46" s="1"/>
  <c r="AE20" i="46" s="1"/>
  <c r="AF20" i="46" s="1"/>
  <c r="AG20" i="46" s="1"/>
  <c r="AH20" i="46" s="1"/>
  <c r="AI20" i="46" s="1"/>
  <c r="AJ20" i="46" s="1"/>
  <c r="AK20" i="46" s="1"/>
  <c r="AL20" i="46" s="1"/>
  <c r="AM20" i="46" s="1"/>
  <c r="AN20" i="46" s="1"/>
  <c r="AO20" i="46" s="1"/>
  <c r="AP20" i="46" s="1"/>
  <c r="AQ20" i="46" s="1"/>
  <c r="AR20" i="46" s="1"/>
  <c r="AS20" i="46" s="1"/>
  <c r="AT20" i="46" s="1"/>
  <c r="AU20" i="46" s="1"/>
  <c r="AV20" i="46" s="1"/>
  <c r="AW20" i="46" s="1"/>
  <c r="AX20" i="46" s="1"/>
  <c r="AY20" i="46" s="1"/>
  <c r="AZ20" i="46" s="1"/>
  <c r="BA20" i="46" s="1"/>
  <c r="BB20" i="46" s="1"/>
  <c r="BC20" i="46" s="1"/>
  <c r="BD20" i="46" s="1"/>
  <c r="BE20" i="46" s="1"/>
  <c r="BF20" i="46" s="1"/>
  <c r="BG20" i="46" s="1"/>
  <c r="BH20" i="46" s="1"/>
  <c r="BI20" i="46" s="1"/>
  <c r="BJ20" i="46" s="1"/>
  <c r="BK20" i="46" s="1"/>
  <c r="BL20" i="46" s="1"/>
  <c r="BM20" i="46" s="1"/>
  <c r="BN20" i="46" s="1"/>
  <c r="BO20" i="46" s="1"/>
  <c r="BP20" i="46" s="1"/>
  <c r="BQ20" i="46" s="1"/>
  <c r="BR20" i="46" s="1"/>
  <c r="BS20" i="46" s="1"/>
  <c r="BT20" i="46" s="1"/>
  <c r="BU20" i="46" s="1"/>
  <c r="BV20" i="46" s="1"/>
  <c r="BW20" i="46" s="1"/>
  <c r="BX20" i="46" s="1"/>
  <c r="BY20" i="46" s="1"/>
  <c r="BZ20" i="46" s="1"/>
  <c r="CA20" i="46" s="1"/>
  <c r="CB20" i="46" s="1"/>
  <c r="CC20" i="46" s="1"/>
  <c r="CD20" i="46" s="1"/>
  <c r="CE20" i="46" s="1"/>
  <c r="CF20" i="46" s="1"/>
  <c r="CG20" i="46" s="1"/>
  <c r="CH20" i="46" s="1"/>
  <c r="CI20" i="46" s="1"/>
  <c r="CJ20" i="46" s="1"/>
  <c r="CK20" i="46" s="1"/>
  <c r="CL20" i="46" s="1"/>
  <c r="CM20" i="46" s="1"/>
  <c r="CN20" i="46" s="1"/>
  <c r="CO20" i="46" s="1"/>
  <c r="CP20" i="46" s="1"/>
  <c r="CQ20" i="46" s="1"/>
  <c r="CR20" i="46" s="1"/>
  <c r="CS20" i="46" s="1"/>
  <c r="CT20" i="46" s="1"/>
  <c r="CU20" i="46" s="1"/>
  <c r="CV20" i="46" s="1"/>
  <c r="CW20" i="46" s="1"/>
  <c r="CX20" i="46" s="1"/>
  <c r="CY20" i="46" s="1"/>
  <c r="CZ20" i="46" s="1"/>
  <c r="DA20" i="46" s="1"/>
  <c r="DB20" i="46" s="1"/>
  <c r="DC20" i="46" s="1"/>
  <c r="DD20" i="46" s="1"/>
  <c r="DE20" i="46" s="1"/>
  <c r="DF20" i="46" s="1"/>
  <c r="DG20" i="46" s="1"/>
  <c r="DH20" i="46" s="1"/>
  <c r="DI20" i="46" s="1"/>
  <c r="DJ20" i="46" s="1"/>
  <c r="DK20" i="46" s="1"/>
  <c r="DL20" i="46" s="1"/>
  <c r="DM20" i="46" s="1"/>
  <c r="DN20" i="46" s="1"/>
  <c r="DO20" i="46" s="1"/>
  <c r="DP20" i="46" s="1"/>
  <c r="DQ20" i="46" s="1"/>
  <c r="DR20" i="46" s="1"/>
  <c r="BE7" i="46"/>
  <c r="N23" i="45"/>
  <c r="F23" i="43"/>
  <c r="T22" i="43"/>
  <c r="U22" i="43" s="1"/>
  <c r="K22" i="46"/>
  <c r="N22" i="46" s="1"/>
  <c r="O22" i="46"/>
  <c r="M22" i="46"/>
  <c r="W22" i="46"/>
  <c r="H22" i="45"/>
  <c r="I22" i="45" s="1"/>
  <c r="Q22" i="45"/>
  <c r="R22" i="45" s="1"/>
  <c r="S22" i="45" s="1"/>
  <c r="T22" i="45" s="1"/>
  <c r="U22" i="45" s="1"/>
  <c r="V22" i="45" s="1"/>
  <c r="W22" i="45" s="1"/>
  <c r="X22" i="45" s="1"/>
  <c r="Y22" i="45" s="1"/>
  <c r="Z22" i="45" s="1"/>
  <c r="AA22" i="45" s="1"/>
  <c r="AB22" i="45" s="1"/>
  <c r="AC22" i="45" s="1"/>
  <c r="AD22" i="45" s="1"/>
  <c r="AE22" i="45" s="1"/>
  <c r="AF22" i="45" s="1"/>
  <c r="AG22" i="45" s="1"/>
  <c r="AH22" i="45" s="1"/>
  <c r="AI22" i="45" s="1"/>
  <c r="AJ22" i="45" s="1"/>
  <c r="AK22" i="45" s="1"/>
  <c r="AL22" i="45" s="1"/>
  <c r="AM22" i="45" s="1"/>
  <c r="AN22" i="45" s="1"/>
  <c r="AO22" i="45" s="1"/>
  <c r="AP22" i="45" s="1"/>
  <c r="AQ22" i="45" s="1"/>
  <c r="AR22" i="45" s="1"/>
  <c r="AS22" i="45" s="1"/>
  <c r="AT22" i="45" s="1"/>
  <c r="AU22" i="45" s="1"/>
  <c r="AV22" i="45" s="1"/>
  <c r="AW22" i="45" s="1"/>
  <c r="AX22" i="45" s="1"/>
  <c r="AY22" i="45" s="1"/>
  <c r="AZ22" i="45" s="1"/>
  <c r="BA22" i="45" s="1"/>
  <c r="BB22" i="45" s="1"/>
  <c r="BC22" i="45" s="1"/>
  <c r="BD22" i="45" s="1"/>
  <c r="U21" i="43"/>
  <c r="G22" i="45"/>
  <c r="G22" i="46"/>
  <c r="U30" i="43"/>
  <c r="G21" i="50"/>
  <c r="J23" i="45"/>
  <c r="K23" i="45"/>
  <c r="T20" i="49"/>
  <c r="U20" i="49" s="1"/>
  <c r="F21" i="49"/>
  <c r="G21" i="49" s="1"/>
  <c r="J20" i="46" l="1"/>
  <c r="Y21" i="46"/>
  <c r="Z21" i="46" s="1"/>
  <c r="AA21" i="46" s="1"/>
  <c r="AB21" i="46" s="1"/>
  <c r="AC21" i="46" s="1"/>
  <c r="AD21" i="46" s="1"/>
  <c r="AE21" i="46" s="1"/>
  <c r="AF21" i="46" s="1"/>
  <c r="AG21" i="46" s="1"/>
  <c r="AH21" i="46" s="1"/>
  <c r="AI21" i="46" s="1"/>
  <c r="AJ21" i="46" s="1"/>
  <c r="AK21" i="46" s="1"/>
  <c r="AL21" i="46" s="1"/>
  <c r="AM21" i="46" s="1"/>
  <c r="AN21" i="46" s="1"/>
  <c r="AO21" i="46" s="1"/>
  <c r="AP21" i="46" s="1"/>
  <c r="AQ21" i="46" s="1"/>
  <c r="AR21" i="46" s="1"/>
  <c r="AS21" i="46" s="1"/>
  <c r="AT21" i="46" s="1"/>
  <c r="AU21" i="46" s="1"/>
  <c r="AV21" i="46" s="1"/>
  <c r="AW21" i="46" s="1"/>
  <c r="AX21" i="46" s="1"/>
  <c r="AY21" i="46" s="1"/>
  <c r="AZ21" i="46" s="1"/>
  <c r="BA21" i="46" s="1"/>
  <c r="H23" i="45"/>
  <c r="I23" i="45" s="1"/>
  <c r="H23" i="46"/>
  <c r="I23" i="46" s="1"/>
  <c r="M23" i="46"/>
  <c r="K23" i="46"/>
  <c r="N23" i="46" s="1"/>
  <c r="W23" i="46"/>
  <c r="X22" i="46"/>
  <c r="Y22" i="46" s="1"/>
  <c r="Z22" i="46" s="1"/>
  <c r="AA22" i="46" s="1"/>
  <c r="AB22" i="46" s="1"/>
  <c r="AC22" i="46" s="1"/>
  <c r="AD22" i="46" s="1"/>
  <c r="AE22" i="46" s="1"/>
  <c r="AF22" i="46" s="1"/>
  <c r="AG22" i="46" s="1"/>
  <c r="AH22" i="46" s="1"/>
  <c r="AI22" i="46" s="1"/>
  <c r="AJ22" i="46" s="1"/>
  <c r="AK22" i="46" s="1"/>
  <c r="AL22" i="46" s="1"/>
  <c r="AM22" i="46" s="1"/>
  <c r="AN22" i="46" s="1"/>
  <c r="AO22" i="46" s="1"/>
  <c r="AP22" i="46" s="1"/>
  <c r="AQ22" i="46" s="1"/>
  <c r="AR22" i="46" s="1"/>
  <c r="AS22" i="46" s="1"/>
  <c r="AT22" i="46" s="1"/>
  <c r="AU22" i="46" s="1"/>
  <c r="AV22" i="46" s="1"/>
  <c r="AW22" i="46" s="1"/>
  <c r="AX22" i="46" s="1"/>
  <c r="AY22" i="46" s="1"/>
  <c r="AZ22" i="46" s="1"/>
  <c r="BA22" i="46" s="1"/>
  <c r="BB22" i="46" s="1"/>
  <c r="BC22" i="46" s="1"/>
  <c r="BD22" i="46" s="1"/>
  <c r="BE22" i="46" s="1"/>
  <c r="BF22" i="46" s="1"/>
  <c r="BG22" i="46" s="1"/>
  <c r="BH22" i="46" s="1"/>
  <c r="BI22" i="46" s="1"/>
  <c r="BJ22" i="46" s="1"/>
  <c r="BK22" i="46" s="1"/>
  <c r="BL22" i="46" s="1"/>
  <c r="BM22" i="46" s="1"/>
  <c r="BN22" i="46" s="1"/>
  <c r="BO22" i="46" s="1"/>
  <c r="BP22" i="46" s="1"/>
  <c r="BQ22" i="46" s="1"/>
  <c r="BR22" i="46" s="1"/>
  <c r="BS22" i="46" s="1"/>
  <c r="BT22" i="46" s="1"/>
  <c r="BU22" i="46" s="1"/>
  <c r="BV22" i="46" s="1"/>
  <c r="BW22" i="46" s="1"/>
  <c r="BX22" i="46" s="1"/>
  <c r="BY22" i="46" s="1"/>
  <c r="BZ22" i="46" s="1"/>
  <c r="CA22" i="46" s="1"/>
  <c r="CB22" i="46" s="1"/>
  <c r="CC22" i="46" s="1"/>
  <c r="CD22" i="46" s="1"/>
  <c r="CE22" i="46" s="1"/>
  <c r="CF22" i="46" s="1"/>
  <c r="CG22" i="46" s="1"/>
  <c r="CH22" i="46" s="1"/>
  <c r="CI22" i="46" s="1"/>
  <c r="CJ22" i="46" s="1"/>
  <c r="CK22" i="46" s="1"/>
  <c r="CL22" i="46" s="1"/>
  <c r="CM22" i="46" s="1"/>
  <c r="CN22" i="46" s="1"/>
  <c r="CO22" i="46" s="1"/>
  <c r="CP22" i="46" s="1"/>
  <c r="CQ22" i="46" s="1"/>
  <c r="CR22" i="46" s="1"/>
  <c r="CS22" i="46" s="1"/>
  <c r="CT22" i="46" s="1"/>
  <c r="CU22" i="46" s="1"/>
  <c r="CV22" i="46" s="1"/>
  <c r="CW22" i="46" s="1"/>
  <c r="CX22" i="46" s="1"/>
  <c r="CY22" i="46" s="1"/>
  <c r="CZ22" i="46" s="1"/>
  <c r="DA22" i="46" s="1"/>
  <c r="DB22" i="46" s="1"/>
  <c r="DC22" i="46" s="1"/>
  <c r="DD22" i="46" s="1"/>
  <c r="DE22" i="46" s="1"/>
  <c r="DF22" i="46" s="1"/>
  <c r="DG22" i="46" s="1"/>
  <c r="DH22" i="46" s="1"/>
  <c r="DI22" i="46" s="1"/>
  <c r="DJ22" i="46" s="1"/>
  <c r="DK22" i="46" s="1"/>
  <c r="DL22" i="46" s="1"/>
  <c r="DM22" i="46" s="1"/>
  <c r="DN22" i="46" s="1"/>
  <c r="DO22" i="46" s="1"/>
  <c r="DP22" i="46" s="1"/>
  <c r="DQ22" i="46" s="1"/>
  <c r="DR22" i="46" s="1"/>
  <c r="BF7" i="46"/>
  <c r="G23" i="46"/>
  <c r="G23" i="45"/>
  <c r="G23" i="43"/>
  <c r="T23" i="43"/>
  <c r="F24" i="43"/>
  <c r="N24" i="45"/>
  <c r="F24" i="45"/>
  <c r="F24" i="46"/>
  <c r="K24" i="45"/>
  <c r="T21" i="49"/>
  <c r="U21" i="49" s="1"/>
  <c r="F22" i="49"/>
  <c r="G22" i="49" s="1"/>
  <c r="J24" i="45"/>
  <c r="J22" i="46" l="1"/>
  <c r="BB21" i="46"/>
  <c r="X23" i="46"/>
  <c r="Y23" i="46" s="1"/>
  <c r="Z23" i="46" s="1"/>
  <c r="AA23" i="46" s="1"/>
  <c r="AB23" i="46" s="1"/>
  <c r="AC23" i="46" s="1"/>
  <c r="AD23" i="46" s="1"/>
  <c r="AE23" i="46" s="1"/>
  <c r="AF23" i="46" s="1"/>
  <c r="AG23" i="46" s="1"/>
  <c r="AH23" i="46" s="1"/>
  <c r="AI23" i="46" s="1"/>
  <c r="AJ23" i="46" s="1"/>
  <c r="AK23" i="46" s="1"/>
  <c r="AL23" i="46" s="1"/>
  <c r="AM23" i="46" s="1"/>
  <c r="AN23" i="46" s="1"/>
  <c r="AO23" i="46" s="1"/>
  <c r="AP23" i="46" s="1"/>
  <c r="AQ23" i="46" s="1"/>
  <c r="AR23" i="46" s="1"/>
  <c r="AS23" i="46" s="1"/>
  <c r="AT23" i="46" s="1"/>
  <c r="AU23" i="46" s="1"/>
  <c r="AV23" i="46" s="1"/>
  <c r="AW23" i="46" s="1"/>
  <c r="AX23" i="46" s="1"/>
  <c r="AY23" i="46" s="1"/>
  <c r="AZ23" i="46" s="1"/>
  <c r="BA23" i="46" s="1"/>
  <c r="BB23" i="46" s="1"/>
  <c r="BC23" i="46" s="1"/>
  <c r="BD23" i="46" s="1"/>
  <c r="BE23" i="46" s="1"/>
  <c r="BF23" i="46" s="1"/>
  <c r="BG23" i="46" s="1"/>
  <c r="BH23" i="46" s="1"/>
  <c r="BI23" i="46" s="1"/>
  <c r="BJ23" i="46" s="1"/>
  <c r="BK23" i="46" s="1"/>
  <c r="BL23" i="46" s="1"/>
  <c r="BM23" i="46" s="1"/>
  <c r="BN23" i="46" s="1"/>
  <c r="BO23" i="46" s="1"/>
  <c r="BP23" i="46" s="1"/>
  <c r="BQ23" i="46" s="1"/>
  <c r="BR23" i="46" s="1"/>
  <c r="BS23" i="46" s="1"/>
  <c r="BT23" i="46" s="1"/>
  <c r="BU23" i="46" s="1"/>
  <c r="BV23" i="46" s="1"/>
  <c r="BW23" i="46" s="1"/>
  <c r="BX23" i="46" s="1"/>
  <c r="BY23" i="46" s="1"/>
  <c r="BZ23" i="46" s="1"/>
  <c r="CA23" i="46" s="1"/>
  <c r="CB23" i="46" s="1"/>
  <c r="CC23" i="46" s="1"/>
  <c r="CD23" i="46" s="1"/>
  <c r="CE23" i="46" s="1"/>
  <c r="CF23" i="46" s="1"/>
  <c r="CG23" i="46" s="1"/>
  <c r="CH23" i="46" s="1"/>
  <c r="CI23" i="46" s="1"/>
  <c r="CJ23" i="46" s="1"/>
  <c r="CK23" i="46" s="1"/>
  <c r="CL23" i="46" s="1"/>
  <c r="CM23" i="46" s="1"/>
  <c r="CN23" i="46" s="1"/>
  <c r="CO23" i="46" s="1"/>
  <c r="CP23" i="46" s="1"/>
  <c r="CQ23" i="46" s="1"/>
  <c r="CR23" i="46" s="1"/>
  <c r="CS23" i="46" s="1"/>
  <c r="CT23" i="46" s="1"/>
  <c r="CU23" i="46" s="1"/>
  <c r="CV23" i="46" s="1"/>
  <c r="CW23" i="46" s="1"/>
  <c r="CX23" i="46" s="1"/>
  <c r="CY23" i="46" s="1"/>
  <c r="CZ23" i="46" s="1"/>
  <c r="DA23" i="46" s="1"/>
  <c r="DB23" i="46" s="1"/>
  <c r="DC23" i="46" s="1"/>
  <c r="DD23" i="46" s="1"/>
  <c r="DE23" i="46" s="1"/>
  <c r="DF23" i="46" s="1"/>
  <c r="DG23" i="46" s="1"/>
  <c r="DH23" i="46" s="1"/>
  <c r="DI23" i="46" s="1"/>
  <c r="DJ23" i="46" s="1"/>
  <c r="DK23" i="46" s="1"/>
  <c r="DL23" i="46" s="1"/>
  <c r="DM23" i="46" s="1"/>
  <c r="DN23" i="46" s="1"/>
  <c r="DO23" i="46" s="1"/>
  <c r="DP23" i="46" s="1"/>
  <c r="DQ23" i="46" s="1"/>
  <c r="DR23" i="46" s="1"/>
  <c r="BG7" i="46"/>
  <c r="H24" i="46"/>
  <c r="I24" i="46" s="1"/>
  <c r="O24" i="46"/>
  <c r="M24" i="46"/>
  <c r="W24" i="46"/>
  <c r="K24" i="46"/>
  <c r="N24" i="46" s="1"/>
  <c r="H24" i="45"/>
  <c r="I24" i="45" s="1"/>
  <c r="Q24" i="45"/>
  <c r="R24" i="45" s="1"/>
  <c r="S24" i="45" s="1"/>
  <c r="T24" i="45" s="1"/>
  <c r="U24" i="45" s="1"/>
  <c r="V24" i="45" s="1"/>
  <c r="W24" i="45" s="1"/>
  <c r="X24" i="45" s="1"/>
  <c r="Y24" i="45" s="1"/>
  <c r="Z24" i="45" s="1"/>
  <c r="AA24" i="45" s="1"/>
  <c r="AB24" i="45" s="1"/>
  <c r="AC24" i="45" s="1"/>
  <c r="AD24" i="45" s="1"/>
  <c r="AE24" i="45" s="1"/>
  <c r="AF24" i="45" s="1"/>
  <c r="AG24" i="45" s="1"/>
  <c r="AH24" i="45" s="1"/>
  <c r="AI24" i="45" s="1"/>
  <c r="AJ24" i="45" s="1"/>
  <c r="AK24" i="45" s="1"/>
  <c r="AL24" i="45" s="1"/>
  <c r="AM24" i="45" s="1"/>
  <c r="AN24" i="45" s="1"/>
  <c r="AO24" i="45" s="1"/>
  <c r="AP24" i="45" s="1"/>
  <c r="AQ24" i="45" s="1"/>
  <c r="AR24" i="45" s="1"/>
  <c r="AS24" i="45" s="1"/>
  <c r="AT24" i="45" s="1"/>
  <c r="AU24" i="45" s="1"/>
  <c r="AV24" i="45" s="1"/>
  <c r="AW24" i="45" s="1"/>
  <c r="AX24" i="45" s="1"/>
  <c r="AY24" i="45" s="1"/>
  <c r="AZ24" i="45" s="1"/>
  <c r="BA24" i="45" s="1"/>
  <c r="BB24" i="45" s="1"/>
  <c r="BC24" i="45" s="1"/>
  <c r="BD24" i="45" s="1"/>
  <c r="G24" i="43"/>
  <c r="F25" i="46"/>
  <c r="N25" i="45"/>
  <c r="T24" i="43"/>
  <c r="F25" i="45"/>
  <c r="F25" i="43"/>
  <c r="U23" i="43"/>
  <c r="G24" i="45"/>
  <c r="G24" i="46"/>
  <c r="J25" i="45"/>
  <c r="K25" i="45"/>
  <c r="T22" i="49"/>
  <c r="U22" i="49" s="1"/>
  <c r="F23" i="49"/>
  <c r="G23" i="49" s="1"/>
  <c r="BC21" i="46" l="1"/>
  <c r="J23" i="46"/>
  <c r="X24" i="46"/>
  <c r="Y24" i="46" s="1"/>
  <c r="Z24" i="46" s="1"/>
  <c r="AA24" i="46" s="1"/>
  <c r="AB24" i="46" s="1"/>
  <c r="AC24" i="46" s="1"/>
  <c r="AD24" i="46" s="1"/>
  <c r="AE24" i="46" s="1"/>
  <c r="AF24" i="46" s="1"/>
  <c r="AG24" i="46" s="1"/>
  <c r="AH24" i="46" s="1"/>
  <c r="AI24" i="46" s="1"/>
  <c r="AJ24" i="46" s="1"/>
  <c r="AK24" i="46" s="1"/>
  <c r="AL24" i="46" s="1"/>
  <c r="AM24" i="46" s="1"/>
  <c r="AN24" i="46" s="1"/>
  <c r="AO24" i="46" s="1"/>
  <c r="AP24" i="46" s="1"/>
  <c r="AQ24" i="46" s="1"/>
  <c r="AR24" i="46" s="1"/>
  <c r="AS24" i="46" s="1"/>
  <c r="AT24" i="46" s="1"/>
  <c r="AU24" i="46" s="1"/>
  <c r="AV24" i="46" s="1"/>
  <c r="AW24" i="46" s="1"/>
  <c r="AX24" i="46" s="1"/>
  <c r="AY24" i="46" s="1"/>
  <c r="AZ24" i="46" s="1"/>
  <c r="BA24" i="46" s="1"/>
  <c r="BB24" i="46" s="1"/>
  <c r="BC24" i="46" s="1"/>
  <c r="BD24" i="46" s="1"/>
  <c r="BE24" i="46" s="1"/>
  <c r="BF24" i="46" s="1"/>
  <c r="BG24" i="46" s="1"/>
  <c r="BH24" i="46" s="1"/>
  <c r="BI24" i="46" s="1"/>
  <c r="BJ24" i="46" s="1"/>
  <c r="BK24" i="46" s="1"/>
  <c r="BL24" i="46" s="1"/>
  <c r="BM24" i="46" s="1"/>
  <c r="BN24" i="46" s="1"/>
  <c r="BO24" i="46" s="1"/>
  <c r="BP24" i="46" s="1"/>
  <c r="BQ24" i="46" s="1"/>
  <c r="BR24" i="46" s="1"/>
  <c r="BS24" i="46" s="1"/>
  <c r="BT24" i="46" s="1"/>
  <c r="BU24" i="46" s="1"/>
  <c r="BV24" i="46" s="1"/>
  <c r="BW24" i="46" s="1"/>
  <c r="BX24" i="46" s="1"/>
  <c r="BY24" i="46" s="1"/>
  <c r="BZ24" i="46" s="1"/>
  <c r="CA24" i="46" s="1"/>
  <c r="CB24" i="46" s="1"/>
  <c r="CC24" i="46" s="1"/>
  <c r="CD24" i="46" s="1"/>
  <c r="CE24" i="46" s="1"/>
  <c r="CF24" i="46" s="1"/>
  <c r="CG24" i="46" s="1"/>
  <c r="CH24" i="46" s="1"/>
  <c r="CI24" i="46" s="1"/>
  <c r="CJ24" i="46" s="1"/>
  <c r="CK24" i="46" s="1"/>
  <c r="CL24" i="46" s="1"/>
  <c r="CM24" i="46" s="1"/>
  <c r="CN24" i="46" s="1"/>
  <c r="CO24" i="46" s="1"/>
  <c r="CP24" i="46" s="1"/>
  <c r="CQ24" i="46" s="1"/>
  <c r="CR24" i="46" s="1"/>
  <c r="CS24" i="46" s="1"/>
  <c r="CT24" i="46" s="1"/>
  <c r="CU24" i="46" s="1"/>
  <c r="CV24" i="46" s="1"/>
  <c r="CW24" i="46" s="1"/>
  <c r="CX24" i="46" s="1"/>
  <c r="CY24" i="46" s="1"/>
  <c r="CZ24" i="46" s="1"/>
  <c r="DA24" i="46" s="1"/>
  <c r="DB24" i="46" s="1"/>
  <c r="DC24" i="46" s="1"/>
  <c r="DD24" i="46" s="1"/>
  <c r="DE24" i="46" s="1"/>
  <c r="DF24" i="46" s="1"/>
  <c r="DG24" i="46" s="1"/>
  <c r="DH24" i="46" s="1"/>
  <c r="DI24" i="46" s="1"/>
  <c r="DJ24" i="46" s="1"/>
  <c r="DK24" i="46" s="1"/>
  <c r="DL24" i="46" s="1"/>
  <c r="DM24" i="46" s="1"/>
  <c r="DN24" i="46" s="1"/>
  <c r="DO24" i="46" s="1"/>
  <c r="DP24" i="46" s="1"/>
  <c r="DQ24" i="46" s="1"/>
  <c r="DR24" i="46" s="1"/>
  <c r="BH7" i="46"/>
  <c r="H25" i="45"/>
  <c r="I25" i="45" s="1"/>
  <c r="Q25" i="45"/>
  <c r="R25" i="45" s="1"/>
  <c r="S25" i="45" s="1"/>
  <c r="T25" i="45" s="1"/>
  <c r="U25" i="45" s="1"/>
  <c r="V25" i="45" s="1"/>
  <c r="W25" i="45" s="1"/>
  <c r="X25" i="45" s="1"/>
  <c r="Y25" i="45" s="1"/>
  <c r="Z25" i="45" s="1"/>
  <c r="AA25" i="45" s="1"/>
  <c r="AB25" i="45" s="1"/>
  <c r="AC25" i="45" s="1"/>
  <c r="AD25" i="45" s="1"/>
  <c r="AE25" i="45" s="1"/>
  <c r="AF25" i="45" s="1"/>
  <c r="AG25" i="45" s="1"/>
  <c r="AH25" i="45" s="1"/>
  <c r="AI25" i="45" s="1"/>
  <c r="AJ25" i="45" s="1"/>
  <c r="AK25" i="45" s="1"/>
  <c r="AL25" i="45" s="1"/>
  <c r="AM25" i="45" s="1"/>
  <c r="AN25" i="45" s="1"/>
  <c r="AO25" i="45" s="1"/>
  <c r="AP25" i="45" s="1"/>
  <c r="AQ25" i="45" s="1"/>
  <c r="AR25" i="45" s="1"/>
  <c r="AS25" i="45" s="1"/>
  <c r="AT25" i="45" s="1"/>
  <c r="AU25" i="45" s="1"/>
  <c r="AV25" i="45" s="1"/>
  <c r="AW25" i="45" s="1"/>
  <c r="AX25" i="45" s="1"/>
  <c r="AY25" i="45" s="1"/>
  <c r="AZ25" i="45" s="1"/>
  <c r="BA25" i="45" s="1"/>
  <c r="BB25" i="45" s="1"/>
  <c r="BC25" i="45" s="1"/>
  <c r="BD25" i="45" s="1"/>
  <c r="G25" i="43"/>
  <c r="T25" i="43"/>
  <c r="F26" i="46"/>
  <c r="N26" i="45"/>
  <c r="F26" i="43"/>
  <c r="G26" i="43" s="1"/>
  <c r="F26" i="45"/>
  <c r="U24" i="43"/>
  <c r="G25" i="45"/>
  <c r="G25" i="46"/>
  <c r="H25" i="46"/>
  <c r="I25" i="46" s="1"/>
  <c r="W25" i="46"/>
  <c r="O25" i="46"/>
  <c r="M25" i="46"/>
  <c r="K25" i="46"/>
  <c r="N25" i="46" s="1"/>
  <c r="T23" i="49"/>
  <c r="U23" i="49" s="1"/>
  <c r="F24" i="49"/>
  <c r="G24" i="49" s="1"/>
  <c r="J26" i="45"/>
  <c r="K26" i="45"/>
  <c r="BD21" i="46" l="1"/>
  <c r="J24" i="46"/>
  <c r="X25" i="46"/>
  <c r="Y25" i="46" s="1"/>
  <c r="Z25" i="46" s="1"/>
  <c r="AA25" i="46" s="1"/>
  <c r="AB25" i="46" s="1"/>
  <c r="AC25" i="46" s="1"/>
  <c r="AD25" i="46" s="1"/>
  <c r="AE25" i="46" s="1"/>
  <c r="AF25" i="46" s="1"/>
  <c r="AG25" i="46" s="1"/>
  <c r="AH25" i="46" s="1"/>
  <c r="AI25" i="46" s="1"/>
  <c r="AJ25" i="46" s="1"/>
  <c r="AK25" i="46" s="1"/>
  <c r="AL25" i="46" s="1"/>
  <c r="AM25" i="46" s="1"/>
  <c r="AN25" i="46" s="1"/>
  <c r="AO25" i="46" s="1"/>
  <c r="AP25" i="46" s="1"/>
  <c r="AQ25" i="46" s="1"/>
  <c r="AR25" i="46" s="1"/>
  <c r="AS25" i="46" s="1"/>
  <c r="AT25" i="46" s="1"/>
  <c r="AU25" i="46" s="1"/>
  <c r="AV25" i="46" s="1"/>
  <c r="AW25" i="46" s="1"/>
  <c r="AX25" i="46" s="1"/>
  <c r="AY25" i="46" s="1"/>
  <c r="AZ25" i="46" s="1"/>
  <c r="BA25" i="46" s="1"/>
  <c r="BB25" i="46" s="1"/>
  <c r="BC25" i="46" s="1"/>
  <c r="BD25" i="46" s="1"/>
  <c r="BE25" i="46" s="1"/>
  <c r="BF25" i="46" s="1"/>
  <c r="BG25" i="46" s="1"/>
  <c r="BH25" i="46" s="1"/>
  <c r="BI25" i="46" s="1"/>
  <c r="BJ25" i="46" s="1"/>
  <c r="BK25" i="46" s="1"/>
  <c r="BL25" i="46" s="1"/>
  <c r="BM25" i="46" s="1"/>
  <c r="BN25" i="46" s="1"/>
  <c r="BO25" i="46" s="1"/>
  <c r="BP25" i="46" s="1"/>
  <c r="BQ25" i="46" s="1"/>
  <c r="BR25" i="46" s="1"/>
  <c r="BS25" i="46" s="1"/>
  <c r="BT25" i="46" s="1"/>
  <c r="BU25" i="46" s="1"/>
  <c r="BV25" i="46" s="1"/>
  <c r="BW25" i="46" s="1"/>
  <c r="BX25" i="46" s="1"/>
  <c r="BY25" i="46" s="1"/>
  <c r="BZ25" i="46" s="1"/>
  <c r="CA25" i="46" s="1"/>
  <c r="CB25" i="46" s="1"/>
  <c r="CC25" i="46" s="1"/>
  <c r="CD25" i="46" s="1"/>
  <c r="CE25" i="46" s="1"/>
  <c r="CF25" i="46" s="1"/>
  <c r="CG25" i="46" s="1"/>
  <c r="CH25" i="46" s="1"/>
  <c r="CI25" i="46" s="1"/>
  <c r="CJ25" i="46" s="1"/>
  <c r="CK25" i="46" s="1"/>
  <c r="CL25" i="46" s="1"/>
  <c r="CM25" i="46" s="1"/>
  <c r="CN25" i="46" s="1"/>
  <c r="CO25" i="46" s="1"/>
  <c r="CP25" i="46" s="1"/>
  <c r="CQ25" i="46" s="1"/>
  <c r="CR25" i="46" s="1"/>
  <c r="CS25" i="46" s="1"/>
  <c r="CT25" i="46" s="1"/>
  <c r="CU25" i="46" s="1"/>
  <c r="CV25" i="46" s="1"/>
  <c r="CW25" i="46" s="1"/>
  <c r="CX25" i="46" s="1"/>
  <c r="CY25" i="46" s="1"/>
  <c r="CZ25" i="46" s="1"/>
  <c r="DA25" i="46" s="1"/>
  <c r="DB25" i="46" s="1"/>
  <c r="DC25" i="46" s="1"/>
  <c r="DD25" i="46" s="1"/>
  <c r="DE25" i="46" s="1"/>
  <c r="DF25" i="46" s="1"/>
  <c r="DG25" i="46" s="1"/>
  <c r="DH25" i="46" s="1"/>
  <c r="DI25" i="46" s="1"/>
  <c r="DJ25" i="46" s="1"/>
  <c r="DK25" i="46" s="1"/>
  <c r="DL25" i="46" s="1"/>
  <c r="DM25" i="46" s="1"/>
  <c r="DN25" i="46" s="1"/>
  <c r="DO25" i="46" s="1"/>
  <c r="DP25" i="46" s="1"/>
  <c r="DQ25" i="46" s="1"/>
  <c r="DR25" i="46" s="1"/>
  <c r="BI7" i="46"/>
  <c r="H26" i="45"/>
  <c r="I26" i="45" s="1"/>
  <c r="Q26" i="45"/>
  <c r="R26" i="45" s="1"/>
  <c r="S26" i="45" s="1"/>
  <c r="T26" i="45" s="1"/>
  <c r="U26" i="45" s="1"/>
  <c r="V26" i="45" s="1"/>
  <c r="W26" i="45" s="1"/>
  <c r="X26" i="45" s="1"/>
  <c r="Y26" i="45" s="1"/>
  <c r="Z26" i="45" s="1"/>
  <c r="AA26" i="45" s="1"/>
  <c r="AB26" i="45" s="1"/>
  <c r="AC26" i="45" s="1"/>
  <c r="AD26" i="45" s="1"/>
  <c r="AE26" i="45" s="1"/>
  <c r="AF26" i="45" s="1"/>
  <c r="AG26" i="45" s="1"/>
  <c r="AH26" i="45" s="1"/>
  <c r="AI26" i="45" s="1"/>
  <c r="AJ26" i="45" s="1"/>
  <c r="AK26" i="45" s="1"/>
  <c r="AL26" i="45" s="1"/>
  <c r="AM26" i="45" s="1"/>
  <c r="AN26" i="45" s="1"/>
  <c r="AO26" i="45" s="1"/>
  <c r="AP26" i="45" s="1"/>
  <c r="AQ26" i="45" s="1"/>
  <c r="AR26" i="45" s="1"/>
  <c r="AS26" i="45" s="1"/>
  <c r="AT26" i="45" s="1"/>
  <c r="AU26" i="45" s="1"/>
  <c r="AV26" i="45" s="1"/>
  <c r="AW26" i="45" s="1"/>
  <c r="AX26" i="45" s="1"/>
  <c r="AY26" i="45" s="1"/>
  <c r="AZ26" i="45" s="1"/>
  <c r="BA26" i="45" s="1"/>
  <c r="BB26" i="45" s="1"/>
  <c r="BC26" i="45" s="1"/>
  <c r="BD26" i="45" s="1"/>
  <c r="F27" i="45"/>
  <c r="F27" i="43"/>
  <c r="G27" i="43" s="1"/>
  <c r="T26" i="43"/>
  <c r="F27" i="46"/>
  <c r="N27" i="45"/>
  <c r="O26" i="46"/>
  <c r="M26" i="46"/>
  <c r="W26" i="46"/>
  <c r="K26" i="46"/>
  <c r="N26" i="46" s="1"/>
  <c r="H26" i="46"/>
  <c r="I26" i="46" s="1"/>
  <c r="U25" i="43"/>
  <c r="G26" i="46"/>
  <c r="G26" i="45"/>
  <c r="K27" i="45"/>
  <c r="T24" i="49"/>
  <c r="U24" i="49" s="1"/>
  <c r="F25" i="49"/>
  <c r="G25" i="49" s="1"/>
  <c r="J27" i="45"/>
  <c r="J25" i="46" l="1"/>
  <c r="BE21" i="46"/>
  <c r="X26" i="46"/>
  <c r="Y26" i="46" s="1"/>
  <c r="Z26" i="46" s="1"/>
  <c r="AA26" i="46" s="1"/>
  <c r="AB26" i="46" s="1"/>
  <c r="AC26" i="46" s="1"/>
  <c r="AD26" i="46" s="1"/>
  <c r="AE26" i="46" s="1"/>
  <c r="AF26" i="46" s="1"/>
  <c r="AG26" i="46" s="1"/>
  <c r="AH26" i="46" s="1"/>
  <c r="AI26" i="46" s="1"/>
  <c r="AJ26" i="46" s="1"/>
  <c r="AK26" i="46" s="1"/>
  <c r="AL26" i="46" s="1"/>
  <c r="AM26" i="46" s="1"/>
  <c r="AN26" i="46" s="1"/>
  <c r="AO26" i="46" s="1"/>
  <c r="AP26" i="46" s="1"/>
  <c r="AQ26" i="46" s="1"/>
  <c r="AR26" i="46" s="1"/>
  <c r="AS26" i="46" s="1"/>
  <c r="AT26" i="46" s="1"/>
  <c r="AU26" i="46" s="1"/>
  <c r="AV26" i="46" s="1"/>
  <c r="AW26" i="46" s="1"/>
  <c r="AX26" i="46" s="1"/>
  <c r="AY26" i="46" s="1"/>
  <c r="AZ26" i="46" s="1"/>
  <c r="BA26" i="46" s="1"/>
  <c r="BB26" i="46" s="1"/>
  <c r="BC26" i="46" s="1"/>
  <c r="BD26" i="46" s="1"/>
  <c r="BE26" i="46" s="1"/>
  <c r="BF26" i="46" s="1"/>
  <c r="BG26" i="46" s="1"/>
  <c r="BH26" i="46" s="1"/>
  <c r="BI26" i="46" s="1"/>
  <c r="BJ26" i="46" s="1"/>
  <c r="BK26" i="46" s="1"/>
  <c r="BL26" i="46" s="1"/>
  <c r="BM26" i="46" s="1"/>
  <c r="BN26" i="46" s="1"/>
  <c r="BO26" i="46" s="1"/>
  <c r="BP26" i="46" s="1"/>
  <c r="BQ26" i="46" s="1"/>
  <c r="BR26" i="46" s="1"/>
  <c r="BS26" i="46" s="1"/>
  <c r="BT26" i="46" s="1"/>
  <c r="BU26" i="46" s="1"/>
  <c r="BV26" i="46" s="1"/>
  <c r="BW26" i="46" s="1"/>
  <c r="BX26" i="46" s="1"/>
  <c r="BY26" i="46" s="1"/>
  <c r="BZ26" i="46" s="1"/>
  <c r="CA26" i="46" s="1"/>
  <c r="CB26" i="46" s="1"/>
  <c r="CC26" i="46" s="1"/>
  <c r="CD26" i="46" s="1"/>
  <c r="CE26" i="46" s="1"/>
  <c r="CF26" i="46" s="1"/>
  <c r="CG26" i="46" s="1"/>
  <c r="CH26" i="46" s="1"/>
  <c r="CI26" i="46" s="1"/>
  <c r="CJ26" i="46" s="1"/>
  <c r="CK26" i="46" s="1"/>
  <c r="CL26" i="46" s="1"/>
  <c r="CM26" i="46" s="1"/>
  <c r="CN26" i="46" s="1"/>
  <c r="CO26" i="46" s="1"/>
  <c r="CP26" i="46" s="1"/>
  <c r="CQ26" i="46" s="1"/>
  <c r="CR26" i="46" s="1"/>
  <c r="CS26" i="46" s="1"/>
  <c r="CT26" i="46" s="1"/>
  <c r="CU26" i="46" s="1"/>
  <c r="CV26" i="46" s="1"/>
  <c r="CW26" i="46" s="1"/>
  <c r="CX26" i="46" s="1"/>
  <c r="CY26" i="46" s="1"/>
  <c r="CZ26" i="46" s="1"/>
  <c r="DA26" i="46" s="1"/>
  <c r="DB26" i="46" s="1"/>
  <c r="DC26" i="46" s="1"/>
  <c r="DD26" i="46" s="1"/>
  <c r="DE26" i="46" s="1"/>
  <c r="DF26" i="46" s="1"/>
  <c r="DG26" i="46" s="1"/>
  <c r="DH26" i="46" s="1"/>
  <c r="DI26" i="46" s="1"/>
  <c r="DJ26" i="46" s="1"/>
  <c r="DK26" i="46" s="1"/>
  <c r="DL26" i="46" s="1"/>
  <c r="DM26" i="46" s="1"/>
  <c r="DN26" i="46" s="1"/>
  <c r="DO26" i="46" s="1"/>
  <c r="DP26" i="46" s="1"/>
  <c r="DQ26" i="46" s="1"/>
  <c r="DR26" i="46" s="1"/>
  <c r="BJ7" i="46"/>
  <c r="W27" i="46"/>
  <c r="O27" i="46"/>
  <c r="M27" i="46"/>
  <c r="K27" i="46"/>
  <c r="N27" i="46" s="1"/>
  <c r="H27" i="46"/>
  <c r="I27" i="46" s="1"/>
  <c r="U26" i="43"/>
  <c r="G27" i="45"/>
  <c r="G27" i="46"/>
  <c r="N28" i="45"/>
  <c r="F28" i="45"/>
  <c r="F28" i="43"/>
  <c r="G28" i="43" s="1"/>
  <c r="T27" i="43"/>
  <c r="F28" i="46"/>
  <c r="Q27" i="45"/>
  <c r="R27" i="45" s="1"/>
  <c r="S27" i="45" s="1"/>
  <c r="T27" i="45" s="1"/>
  <c r="U27" i="45" s="1"/>
  <c r="V27" i="45" s="1"/>
  <c r="W27" i="45" s="1"/>
  <c r="X27" i="45" s="1"/>
  <c r="Y27" i="45" s="1"/>
  <c r="Z27" i="45" s="1"/>
  <c r="AA27" i="45" s="1"/>
  <c r="AB27" i="45" s="1"/>
  <c r="AC27" i="45" s="1"/>
  <c r="AD27" i="45" s="1"/>
  <c r="AE27" i="45" s="1"/>
  <c r="AF27" i="45" s="1"/>
  <c r="AG27" i="45" s="1"/>
  <c r="AH27" i="45" s="1"/>
  <c r="AI27" i="45" s="1"/>
  <c r="AJ27" i="45" s="1"/>
  <c r="AK27" i="45" s="1"/>
  <c r="AL27" i="45" s="1"/>
  <c r="AM27" i="45" s="1"/>
  <c r="AN27" i="45" s="1"/>
  <c r="AO27" i="45" s="1"/>
  <c r="AP27" i="45" s="1"/>
  <c r="AQ27" i="45" s="1"/>
  <c r="AR27" i="45" s="1"/>
  <c r="AS27" i="45" s="1"/>
  <c r="AT27" i="45" s="1"/>
  <c r="AU27" i="45" s="1"/>
  <c r="AV27" i="45" s="1"/>
  <c r="AW27" i="45" s="1"/>
  <c r="AX27" i="45" s="1"/>
  <c r="AY27" i="45" s="1"/>
  <c r="AZ27" i="45" s="1"/>
  <c r="BA27" i="45" s="1"/>
  <c r="BB27" i="45" s="1"/>
  <c r="BC27" i="45" s="1"/>
  <c r="BD27" i="45" s="1"/>
  <c r="H27" i="45"/>
  <c r="I27" i="45" s="1"/>
  <c r="K28" i="45"/>
  <c r="J28" i="45"/>
  <c r="T25" i="49"/>
  <c r="U25" i="49" s="1"/>
  <c r="F26" i="49"/>
  <c r="G26" i="49" s="1"/>
  <c r="BF21" i="46" l="1"/>
  <c r="J26" i="46"/>
  <c r="X27" i="46"/>
  <c r="Y27" i="46" s="1"/>
  <c r="Z27" i="46" s="1"/>
  <c r="AA27" i="46" s="1"/>
  <c r="AB27" i="46" s="1"/>
  <c r="AC27" i="46" s="1"/>
  <c r="AD27" i="46" s="1"/>
  <c r="AE27" i="46" s="1"/>
  <c r="AF27" i="46" s="1"/>
  <c r="AG27" i="46" s="1"/>
  <c r="AH27" i="46" s="1"/>
  <c r="AI27" i="46" s="1"/>
  <c r="AJ27" i="46" s="1"/>
  <c r="AK27" i="46" s="1"/>
  <c r="AL27" i="46" s="1"/>
  <c r="AM27" i="46" s="1"/>
  <c r="AN27" i="46" s="1"/>
  <c r="AO27" i="46" s="1"/>
  <c r="AP27" i="46" s="1"/>
  <c r="AQ27" i="46" s="1"/>
  <c r="AR27" i="46" s="1"/>
  <c r="AS27" i="46" s="1"/>
  <c r="AT27" i="46" s="1"/>
  <c r="AU27" i="46" s="1"/>
  <c r="AV27" i="46" s="1"/>
  <c r="AW27" i="46" s="1"/>
  <c r="AX27" i="46" s="1"/>
  <c r="AY27" i="46" s="1"/>
  <c r="AZ27" i="46" s="1"/>
  <c r="BA27" i="46" s="1"/>
  <c r="BB27" i="46" s="1"/>
  <c r="BC27" i="46" s="1"/>
  <c r="BD27" i="46" s="1"/>
  <c r="BE27" i="46" s="1"/>
  <c r="BF27" i="46" s="1"/>
  <c r="BG27" i="46" s="1"/>
  <c r="BH27" i="46" s="1"/>
  <c r="BI27" i="46" s="1"/>
  <c r="BJ27" i="46" s="1"/>
  <c r="BK27" i="46" s="1"/>
  <c r="BL27" i="46" s="1"/>
  <c r="BM27" i="46" s="1"/>
  <c r="BN27" i="46" s="1"/>
  <c r="BO27" i="46" s="1"/>
  <c r="BP27" i="46" s="1"/>
  <c r="BQ27" i="46" s="1"/>
  <c r="BR27" i="46" s="1"/>
  <c r="BS27" i="46" s="1"/>
  <c r="BT27" i="46" s="1"/>
  <c r="BU27" i="46" s="1"/>
  <c r="BV27" i="46" s="1"/>
  <c r="BW27" i="46" s="1"/>
  <c r="BX27" i="46" s="1"/>
  <c r="BY27" i="46" s="1"/>
  <c r="BZ27" i="46" s="1"/>
  <c r="CA27" i="46" s="1"/>
  <c r="CB27" i="46" s="1"/>
  <c r="CC27" i="46" s="1"/>
  <c r="CD27" i="46" s="1"/>
  <c r="CE27" i="46" s="1"/>
  <c r="CF27" i="46" s="1"/>
  <c r="CG27" i="46" s="1"/>
  <c r="CH27" i="46" s="1"/>
  <c r="CI27" i="46" s="1"/>
  <c r="CJ27" i="46" s="1"/>
  <c r="CK27" i="46" s="1"/>
  <c r="CL27" i="46" s="1"/>
  <c r="CM27" i="46" s="1"/>
  <c r="CN27" i="46" s="1"/>
  <c r="CO27" i="46" s="1"/>
  <c r="CP27" i="46" s="1"/>
  <c r="CQ27" i="46" s="1"/>
  <c r="CR27" i="46" s="1"/>
  <c r="CS27" i="46" s="1"/>
  <c r="CT27" i="46" s="1"/>
  <c r="CU27" i="46" s="1"/>
  <c r="CV27" i="46" s="1"/>
  <c r="CW27" i="46" s="1"/>
  <c r="CX27" i="46" s="1"/>
  <c r="CY27" i="46" s="1"/>
  <c r="CZ27" i="46" s="1"/>
  <c r="DA27" i="46" s="1"/>
  <c r="DB27" i="46" s="1"/>
  <c r="DC27" i="46" s="1"/>
  <c r="DD27" i="46" s="1"/>
  <c r="DE27" i="46" s="1"/>
  <c r="DF27" i="46" s="1"/>
  <c r="DG27" i="46" s="1"/>
  <c r="DH27" i="46" s="1"/>
  <c r="DI27" i="46" s="1"/>
  <c r="DJ27" i="46" s="1"/>
  <c r="DK27" i="46" s="1"/>
  <c r="DL27" i="46" s="1"/>
  <c r="DM27" i="46" s="1"/>
  <c r="DN27" i="46" s="1"/>
  <c r="DO27" i="46" s="1"/>
  <c r="DP27" i="46" s="1"/>
  <c r="DQ27" i="46" s="1"/>
  <c r="DR27" i="46" s="1"/>
  <c r="BK7" i="46"/>
  <c r="O28" i="46"/>
  <c r="M28" i="46"/>
  <c r="K28" i="46"/>
  <c r="N28" i="46" s="1"/>
  <c r="W28" i="46"/>
  <c r="H28" i="46"/>
  <c r="I28" i="46" s="1"/>
  <c r="T28" i="43"/>
  <c r="F29" i="45"/>
  <c r="N29" i="45"/>
  <c r="F29" i="46"/>
  <c r="U27" i="43"/>
  <c r="G28" i="45"/>
  <c r="G28" i="46"/>
  <c r="Q28" i="45"/>
  <c r="R28" i="45" s="1"/>
  <c r="S28" i="45" s="1"/>
  <c r="T28" i="45" s="1"/>
  <c r="U28" i="45" s="1"/>
  <c r="V28" i="45" s="1"/>
  <c r="W28" i="45" s="1"/>
  <c r="X28" i="45" s="1"/>
  <c r="Y28" i="45" s="1"/>
  <c r="Z28" i="45" s="1"/>
  <c r="AA28" i="45" s="1"/>
  <c r="AB28" i="45" s="1"/>
  <c r="AC28" i="45" s="1"/>
  <c r="AD28" i="45" s="1"/>
  <c r="AE28" i="45" s="1"/>
  <c r="AF28" i="45" s="1"/>
  <c r="AG28" i="45" s="1"/>
  <c r="AH28" i="45" s="1"/>
  <c r="AI28" i="45" s="1"/>
  <c r="AJ28" i="45" s="1"/>
  <c r="AK28" i="45" s="1"/>
  <c r="AL28" i="45" s="1"/>
  <c r="AM28" i="45" s="1"/>
  <c r="AN28" i="45" s="1"/>
  <c r="AO28" i="45" s="1"/>
  <c r="AP28" i="45" s="1"/>
  <c r="AQ28" i="45" s="1"/>
  <c r="AR28" i="45" s="1"/>
  <c r="AS28" i="45" s="1"/>
  <c r="AT28" i="45" s="1"/>
  <c r="AU28" i="45" s="1"/>
  <c r="AV28" i="45" s="1"/>
  <c r="AW28" i="45" s="1"/>
  <c r="AX28" i="45" s="1"/>
  <c r="AY28" i="45" s="1"/>
  <c r="AZ28" i="45" s="1"/>
  <c r="BA28" i="45" s="1"/>
  <c r="BB28" i="45" s="1"/>
  <c r="BC28" i="45" s="1"/>
  <c r="BD28" i="45" s="1"/>
  <c r="H28" i="45"/>
  <c r="I28" i="45" s="1"/>
  <c r="F29" i="43"/>
  <c r="G33" i="43"/>
  <c r="J29" i="45"/>
  <c r="K29" i="45"/>
  <c r="T26" i="49"/>
  <c r="U26" i="49" s="1"/>
  <c r="F27" i="49"/>
  <c r="G27" i="49" s="1"/>
  <c r="J27" i="46" l="1"/>
  <c r="BG21" i="46"/>
  <c r="X28" i="46"/>
  <c r="Y28" i="46" s="1"/>
  <c r="Z28" i="46" s="1"/>
  <c r="AA28" i="46" s="1"/>
  <c r="AB28" i="46" s="1"/>
  <c r="AC28" i="46" s="1"/>
  <c r="AD28" i="46" s="1"/>
  <c r="AE28" i="46" s="1"/>
  <c r="AF28" i="46" s="1"/>
  <c r="AG28" i="46" s="1"/>
  <c r="AH28" i="46" s="1"/>
  <c r="AI28" i="46" s="1"/>
  <c r="AJ28" i="46" s="1"/>
  <c r="AK28" i="46" s="1"/>
  <c r="AL28" i="46" s="1"/>
  <c r="AM28" i="46" s="1"/>
  <c r="AN28" i="46" s="1"/>
  <c r="AO28" i="46" s="1"/>
  <c r="AP28" i="46" s="1"/>
  <c r="AQ28" i="46" s="1"/>
  <c r="AR28" i="46" s="1"/>
  <c r="AS28" i="46" s="1"/>
  <c r="AT28" i="46" s="1"/>
  <c r="AU28" i="46" s="1"/>
  <c r="AV28" i="46" s="1"/>
  <c r="AW28" i="46" s="1"/>
  <c r="AX28" i="46" s="1"/>
  <c r="AY28" i="46" s="1"/>
  <c r="AZ28" i="46" s="1"/>
  <c r="BA28" i="46" s="1"/>
  <c r="BB28" i="46" s="1"/>
  <c r="BC28" i="46" s="1"/>
  <c r="BD28" i="46" s="1"/>
  <c r="BE28" i="46" s="1"/>
  <c r="BF28" i="46" s="1"/>
  <c r="BG28" i="46" s="1"/>
  <c r="BH28" i="46" s="1"/>
  <c r="BI28" i="46" s="1"/>
  <c r="BJ28" i="46" s="1"/>
  <c r="BK28" i="46" s="1"/>
  <c r="BL28" i="46" s="1"/>
  <c r="BM28" i="46" s="1"/>
  <c r="BN28" i="46" s="1"/>
  <c r="BO28" i="46" s="1"/>
  <c r="BP28" i="46" s="1"/>
  <c r="BQ28" i="46" s="1"/>
  <c r="BR28" i="46" s="1"/>
  <c r="BS28" i="46" s="1"/>
  <c r="BT28" i="46" s="1"/>
  <c r="BU28" i="46" s="1"/>
  <c r="BV28" i="46" s="1"/>
  <c r="BW28" i="46" s="1"/>
  <c r="BX28" i="46" s="1"/>
  <c r="BY28" i="46" s="1"/>
  <c r="BZ28" i="46" s="1"/>
  <c r="CA28" i="46" s="1"/>
  <c r="CB28" i="46" s="1"/>
  <c r="CC28" i="46" s="1"/>
  <c r="CD28" i="46" s="1"/>
  <c r="CE28" i="46" s="1"/>
  <c r="CF28" i="46" s="1"/>
  <c r="CG28" i="46" s="1"/>
  <c r="CH28" i="46" s="1"/>
  <c r="CI28" i="46" s="1"/>
  <c r="CJ28" i="46" s="1"/>
  <c r="CK28" i="46" s="1"/>
  <c r="CL28" i="46" s="1"/>
  <c r="CM28" i="46" s="1"/>
  <c r="CN28" i="46" s="1"/>
  <c r="CO28" i="46" s="1"/>
  <c r="CP28" i="46" s="1"/>
  <c r="CQ28" i="46" s="1"/>
  <c r="CR28" i="46" s="1"/>
  <c r="CS28" i="46" s="1"/>
  <c r="CT28" i="46" s="1"/>
  <c r="CU28" i="46" s="1"/>
  <c r="CV28" i="46" s="1"/>
  <c r="CW28" i="46" s="1"/>
  <c r="CX28" i="46" s="1"/>
  <c r="CY28" i="46" s="1"/>
  <c r="CZ28" i="46" s="1"/>
  <c r="DA28" i="46" s="1"/>
  <c r="DB28" i="46" s="1"/>
  <c r="DC28" i="46" s="1"/>
  <c r="DD28" i="46" s="1"/>
  <c r="DE28" i="46" s="1"/>
  <c r="DF28" i="46" s="1"/>
  <c r="DG28" i="46" s="1"/>
  <c r="DH28" i="46" s="1"/>
  <c r="DI28" i="46" s="1"/>
  <c r="DJ28" i="46" s="1"/>
  <c r="DK28" i="46" s="1"/>
  <c r="DL28" i="46" s="1"/>
  <c r="DM28" i="46" s="1"/>
  <c r="DN28" i="46" s="1"/>
  <c r="DO28" i="46" s="1"/>
  <c r="DP28" i="46" s="1"/>
  <c r="DQ28" i="46" s="1"/>
  <c r="DR28" i="46" s="1"/>
  <c r="BL7" i="46"/>
  <c r="K29" i="46"/>
  <c r="N29" i="46" s="1"/>
  <c r="H29" i="46"/>
  <c r="I29" i="46" s="1"/>
  <c r="O29" i="46"/>
  <c r="M29" i="46"/>
  <c r="W29" i="46"/>
  <c r="Q29" i="45"/>
  <c r="R29" i="45" s="1"/>
  <c r="S29" i="45" s="1"/>
  <c r="T29" i="45" s="1"/>
  <c r="U29" i="45" s="1"/>
  <c r="V29" i="45" s="1"/>
  <c r="W29" i="45" s="1"/>
  <c r="X29" i="45" s="1"/>
  <c r="Y29" i="45" s="1"/>
  <c r="Z29" i="45" s="1"/>
  <c r="AA29" i="45" s="1"/>
  <c r="AB29" i="45" s="1"/>
  <c r="AC29" i="45" s="1"/>
  <c r="AD29" i="45" s="1"/>
  <c r="AE29" i="45" s="1"/>
  <c r="AF29" i="45" s="1"/>
  <c r="AG29" i="45" s="1"/>
  <c r="AH29" i="45" s="1"/>
  <c r="AI29" i="45" s="1"/>
  <c r="AJ29" i="45" s="1"/>
  <c r="AK29" i="45" s="1"/>
  <c r="AL29" i="45" s="1"/>
  <c r="AM29" i="45" s="1"/>
  <c r="AN29" i="45" s="1"/>
  <c r="AO29" i="45" s="1"/>
  <c r="AP29" i="45" s="1"/>
  <c r="AQ29" i="45" s="1"/>
  <c r="AR29" i="45" s="1"/>
  <c r="AS29" i="45" s="1"/>
  <c r="AT29" i="45" s="1"/>
  <c r="AU29" i="45" s="1"/>
  <c r="AV29" i="45" s="1"/>
  <c r="AW29" i="45" s="1"/>
  <c r="AX29" i="45" s="1"/>
  <c r="AY29" i="45" s="1"/>
  <c r="AZ29" i="45" s="1"/>
  <c r="BA29" i="45" s="1"/>
  <c r="BB29" i="45" s="1"/>
  <c r="BC29" i="45" s="1"/>
  <c r="BD29" i="45" s="1"/>
  <c r="H29" i="45"/>
  <c r="I29" i="45" s="1"/>
  <c r="U28" i="43"/>
  <c r="G29" i="46"/>
  <c r="G29" i="45"/>
  <c r="G29" i="43"/>
  <c r="F30" i="43"/>
  <c r="F30" i="46"/>
  <c r="T29" i="43"/>
  <c r="F30" i="45"/>
  <c r="N30" i="45"/>
  <c r="AD35" i="43"/>
  <c r="AE35" i="43" s="1"/>
  <c r="N33" i="45"/>
  <c r="F33" i="46"/>
  <c r="T33" i="43"/>
  <c r="U33" i="43" s="1"/>
  <c r="F27" i="50"/>
  <c r="H27" i="50" s="1"/>
  <c r="I27" i="50" s="1"/>
  <c r="T27" i="49"/>
  <c r="U27" i="49" s="1"/>
  <c r="F28" i="49"/>
  <c r="G28" i="49" s="1"/>
  <c r="J28" i="46" l="1"/>
  <c r="BH21" i="46"/>
  <c r="X29" i="46"/>
  <c r="Y29" i="46" s="1"/>
  <c r="Z29" i="46" s="1"/>
  <c r="AA29" i="46" s="1"/>
  <c r="AB29" i="46" s="1"/>
  <c r="AC29" i="46" s="1"/>
  <c r="AD29" i="46" s="1"/>
  <c r="AE29" i="46" s="1"/>
  <c r="AF29" i="46" s="1"/>
  <c r="AG29" i="46" s="1"/>
  <c r="AH29" i="46" s="1"/>
  <c r="AI29" i="46" s="1"/>
  <c r="AJ29" i="46" s="1"/>
  <c r="AK29" i="46" s="1"/>
  <c r="AL29" i="46" s="1"/>
  <c r="AM29" i="46" s="1"/>
  <c r="AN29" i="46" s="1"/>
  <c r="AO29" i="46" s="1"/>
  <c r="AP29" i="46" s="1"/>
  <c r="AQ29" i="46" s="1"/>
  <c r="AR29" i="46" s="1"/>
  <c r="AS29" i="46" s="1"/>
  <c r="AT29" i="46" s="1"/>
  <c r="AU29" i="46" s="1"/>
  <c r="AV29" i="46" s="1"/>
  <c r="AW29" i="46" s="1"/>
  <c r="AX29" i="46" s="1"/>
  <c r="AY29" i="46" s="1"/>
  <c r="AZ29" i="46" s="1"/>
  <c r="BA29" i="46" s="1"/>
  <c r="BB29" i="46" s="1"/>
  <c r="BC29" i="46" s="1"/>
  <c r="BD29" i="46" s="1"/>
  <c r="BE29" i="46" s="1"/>
  <c r="BF29" i="46" s="1"/>
  <c r="BG29" i="46" s="1"/>
  <c r="BH29" i="46" s="1"/>
  <c r="BI29" i="46" s="1"/>
  <c r="BJ29" i="46" s="1"/>
  <c r="BK29" i="46" s="1"/>
  <c r="BL29" i="46" s="1"/>
  <c r="BM29" i="46" s="1"/>
  <c r="BN29" i="46" s="1"/>
  <c r="BO29" i="46" s="1"/>
  <c r="BP29" i="46" s="1"/>
  <c r="BQ29" i="46" s="1"/>
  <c r="BR29" i="46" s="1"/>
  <c r="BS29" i="46" s="1"/>
  <c r="BT29" i="46" s="1"/>
  <c r="BU29" i="46" s="1"/>
  <c r="BV29" i="46" s="1"/>
  <c r="BW29" i="46" s="1"/>
  <c r="BX29" i="46" s="1"/>
  <c r="BY29" i="46" s="1"/>
  <c r="BZ29" i="46" s="1"/>
  <c r="CA29" i="46" s="1"/>
  <c r="CB29" i="46" s="1"/>
  <c r="CC29" i="46" s="1"/>
  <c r="CD29" i="46" s="1"/>
  <c r="CE29" i="46" s="1"/>
  <c r="CF29" i="46" s="1"/>
  <c r="CG29" i="46" s="1"/>
  <c r="CH29" i="46" s="1"/>
  <c r="CI29" i="46" s="1"/>
  <c r="CJ29" i="46" s="1"/>
  <c r="CK29" i="46" s="1"/>
  <c r="CL29" i="46" s="1"/>
  <c r="CM29" i="46" s="1"/>
  <c r="CN29" i="46" s="1"/>
  <c r="CO29" i="46" s="1"/>
  <c r="CP29" i="46" s="1"/>
  <c r="CQ29" i="46" s="1"/>
  <c r="CR29" i="46" s="1"/>
  <c r="CS29" i="46" s="1"/>
  <c r="CT29" i="46" s="1"/>
  <c r="CU29" i="46" s="1"/>
  <c r="CV29" i="46" s="1"/>
  <c r="CW29" i="46" s="1"/>
  <c r="CX29" i="46" s="1"/>
  <c r="CY29" i="46" s="1"/>
  <c r="CZ29" i="46" s="1"/>
  <c r="DA29" i="46" s="1"/>
  <c r="DB29" i="46" s="1"/>
  <c r="DC29" i="46" s="1"/>
  <c r="DD29" i="46" s="1"/>
  <c r="DE29" i="46" s="1"/>
  <c r="DF29" i="46" s="1"/>
  <c r="DG29" i="46" s="1"/>
  <c r="DH29" i="46" s="1"/>
  <c r="DI29" i="46" s="1"/>
  <c r="DJ29" i="46" s="1"/>
  <c r="DK29" i="46" s="1"/>
  <c r="DL29" i="46" s="1"/>
  <c r="DM29" i="46" s="1"/>
  <c r="DN29" i="46" s="1"/>
  <c r="DO29" i="46" s="1"/>
  <c r="DP29" i="46" s="1"/>
  <c r="DQ29" i="46" s="1"/>
  <c r="DR29" i="46" s="1"/>
  <c r="BM7" i="46"/>
  <c r="K33" i="46"/>
  <c r="N33" i="46" s="1"/>
  <c r="M33" i="46"/>
  <c r="U29" i="43"/>
  <c r="G30" i="46"/>
  <c r="G30" i="45"/>
  <c r="O30" i="46"/>
  <c r="O82" i="46" s="1"/>
  <c r="M30" i="46"/>
  <c r="K30" i="46"/>
  <c r="N30" i="46" s="1"/>
  <c r="W30" i="46"/>
  <c r="X30" i="46" s="1"/>
  <c r="Y30" i="46" s="1"/>
  <c r="Z30" i="46" s="1"/>
  <c r="AA30" i="46" s="1"/>
  <c r="AB30" i="46" s="1"/>
  <c r="AC30" i="46" s="1"/>
  <c r="AD30" i="46" s="1"/>
  <c r="AE30" i="46" s="1"/>
  <c r="AF30" i="46" s="1"/>
  <c r="AG30" i="46" s="1"/>
  <c r="AH30" i="46" s="1"/>
  <c r="AI30" i="46" s="1"/>
  <c r="AJ30" i="46" s="1"/>
  <c r="AK30" i="46" s="1"/>
  <c r="AL30" i="46" s="1"/>
  <c r="AM30" i="46" s="1"/>
  <c r="AN30" i="46" s="1"/>
  <c r="AO30" i="46" s="1"/>
  <c r="AP30" i="46" s="1"/>
  <c r="AQ30" i="46" s="1"/>
  <c r="AR30" i="46" s="1"/>
  <c r="AS30" i="46" s="1"/>
  <c r="AT30" i="46" s="1"/>
  <c r="AU30" i="46" s="1"/>
  <c r="AV30" i="46" s="1"/>
  <c r="AW30" i="46" s="1"/>
  <c r="AX30" i="46" s="1"/>
  <c r="AY30" i="46" s="1"/>
  <c r="AZ30" i="46" s="1"/>
  <c r="BA30" i="46" s="1"/>
  <c r="H30" i="46"/>
  <c r="I30" i="46" s="1"/>
  <c r="G30" i="43"/>
  <c r="H30" i="45"/>
  <c r="I30" i="45" s="1"/>
  <c r="Q30" i="45"/>
  <c r="R30" i="45" s="1"/>
  <c r="S30" i="45" s="1"/>
  <c r="T30" i="45" s="1"/>
  <c r="U30" i="45" s="1"/>
  <c r="V30" i="45" s="1"/>
  <c r="W30" i="45" s="1"/>
  <c r="X30" i="45" s="1"/>
  <c r="Y30" i="45" s="1"/>
  <c r="Z30" i="45" s="1"/>
  <c r="AA30" i="45" s="1"/>
  <c r="AB30" i="45" s="1"/>
  <c r="AC30" i="45" s="1"/>
  <c r="AD30" i="45" s="1"/>
  <c r="AE30" i="45" s="1"/>
  <c r="AF30" i="45" s="1"/>
  <c r="AG30" i="45" s="1"/>
  <c r="AH30" i="45" s="1"/>
  <c r="AI30" i="45" s="1"/>
  <c r="AJ30" i="45" s="1"/>
  <c r="AK30" i="45" s="1"/>
  <c r="AL30" i="45" s="1"/>
  <c r="AM30" i="45" s="1"/>
  <c r="AN30" i="45" s="1"/>
  <c r="AO30" i="45" s="1"/>
  <c r="AP30" i="45" s="1"/>
  <c r="AQ30" i="45" s="1"/>
  <c r="AR30" i="45" s="1"/>
  <c r="AS30" i="45" s="1"/>
  <c r="AT30" i="45" s="1"/>
  <c r="AU30" i="45" s="1"/>
  <c r="AV30" i="45" s="1"/>
  <c r="AW30" i="45" s="1"/>
  <c r="AX30" i="45" s="1"/>
  <c r="AY30" i="45" s="1"/>
  <c r="AZ30" i="45" s="1"/>
  <c r="BA30" i="45" s="1"/>
  <c r="BB30" i="45" s="1"/>
  <c r="BC30" i="45" s="1"/>
  <c r="BD30" i="45" s="1"/>
  <c r="G34" i="43"/>
  <c r="H33" i="46"/>
  <c r="I33" i="46" s="1"/>
  <c r="K30" i="45"/>
  <c r="T28" i="49"/>
  <c r="U28" i="49" s="1"/>
  <c r="F29" i="49"/>
  <c r="G29" i="49" s="1"/>
  <c r="Q27" i="50"/>
  <c r="G33" i="45"/>
  <c r="G27" i="50"/>
  <c r="G24" i="50"/>
  <c r="G33" i="46"/>
  <c r="W33" i="46"/>
  <c r="J30" i="45"/>
  <c r="BB30" i="46" l="1"/>
  <c r="BI21" i="46"/>
  <c r="J29" i="46"/>
  <c r="BN7" i="46"/>
  <c r="F29" i="50"/>
  <c r="Q29" i="50" s="1"/>
  <c r="R29" i="50" s="1"/>
  <c r="S29" i="50" s="1"/>
  <c r="T29" i="50" s="1"/>
  <c r="U29" i="50" s="1"/>
  <c r="V29" i="50" s="1"/>
  <c r="W29" i="50" s="1"/>
  <c r="X29" i="50" s="1"/>
  <c r="Y29" i="50" s="1"/>
  <c r="Z29" i="50" s="1"/>
  <c r="AA29" i="50" s="1"/>
  <c r="AB29" i="50" s="1"/>
  <c r="AC29" i="50" s="1"/>
  <c r="AD29" i="50" s="1"/>
  <c r="AE29" i="50" s="1"/>
  <c r="AF29" i="50" s="1"/>
  <c r="AG29" i="50" s="1"/>
  <c r="AH29" i="50" s="1"/>
  <c r="AI29" i="50" s="1"/>
  <c r="AJ29" i="50" s="1"/>
  <c r="AK29" i="50" s="1"/>
  <c r="AL29" i="50" s="1"/>
  <c r="AM29" i="50" s="1"/>
  <c r="AN29" i="50" s="1"/>
  <c r="AO29" i="50" s="1"/>
  <c r="AP29" i="50" s="1"/>
  <c r="AQ29" i="50" s="1"/>
  <c r="AR29" i="50" s="1"/>
  <c r="AS29" i="50" s="1"/>
  <c r="AT29" i="50" s="1"/>
  <c r="AU29" i="50" s="1"/>
  <c r="AV29" i="50" s="1"/>
  <c r="AD36" i="43"/>
  <c r="AE36" i="43" s="1"/>
  <c r="N35" i="45"/>
  <c r="N34" i="45"/>
  <c r="F28" i="50"/>
  <c r="Q28" i="50" s="1"/>
  <c r="R28" i="50" s="1"/>
  <c r="S28" i="50" s="1"/>
  <c r="T28" i="50" s="1"/>
  <c r="U28" i="50" s="1"/>
  <c r="V28" i="50" s="1"/>
  <c r="W28" i="50" s="1"/>
  <c r="X28" i="50" s="1"/>
  <c r="Y28" i="50" s="1"/>
  <c r="Z28" i="50" s="1"/>
  <c r="AA28" i="50" s="1"/>
  <c r="AB28" i="50" s="1"/>
  <c r="AC28" i="50" s="1"/>
  <c r="AD28" i="50" s="1"/>
  <c r="AE28" i="50" s="1"/>
  <c r="AF28" i="50" s="1"/>
  <c r="AG28" i="50" s="1"/>
  <c r="AH28" i="50" s="1"/>
  <c r="AI28" i="50" s="1"/>
  <c r="AJ28" i="50" s="1"/>
  <c r="AK28" i="50" s="1"/>
  <c r="AL28" i="50" s="1"/>
  <c r="AM28" i="50" s="1"/>
  <c r="AN28" i="50" s="1"/>
  <c r="AO28" i="50" s="1"/>
  <c r="AP28" i="50" s="1"/>
  <c r="AQ28" i="50" s="1"/>
  <c r="AR28" i="50" s="1"/>
  <c r="AS28" i="50" s="1"/>
  <c r="AT28" i="50" s="1"/>
  <c r="AU28" i="50" s="1"/>
  <c r="T34" i="43"/>
  <c r="U34" i="43" s="1"/>
  <c r="F34" i="46"/>
  <c r="H34" i="46" s="1"/>
  <c r="I34" i="46" s="1"/>
  <c r="X33" i="46"/>
  <c r="G35" i="43"/>
  <c r="F30" i="49"/>
  <c r="G30" i="49" s="1"/>
  <c r="T29" i="49"/>
  <c r="T30" i="49" s="1"/>
  <c r="R27" i="50"/>
  <c r="S27" i="50" s="1"/>
  <c r="T27" i="50" s="1"/>
  <c r="U27" i="50" s="1"/>
  <c r="V27" i="50" s="1"/>
  <c r="W27" i="50" s="1"/>
  <c r="X27" i="50" s="1"/>
  <c r="Y27" i="50" s="1"/>
  <c r="Z27" i="50" s="1"/>
  <c r="AA27" i="50" s="1"/>
  <c r="AB27" i="50" s="1"/>
  <c r="AC27" i="50" s="1"/>
  <c r="AD27" i="50" s="1"/>
  <c r="AE27" i="50" s="1"/>
  <c r="AF27" i="50" s="1"/>
  <c r="AG27" i="50" s="1"/>
  <c r="AH27" i="50" s="1"/>
  <c r="AI27" i="50" s="1"/>
  <c r="AJ27" i="50" s="1"/>
  <c r="AK27" i="50" s="1"/>
  <c r="AL27" i="50" s="1"/>
  <c r="AM27" i="50" s="1"/>
  <c r="AN27" i="50" s="1"/>
  <c r="AO27" i="50" s="1"/>
  <c r="AP27" i="50" s="1"/>
  <c r="AQ27" i="50" s="1"/>
  <c r="AR27" i="50" s="1"/>
  <c r="AS27" i="50" s="1"/>
  <c r="AT27" i="50" s="1"/>
  <c r="AU27" i="50" s="1"/>
  <c r="H29" i="50" l="1"/>
  <c r="I29" i="50" s="1"/>
  <c r="BJ21" i="46"/>
  <c r="BC30" i="46"/>
  <c r="BO7" i="46"/>
  <c r="H28" i="50"/>
  <c r="I28" i="50" s="1"/>
  <c r="Y33" i="46"/>
  <c r="K34" i="46"/>
  <c r="N34" i="46" s="1"/>
  <c r="M34" i="46"/>
  <c r="G28" i="50"/>
  <c r="G34" i="46"/>
  <c r="F35" i="46"/>
  <c r="T35" i="43"/>
  <c r="G35" i="45" s="1"/>
  <c r="G34" i="45"/>
  <c r="N36" i="45"/>
  <c r="F30" i="50"/>
  <c r="Q30" i="50" s="1"/>
  <c r="R30" i="50" s="1"/>
  <c r="S30" i="50" s="1"/>
  <c r="T30" i="50" s="1"/>
  <c r="U30" i="50" s="1"/>
  <c r="V30" i="50" s="1"/>
  <c r="W30" i="50" s="1"/>
  <c r="X30" i="50" s="1"/>
  <c r="Y30" i="50" s="1"/>
  <c r="Z30" i="50" s="1"/>
  <c r="AA30" i="50" s="1"/>
  <c r="AB30" i="50" s="1"/>
  <c r="AC30" i="50" s="1"/>
  <c r="AD30" i="50" s="1"/>
  <c r="AE30" i="50" s="1"/>
  <c r="AF30" i="50" s="1"/>
  <c r="AG30" i="50" s="1"/>
  <c r="AH30" i="50" s="1"/>
  <c r="AI30" i="50" s="1"/>
  <c r="AJ30" i="50" s="1"/>
  <c r="AK30" i="50" s="1"/>
  <c r="AL30" i="50" s="1"/>
  <c r="AM30" i="50" s="1"/>
  <c r="AN30" i="50" s="1"/>
  <c r="AO30" i="50" s="1"/>
  <c r="AP30" i="50" s="1"/>
  <c r="AQ30" i="50" s="1"/>
  <c r="AR30" i="50" s="1"/>
  <c r="AS30" i="50" s="1"/>
  <c r="AT30" i="50" s="1"/>
  <c r="AU30" i="50" s="1"/>
  <c r="F36" i="46"/>
  <c r="W34" i="46"/>
  <c r="T36" i="43"/>
  <c r="U36" i="43" s="1"/>
  <c r="X34" i="46"/>
  <c r="Y34" i="46" s="1"/>
  <c r="Z34" i="46" s="1"/>
  <c r="AA34" i="46" s="1"/>
  <c r="AB34" i="46" s="1"/>
  <c r="AC34" i="46" s="1"/>
  <c r="AD34" i="46" s="1"/>
  <c r="AE34" i="46" s="1"/>
  <c r="AF34" i="46" s="1"/>
  <c r="AG34" i="46" s="1"/>
  <c r="AH34" i="46" s="1"/>
  <c r="AI34" i="46" s="1"/>
  <c r="AJ34" i="46" s="1"/>
  <c r="AK34" i="46" s="1"/>
  <c r="AL34" i="46" s="1"/>
  <c r="AM34" i="46" s="1"/>
  <c r="AN34" i="46" s="1"/>
  <c r="AO34" i="46" s="1"/>
  <c r="AP34" i="46" s="1"/>
  <c r="AQ34" i="46" s="1"/>
  <c r="AR34" i="46" s="1"/>
  <c r="AS34" i="46" s="1"/>
  <c r="AT34" i="46" s="1"/>
  <c r="AU34" i="46" s="1"/>
  <c r="AV34" i="46" s="1"/>
  <c r="AW34" i="46" s="1"/>
  <c r="AX34" i="46" s="1"/>
  <c r="AY34" i="46" s="1"/>
  <c r="AZ34" i="46" s="1"/>
  <c r="BA34" i="46" s="1"/>
  <c r="BB34" i="46" s="1"/>
  <c r="BC34" i="46" s="1"/>
  <c r="BD34" i="46" s="1"/>
  <c r="BE34" i="46" s="1"/>
  <c r="BF34" i="46" s="1"/>
  <c r="BG34" i="46" s="1"/>
  <c r="BH34" i="46" s="1"/>
  <c r="BI34" i="46" s="1"/>
  <c r="BJ34" i="46" s="1"/>
  <c r="BK34" i="46" s="1"/>
  <c r="BL34" i="46" s="1"/>
  <c r="BM34" i="46" s="1"/>
  <c r="BN34" i="46" s="1"/>
  <c r="BO34" i="46" s="1"/>
  <c r="BP34" i="46" s="1"/>
  <c r="BQ34" i="46" s="1"/>
  <c r="BR34" i="46" s="1"/>
  <c r="BS34" i="46" s="1"/>
  <c r="BT34" i="46" s="1"/>
  <c r="BU34" i="46" s="1"/>
  <c r="BV34" i="46" s="1"/>
  <c r="BW34" i="46" s="1"/>
  <c r="BX34" i="46" s="1"/>
  <c r="BY34" i="46" s="1"/>
  <c r="BZ34" i="46" s="1"/>
  <c r="CA34" i="46" s="1"/>
  <c r="CB34" i="46" s="1"/>
  <c r="CC34" i="46" s="1"/>
  <c r="CD34" i="46" s="1"/>
  <c r="CE34" i="46" s="1"/>
  <c r="CF34" i="46" s="1"/>
  <c r="CG34" i="46" s="1"/>
  <c r="CH34" i="46" s="1"/>
  <c r="CI34" i="46" s="1"/>
  <c r="CJ34" i="46" s="1"/>
  <c r="CK34" i="46" s="1"/>
  <c r="CL34" i="46" s="1"/>
  <c r="CM34" i="46" s="1"/>
  <c r="CN34" i="46" s="1"/>
  <c r="CO34" i="46" s="1"/>
  <c r="CP34" i="46" s="1"/>
  <c r="CQ34" i="46" s="1"/>
  <c r="CR34" i="46" s="1"/>
  <c r="CS34" i="46" s="1"/>
  <c r="CT34" i="46" s="1"/>
  <c r="CU34" i="46" s="1"/>
  <c r="CV34" i="46" s="1"/>
  <c r="CW34" i="46" s="1"/>
  <c r="CX34" i="46" s="1"/>
  <c r="CY34" i="46" s="1"/>
  <c r="CZ34" i="46" s="1"/>
  <c r="DA34" i="46" s="1"/>
  <c r="DB34" i="46" s="1"/>
  <c r="DC34" i="46" s="1"/>
  <c r="DD34" i="46" s="1"/>
  <c r="DE34" i="46" s="1"/>
  <c r="DF34" i="46" s="1"/>
  <c r="DG34" i="46" s="1"/>
  <c r="DH34" i="46" s="1"/>
  <c r="DI34" i="46" s="1"/>
  <c r="DJ34" i="46" s="1"/>
  <c r="DK34" i="46" s="1"/>
  <c r="DL34" i="46" s="1"/>
  <c r="DM34" i="46" s="1"/>
  <c r="DN34" i="46" s="1"/>
  <c r="DO34" i="46" s="1"/>
  <c r="DP34" i="46" s="1"/>
  <c r="DQ34" i="46" s="1"/>
  <c r="DR34" i="46" s="1"/>
  <c r="T37" i="43"/>
  <c r="U37" i="43" s="1"/>
  <c r="G36" i="43"/>
  <c r="U30" i="49"/>
  <c r="U29" i="49"/>
  <c r="J27" i="50"/>
  <c r="F33" i="49"/>
  <c r="G33" i="49" s="1"/>
  <c r="K29" i="50"/>
  <c r="K28" i="50"/>
  <c r="K27" i="50"/>
  <c r="N37" i="45"/>
  <c r="F31" i="50"/>
  <c r="F37" i="46"/>
  <c r="M37" i="46" s="1"/>
  <c r="J29" i="50"/>
  <c r="J28" i="50"/>
  <c r="BD30" i="46" l="1"/>
  <c r="BK21" i="46"/>
  <c r="BP7" i="46"/>
  <c r="M35" i="46"/>
  <c r="H35" i="46"/>
  <c r="I35" i="46" s="1"/>
  <c r="G29" i="50"/>
  <c r="K36" i="46"/>
  <c r="N36" i="46" s="1"/>
  <c r="M36" i="46"/>
  <c r="Z33" i="46"/>
  <c r="K35" i="46"/>
  <c r="N35" i="46" s="1"/>
  <c r="W35" i="46"/>
  <c r="H30" i="50"/>
  <c r="I30" i="50" s="1"/>
  <c r="U35" i="43"/>
  <c r="G35" i="46"/>
  <c r="G36" i="46"/>
  <c r="G30" i="50"/>
  <c r="W36" i="46"/>
  <c r="G36" i="45"/>
  <c r="H36" i="46"/>
  <c r="I36" i="46" s="1"/>
  <c r="J34" i="46"/>
  <c r="G37" i="43"/>
  <c r="Q31" i="50"/>
  <c r="R31" i="50" s="1"/>
  <c r="S31" i="50" s="1"/>
  <c r="T31" i="50" s="1"/>
  <c r="U31" i="50" s="1"/>
  <c r="V31" i="50" s="1"/>
  <c r="W31" i="50" s="1"/>
  <c r="X31" i="50" s="1"/>
  <c r="Y31" i="50" s="1"/>
  <c r="Z31" i="50" s="1"/>
  <c r="AA31" i="50" s="1"/>
  <c r="AB31" i="50" s="1"/>
  <c r="AC31" i="50" s="1"/>
  <c r="AD31" i="50" s="1"/>
  <c r="AE31" i="50" s="1"/>
  <c r="AF31" i="50" s="1"/>
  <c r="AG31" i="50" s="1"/>
  <c r="AH31" i="50" s="1"/>
  <c r="AI31" i="50" s="1"/>
  <c r="AJ31" i="50" s="1"/>
  <c r="AK31" i="50" s="1"/>
  <c r="AL31" i="50" s="1"/>
  <c r="AM31" i="50" s="1"/>
  <c r="AN31" i="50" s="1"/>
  <c r="AO31" i="50" s="1"/>
  <c r="AP31" i="50" s="1"/>
  <c r="AQ31" i="50" s="1"/>
  <c r="AR31" i="50" s="1"/>
  <c r="AS31" i="50" s="1"/>
  <c r="AT31" i="50" s="1"/>
  <c r="AU31" i="50" s="1"/>
  <c r="H31" i="50"/>
  <c r="I31" i="50" s="1"/>
  <c r="K37" i="46"/>
  <c r="N37" i="46" s="1"/>
  <c r="H37" i="46"/>
  <c r="I37" i="46" s="1"/>
  <c r="J30" i="50"/>
  <c r="T33" i="49"/>
  <c r="U33" i="49" s="1"/>
  <c r="F34" i="49"/>
  <c r="G34" i="49" s="1"/>
  <c r="K30" i="50"/>
  <c r="W37" i="46"/>
  <c r="G37" i="46"/>
  <c r="G37" i="45"/>
  <c r="G31" i="50"/>
  <c r="N38" i="45"/>
  <c r="F32" i="50"/>
  <c r="T38" i="43"/>
  <c r="U38" i="43" s="1"/>
  <c r="F38" i="46"/>
  <c r="M38" i="46" s="1"/>
  <c r="BL21" i="46" l="1"/>
  <c r="BE30" i="46"/>
  <c r="X35" i="46"/>
  <c r="Y35" i="46" s="1"/>
  <c r="Z35" i="46" s="1"/>
  <c r="AA35" i="46" s="1"/>
  <c r="AB35" i="46" s="1"/>
  <c r="AC35" i="46" s="1"/>
  <c r="AD35" i="46" s="1"/>
  <c r="AE35" i="46" s="1"/>
  <c r="AF35" i="46" s="1"/>
  <c r="AG35" i="46" s="1"/>
  <c r="AH35" i="46" s="1"/>
  <c r="AI35" i="46" s="1"/>
  <c r="AJ35" i="46" s="1"/>
  <c r="AK35" i="46" s="1"/>
  <c r="AL35" i="46" s="1"/>
  <c r="AM35" i="46" s="1"/>
  <c r="AN35" i="46" s="1"/>
  <c r="AO35" i="46" s="1"/>
  <c r="AP35" i="46" s="1"/>
  <c r="AQ35" i="46" s="1"/>
  <c r="AR35" i="46" s="1"/>
  <c r="AS35" i="46" s="1"/>
  <c r="AT35" i="46" s="1"/>
  <c r="AU35" i="46" s="1"/>
  <c r="AV35" i="46" s="1"/>
  <c r="AW35" i="46" s="1"/>
  <c r="AX35" i="46" s="1"/>
  <c r="AY35" i="46" s="1"/>
  <c r="AZ35" i="46" s="1"/>
  <c r="BA35" i="46" s="1"/>
  <c r="BB35" i="46" s="1"/>
  <c r="BC35" i="46" s="1"/>
  <c r="BD35" i="46" s="1"/>
  <c r="BE35" i="46" s="1"/>
  <c r="BF35" i="46" s="1"/>
  <c r="BG35" i="46" s="1"/>
  <c r="BH35" i="46" s="1"/>
  <c r="BI35" i="46" s="1"/>
  <c r="BJ35" i="46" s="1"/>
  <c r="BK35" i="46" s="1"/>
  <c r="BL35" i="46" s="1"/>
  <c r="BM35" i="46" s="1"/>
  <c r="BN35" i="46" s="1"/>
  <c r="BO35" i="46" s="1"/>
  <c r="BP35" i="46" s="1"/>
  <c r="BQ35" i="46" s="1"/>
  <c r="BR35" i="46" s="1"/>
  <c r="BS35" i="46" s="1"/>
  <c r="BT35" i="46" s="1"/>
  <c r="BU35" i="46" s="1"/>
  <c r="BV35" i="46" s="1"/>
  <c r="BW35" i="46" s="1"/>
  <c r="BX35" i="46" s="1"/>
  <c r="BY35" i="46" s="1"/>
  <c r="BZ35" i="46" s="1"/>
  <c r="CA35" i="46" s="1"/>
  <c r="CB35" i="46" s="1"/>
  <c r="CC35" i="46" s="1"/>
  <c r="CD35" i="46" s="1"/>
  <c r="CE35" i="46" s="1"/>
  <c r="CF35" i="46" s="1"/>
  <c r="CG35" i="46" s="1"/>
  <c r="CH35" i="46" s="1"/>
  <c r="CI35" i="46" s="1"/>
  <c r="CJ35" i="46" s="1"/>
  <c r="CK35" i="46" s="1"/>
  <c r="CL35" i="46" s="1"/>
  <c r="CM35" i="46" s="1"/>
  <c r="CN35" i="46" s="1"/>
  <c r="CO35" i="46" s="1"/>
  <c r="CP35" i="46" s="1"/>
  <c r="CQ35" i="46" s="1"/>
  <c r="CR35" i="46" s="1"/>
  <c r="CS35" i="46" s="1"/>
  <c r="CT35" i="46" s="1"/>
  <c r="CU35" i="46" s="1"/>
  <c r="CV35" i="46" s="1"/>
  <c r="CW35" i="46" s="1"/>
  <c r="CX35" i="46" s="1"/>
  <c r="CY35" i="46" s="1"/>
  <c r="CZ35" i="46" s="1"/>
  <c r="DA35" i="46" s="1"/>
  <c r="DB35" i="46" s="1"/>
  <c r="DC35" i="46" s="1"/>
  <c r="DD35" i="46" s="1"/>
  <c r="DE35" i="46" s="1"/>
  <c r="DF35" i="46" s="1"/>
  <c r="DG35" i="46" s="1"/>
  <c r="DH35" i="46" s="1"/>
  <c r="DI35" i="46" s="1"/>
  <c r="DJ35" i="46" s="1"/>
  <c r="DK35" i="46" s="1"/>
  <c r="DL35" i="46" s="1"/>
  <c r="DM35" i="46" s="1"/>
  <c r="DN35" i="46" s="1"/>
  <c r="DO35" i="46" s="1"/>
  <c r="DP35" i="46" s="1"/>
  <c r="DQ35" i="46" s="1"/>
  <c r="DR35" i="46" s="1"/>
  <c r="X36" i="46"/>
  <c r="Y36" i="46" s="1"/>
  <c r="Z36" i="46" s="1"/>
  <c r="AA36" i="46" s="1"/>
  <c r="AB36" i="46" s="1"/>
  <c r="AC36" i="46" s="1"/>
  <c r="AD36" i="46" s="1"/>
  <c r="AE36" i="46" s="1"/>
  <c r="AF36" i="46" s="1"/>
  <c r="AG36" i="46" s="1"/>
  <c r="AH36" i="46" s="1"/>
  <c r="AI36" i="46" s="1"/>
  <c r="AJ36" i="46" s="1"/>
  <c r="AK36" i="46" s="1"/>
  <c r="AL36" i="46" s="1"/>
  <c r="AM36" i="46" s="1"/>
  <c r="AN36" i="46" s="1"/>
  <c r="AO36" i="46" s="1"/>
  <c r="AP36" i="46" s="1"/>
  <c r="AQ36" i="46" s="1"/>
  <c r="AR36" i="46" s="1"/>
  <c r="AS36" i="46" s="1"/>
  <c r="AT36" i="46" s="1"/>
  <c r="AU36" i="46" s="1"/>
  <c r="AV36" i="46" s="1"/>
  <c r="AW36" i="46" s="1"/>
  <c r="AX36" i="46" s="1"/>
  <c r="AY36" i="46" s="1"/>
  <c r="AZ36" i="46" s="1"/>
  <c r="BA36" i="46" s="1"/>
  <c r="BB36" i="46" s="1"/>
  <c r="BC36" i="46" s="1"/>
  <c r="BD36" i="46" s="1"/>
  <c r="BE36" i="46" s="1"/>
  <c r="BF36" i="46" s="1"/>
  <c r="BG36" i="46" s="1"/>
  <c r="BH36" i="46" s="1"/>
  <c r="BI36" i="46" s="1"/>
  <c r="BJ36" i="46" s="1"/>
  <c r="BK36" i="46" s="1"/>
  <c r="BL36" i="46" s="1"/>
  <c r="BM36" i="46" s="1"/>
  <c r="BN36" i="46" s="1"/>
  <c r="BO36" i="46" s="1"/>
  <c r="BP36" i="46" s="1"/>
  <c r="BQ36" i="46" s="1"/>
  <c r="BR36" i="46" s="1"/>
  <c r="BS36" i="46" s="1"/>
  <c r="BT36" i="46" s="1"/>
  <c r="BU36" i="46" s="1"/>
  <c r="BV36" i="46" s="1"/>
  <c r="BW36" i="46" s="1"/>
  <c r="BX36" i="46" s="1"/>
  <c r="BY36" i="46" s="1"/>
  <c r="BZ36" i="46" s="1"/>
  <c r="CA36" i="46" s="1"/>
  <c r="CB36" i="46" s="1"/>
  <c r="CC36" i="46" s="1"/>
  <c r="CD36" i="46" s="1"/>
  <c r="CE36" i="46" s="1"/>
  <c r="CF36" i="46" s="1"/>
  <c r="CG36" i="46" s="1"/>
  <c r="CH36" i="46" s="1"/>
  <c r="CI36" i="46" s="1"/>
  <c r="CJ36" i="46" s="1"/>
  <c r="CK36" i="46" s="1"/>
  <c r="CL36" i="46" s="1"/>
  <c r="CM36" i="46" s="1"/>
  <c r="CN36" i="46" s="1"/>
  <c r="CO36" i="46" s="1"/>
  <c r="CP36" i="46" s="1"/>
  <c r="CQ36" i="46" s="1"/>
  <c r="CR36" i="46" s="1"/>
  <c r="CS36" i="46" s="1"/>
  <c r="CT36" i="46" s="1"/>
  <c r="CU36" i="46" s="1"/>
  <c r="CV36" i="46" s="1"/>
  <c r="CW36" i="46" s="1"/>
  <c r="CX36" i="46" s="1"/>
  <c r="CY36" i="46" s="1"/>
  <c r="CZ36" i="46" s="1"/>
  <c r="DA36" i="46" s="1"/>
  <c r="DB36" i="46" s="1"/>
  <c r="DC36" i="46" s="1"/>
  <c r="DD36" i="46" s="1"/>
  <c r="DE36" i="46" s="1"/>
  <c r="DF36" i="46" s="1"/>
  <c r="DG36" i="46" s="1"/>
  <c r="DH36" i="46" s="1"/>
  <c r="DI36" i="46" s="1"/>
  <c r="DJ36" i="46" s="1"/>
  <c r="DK36" i="46" s="1"/>
  <c r="DL36" i="46" s="1"/>
  <c r="DM36" i="46" s="1"/>
  <c r="DN36" i="46" s="1"/>
  <c r="DO36" i="46" s="1"/>
  <c r="DP36" i="46" s="1"/>
  <c r="DQ36" i="46" s="1"/>
  <c r="DR36" i="46" s="1"/>
  <c r="X37" i="46"/>
  <c r="Y37" i="46" s="1"/>
  <c r="Z37" i="46" s="1"/>
  <c r="AA37" i="46" s="1"/>
  <c r="AB37" i="46" s="1"/>
  <c r="AC37" i="46" s="1"/>
  <c r="AD37" i="46" s="1"/>
  <c r="AE37" i="46" s="1"/>
  <c r="AF37" i="46" s="1"/>
  <c r="AG37" i="46" s="1"/>
  <c r="AH37" i="46" s="1"/>
  <c r="AI37" i="46" s="1"/>
  <c r="AJ37" i="46" s="1"/>
  <c r="AK37" i="46" s="1"/>
  <c r="AL37" i="46" s="1"/>
  <c r="AM37" i="46" s="1"/>
  <c r="AN37" i="46" s="1"/>
  <c r="AO37" i="46" s="1"/>
  <c r="AP37" i="46" s="1"/>
  <c r="AQ37" i="46" s="1"/>
  <c r="AR37" i="46" s="1"/>
  <c r="AS37" i="46" s="1"/>
  <c r="AT37" i="46" s="1"/>
  <c r="AU37" i="46" s="1"/>
  <c r="AV37" i="46" s="1"/>
  <c r="AW37" i="46" s="1"/>
  <c r="AX37" i="46" s="1"/>
  <c r="AY37" i="46" s="1"/>
  <c r="AZ37" i="46" s="1"/>
  <c r="BA37" i="46" s="1"/>
  <c r="BB37" i="46" s="1"/>
  <c r="BC37" i="46" s="1"/>
  <c r="BD37" i="46" s="1"/>
  <c r="BE37" i="46" s="1"/>
  <c r="BF37" i="46" s="1"/>
  <c r="BG37" i="46" s="1"/>
  <c r="BH37" i="46" s="1"/>
  <c r="BI37" i="46" s="1"/>
  <c r="BJ37" i="46" s="1"/>
  <c r="BK37" i="46" s="1"/>
  <c r="BL37" i="46" s="1"/>
  <c r="BM37" i="46" s="1"/>
  <c r="BN37" i="46" s="1"/>
  <c r="BO37" i="46" s="1"/>
  <c r="BP37" i="46" s="1"/>
  <c r="BQ37" i="46" s="1"/>
  <c r="BR37" i="46" s="1"/>
  <c r="BS37" i="46" s="1"/>
  <c r="BT37" i="46" s="1"/>
  <c r="BU37" i="46" s="1"/>
  <c r="BV37" i="46" s="1"/>
  <c r="BW37" i="46" s="1"/>
  <c r="BX37" i="46" s="1"/>
  <c r="BY37" i="46" s="1"/>
  <c r="BZ37" i="46" s="1"/>
  <c r="CA37" i="46" s="1"/>
  <c r="CB37" i="46" s="1"/>
  <c r="CC37" i="46" s="1"/>
  <c r="CD37" i="46" s="1"/>
  <c r="CE37" i="46" s="1"/>
  <c r="CF37" i="46" s="1"/>
  <c r="CG37" i="46" s="1"/>
  <c r="CH37" i="46" s="1"/>
  <c r="CI37" i="46" s="1"/>
  <c r="CJ37" i="46" s="1"/>
  <c r="CK37" i="46" s="1"/>
  <c r="CL37" i="46" s="1"/>
  <c r="CM37" i="46" s="1"/>
  <c r="CN37" i="46" s="1"/>
  <c r="CO37" i="46" s="1"/>
  <c r="CP37" i="46" s="1"/>
  <c r="CQ37" i="46" s="1"/>
  <c r="CR37" i="46" s="1"/>
  <c r="CS37" i="46" s="1"/>
  <c r="CT37" i="46" s="1"/>
  <c r="CU37" i="46" s="1"/>
  <c r="CV37" i="46" s="1"/>
  <c r="CW37" i="46" s="1"/>
  <c r="CX37" i="46" s="1"/>
  <c r="CY37" i="46" s="1"/>
  <c r="CZ37" i="46" s="1"/>
  <c r="DA37" i="46" s="1"/>
  <c r="DB37" i="46" s="1"/>
  <c r="DC37" i="46" s="1"/>
  <c r="DD37" i="46" s="1"/>
  <c r="DE37" i="46" s="1"/>
  <c r="DF37" i="46" s="1"/>
  <c r="DG37" i="46" s="1"/>
  <c r="DH37" i="46" s="1"/>
  <c r="DI37" i="46" s="1"/>
  <c r="DJ37" i="46" s="1"/>
  <c r="DK37" i="46" s="1"/>
  <c r="DL37" i="46" s="1"/>
  <c r="DM37" i="46" s="1"/>
  <c r="DN37" i="46" s="1"/>
  <c r="DO37" i="46" s="1"/>
  <c r="DP37" i="46" s="1"/>
  <c r="DQ37" i="46" s="1"/>
  <c r="DR37" i="46" s="1"/>
  <c r="BQ7" i="46"/>
  <c r="AA33" i="46"/>
  <c r="G38" i="43"/>
  <c r="Q32" i="50"/>
  <c r="R32" i="50" s="1"/>
  <c r="S32" i="50" s="1"/>
  <c r="T32" i="50" s="1"/>
  <c r="U32" i="50" s="1"/>
  <c r="V32" i="50" s="1"/>
  <c r="W32" i="50" s="1"/>
  <c r="X32" i="50" s="1"/>
  <c r="Y32" i="50" s="1"/>
  <c r="Z32" i="50" s="1"/>
  <c r="AA32" i="50" s="1"/>
  <c r="AB32" i="50" s="1"/>
  <c r="AC32" i="50" s="1"/>
  <c r="AD32" i="50" s="1"/>
  <c r="AE32" i="50" s="1"/>
  <c r="AF32" i="50" s="1"/>
  <c r="AG32" i="50" s="1"/>
  <c r="AH32" i="50" s="1"/>
  <c r="AI32" i="50" s="1"/>
  <c r="AJ32" i="50" s="1"/>
  <c r="AK32" i="50" s="1"/>
  <c r="AL32" i="50" s="1"/>
  <c r="AM32" i="50" s="1"/>
  <c r="AN32" i="50" s="1"/>
  <c r="AO32" i="50" s="1"/>
  <c r="AP32" i="50" s="1"/>
  <c r="AQ32" i="50" s="1"/>
  <c r="AR32" i="50" s="1"/>
  <c r="AS32" i="50" s="1"/>
  <c r="AT32" i="50" s="1"/>
  <c r="AU32" i="50" s="1"/>
  <c r="H32" i="50"/>
  <c r="I32" i="50" s="1"/>
  <c r="K38" i="46"/>
  <c r="N38" i="46" s="1"/>
  <c r="H38" i="46"/>
  <c r="I38" i="46" s="1"/>
  <c r="J31" i="50"/>
  <c r="W38" i="46"/>
  <c r="G32" i="50"/>
  <c r="G38" i="46"/>
  <c r="T34" i="49"/>
  <c r="U34" i="49" s="1"/>
  <c r="K31" i="50"/>
  <c r="F35" i="49"/>
  <c r="G35" i="49" s="1"/>
  <c r="J37" i="46" l="1"/>
  <c r="J36" i="46"/>
  <c r="J35" i="46"/>
  <c r="BF30" i="46"/>
  <c r="BM21" i="46"/>
  <c r="X38" i="46"/>
  <c r="Y38" i="46" s="1"/>
  <c r="Z38" i="46" s="1"/>
  <c r="AA38" i="46" s="1"/>
  <c r="AB38" i="46" s="1"/>
  <c r="AC38" i="46" s="1"/>
  <c r="AD38" i="46" s="1"/>
  <c r="AE38" i="46" s="1"/>
  <c r="AF38" i="46" s="1"/>
  <c r="AG38" i="46" s="1"/>
  <c r="AH38" i="46" s="1"/>
  <c r="AI38" i="46" s="1"/>
  <c r="AJ38" i="46" s="1"/>
  <c r="AK38" i="46" s="1"/>
  <c r="AL38" i="46" s="1"/>
  <c r="AM38" i="46" s="1"/>
  <c r="AN38" i="46" s="1"/>
  <c r="AO38" i="46" s="1"/>
  <c r="AP38" i="46" s="1"/>
  <c r="AQ38" i="46" s="1"/>
  <c r="AR38" i="46" s="1"/>
  <c r="AS38" i="46" s="1"/>
  <c r="AT38" i="46" s="1"/>
  <c r="AU38" i="46" s="1"/>
  <c r="AV38" i="46" s="1"/>
  <c r="AW38" i="46" s="1"/>
  <c r="AX38" i="46" s="1"/>
  <c r="AY38" i="46" s="1"/>
  <c r="AZ38" i="46" s="1"/>
  <c r="BA38" i="46" s="1"/>
  <c r="BB38" i="46" s="1"/>
  <c r="BC38" i="46" s="1"/>
  <c r="BD38" i="46" s="1"/>
  <c r="BE38" i="46" s="1"/>
  <c r="BF38" i="46" s="1"/>
  <c r="BG38" i="46" s="1"/>
  <c r="BH38" i="46" s="1"/>
  <c r="BI38" i="46" s="1"/>
  <c r="BJ38" i="46" s="1"/>
  <c r="BK38" i="46" s="1"/>
  <c r="BL38" i="46" s="1"/>
  <c r="BM38" i="46" s="1"/>
  <c r="BN38" i="46" s="1"/>
  <c r="BO38" i="46" s="1"/>
  <c r="BP38" i="46" s="1"/>
  <c r="BQ38" i="46" s="1"/>
  <c r="BR38" i="46" s="1"/>
  <c r="BS38" i="46" s="1"/>
  <c r="BT38" i="46" s="1"/>
  <c r="BU38" i="46" s="1"/>
  <c r="BV38" i="46" s="1"/>
  <c r="BW38" i="46" s="1"/>
  <c r="BX38" i="46" s="1"/>
  <c r="BY38" i="46" s="1"/>
  <c r="BZ38" i="46" s="1"/>
  <c r="CA38" i="46" s="1"/>
  <c r="CB38" i="46" s="1"/>
  <c r="CC38" i="46" s="1"/>
  <c r="CD38" i="46" s="1"/>
  <c r="CE38" i="46" s="1"/>
  <c r="CF38" i="46" s="1"/>
  <c r="CG38" i="46" s="1"/>
  <c r="CH38" i="46" s="1"/>
  <c r="CI38" i="46" s="1"/>
  <c r="CJ38" i="46" s="1"/>
  <c r="CK38" i="46" s="1"/>
  <c r="CL38" i="46" s="1"/>
  <c r="CM38" i="46" s="1"/>
  <c r="CN38" i="46" s="1"/>
  <c r="CO38" i="46" s="1"/>
  <c r="CP38" i="46" s="1"/>
  <c r="CQ38" i="46" s="1"/>
  <c r="CR38" i="46" s="1"/>
  <c r="CS38" i="46" s="1"/>
  <c r="CT38" i="46" s="1"/>
  <c r="CU38" i="46" s="1"/>
  <c r="CV38" i="46" s="1"/>
  <c r="CW38" i="46" s="1"/>
  <c r="CX38" i="46" s="1"/>
  <c r="CY38" i="46" s="1"/>
  <c r="CZ38" i="46" s="1"/>
  <c r="DA38" i="46" s="1"/>
  <c r="DB38" i="46" s="1"/>
  <c r="DC38" i="46" s="1"/>
  <c r="DD38" i="46" s="1"/>
  <c r="DE38" i="46" s="1"/>
  <c r="DF38" i="46" s="1"/>
  <c r="DG38" i="46" s="1"/>
  <c r="DH38" i="46" s="1"/>
  <c r="DI38" i="46" s="1"/>
  <c r="DJ38" i="46" s="1"/>
  <c r="DK38" i="46" s="1"/>
  <c r="DL38" i="46" s="1"/>
  <c r="DM38" i="46" s="1"/>
  <c r="DN38" i="46" s="1"/>
  <c r="DO38" i="46" s="1"/>
  <c r="DP38" i="46" s="1"/>
  <c r="DQ38" i="46" s="1"/>
  <c r="DR38" i="46" s="1"/>
  <c r="BR7" i="46"/>
  <c r="AB33" i="46"/>
  <c r="G39" i="43"/>
  <c r="F33" i="50"/>
  <c r="N39" i="45"/>
  <c r="F39" i="46"/>
  <c r="M39" i="46" s="1"/>
  <c r="T39" i="43"/>
  <c r="F36" i="49"/>
  <c r="J32" i="50"/>
  <c r="K32" i="50"/>
  <c r="T35" i="49"/>
  <c r="U35" i="49" s="1"/>
  <c r="J38" i="46" l="1"/>
  <c r="BG30" i="46"/>
  <c r="BN21" i="46"/>
  <c r="BS7" i="46"/>
  <c r="AC33" i="46"/>
  <c r="K39" i="46"/>
  <c r="N39" i="46" s="1"/>
  <c r="W39" i="46"/>
  <c r="H39" i="46"/>
  <c r="I39" i="46" s="1"/>
  <c r="T36" i="49"/>
  <c r="U36" i="49" s="1"/>
  <c r="G36" i="49"/>
  <c r="G39" i="46"/>
  <c r="U39" i="43"/>
  <c r="H33" i="50"/>
  <c r="I33" i="50" s="1"/>
  <c r="Q33" i="50"/>
  <c r="R33" i="50" s="1"/>
  <c r="S33" i="50" s="1"/>
  <c r="T33" i="50" s="1"/>
  <c r="U33" i="50" s="1"/>
  <c r="V33" i="50" s="1"/>
  <c r="W33" i="50" s="1"/>
  <c r="X33" i="50" s="1"/>
  <c r="Y33" i="50" s="1"/>
  <c r="Z33" i="50" s="1"/>
  <c r="AA33" i="50" s="1"/>
  <c r="AB33" i="50" s="1"/>
  <c r="AC33" i="50" s="1"/>
  <c r="AD33" i="50" s="1"/>
  <c r="AE33" i="50" s="1"/>
  <c r="AF33" i="50" s="1"/>
  <c r="AG33" i="50" s="1"/>
  <c r="AH33" i="50" s="1"/>
  <c r="AI33" i="50" s="1"/>
  <c r="AJ33" i="50" s="1"/>
  <c r="AK33" i="50" s="1"/>
  <c r="AL33" i="50" s="1"/>
  <c r="AM33" i="50" s="1"/>
  <c r="AN33" i="50" s="1"/>
  <c r="AO33" i="50" s="1"/>
  <c r="AP33" i="50" s="1"/>
  <c r="AQ33" i="50" s="1"/>
  <c r="AR33" i="50" s="1"/>
  <c r="AS33" i="50" s="1"/>
  <c r="AT33" i="50" s="1"/>
  <c r="AU33" i="50" s="1"/>
  <c r="G40" i="43"/>
  <c r="T40" i="43"/>
  <c r="F40" i="46"/>
  <c r="M40" i="46" s="1"/>
  <c r="N40" i="45"/>
  <c r="F37" i="49"/>
  <c r="G37" i="49" s="1"/>
  <c r="J33" i="50"/>
  <c r="K33" i="50"/>
  <c r="BO21" i="46" l="1"/>
  <c r="BH30" i="46"/>
  <c r="X39" i="46"/>
  <c r="Y39" i="46" s="1"/>
  <c r="Z39" i="46" s="1"/>
  <c r="AA39" i="46" s="1"/>
  <c r="AB39" i="46" s="1"/>
  <c r="AC39" i="46" s="1"/>
  <c r="AD39" i="46" s="1"/>
  <c r="AE39" i="46" s="1"/>
  <c r="AF39" i="46" s="1"/>
  <c r="AG39" i="46" s="1"/>
  <c r="AH39" i="46" s="1"/>
  <c r="AI39" i="46" s="1"/>
  <c r="AJ39" i="46" s="1"/>
  <c r="AK39" i="46" s="1"/>
  <c r="AL39" i="46" s="1"/>
  <c r="AM39" i="46" s="1"/>
  <c r="AN39" i="46" s="1"/>
  <c r="AO39" i="46" s="1"/>
  <c r="AP39" i="46" s="1"/>
  <c r="AQ39" i="46" s="1"/>
  <c r="AR39" i="46" s="1"/>
  <c r="AS39" i="46" s="1"/>
  <c r="AT39" i="46" s="1"/>
  <c r="AU39" i="46" s="1"/>
  <c r="AV39" i="46" s="1"/>
  <c r="AW39" i="46" s="1"/>
  <c r="AX39" i="46" s="1"/>
  <c r="AY39" i="46" s="1"/>
  <c r="AZ39" i="46" s="1"/>
  <c r="BA39" i="46" s="1"/>
  <c r="BB39" i="46" s="1"/>
  <c r="BC39" i="46" s="1"/>
  <c r="BD39" i="46" s="1"/>
  <c r="BE39" i="46" s="1"/>
  <c r="BF39" i="46" s="1"/>
  <c r="BG39" i="46" s="1"/>
  <c r="BH39" i="46" s="1"/>
  <c r="BI39" i="46" s="1"/>
  <c r="BJ39" i="46" s="1"/>
  <c r="BK39" i="46" s="1"/>
  <c r="BL39" i="46" s="1"/>
  <c r="BM39" i="46" s="1"/>
  <c r="BN39" i="46" s="1"/>
  <c r="BO39" i="46" s="1"/>
  <c r="BP39" i="46" s="1"/>
  <c r="BQ39" i="46" s="1"/>
  <c r="BR39" i="46" s="1"/>
  <c r="BS39" i="46" s="1"/>
  <c r="BT39" i="46" s="1"/>
  <c r="BU39" i="46" s="1"/>
  <c r="BV39" i="46" s="1"/>
  <c r="BW39" i="46" s="1"/>
  <c r="BX39" i="46" s="1"/>
  <c r="BY39" i="46" s="1"/>
  <c r="BZ39" i="46" s="1"/>
  <c r="CA39" i="46" s="1"/>
  <c r="CB39" i="46" s="1"/>
  <c r="CC39" i="46" s="1"/>
  <c r="CD39" i="46" s="1"/>
  <c r="CE39" i="46" s="1"/>
  <c r="CF39" i="46" s="1"/>
  <c r="CG39" i="46" s="1"/>
  <c r="CH39" i="46" s="1"/>
  <c r="CI39" i="46" s="1"/>
  <c r="CJ39" i="46" s="1"/>
  <c r="CK39" i="46" s="1"/>
  <c r="CL39" i="46" s="1"/>
  <c r="CM39" i="46" s="1"/>
  <c r="CN39" i="46" s="1"/>
  <c r="CO39" i="46" s="1"/>
  <c r="CP39" i="46" s="1"/>
  <c r="CQ39" i="46" s="1"/>
  <c r="CR39" i="46" s="1"/>
  <c r="CS39" i="46" s="1"/>
  <c r="CT39" i="46" s="1"/>
  <c r="CU39" i="46" s="1"/>
  <c r="CV39" i="46" s="1"/>
  <c r="CW39" i="46" s="1"/>
  <c r="CX39" i="46" s="1"/>
  <c r="CY39" i="46" s="1"/>
  <c r="CZ39" i="46" s="1"/>
  <c r="DA39" i="46" s="1"/>
  <c r="DB39" i="46" s="1"/>
  <c r="DC39" i="46" s="1"/>
  <c r="DD39" i="46" s="1"/>
  <c r="DE39" i="46" s="1"/>
  <c r="DF39" i="46" s="1"/>
  <c r="DG39" i="46" s="1"/>
  <c r="DH39" i="46" s="1"/>
  <c r="DI39" i="46" s="1"/>
  <c r="DJ39" i="46" s="1"/>
  <c r="DK39" i="46" s="1"/>
  <c r="DL39" i="46" s="1"/>
  <c r="DM39" i="46" s="1"/>
  <c r="DN39" i="46" s="1"/>
  <c r="DO39" i="46" s="1"/>
  <c r="DP39" i="46" s="1"/>
  <c r="DQ39" i="46" s="1"/>
  <c r="DR39" i="46" s="1"/>
  <c r="BT7" i="46"/>
  <c r="AD33" i="46"/>
  <c r="G40" i="46"/>
  <c r="U40" i="43"/>
  <c r="G41" i="43"/>
  <c r="T41" i="43"/>
  <c r="N41" i="45"/>
  <c r="F41" i="46"/>
  <c r="M41" i="46" s="1"/>
  <c r="W40" i="46"/>
  <c r="H40" i="46"/>
  <c r="I40" i="46" s="1"/>
  <c r="K40" i="46"/>
  <c r="N40" i="46" s="1"/>
  <c r="T37" i="49"/>
  <c r="U37" i="49" s="1"/>
  <c r="F38" i="49"/>
  <c r="G38" i="49" s="1"/>
  <c r="J39" i="46" l="1"/>
  <c r="BI30" i="46"/>
  <c r="BP21" i="46"/>
  <c r="X40" i="46"/>
  <c r="Y40" i="46" s="1"/>
  <c r="Z40" i="46" s="1"/>
  <c r="AA40" i="46" s="1"/>
  <c r="AB40" i="46" s="1"/>
  <c r="AC40" i="46" s="1"/>
  <c r="AD40" i="46" s="1"/>
  <c r="AE40" i="46" s="1"/>
  <c r="AF40" i="46" s="1"/>
  <c r="AG40" i="46" s="1"/>
  <c r="AH40" i="46" s="1"/>
  <c r="AI40" i="46" s="1"/>
  <c r="AJ40" i="46" s="1"/>
  <c r="AK40" i="46" s="1"/>
  <c r="AL40" i="46" s="1"/>
  <c r="AM40" i="46" s="1"/>
  <c r="AN40" i="46" s="1"/>
  <c r="AO40" i="46" s="1"/>
  <c r="AP40" i="46" s="1"/>
  <c r="AQ40" i="46" s="1"/>
  <c r="AR40" i="46" s="1"/>
  <c r="AS40" i="46" s="1"/>
  <c r="AT40" i="46" s="1"/>
  <c r="AU40" i="46" s="1"/>
  <c r="AV40" i="46" s="1"/>
  <c r="AW40" i="46" s="1"/>
  <c r="AX40" i="46" s="1"/>
  <c r="AY40" i="46" s="1"/>
  <c r="AZ40" i="46" s="1"/>
  <c r="BA40" i="46" s="1"/>
  <c r="BB40" i="46" s="1"/>
  <c r="BC40" i="46" s="1"/>
  <c r="BD40" i="46" s="1"/>
  <c r="BE40" i="46" s="1"/>
  <c r="BF40" i="46" s="1"/>
  <c r="BG40" i="46" s="1"/>
  <c r="BH40" i="46" s="1"/>
  <c r="BI40" i="46" s="1"/>
  <c r="BJ40" i="46" s="1"/>
  <c r="BK40" i="46" s="1"/>
  <c r="BL40" i="46" s="1"/>
  <c r="BM40" i="46" s="1"/>
  <c r="BN40" i="46" s="1"/>
  <c r="BO40" i="46" s="1"/>
  <c r="BP40" i="46" s="1"/>
  <c r="BQ40" i="46" s="1"/>
  <c r="BR40" i="46" s="1"/>
  <c r="BS40" i="46" s="1"/>
  <c r="BT40" i="46" s="1"/>
  <c r="BU40" i="46" s="1"/>
  <c r="BV40" i="46" s="1"/>
  <c r="BW40" i="46" s="1"/>
  <c r="BX40" i="46" s="1"/>
  <c r="BY40" i="46" s="1"/>
  <c r="BZ40" i="46" s="1"/>
  <c r="CA40" i="46" s="1"/>
  <c r="CB40" i="46" s="1"/>
  <c r="CC40" i="46" s="1"/>
  <c r="CD40" i="46" s="1"/>
  <c r="CE40" i="46" s="1"/>
  <c r="CF40" i="46" s="1"/>
  <c r="CG40" i="46" s="1"/>
  <c r="CH40" i="46" s="1"/>
  <c r="CI40" i="46" s="1"/>
  <c r="CJ40" i="46" s="1"/>
  <c r="CK40" i="46" s="1"/>
  <c r="CL40" i="46" s="1"/>
  <c r="CM40" i="46" s="1"/>
  <c r="CN40" i="46" s="1"/>
  <c r="CO40" i="46" s="1"/>
  <c r="CP40" i="46" s="1"/>
  <c r="CQ40" i="46" s="1"/>
  <c r="CR40" i="46" s="1"/>
  <c r="CS40" i="46" s="1"/>
  <c r="CT40" i="46" s="1"/>
  <c r="CU40" i="46" s="1"/>
  <c r="CV40" i="46" s="1"/>
  <c r="CW40" i="46" s="1"/>
  <c r="CX40" i="46" s="1"/>
  <c r="CY40" i="46" s="1"/>
  <c r="CZ40" i="46" s="1"/>
  <c r="DA40" i="46" s="1"/>
  <c r="DB40" i="46" s="1"/>
  <c r="DC40" i="46" s="1"/>
  <c r="DD40" i="46" s="1"/>
  <c r="DE40" i="46" s="1"/>
  <c r="DF40" i="46" s="1"/>
  <c r="DG40" i="46" s="1"/>
  <c r="DH40" i="46" s="1"/>
  <c r="DI40" i="46" s="1"/>
  <c r="DJ40" i="46" s="1"/>
  <c r="DK40" i="46" s="1"/>
  <c r="DL40" i="46" s="1"/>
  <c r="DM40" i="46" s="1"/>
  <c r="DN40" i="46" s="1"/>
  <c r="DO40" i="46" s="1"/>
  <c r="DP40" i="46" s="1"/>
  <c r="DQ40" i="46" s="1"/>
  <c r="DR40" i="46" s="1"/>
  <c r="BU7" i="46"/>
  <c r="AE33" i="46"/>
  <c r="W41" i="46"/>
  <c r="H41" i="46"/>
  <c r="I41" i="46" s="1"/>
  <c r="K41" i="46"/>
  <c r="N41" i="46" s="1"/>
  <c r="U41" i="43"/>
  <c r="G41" i="46"/>
  <c r="G42" i="43"/>
  <c r="F42" i="46"/>
  <c r="M42" i="46" s="1"/>
  <c r="N42" i="45"/>
  <c r="T42" i="43"/>
  <c r="T38" i="49"/>
  <c r="U38" i="49" s="1"/>
  <c r="F39" i="49"/>
  <c r="G39" i="49" s="1"/>
  <c r="BQ21" i="46" l="1"/>
  <c r="J40" i="46"/>
  <c r="BJ30" i="46"/>
  <c r="X41" i="46"/>
  <c r="Y41" i="46" s="1"/>
  <c r="Z41" i="46" s="1"/>
  <c r="AA41" i="46" s="1"/>
  <c r="AB41" i="46" s="1"/>
  <c r="AC41" i="46" s="1"/>
  <c r="AD41" i="46" s="1"/>
  <c r="AE41" i="46" s="1"/>
  <c r="AF41" i="46" s="1"/>
  <c r="AG41" i="46" s="1"/>
  <c r="AH41" i="46" s="1"/>
  <c r="AI41" i="46" s="1"/>
  <c r="AJ41" i="46" s="1"/>
  <c r="AK41" i="46" s="1"/>
  <c r="AL41" i="46" s="1"/>
  <c r="AM41" i="46" s="1"/>
  <c r="AN41" i="46" s="1"/>
  <c r="AO41" i="46" s="1"/>
  <c r="AP41" i="46" s="1"/>
  <c r="AQ41" i="46" s="1"/>
  <c r="AR41" i="46" s="1"/>
  <c r="AS41" i="46" s="1"/>
  <c r="AT41" i="46" s="1"/>
  <c r="AU41" i="46" s="1"/>
  <c r="AV41" i="46" s="1"/>
  <c r="AW41" i="46" s="1"/>
  <c r="AX41" i="46" s="1"/>
  <c r="AY41" i="46" s="1"/>
  <c r="AZ41" i="46" s="1"/>
  <c r="BA41" i="46" s="1"/>
  <c r="BB41" i="46" s="1"/>
  <c r="BC41" i="46" s="1"/>
  <c r="BD41" i="46" s="1"/>
  <c r="BE41" i="46" s="1"/>
  <c r="BF41" i="46" s="1"/>
  <c r="BG41" i="46" s="1"/>
  <c r="BH41" i="46" s="1"/>
  <c r="BI41" i="46" s="1"/>
  <c r="BJ41" i="46" s="1"/>
  <c r="BK41" i="46" s="1"/>
  <c r="BL41" i="46" s="1"/>
  <c r="BM41" i="46" s="1"/>
  <c r="BN41" i="46" s="1"/>
  <c r="BO41" i="46" s="1"/>
  <c r="BP41" i="46" s="1"/>
  <c r="BQ41" i="46" s="1"/>
  <c r="BR41" i="46" s="1"/>
  <c r="BS41" i="46" s="1"/>
  <c r="BT41" i="46" s="1"/>
  <c r="BU41" i="46" s="1"/>
  <c r="BV41" i="46" s="1"/>
  <c r="BW41" i="46" s="1"/>
  <c r="BX41" i="46" s="1"/>
  <c r="BY41" i="46" s="1"/>
  <c r="BZ41" i="46" s="1"/>
  <c r="CA41" i="46" s="1"/>
  <c r="CB41" i="46" s="1"/>
  <c r="CC41" i="46" s="1"/>
  <c r="CD41" i="46" s="1"/>
  <c r="CE41" i="46" s="1"/>
  <c r="CF41" i="46" s="1"/>
  <c r="CG41" i="46" s="1"/>
  <c r="CH41" i="46" s="1"/>
  <c r="CI41" i="46" s="1"/>
  <c r="CJ41" i="46" s="1"/>
  <c r="CK41" i="46" s="1"/>
  <c r="CL41" i="46" s="1"/>
  <c r="CM41" i="46" s="1"/>
  <c r="CN41" i="46" s="1"/>
  <c r="CO41" i="46" s="1"/>
  <c r="CP41" i="46" s="1"/>
  <c r="CQ41" i="46" s="1"/>
  <c r="CR41" i="46" s="1"/>
  <c r="CS41" i="46" s="1"/>
  <c r="CT41" i="46" s="1"/>
  <c r="CU41" i="46" s="1"/>
  <c r="CV41" i="46" s="1"/>
  <c r="CW41" i="46" s="1"/>
  <c r="CX41" i="46" s="1"/>
  <c r="CY41" i="46" s="1"/>
  <c r="CZ41" i="46" s="1"/>
  <c r="DA41" i="46" s="1"/>
  <c r="DB41" i="46" s="1"/>
  <c r="DC41" i="46" s="1"/>
  <c r="DD41" i="46" s="1"/>
  <c r="DE41" i="46" s="1"/>
  <c r="DF41" i="46" s="1"/>
  <c r="DG41" i="46" s="1"/>
  <c r="DH41" i="46" s="1"/>
  <c r="DI41" i="46" s="1"/>
  <c r="DJ41" i="46" s="1"/>
  <c r="DK41" i="46" s="1"/>
  <c r="DL41" i="46" s="1"/>
  <c r="DM41" i="46" s="1"/>
  <c r="DN41" i="46" s="1"/>
  <c r="DO41" i="46" s="1"/>
  <c r="DP41" i="46" s="1"/>
  <c r="DQ41" i="46" s="1"/>
  <c r="DR41" i="46" s="1"/>
  <c r="BV7" i="46"/>
  <c r="AF33" i="46"/>
  <c r="G42" i="46"/>
  <c r="U42" i="43"/>
  <c r="G43" i="43"/>
  <c r="T43" i="43"/>
  <c r="F43" i="46"/>
  <c r="M43" i="46" s="1"/>
  <c r="N43" i="45"/>
  <c r="W42" i="46"/>
  <c r="K42" i="46"/>
  <c r="N42" i="46" s="1"/>
  <c r="H42" i="46"/>
  <c r="I42" i="46" s="1"/>
  <c r="F40" i="49"/>
  <c r="G40" i="49" s="1"/>
  <c r="T39" i="49"/>
  <c r="U39" i="49" s="1"/>
  <c r="J41" i="46" l="1"/>
  <c r="BK30" i="46"/>
  <c r="BR21" i="46"/>
  <c r="X42" i="46"/>
  <c r="Y42" i="46" s="1"/>
  <c r="Z42" i="46" s="1"/>
  <c r="AA42" i="46" s="1"/>
  <c r="AB42" i="46" s="1"/>
  <c r="AC42" i="46" s="1"/>
  <c r="AD42" i="46" s="1"/>
  <c r="AE42" i="46" s="1"/>
  <c r="AF42" i="46" s="1"/>
  <c r="AG42" i="46" s="1"/>
  <c r="AH42" i="46" s="1"/>
  <c r="AI42" i="46" s="1"/>
  <c r="AJ42" i="46" s="1"/>
  <c r="AK42" i="46" s="1"/>
  <c r="AL42" i="46" s="1"/>
  <c r="AM42" i="46" s="1"/>
  <c r="AN42" i="46" s="1"/>
  <c r="AO42" i="46" s="1"/>
  <c r="AP42" i="46" s="1"/>
  <c r="AQ42" i="46" s="1"/>
  <c r="AR42" i="46" s="1"/>
  <c r="AS42" i="46" s="1"/>
  <c r="AT42" i="46" s="1"/>
  <c r="AU42" i="46" s="1"/>
  <c r="AV42" i="46" s="1"/>
  <c r="AW42" i="46" s="1"/>
  <c r="AX42" i="46" s="1"/>
  <c r="AY42" i="46" s="1"/>
  <c r="AZ42" i="46" s="1"/>
  <c r="BA42" i="46" s="1"/>
  <c r="BB42" i="46" s="1"/>
  <c r="BC42" i="46" s="1"/>
  <c r="BD42" i="46" s="1"/>
  <c r="BE42" i="46" s="1"/>
  <c r="BF42" i="46" s="1"/>
  <c r="BG42" i="46" s="1"/>
  <c r="BH42" i="46" s="1"/>
  <c r="BI42" i="46" s="1"/>
  <c r="BJ42" i="46" s="1"/>
  <c r="BK42" i="46" s="1"/>
  <c r="BL42" i="46" s="1"/>
  <c r="BM42" i="46" s="1"/>
  <c r="BN42" i="46" s="1"/>
  <c r="BO42" i="46" s="1"/>
  <c r="BP42" i="46" s="1"/>
  <c r="BQ42" i="46" s="1"/>
  <c r="BR42" i="46" s="1"/>
  <c r="BS42" i="46" s="1"/>
  <c r="BT42" i="46" s="1"/>
  <c r="BU42" i="46" s="1"/>
  <c r="BV42" i="46" s="1"/>
  <c r="BW42" i="46" s="1"/>
  <c r="BX42" i="46" s="1"/>
  <c r="BY42" i="46" s="1"/>
  <c r="BZ42" i="46" s="1"/>
  <c r="CA42" i="46" s="1"/>
  <c r="CB42" i="46" s="1"/>
  <c r="CC42" i="46" s="1"/>
  <c r="CD42" i="46" s="1"/>
  <c r="CE42" i="46" s="1"/>
  <c r="CF42" i="46" s="1"/>
  <c r="CG42" i="46" s="1"/>
  <c r="CH42" i="46" s="1"/>
  <c r="CI42" i="46" s="1"/>
  <c r="CJ42" i="46" s="1"/>
  <c r="CK42" i="46" s="1"/>
  <c r="CL42" i="46" s="1"/>
  <c r="CM42" i="46" s="1"/>
  <c r="CN42" i="46" s="1"/>
  <c r="CO42" i="46" s="1"/>
  <c r="CP42" i="46" s="1"/>
  <c r="CQ42" i="46" s="1"/>
  <c r="CR42" i="46" s="1"/>
  <c r="CS42" i="46" s="1"/>
  <c r="CT42" i="46" s="1"/>
  <c r="CU42" i="46" s="1"/>
  <c r="CV42" i="46" s="1"/>
  <c r="CW42" i="46" s="1"/>
  <c r="CX42" i="46" s="1"/>
  <c r="CY42" i="46" s="1"/>
  <c r="CZ42" i="46" s="1"/>
  <c r="DA42" i="46" s="1"/>
  <c r="DB42" i="46" s="1"/>
  <c r="DC42" i="46" s="1"/>
  <c r="DD42" i="46" s="1"/>
  <c r="DE42" i="46" s="1"/>
  <c r="DF42" i="46" s="1"/>
  <c r="DG42" i="46" s="1"/>
  <c r="DH42" i="46" s="1"/>
  <c r="DI42" i="46" s="1"/>
  <c r="DJ42" i="46" s="1"/>
  <c r="DK42" i="46" s="1"/>
  <c r="DL42" i="46" s="1"/>
  <c r="DM42" i="46" s="1"/>
  <c r="DN42" i="46" s="1"/>
  <c r="DO42" i="46" s="1"/>
  <c r="DP42" i="46" s="1"/>
  <c r="DQ42" i="46" s="1"/>
  <c r="DR42" i="46" s="1"/>
  <c r="BW7" i="46"/>
  <c r="AG33" i="46"/>
  <c r="W43" i="46"/>
  <c r="H43" i="46"/>
  <c r="I43" i="46" s="1"/>
  <c r="K43" i="46"/>
  <c r="N43" i="46" s="1"/>
  <c r="U43" i="43"/>
  <c r="G43" i="46"/>
  <c r="G44" i="43"/>
  <c r="T44" i="43"/>
  <c r="N44" i="45"/>
  <c r="F44" i="46"/>
  <c r="M44" i="46" s="1"/>
  <c r="T40" i="49"/>
  <c r="U40" i="49" s="1"/>
  <c r="F41" i="49"/>
  <c r="G41" i="49" s="1"/>
  <c r="BS21" i="46" l="1"/>
  <c r="J42" i="46"/>
  <c r="BL30" i="46"/>
  <c r="X43" i="46"/>
  <c r="Y43" i="46" s="1"/>
  <c r="Z43" i="46" s="1"/>
  <c r="AA43" i="46" s="1"/>
  <c r="AB43" i="46" s="1"/>
  <c r="AC43" i="46" s="1"/>
  <c r="AD43" i="46" s="1"/>
  <c r="AE43" i="46" s="1"/>
  <c r="AF43" i="46" s="1"/>
  <c r="AG43" i="46" s="1"/>
  <c r="AH43" i="46" s="1"/>
  <c r="AI43" i="46" s="1"/>
  <c r="AJ43" i="46" s="1"/>
  <c r="AK43" i="46" s="1"/>
  <c r="AL43" i="46" s="1"/>
  <c r="AM43" i="46" s="1"/>
  <c r="AN43" i="46" s="1"/>
  <c r="AO43" i="46" s="1"/>
  <c r="AP43" i="46" s="1"/>
  <c r="AQ43" i="46" s="1"/>
  <c r="AR43" i="46" s="1"/>
  <c r="AS43" i="46" s="1"/>
  <c r="AT43" i="46" s="1"/>
  <c r="AU43" i="46" s="1"/>
  <c r="AV43" i="46" s="1"/>
  <c r="AW43" i="46" s="1"/>
  <c r="AX43" i="46" s="1"/>
  <c r="AY43" i="46" s="1"/>
  <c r="AZ43" i="46" s="1"/>
  <c r="BA43" i="46" s="1"/>
  <c r="BB43" i="46" s="1"/>
  <c r="BC43" i="46" s="1"/>
  <c r="BD43" i="46" s="1"/>
  <c r="BE43" i="46" s="1"/>
  <c r="BF43" i="46" s="1"/>
  <c r="BG43" i="46" s="1"/>
  <c r="BH43" i="46" s="1"/>
  <c r="BI43" i="46" s="1"/>
  <c r="BJ43" i="46" s="1"/>
  <c r="BK43" i="46" s="1"/>
  <c r="BL43" i="46" s="1"/>
  <c r="BM43" i="46" s="1"/>
  <c r="BN43" i="46" s="1"/>
  <c r="BO43" i="46" s="1"/>
  <c r="BP43" i="46" s="1"/>
  <c r="BQ43" i="46" s="1"/>
  <c r="BR43" i="46" s="1"/>
  <c r="BS43" i="46" s="1"/>
  <c r="BT43" i="46" s="1"/>
  <c r="BU43" i="46" s="1"/>
  <c r="BV43" i="46" s="1"/>
  <c r="BW43" i="46" s="1"/>
  <c r="BX43" i="46" s="1"/>
  <c r="BY43" i="46" s="1"/>
  <c r="BZ43" i="46" s="1"/>
  <c r="CA43" i="46" s="1"/>
  <c r="CB43" i="46" s="1"/>
  <c r="CC43" i="46" s="1"/>
  <c r="CD43" i="46" s="1"/>
  <c r="CE43" i="46" s="1"/>
  <c r="CF43" i="46" s="1"/>
  <c r="CG43" i="46" s="1"/>
  <c r="CH43" i="46" s="1"/>
  <c r="CI43" i="46" s="1"/>
  <c r="CJ43" i="46" s="1"/>
  <c r="CK43" i="46" s="1"/>
  <c r="CL43" i="46" s="1"/>
  <c r="CM43" i="46" s="1"/>
  <c r="CN43" i="46" s="1"/>
  <c r="CO43" i="46" s="1"/>
  <c r="CP43" i="46" s="1"/>
  <c r="CQ43" i="46" s="1"/>
  <c r="CR43" i="46" s="1"/>
  <c r="CS43" i="46" s="1"/>
  <c r="CT43" i="46" s="1"/>
  <c r="CU43" i="46" s="1"/>
  <c r="CV43" i="46" s="1"/>
  <c r="CW43" i="46" s="1"/>
  <c r="CX43" i="46" s="1"/>
  <c r="CY43" i="46" s="1"/>
  <c r="CZ43" i="46" s="1"/>
  <c r="DA43" i="46" s="1"/>
  <c r="DB43" i="46" s="1"/>
  <c r="DC43" i="46" s="1"/>
  <c r="DD43" i="46" s="1"/>
  <c r="DE43" i="46" s="1"/>
  <c r="DF43" i="46" s="1"/>
  <c r="DG43" i="46" s="1"/>
  <c r="DH43" i="46" s="1"/>
  <c r="DI43" i="46" s="1"/>
  <c r="DJ43" i="46" s="1"/>
  <c r="DK43" i="46" s="1"/>
  <c r="DL43" i="46" s="1"/>
  <c r="DM43" i="46" s="1"/>
  <c r="DN43" i="46" s="1"/>
  <c r="DO43" i="46" s="1"/>
  <c r="DP43" i="46" s="1"/>
  <c r="DQ43" i="46" s="1"/>
  <c r="DR43" i="46" s="1"/>
  <c r="BX7" i="46"/>
  <c r="AH33" i="46"/>
  <c r="W44" i="46"/>
  <c r="H44" i="46"/>
  <c r="I44" i="46" s="1"/>
  <c r="K44" i="46"/>
  <c r="N44" i="46" s="1"/>
  <c r="F47" i="43"/>
  <c r="G45" i="43"/>
  <c r="F45" i="46"/>
  <c r="M45" i="46" s="1"/>
  <c r="T45" i="43"/>
  <c r="N45" i="45"/>
  <c r="U44" i="43"/>
  <c r="G44" i="46"/>
  <c r="T41" i="49"/>
  <c r="U41" i="49" s="1"/>
  <c r="F42" i="49"/>
  <c r="G42" i="49" s="1"/>
  <c r="J43" i="46" l="1"/>
  <c r="BM30" i="46"/>
  <c r="BT21" i="46"/>
  <c r="X44" i="46"/>
  <c r="Y44" i="46" s="1"/>
  <c r="Z44" i="46" s="1"/>
  <c r="AA44" i="46" s="1"/>
  <c r="AB44" i="46" s="1"/>
  <c r="AC44" i="46" s="1"/>
  <c r="AD44" i="46" s="1"/>
  <c r="AE44" i="46" s="1"/>
  <c r="AF44" i="46" s="1"/>
  <c r="AG44" i="46" s="1"/>
  <c r="AH44" i="46" s="1"/>
  <c r="AI44" i="46" s="1"/>
  <c r="AJ44" i="46" s="1"/>
  <c r="AK44" i="46" s="1"/>
  <c r="AL44" i="46" s="1"/>
  <c r="AM44" i="46" s="1"/>
  <c r="AN44" i="46" s="1"/>
  <c r="AO44" i="46" s="1"/>
  <c r="AP44" i="46" s="1"/>
  <c r="AQ44" i="46" s="1"/>
  <c r="AR44" i="46" s="1"/>
  <c r="AS44" i="46" s="1"/>
  <c r="AT44" i="46" s="1"/>
  <c r="AU44" i="46" s="1"/>
  <c r="AV44" i="46" s="1"/>
  <c r="AW44" i="46" s="1"/>
  <c r="AX44" i="46" s="1"/>
  <c r="AY44" i="46" s="1"/>
  <c r="AZ44" i="46" s="1"/>
  <c r="BA44" i="46" s="1"/>
  <c r="BB44" i="46" s="1"/>
  <c r="BC44" i="46" s="1"/>
  <c r="BD44" i="46" s="1"/>
  <c r="BE44" i="46" s="1"/>
  <c r="BF44" i="46" s="1"/>
  <c r="BG44" i="46" s="1"/>
  <c r="BH44" i="46" s="1"/>
  <c r="BI44" i="46" s="1"/>
  <c r="BJ44" i="46" s="1"/>
  <c r="BK44" i="46" s="1"/>
  <c r="BL44" i="46" s="1"/>
  <c r="BM44" i="46" s="1"/>
  <c r="BN44" i="46" s="1"/>
  <c r="BO44" i="46" s="1"/>
  <c r="BP44" i="46" s="1"/>
  <c r="BQ44" i="46" s="1"/>
  <c r="BR44" i="46" s="1"/>
  <c r="BS44" i="46" s="1"/>
  <c r="BT44" i="46" s="1"/>
  <c r="BU44" i="46" s="1"/>
  <c r="BV44" i="46" s="1"/>
  <c r="BW44" i="46" s="1"/>
  <c r="BX44" i="46" s="1"/>
  <c r="BY44" i="46" s="1"/>
  <c r="BZ44" i="46" s="1"/>
  <c r="CA44" i="46" s="1"/>
  <c r="CB44" i="46" s="1"/>
  <c r="CC44" i="46" s="1"/>
  <c r="CD44" i="46" s="1"/>
  <c r="CE44" i="46" s="1"/>
  <c r="CF44" i="46" s="1"/>
  <c r="CG44" i="46" s="1"/>
  <c r="CH44" i="46" s="1"/>
  <c r="CI44" i="46" s="1"/>
  <c r="CJ44" i="46" s="1"/>
  <c r="CK44" i="46" s="1"/>
  <c r="CL44" i="46" s="1"/>
  <c r="CM44" i="46" s="1"/>
  <c r="CN44" i="46" s="1"/>
  <c r="CO44" i="46" s="1"/>
  <c r="CP44" i="46" s="1"/>
  <c r="CQ44" i="46" s="1"/>
  <c r="CR44" i="46" s="1"/>
  <c r="CS44" i="46" s="1"/>
  <c r="CT44" i="46" s="1"/>
  <c r="CU44" i="46" s="1"/>
  <c r="CV44" i="46" s="1"/>
  <c r="CW44" i="46" s="1"/>
  <c r="CX44" i="46" s="1"/>
  <c r="CY44" i="46" s="1"/>
  <c r="CZ44" i="46" s="1"/>
  <c r="DA44" i="46" s="1"/>
  <c r="DB44" i="46" s="1"/>
  <c r="DC44" i="46" s="1"/>
  <c r="DD44" i="46" s="1"/>
  <c r="DE44" i="46" s="1"/>
  <c r="DF44" i="46" s="1"/>
  <c r="DG44" i="46" s="1"/>
  <c r="DH44" i="46" s="1"/>
  <c r="DI44" i="46" s="1"/>
  <c r="DJ44" i="46" s="1"/>
  <c r="DK44" i="46" s="1"/>
  <c r="DL44" i="46" s="1"/>
  <c r="DM44" i="46" s="1"/>
  <c r="DN44" i="46" s="1"/>
  <c r="DO44" i="46" s="1"/>
  <c r="DP44" i="46" s="1"/>
  <c r="DQ44" i="46" s="1"/>
  <c r="DR44" i="46" s="1"/>
  <c r="BY7" i="46"/>
  <c r="AI33" i="46"/>
  <c r="G45" i="46"/>
  <c r="U45" i="43"/>
  <c r="H45" i="46"/>
  <c r="I45" i="46" s="1"/>
  <c r="W45" i="46"/>
  <c r="K45" i="46"/>
  <c r="N45" i="46" s="1"/>
  <c r="G50" i="43"/>
  <c r="G47" i="43"/>
  <c r="G46" i="43"/>
  <c r="F46" i="46"/>
  <c r="M46" i="46" s="1"/>
  <c r="N46" i="45"/>
  <c r="T46" i="43"/>
  <c r="T42" i="49"/>
  <c r="U42" i="49" s="1"/>
  <c r="F43" i="49"/>
  <c r="G43" i="49" s="1"/>
  <c r="BU21" i="46" l="1"/>
  <c r="J44" i="46"/>
  <c r="BN30" i="46"/>
  <c r="X45" i="46"/>
  <c r="Y45" i="46" s="1"/>
  <c r="Z45" i="46" s="1"/>
  <c r="AA45" i="46" s="1"/>
  <c r="AB45" i="46" s="1"/>
  <c r="AC45" i="46" s="1"/>
  <c r="AD45" i="46" s="1"/>
  <c r="AE45" i="46" s="1"/>
  <c r="AF45" i="46" s="1"/>
  <c r="AG45" i="46" s="1"/>
  <c r="AH45" i="46" s="1"/>
  <c r="AI45" i="46" s="1"/>
  <c r="AJ45" i="46" s="1"/>
  <c r="AK45" i="46" s="1"/>
  <c r="AL45" i="46" s="1"/>
  <c r="AM45" i="46" s="1"/>
  <c r="AN45" i="46" s="1"/>
  <c r="AO45" i="46" s="1"/>
  <c r="AP45" i="46" s="1"/>
  <c r="AQ45" i="46" s="1"/>
  <c r="AR45" i="46" s="1"/>
  <c r="AS45" i="46" s="1"/>
  <c r="AT45" i="46" s="1"/>
  <c r="AU45" i="46" s="1"/>
  <c r="AV45" i="46" s="1"/>
  <c r="AW45" i="46" s="1"/>
  <c r="AX45" i="46" s="1"/>
  <c r="AY45" i="46" s="1"/>
  <c r="AZ45" i="46" s="1"/>
  <c r="BA45" i="46" s="1"/>
  <c r="BB45" i="46" s="1"/>
  <c r="BC45" i="46" s="1"/>
  <c r="BD45" i="46" s="1"/>
  <c r="BE45" i="46" s="1"/>
  <c r="BF45" i="46" s="1"/>
  <c r="BG45" i="46" s="1"/>
  <c r="BH45" i="46" s="1"/>
  <c r="BI45" i="46" s="1"/>
  <c r="BJ45" i="46" s="1"/>
  <c r="BK45" i="46" s="1"/>
  <c r="BL45" i="46" s="1"/>
  <c r="BM45" i="46" s="1"/>
  <c r="BN45" i="46" s="1"/>
  <c r="BO45" i="46" s="1"/>
  <c r="BP45" i="46" s="1"/>
  <c r="BQ45" i="46" s="1"/>
  <c r="BR45" i="46" s="1"/>
  <c r="BS45" i="46" s="1"/>
  <c r="BT45" i="46" s="1"/>
  <c r="BU45" i="46" s="1"/>
  <c r="BV45" i="46" s="1"/>
  <c r="BW45" i="46" s="1"/>
  <c r="BX45" i="46" s="1"/>
  <c r="BY45" i="46" s="1"/>
  <c r="BZ45" i="46" s="1"/>
  <c r="CA45" i="46" s="1"/>
  <c r="CB45" i="46" s="1"/>
  <c r="CC45" i="46" s="1"/>
  <c r="CD45" i="46" s="1"/>
  <c r="CE45" i="46" s="1"/>
  <c r="CF45" i="46" s="1"/>
  <c r="CG45" i="46" s="1"/>
  <c r="CH45" i="46" s="1"/>
  <c r="CI45" i="46" s="1"/>
  <c r="CJ45" i="46" s="1"/>
  <c r="CK45" i="46" s="1"/>
  <c r="CL45" i="46" s="1"/>
  <c r="CM45" i="46" s="1"/>
  <c r="CN45" i="46" s="1"/>
  <c r="CO45" i="46" s="1"/>
  <c r="CP45" i="46" s="1"/>
  <c r="CQ45" i="46" s="1"/>
  <c r="CR45" i="46" s="1"/>
  <c r="CS45" i="46" s="1"/>
  <c r="CT45" i="46" s="1"/>
  <c r="CU45" i="46" s="1"/>
  <c r="CV45" i="46" s="1"/>
  <c r="CW45" i="46" s="1"/>
  <c r="CX45" i="46" s="1"/>
  <c r="CY45" i="46" s="1"/>
  <c r="CZ45" i="46" s="1"/>
  <c r="DA45" i="46" s="1"/>
  <c r="DB45" i="46" s="1"/>
  <c r="DC45" i="46" s="1"/>
  <c r="DD45" i="46" s="1"/>
  <c r="DE45" i="46" s="1"/>
  <c r="DF45" i="46" s="1"/>
  <c r="DG45" i="46" s="1"/>
  <c r="DH45" i="46" s="1"/>
  <c r="DI45" i="46" s="1"/>
  <c r="DJ45" i="46" s="1"/>
  <c r="DK45" i="46" s="1"/>
  <c r="DL45" i="46" s="1"/>
  <c r="DM45" i="46" s="1"/>
  <c r="DN45" i="46" s="1"/>
  <c r="DO45" i="46" s="1"/>
  <c r="DP45" i="46" s="1"/>
  <c r="DQ45" i="46" s="1"/>
  <c r="DR45" i="46" s="1"/>
  <c r="BZ7" i="46"/>
  <c r="AJ33" i="46"/>
  <c r="W46" i="46"/>
  <c r="X46" i="46" s="1"/>
  <c r="Y46" i="46" s="1"/>
  <c r="Z46" i="46" s="1"/>
  <c r="AA46" i="46" s="1"/>
  <c r="AB46" i="46" s="1"/>
  <c r="AC46" i="46" s="1"/>
  <c r="AD46" i="46" s="1"/>
  <c r="AE46" i="46" s="1"/>
  <c r="AF46" i="46" s="1"/>
  <c r="AG46" i="46" s="1"/>
  <c r="AH46" i="46" s="1"/>
  <c r="AI46" i="46" s="1"/>
  <c r="AJ46" i="46" s="1"/>
  <c r="AK46" i="46" s="1"/>
  <c r="AL46" i="46" s="1"/>
  <c r="AM46" i="46" s="1"/>
  <c r="AN46" i="46" s="1"/>
  <c r="AO46" i="46" s="1"/>
  <c r="AP46" i="46" s="1"/>
  <c r="AQ46" i="46" s="1"/>
  <c r="AR46" i="46" s="1"/>
  <c r="AS46" i="46" s="1"/>
  <c r="AT46" i="46" s="1"/>
  <c r="AU46" i="46" s="1"/>
  <c r="AV46" i="46" s="1"/>
  <c r="AW46" i="46" s="1"/>
  <c r="AX46" i="46" s="1"/>
  <c r="AY46" i="46" s="1"/>
  <c r="AZ46" i="46" s="1"/>
  <c r="BA46" i="46" s="1"/>
  <c r="BB46" i="46" s="1"/>
  <c r="BC46" i="46" s="1"/>
  <c r="BD46" i="46" s="1"/>
  <c r="BE46" i="46" s="1"/>
  <c r="K46" i="46"/>
  <c r="N46" i="46" s="1"/>
  <c r="H46" i="46"/>
  <c r="I46" i="46" s="1"/>
  <c r="U46" i="43"/>
  <c r="G46" i="46"/>
  <c r="F45" i="50"/>
  <c r="F50" i="46"/>
  <c r="M50" i="46" s="1"/>
  <c r="N49" i="45"/>
  <c r="T50" i="43"/>
  <c r="F49" i="45"/>
  <c r="T47" i="43"/>
  <c r="U47" i="43" s="1"/>
  <c r="F44" i="49"/>
  <c r="G44" i="49" s="1"/>
  <c r="T43" i="49"/>
  <c r="U43" i="49" s="1"/>
  <c r="BF46" i="46" l="1"/>
  <c r="BG46" i="46" s="1"/>
  <c r="BH46" i="46" s="1"/>
  <c r="BI46" i="46" s="1"/>
  <c r="BJ46" i="46" s="1"/>
  <c r="BK46" i="46" s="1"/>
  <c r="BL46" i="46" s="1"/>
  <c r="BM46" i="46" s="1"/>
  <c r="BN46" i="46" s="1"/>
  <c r="BO46" i="46" s="1"/>
  <c r="BP46" i="46" s="1"/>
  <c r="BQ46" i="46" s="1"/>
  <c r="BR46" i="46" s="1"/>
  <c r="BS46" i="46" s="1"/>
  <c r="BT46" i="46" s="1"/>
  <c r="BU46" i="46" s="1"/>
  <c r="BV46" i="46" s="1"/>
  <c r="BW46" i="46" s="1"/>
  <c r="BX46" i="46" s="1"/>
  <c r="BY46" i="46" s="1"/>
  <c r="BZ46" i="46" s="1"/>
  <c r="CA46" i="46" s="1"/>
  <c r="CB46" i="46" s="1"/>
  <c r="CC46" i="46" s="1"/>
  <c r="CD46" i="46" s="1"/>
  <c r="CE46" i="46" s="1"/>
  <c r="CF46" i="46" s="1"/>
  <c r="CG46" i="46" s="1"/>
  <c r="CH46" i="46" s="1"/>
  <c r="CI46" i="46" s="1"/>
  <c r="CJ46" i="46" s="1"/>
  <c r="CK46" i="46" s="1"/>
  <c r="CL46" i="46" s="1"/>
  <c r="CM46" i="46" s="1"/>
  <c r="CN46" i="46" s="1"/>
  <c r="CO46" i="46" s="1"/>
  <c r="CP46" i="46" s="1"/>
  <c r="CQ46" i="46" s="1"/>
  <c r="CR46" i="46" s="1"/>
  <c r="CS46" i="46" s="1"/>
  <c r="CT46" i="46" s="1"/>
  <c r="CU46" i="46" s="1"/>
  <c r="CV46" i="46" s="1"/>
  <c r="CW46" i="46" s="1"/>
  <c r="CX46" i="46" s="1"/>
  <c r="CY46" i="46" s="1"/>
  <c r="CZ46" i="46" s="1"/>
  <c r="DA46" i="46" s="1"/>
  <c r="DB46" i="46" s="1"/>
  <c r="DC46" i="46" s="1"/>
  <c r="DD46" i="46" s="1"/>
  <c r="DE46" i="46" s="1"/>
  <c r="DF46" i="46" s="1"/>
  <c r="DG46" i="46" s="1"/>
  <c r="DH46" i="46" s="1"/>
  <c r="DI46" i="46" s="1"/>
  <c r="DJ46" i="46" s="1"/>
  <c r="DK46" i="46" s="1"/>
  <c r="DL46" i="46" s="1"/>
  <c r="DM46" i="46" s="1"/>
  <c r="DN46" i="46" s="1"/>
  <c r="DO46" i="46" s="1"/>
  <c r="DP46" i="46" s="1"/>
  <c r="DQ46" i="46" s="1"/>
  <c r="DR46" i="46" s="1"/>
  <c r="J45" i="46"/>
  <c r="BO30" i="46"/>
  <c r="BV21" i="46"/>
  <c r="CA7" i="46"/>
  <c r="AK33" i="46"/>
  <c r="AL33" i="46" s="1"/>
  <c r="AM33" i="46" s="1"/>
  <c r="AN33" i="46" s="1"/>
  <c r="AO33" i="46" s="1"/>
  <c r="AP33" i="46" s="1"/>
  <c r="AQ33" i="46" s="1"/>
  <c r="AR33" i="46" s="1"/>
  <c r="AS33" i="46" s="1"/>
  <c r="AT33" i="46" s="1"/>
  <c r="AU33" i="46" s="1"/>
  <c r="AV33" i="46" s="1"/>
  <c r="AW33" i="46" s="1"/>
  <c r="AX33" i="46" s="1"/>
  <c r="AY33" i="46" s="1"/>
  <c r="AZ33" i="46" s="1"/>
  <c r="BA33" i="46" s="1"/>
  <c r="F50" i="45"/>
  <c r="F51" i="46"/>
  <c r="M51" i="46" s="1"/>
  <c r="N50" i="45"/>
  <c r="F46" i="50"/>
  <c r="T51" i="43"/>
  <c r="U50" i="43"/>
  <c r="G49" i="45"/>
  <c r="G50" i="46"/>
  <c r="G45" i="50"/>
  <c r="H49" i="45"/>
  <c r="I49" i="45" s="1"/>
  <c r="Q49" i="45"/>
  <c r="R49" i="45" s="1"/>
  <c r="S49" i="45" s="1"/>
  <c r="T49" i="45" s="1"/>
  <c r="U49" i="45" s="1"/>
  <c r="V49" i="45" s="1"/>
  <c r="W49" i="45" s="1"/>
  <c r="X49" i="45" s="1"/>
  <c r="Y49" i="45" s="1"/>
  <c r="Z49" i="45" s="1"/>
  <c r="AA49" i="45" s="1"/>
  <c r="AB49" i="45" s="1"/>
  <c r="AC49" i="45" s="1"/>
  <c r="AD49" i="45" s="1"/>
  <c r="AE49" i="45" s="1"/>
  <c r="AF49" i="45" s="1"/>
  <c r="AG49" i="45" s="1"/>
  <c r="AH49" i="45" s="1"/>
  <c r="AI49" i="45" s="1"/>
  <c r="AJ49" i="45" s="1"/>
  <c r="AK49" i="45" s="1"/>
  <c r="AL49" i="45" s="1"/>
  <c r="AM49" i="45" s="1"/>
  <c r="AN49" i="45" s="1"/>
  <c r="AO49" i="45" s="1"/>
  <c r="AP49" i="45" s="1"/>
  <c r="AQ49" i="45" s="1"/>
  <c r="AR49" i="45" s="1"/>
  <c r="AS49" i="45" s="1"/>
  <c r="AT49" i="45" s="1"/>
  <c r="AU49" i="45" s="1"/>
  <c r="AV49" i="45" s="1"/>
  <c r="AW49" i="45" s="1"/>
  <c r="AX49" i="45" s="1"/>
  <c r="AY49" i="45" s="1"/>
  <c r="AZ49" i="45" s="1"/>
  <c r="BA49" i="45" s="1"/>
  <c r="BB49" i="45" s="1"/>
  <c r="BC49" i="45" s="1"/>
  <c r="BD49" i="45" s="1"/>
  <c r="H45" i="50"/>
  <c r="I45" i="50" s="1"/>
  <c r="Q45" i="50"/>
  <c r="R45" i="50" s="1"/>
  <c r="S45" i="50" s="1"/>
  <c r="T45" i="50" s="1"/>
  <c r="U45" i="50" s="1"/>
  <c r="V45" i="50" s="1"/>
  <c r="W45" i="50" s="1"/>
  <c r="X45" i="50" s="1"/>
  <c r="Y45" i="50" s="1"/>
  <c r="Z45" i="50" s="1"/>
  <c r="AA45" i="50" s="1"/>
  <c r="AB45" i="50" s="1"/>
  <c r="AC45" i="50" s="1"/>
  <c r="AD45" i="50" s="1"/>
  <c r="AE45" i="50" s="1"/>
  <c r="AF45" i="50" s="1"/>
  <c r="AG45" i="50" s="1"/>
  <c r="AH45" i="50" s="1"/>
  <c r="AI45" i="50" s="1"/>
  <c r="AJ45" i="50" s="1"/>
  <c r="AK45" i="50" s="1"/>
  <c r="AL45" i="50" s="1"/>
  <c r="AM45" i="50" s="1"/>
  <c r="AN45" i="50" s="1"/>
  <c r="AO45" i="50" s="1"/>
  <c r="AP45" i="50" s="1"/>
  <c r="AQ45" i="50" s="1"/>
  <c r="AR45" i="50" s="1"/>
  <c r="AS45" i="50" s="1"/>
  <c r="AT45" i="50" s="1"/>
  <c r="W50" i="46"/>
  <c r="K50" i="46"/>
  <c r="N50" i="46" s="1"/>
  <c r="H50" i="46"/>
  <c r="I50" i="46" s="1"/>
  <c r="F45" i="49"/>
  <c r="G45" i="49" s="1"/>
  <c r="T44" i="49"/>
  <c r="U44" i="49" s="1"/>
  <c r="J47" i="50"/>
  <c r="J51" i="45"/>
  <c r="K47" i="50"/>
  <c r="K51" i="45"/>
  <c r="J46" i="46" l="1"/>
  <c r="BW21" i="46"/>
  <c r="BB33" i="46"/>
  <c r="BP30" i="46"/>
  <c r="CB7" i="46"/>
  <c r="J49" i="45"/>
  <c r="K49" i="45"/>
  <c r="X50" i="46"/>
  <c r="J45" i="50"/>
  <c r="K45" i="50"/>
  <c r="U51" i="43"/>
  <c r="G50" i="45"/>
  <c r="G51" i="46"/>
  <c r="G46" i="50"/>
  <c r="Q46" i="50"/>
  <c r="H46" i="50"/>
  <c r="I46" i="50" s="1"/>
  <c r="W51" i="46"/>
  <c r="X51" i="46" s="1"/>
  <c r="Y51" i="46" s="1"/>
  <c r="Z51" i="46" s="1"/>
  <c r="AA51" i="46" s="1"/>
  <c r="AB51" i="46" s="1"/>
  <c r="AC51" i="46" s="1"/>
  <c r="AD51" i="46" s="1"/>
  <c r="AE51" i="46" s="1"/>
  <c r="AF51" i="46" s="1"/>
  <c r="AG51" i="46" s="1"/>
  <c r="AH51" i="46" s="1"/>
  <c r="AI51" i="46" s="1"/>
  <c r="AJ51" i="46" s="1"/>
  <c r="AK51" i="46" s="1"/>
  <c r="AL51" i="46" s="1"/>
  <c r="AM51" i="46" s="1"/>
  <c r="AN51" i="46" s="1"/>
  <c r="AO51" i="46" s="1"/>
  <c r="AP51" i="46" s="1"/>
  <c r="AQ51" i="46" s="1"/>
  <c r="AR51" i="46" s="1"/>
  <c r="AS51" i="46" s="1"/>
  <c r="AT51" i="46" s="1"/>
  <c r="AU51" i="46" s="1"/>
  <c r="AV51" i="46" s="1"/>
  <c r="AW51" i="46" s="1"/>
  <c r="AX51" i="46" s="1"/>
  <c r="AY51" i="46" s="1"/>
  <c r="AZ51" i="46" s="1"/>
  <c r="BA51" i="46" s="1"/>
  <c r="BB51" i="46" s="1"/>
  <c r="BC51" i="46" s="1"/>
  <c r="BD51" i="46" s="1"/>
  <c r="BE51" i="46" s="1"/>
  <c r="BF51" i="46" s="1"/>
  <c r="BG51" i="46" s="1"/>
  <c r="BH51" i="46" s="1"/>
  <c r="BI51" i="46" s="1"/>
  <c r="BJ51" i="46" s="1"/>
  <c r="BK51" i="46" s="1"/>
  <c r="BL51" i="46" s="1"/>
  <c r="BM51" i="46" s="1"/>
  <c r="BN51" i="46" s="1"/>
  <c r="BO51" i="46" s="1"/>
  <c r="BP51" i="46" s="1"/>
  <c r="BQ51" i="46" s="1"/>
  <c r="BR51" i="46" s="1"/>
  <c r="BS51" i="46" s="1"/>
  <c r="BT51" i="46" s="1"/>
  <c r="BU51" i="46" s="1"/>
  <c r="BV51" i="46" s="1"/>
  <c r="BW51" i="46" s="1"/>
  <c r="BX51" i="46" s="1"/>
  <c r="BY51" i="46" s="1"/>
  <c r="BZ51" i="46" s="1"/>
  <c r="CA51" i="46" s="1"/>
  <c r="CB51" i="46" s="1"/>
  <c r="CC51" i="46" s="1"/>
  <c r="CD51" i="46" s="1"/>
  <c r="CE51" i="46" s="1"/>
  <c r="CF51" i="46" s="1"/>
  <c r="CG51" i="46" s="1"/>
  <c r="CH51" i="46" s="1"/>
  <c r="CI51" i="46" s="1"/>
  <c r="CJ51" i="46" s="1"/>
  <c r="CK51" i="46" s="1"/>
  <c r="CL51" i="46" s="1"/>
  <c r="CM51" i="46" s="1"/>
  <c r="CN51" i="46" s="1"/>
  <c r="CO51" i="46" s="1"/>
  <c r="CP51" i="46" s="1"/>
  <c r="CQ51" i="46" s="1"/>
  <c r="CR51" i="46" s="1"/>
  <c r="CS51" i="46" s="1"/>
  <c r="CT51" i="46" s="1"/>
  <c r="CU51" i="46" s="1"/>
  <c r="CV51" i="46" s="1"/>
  <c r="CW51" i="46" s="1"/>
  <c r="CX51" i="46" s="1"/>
  <c r="CY51" i="46" s="1"/>
  <c r="CZ51" i="46" s="1"/>
  <c r="DA51" i="46" s="1"/>
  <c r="DB51" i="46" s="1"/>
  <c r="DC51" i="46" s="1"/>
  <c r="DD51" i="46" s="1"/>
  <c r="DE51" i="46" s="1"/>
  <c r="DF51" i="46" s="1"/>
  <c r="DG51" i="46" s="1"/>
  <c r="DH51" i="46" s="1"/>
  <c r="DI51" i="46" s="1"/>
  <c r="DJ51" i="46" s="1"/>
  <c r="DK51" i="46" s="1"/>
  <c r="DL51" i="46" s="1"/>
  <c r="DM51" i="46" s="1"/>
  <c r="DN51" i="46" s="1"/>
  <c r="DO51" i="46" s="1"/>
  <c r="DP51" i="46" s="1"/>
  <c r="DQ51" i="46" s="1"/>
  <c r="DR51" i="46" s="1"/>
  <c r="K51" i="46"/>
  <c r="N51" i="46" s="1"/>
  <c r="H51" i="46"/>
  <c r="I51" i="46" s="1"/>
  <c r="Q50" i="45"/>
  <c r="H50" i="45"/>
  <c r="I50" i="45" s="1"/>
  <c r="N52" i="45"/>
  <c r="T53" i="43"/>
  <c r="F53" i="46"/>
  <c r="M53" i="46" s="1"/>
  <c r="F52" i="45"/>
  <c r="F52" i="46"/>
  <c r="M52" i="46" s="1"/>
  <c r="N51" i="45"/>
  <c r="F51" i="45"/>
  <c r="F47" i="50"/>
  <c r="T52" i="43"/>
  <c r="F46" i="49"/>
  <c r="T45" i="49"/>
  <c r="J53" i="45"/>
  <c r="K53" i="45"/>
  <c r="J77" i="50"/>
  <c r="J52" i="45"/>
  <c r="K77" i="50"/>
  <c r="K52" i="45"/>
  <c r="BQ30" i="46" l="1"/>
  <c r="BC33" i="46"/>
  <c r="BX21" i="46"/>
  <c r="CC7" i="46"/>
  <c r="Y50" i="46"/>
  <c r="J51" i="46"/>
  <c r="R46" i="50"/>
  <c r="S46" i="50" s="1"/>
  <c r="T46" i="50" s="1"/>
  <c r="U46" i="50" s="1"/>
  <c r="V46" i="50" s="1"/>
  <c r="W46" i="50" s="1"/>
  <c r="X46" i="50" s="1"/>
  <c r="Y46" i="50" s="1"/>
  <c r="Z46" i="50" s="1"/>
  <c r="AA46" i="50" s="1"/>
  <c r="AB46" i="50" s="1"/>
  <c r="AC46" i="50" s="1"/>
  <c r="AD46" i="50" s="1"/>
  <c r="AE46" i="50" s="1"/>
  <c r="AF46" i="50" s="1"/>
  <c r="AG46" i="50" s="1"/>
  <c r="AH46" i="50" s="1"/>
  <c r="AI46" i="50" s="1"/>
  <c r="AJ46" i="50" s="1"/>
  <c r="AK46" i="50" s="1"/>
  <c r="AL46" i="50" s="1"/>
  <c r="AM46" i="50" s="1"/>
  <c r="AN46" i="50" s="1"/>
  <c r="AO46" i="50" s="1"/>
  <c r="AP46" i="50" s="1"/>
  <c r="AQ46" i="50" s="1"/>
  <c r="AR46" i="50" s="1"/>
  <c r="AS46" i="50" s="1"/>
  <c r="AT46" i="50" s="1"/>
  <c r="R50" i="45"/>
  <c r="S50" i="45" s="1"/>
  <c r="T50" i="45" s="1"/>
  <c r="U50" i="45" s="1"/>
  <c r="V50" i="45" s="1"/>
  <c r="W50" i="45" s="1"/>
  <c r="X50" i="45" s="1"/>
  <c r="Y50" i="45" s="1"/>
  <c r="Z50" i="45" s="1"/>
  <c r="AA50" i="45" s="1"/>
  <c r="AB50" i="45" s="1"/>
  <c r="AC50" i="45" s="1"/>
  <c r="AD50" i="45" s="1"/>
  <c r="AE50" i="45" s="1"/>
  <c r="AF50" i="45" s="1"/>
  <c r="AG50" i="45" s="1"/>
  <c r="AH50" i="45" s="1"/>
  <c r="AI50" i="45" s="1"/>
  <c r="AJ50" i="45" s="1"/>
  <c r="AK50" i="45" s="1"/>
  <c r="AL50" i="45" s="1"/>
  <c r="AM50" i="45" s="1"/>
  <c r="AN50" i="45" s="1"/>
  <c r="AO50" i="45" s="1"/>
  <c r="AP50" i="45" s="1"/>
  <c r="AQ50" i="45" s="1"/>
  <c r="AR50" i="45" s="1"/>
  <c r="AS50" i="45" s="1"/>
  <c r="AT50" i="45" s="1"/>
  <c r="AU50" i="45" s="1"/>
  <c r="AV50" i="45" s="1"/>
  <c r="AW50" i="45" s="1"/>
  <c r="AX50" i="45" s="1"/>
  <c r="AY50" i="45" s="1"/>
  <c r="AZ50" i="45" s="1"/>
  <c r="BA50" i="45" s="1"/>
  <c r="BB50" i="45" s="1"/>
  <c r="BC50" i="45" s="1"/>
  <c r="BD50" i="45" s="1"/>
  <c r="J50" i="45"/>
  <c r="K50" i="45"/>
  <c r="F53" i="45"/>
  <c r="F54" i="46"/>
  <c r="M54" i="46" s="1"/>
  <c r="T54" i="43"/>
  <c r="N53" i="45"/>
  <c r="Q47" i="50"/>
  <c r="R47" i="50" s="1"/>
  <c r="S47" i="50" s="1"/>
  <c r="T47" i="50" s="1"/>
  <c r="U47" i="50" s="1"/>
  <c r="V47" i="50" s="1"/>
  <c r="W47" i="50" s="1"/>
  <c r="X47" i="50" s="1"/>
  <c r="Y47" i="50" s="1"/>
  <c r="Z47" i="50" s="1"/>
  <c r="AA47" i="50" s="1"/>
  <c r="AB47" i="50" s="1"/>
  <c r="AC47" i="50" s="1"/>
  <c r="AD47" i="50" s="1"/>
  <c r="AE47" i="50" s="1"/>
  <c r="AF47" i="50" s="1"/>
  <c r="AG47" i="50" s="1"/>
  <c r="AH47" i="50" s="1"/>
  <c r="AI47" i="50" s="1"/>
  <c r="AJ47" i="50" s="1"/>
  <c r="AK47" i="50" s="1"/>
  <c r="AL47" i="50" s="1"/>
  <c r="AM47" i="50" s="1"/>
  <c r="AN47" i="50" s="1"/>
  <c r="AO47" i="50" s="1"/>
  <c r="AP47" i="50" s="1"/>
  <c r="AQ47" i="50" s="1"/>
  <c r="AR47" i="50" s="1"/>
  <c r="AS47" i="50" s="1"/>
  <c r="AT47" i="50" s="1"/>
  <c r="H47" i="50"/>
  <c r="I47" i="50" s="1"/>
  <c r="I77" i="50" s="1"/>
  <c r="U52" i="43"/>
  <c r="G51" i="45"/>
  <c r="G81" i="45" s="1"/>
  <c r="G52" i="46"/>
  <c r="G47" i="50"/>
  <c r="G77" i="50" s="1"/>
  <c r="O1" i="50" s="1"/>
  <c r="O2" i="50" s="1"/>
  <c r="K52" i="46"/>
  <c r="N52" i="46" s="1"/>
  <c r="H52" i="46"/>
  <c r="I52" i="46" s="1"/>
  <c r="W52" i="46"/>
  <c r="K53" i="46"/>
  <c r="N53" i="46" s="1"/>
  <c r="H53" i="46"/>
  <c r="I53" i="46" s="1"/>
  <c r="W53" i="46"/>
  <c r="H51" i="45"/>
  <c r="I51" i="45" s="1"/>
  <c r="Q51" i="45"/>
  <c r="R51" i="45" s="1"/>
  <c r="S51" i="45" s="1"/>
  <c r="T51" i="45" s="1"/>
  <c r="U51" i="45" s="1"/>
  <c r="V51" i="45" s="1"/>
  <c r="W51" i="45" s="1"/>
  <c r="X51" i="45" s="1"/>
  <c r="Y51" i="45" s="1"/>
  <c r="Z51" i="45" s="1"/>
  <c r="AA51" i="45" s="1"/>
  <c r="AB51" i="45" s="1"/>
  <c r="AC51" i="45" s="1"/>
  <c r="AD51" i="45" s="1"/>
  <c r="AE51" i="45" s="1"/>
  <c r="AF51" i="45" s="1"/>
  <c r="AG51" i="45" s="1"/>
  <c r="AH51" i="45" s="1"/>
  <c r="AI51" i="45" s="1"/>
  <c r="AJ51" i="45" s="1"/>
  <c r="AK51" i="45" s="1"/>
  <c r="AL51" i="45" s="1"/>
  <c r="AM51" i="45" s="1"/>
  <c r="AN51" i="45" s="1"/>
  <c r="AO51" i="45" s="1"/>
  <c r="AP51" i="45" s="1"/>
  <c r="AQ51" i="45" s="1"/>
  <c r="AR51" i="45" s="1"/>
  <c r="AS51" i="45" s="1"/>
  <c r="AT51" i="45" s="1"/>
  <c r="AU51" i="45" s="1"/>
  <c r="AV51" i="45" s="1"/>
  <c r="AW51" i="45" s="1"/>
  <c r="AX51" i="45" s="1"/>
  <c r="AY51" i="45" s="1"/>
  <c r="AZ51" i="45" s="1"/>
  <c r="BA51" i="45" s="1"/>
  <c r="BB51" i="45" s="1"/>
  <c r="BC51" i="45" s="1"/>
  <c r="BD51" i="45" s="1"/>
  <c r="H52" i="45"/>
  <c r="I52" i="45" s="1"/>
  <c r="Q52" i="45"/>
  <c r="R52" i="45" s="1"/>
  <c r="S52" i="45" s="1"/>
  <c r="T52" i="45" s="1"/>
  <c r="U52" i="45" s="1"/>
  <c r="V52" i="45" s="1"/>
  <c r="W52" i="45" s="1"/>
  <c r="X52" i="45" s="1"/>
  <c r="Y52" i="45" s="1"/>
  <c r="Z52" i="45" s="1"/>
  <c r="AA52" i="45" s="1"/>
  <c r="AB52" i="45" s="1"/>
  <c r="AC52" i="45" s="1"/>
  <c r="AD52" i="45" s="1"/>
  <c r="AE52" i="45" s="1"/>
  <c r="AF52" i="45" s="1"/>
  <c r="AG52" i="45" s="1"/>
  <c r="AH52" i="45" s="1"/>
  <c r="AI52" i="45" s="1"/>
  <c r="AJ52" i="45" s="1"/>
  <c r="AK52" i="45" s="1"/>
  <c r="AL52" i="45" s="1"/>
  <c r="AM52" i="45" s="1"/>
  <c r="AN52" i="45" s="1"/>
  <c r="AO52" i="45" s="1"/>
  <c r="AP52" i="45" s="1"/>
  <c r="AQ52" i="45" s="1"/>
  <c r="AR52" i="45" s="1"/>
  <c r="AS52" i="45" s="1"/>
  <c r="AT52" i="45" s="1"/>
  <c r="AU52" i="45" s="1"/>
  <c r="AV52" i="45" s="1"/>
  <c r="AW52" i="45" s="1"/>
  <c r="AX52" i="45" s="1"/>
  <c r="AY52" i="45" s="1"/>
  <c r="AZ52" i="45" s="1"/>
  <c r="BA52" i="45" s="1"/>
  <c r="BB52" i="45" s="1"/>
  <c r="BC52" i="45" s="1"/>
  <c r="BD52" i="45" s="1"/>
  <c r="G53" i="46"/>
  <c r="U53" i="43"/>
  <c r="U45" i="49"/>
  <c r="T46" i="49"/>
  <c r="U46" i="49" s="1"/>
  <c r="G46" i="49"/>
  <c r="F49" i="49"/>
  <c r="J54" i="45"/>
  <c r="K54" i="45"/>
  <c r="BY21" i="46" l="1"/>
  <c r="BD33" i="46"/>
  <c r="BR30" i="46"/>
  <c r="X53" i="46"/>
  <c r="Y53" i="46" s="1"/>
  <c r="Z53" i="46" s="1"/>
  <c r="AA53" i="46" s="1"/>
  <c r="AB53" i="46" s="1"/>
  <c r="AC53" i="46" s="1"/>
  <c r="AD53" i="46" s="1"/>
  <c r="AE53" i="46" s="1"/>
  <c r="AF53" i="46" s="1"/>
  <c r="AG53" i="46" s="1"/>
  <c r="AH53" i="46" s="1"/>
  <c r="AI53" i="46" s="1"/>
  <c r="AJ53" i="46" s="1"/>
  <c r="AK53" i="46" s="1"/>
  <c r="AL53" i="46" s="1"/>
  <c r="AM53" i="46" s="1"/>
  <c r="AN53" i="46" s="1"/>
  <c r="AO53" i="46" s="1"/>
  <c r="AP53" i="46" s="1"/>
  <c r="AQ53" i="46" s="1"/>
  <c r="AR53" i="46" s="1"/>
  <c r="AS53" i="46" s="1"/>
  <c r="AT53" i="46" s="1"/>
  <c r="AU53" i="46" s="1"/>
  <c r="AV53" i="46" s="1"/>
  <c r="AW53" i="46" s="1"/>
  <c r="AX53" i="46" s="1"/>
  <c r="AY53" i="46" s="1"/>
  <c r="AZ53" i="46" s="1"/>
  <c r="BA53" i="46" s="1"/>
  <c r="BB53" i="46" s="1"/>
  <c r="BC53" i="46" s="1"/>
  <c r="BD53" i="46" s="1"/>
  <c r="BE53" i="46" s="1"/>
  <c r="BF53" i="46" s="1"/>
  <c r="BG53" i="46" s="1"/>
  <c r="BH53" i="46" s="1"/>
  <c r="BI53" i="46" s="1"/>
  <c r="BJ53" i="46" s="1"/>
  <c r="BK53" i="46" s="1"/>
  <c r="BL53" i="46" s="1"/>
  <c r="BM53" i="46" s="1"/>
  <c r="BN53" i="46" s="1"/>
  <c r="BO53" i="46" s="1"/>
  <c r="BP53" i="46" s="1"/>
  <c r="BQ53" i="46" s="1"/>
  <c r="BR53" i="46" s="1"/>
  <c r="BS53" i="46" s="1"/>
  <c r="BT53" i="46" s="1"/>
  <c r="BU53" i="46" s="1"/>
  <c r="BV53" i="46" s="1"/>
  <c r="BW53" i="46" s="1"/>
  <c r="BX53" i="46" s="1"/>
  <c r="BY53" i="46" s="1"/>
  <c r="BZ53" i="46" s="1"/>
  <c r="CA53" i="46" s="1"/>
  <c r="CB53" i="46" s="1"/>
  <c r="CC53" i="46" s="1"/>
  <c r="CD53" i="46" s="1"/>
  <c r="CE53" i="46" s="1"/>
  <c r="CF53" i="46" s="1"/>
  <c r="CG53" i="46" s="1"/>
  <c r="CH53" i="46" s="1"/>
  <c r="CI53" i="46" s="1"/>
  <c r="CJ53" i="46" s="1"/>
  <c r="CK53" i="46" s="1"/>
  <c r="CL53" i="46" s="1"/>
  <c r="CM53" i="46" s="1"/>
  <c r="CN53" i="46" s="1"/>
  <c r="CO53" i="46" s="1"/>
  <c r="CP53" i="46" s="1"/>
  <c r="CQ53" i="46" s="1"/>
  <c r="CR53" i="46" s="1"/>
  <c r="CS53" i="46" s="1"/>
  <c r="CT53" i="46" s="1"/>
  <c r="CU53" i="46" s="1"/>
  <c r="CV53" i="46" s="1"/>
  <c r="CW53" i="46" s="1"/>
  <c r="CX53" i="46" s="1"/>
  <c r="CY53" i="46" s="1"/>
  <c r="CZ53" i="46" s="1"/>
  <c r="DA53" i="46" s="1"/>
  <c r="DB53" i="46" s="1"/>
  <c r="DC53" i="46" s="1"/>
  <c r="DD53" i="46" s="1"/>
  <c r="DE53" i="46" s="1"/>
  <c r="DF53" i="46" s="1"/>
  <c r="DG53" i="46" s="1"/>
  <c r="DH53" i="46" s="1"/>
  <c r="DI53" i="46" s="1"/>
  <c r="DJ53" i="46" s="1"/>
  <c r="DK53" i="46" s="1"/>
  <c r="DL53" i="46" s="1"/>
  <c r="DM53" i="46" s="1"/>
  <c r="DN53" i="46" s="1"/>
  <c r="DO53" i="46" s="1"/>
  <c r="DP53" i="46" s="1"/>
  <c r="DQ53" i="46" s="1"/>
  <c r="DR53" i="46" s="1"/>
  <c r="X52" i="46"/>
  <c r="Y52" i="46" s="1"/>
  <c r="Z52" i="46" s="1"/>
  <c r="AA52" i="46" s="1"/>
  <c r="AB52" i="46" s="1"/>
  <c r="AC52" i="46" s="1"/>
  <c r="AD52" i="46" s="1"/>
  <c r="AE52" i="46" s="1"/>
  <c r="AF52" i="46" s="1"/>
  <c r="AG52" i="46" s="1"/>
  <c r="AH52" i="46" s="1"/>
  <c r="AI52" i="46" s="1"/>
  <c r="AJ52" i="46" s="1"/>
  <c r="AK52" i="46" s="1"/>
  <c r="AL52" i="46" s="1"/>
  <c r="AM52" i="46" s="1"/>
  <c r="AN52" i="46" s="1"/>
  <c r="AO52" i="46" s="1"/>
  <c r="AP52" i="46" s="1"/>
  <c r="AQ52" i="46" s="1"/>
  <c r="AR52" i="46" s="1"/>
  <c r="AS52" i="46" s="1"/>
  <c r="AT52" i="46" s="1"/>
  <c r="AU52" i="46" s="1"/>
  <c r="AV52" i="46" s="1"/>
  <c r="AW52" i="46" s="1"/>
  <c r="AX52" i="46" s="1"/>
  <c r="AY52" i="46" s="1"/>
  <c r="AZ52" i="46" s="1"/>
  <c r="BA52" i="46" s="1"/>
  <c r="BB52" i="46" s="1"/>
  <c r="BC52" i="46" s="1"/>
  <c r="BD52" i="46" s="1"/>
  <c r="BE52" i="46" s="1"/>
  <c r="BF52" i="46" s="1"/>
  <c r="BG52" i="46" s="1"/>
  <c r="BH52" i="46" s="1"/>
  <c r="BI52" i="46" s="1"/>
  <c r="BJ52" i="46" s="1"/>
  <c r="BK52" i="46" s="1"/>
  <c r="BL52" i="46" s="1"/>
  <c r="BM52" i="46" s="1"/>
  <c r="BN52" i="46" s="1"/>
  <c r="BO52" i="46" s="1"/>
  <c r="BP52" i="46" s="1"/>
  <c r="BQ52" i="46" s="1"/>
  <c r="BR52" i="46" s="1"/>
  <c r="BS52" i="46" s="1"/>
  <c r="BT52" i="46" s="1"/>
  <c r="BU52" i="46" s="1"/>
  <c r="BV52" i="46" s="1"/>
  <c r="BW52" i="46" s="1"/>
  <c r="BX52" i="46" s="1"/>
  <c r="BY52" i="46" s="1"/>
  <c r="BZ52" i="46" s="1"/>
  <c r="CA52" i="46" s="1"/>
  <c r="CB52" i="46" s="1"/>
  <c r="CC52" i="46" s="1"/>
  <c r="CD52" i="46" s="1"/>
  <c r="CE52" i="46" s="1"/>
  <c r="CF52" i="46" s="1"/>
  <c r="CG52" i="46" s="1"/>
  <c r="CH52" i="46" s="1"/>
  <c r="CI52" i="46" s="1"/>
  <c r="CJ52" i="46" s="1"/>
  <c r="CK52" i="46" s="1"/>
  <c r="CL52" i="46" s="1"/>
  <c r="CM52" i="46" s="1"/>
  <c r="CN52" i="46" s="1"/>
  <c r="CO52" i="46" s="1"/>
  <c r="CP52" i="46" s="1"/>
  <c r="CQ52" i="46" s="1"/>
  <c r="CR52" i="46" s="1"/>
  <c r="CS52" i="46" s="1"/>
  <c r="CT52" i="46" s="1"/>
  <c r="CU52" i="46" s="1"/>
  <c r="CV52" i="46" s="1"/>
  <c r="CW52" i="46" s="1"/>
  <c r="CX52" i="46" s="1"/>
  <c r="CY52" i="46" s="1"/>
  <c r="CZ52" i="46" s="1"/>
  <c r="DA52" i="46" s="1"/>
  <c r="DB52" i="46" s="1"/>
  <c r="DC52" i="46" s="1"/>
  <c r="DD52" i="46" s="1"/>
  <c r="DE52" i="46" s="1"/>
  <c r="DF52" i="46" s="1"/>
  <c r="DG52" i="46" s="1"/>
  <c r="DH52" i="46" s="1"/>
  <c r="DI52" i="46" s="1"/>
  <c r="DJ52" i="46" s="1"/>
  <c r="DK52" i="46" s="1"/>
  <c r="DL52" i="46" s="1"/>
  <c r="DM52" i="46" s="1"/>
  <c r="DN52" i="46" s="1"/>
  <c r="DO52" i="46" s="1"/>
  <c r="DP52" i="46" s="1"/>
  <c r="DQ52" i="46" s="1"/>
  <c r="DR52" i="46" s="1"/>
  <c r="CD7" i="46"/>
  <c r="Z50" i="46"/>
  <c r="J46" i="50"/>
  <c r="K46" i="50"/>
  <c r="G82" i="45"/>
  <c r="F56" i="46"/>
  <c r="M56" i="46" s="1"/>
  <c r="N55" i="45"/>
  <c r="T56" i="43"/>
  <c r="F55" i="45"/>
  <c r="T58" i="43"/>
  <c r="G54" i="46"/>
  <c r="U54" i="43"/>
  <c r="W54" i="46"/>
  <c r="H54" i="46"/>
  <c r="I54" i="46" s="1"/>
  <c r="K54" i="46"/>
  <c r="N54" i="46" s="1"/>
  <c r="N54" i="45"/>
  <c r="T55" i="43"/>
  <c r="F54" i="45"/>
  <c r="F55" i="46"/>
  <c r="M55" i="46" s="1"/>
  <c r="F50" i="49"/>
  <c r="F51" i="49" s="1"/>
  <c r="G49" i="49"/>
  <c r="H53" i="45"/>
  <c r="I53" i="45" s="1"/>
  <c r="Q53" i="45"/>
  <c r="R53" i="45" s="1"/>
  <c r="S53" i="45" s="1"/>
  <c r="T53" i="45" s="1"/>
  <c r="U53" i="45" s="1"/>
  <c r="V53" i="45" s="1"/>
  <c r="W53" i="45" s="1"/>
  <c r="X53" i="45" s="1"/>
  <c r="Y53" i="45" s="1"/>
  <c r="Z53" i="45" s="1"/>
  <c r="AA53" i="45" s="1"/>
  <c r="AB53" i="45" s="1"/>
  <c r="AC53" i="45" s="1"/>
  <c r="AD53" i="45" s="1"/>
  <c r="AE53" i="45" s="1"/>
  <c r="AF53" i="45" s="1"/>
  <c r="AG53" i="45" s="1"/>
  <c r="AH53" i="45" s="1"/>
  <c r="AI53" i="45" s="1"/>
  <c r="AJ53" i="45" s="1"/>
  <c r="AK53" i="45" s="1"/>
  <c r="AL53" i="45" s="1"/>
  <c r="AM53" i="45" s="1"/>
  <c r="AN53" i="45" s="1"/>
  <c r="AO53" i="45" s="1"/>
  <c r="AP53" i="45" s="1"/>
  <c r="AQ53" i="45" s="1"/>
  <c r="AR53" i="45" s="1"/>
  <c r="AS53" i="45" s="1"/>
  <c r="AT53" i="45" s="1"/>
  <c r="AU53" i="45" s="1"/>
  <c r="AV53" i="45" s="1"/>
  <c r="AW53" i="45" s="1"/>
  <c r="AX53" i="45" s="1"/>
  <c r="AY53" i="45" s="1"/>
  <c r="AZ53" i="45" s="1"/>
  <c r="BA53" i="45" s="1"/>
  <c r="BB53" i="45" s="1"/>
  <c r="BC53" i="45" s="1"/>
  <c r="BD53" i="45" s="1"/>
  <c r="T49" i="49"/>
  <c r="U49" i="49" s="1"/>
  <c r="J52" i="46" l="1"/>
  <c r="J53" i="46"/>
  <c r="BS30" i="46"/>
  <c r="BE33" i="46"/>
  <c r="BZ21" i="46"/>
  <c r="X54" i="46"/>
  <c r="Y54" i="46" s="1"/>
  <c r="Z54" i="46" s="1"/>
  <c r="AA54" i="46" s="1"/>
  <c r="AB54" i="46" s="1"/>
  <c r="AC54" i="46" s="1"/>
  <c r="AD54" i="46" s="1"/>
  <c r="AE54" i="46" s="1"/>
  <c r="AF54" i="46" s="1"/>
  <c r="AG54" i="46" s="1"/>
  <c r="AH54" i="46" s="1"/>
  <c r="AI54" i="46" s="1"/>
  <c r="AJ54" i="46" s="1"/>
  <c r="AK54" i="46" s="1"/>
  <c r="AL54" i="46" s="1"/>
  <c r="AM54" i="46" s="1"/>
  <c r="AN54" i="46" s="1"/>
  <c r="AO54" i="46" s="1"/>
  <c r="AP54" i="46" s="1"/>
  <c r="AQ54" i="46" s="1"/>
  <c r="AR54" i="46" s="1"/>
  <c r="AS54" i="46" s="1"/>
  <c r="AT54" i="46" s="1"/>
  <c r="AU54" i="46" s="1"/>
  <c r="AV54" i="46" s="1"/>
  <c r="AW54" i="46" s="1"/>
  <c r="AX54" i="46" s="1"/>
  <c r="AY54" i="46" s="1"/>
  <c r="AZ54" i="46" s="1"/>
  <c r="BA54" i="46" s="1"/>
  <c r="BB54" i="46" s="1"/>
  <c r="BC54" i="46" s="1"/>
  <c r="BD54" i="46" s="1"/>
  <c r="BE54" i="46" s="1"/>
  <c r="BF54" i="46" s="1"/>
  <c r="BG54" i="46" s="1"/>
  <c r="BH54" i="46" s="1"/>
  <c r="BI54" i="46" s="1"/>
  <c r="BJ54" i="46" s="1"/>
  <c r="BK54" i="46" s="1"/>
  <c r="BL54" i="46" s="1"/>
  <c r="BM54" i="46" s="1"/>
  <c r="BN54" i="46" s="1"/>
  <c r="BO54" i="46" s="1"/>
  <c r="BP54" i="46" s="1"/>
  <c r="BQ54" i="46" s="1"/>
  <c r="BR54" i="46" s="1"/>
  <c r="BS54" i="46" s="1"/>
  <c r="BT54" i="46" s="1"/>
  <c r="BU54" i="46" s="1"/>
  <c r="BV54" i="46" s="1"/>
  <c r="BW54" i="46" s="1"/>
  <c r="BX54" i="46" s="1"/>
  <c r="BY54" i="46" s="1"/>
  <c r="BZ54" i="46" s="1"/>
  <c r="CA54" i="46" s="1"/>
  <c r="CB54" i="46" s="1"/>
  <c r="CC54" i="46" s="1"/>
  <c r="CD54" i="46" s="1"/>
  <c r="CE54" i="46" s="1"/>
  <c r="CF54" i="46" s="1"/>
  <c r="CG54" i="46" s="1"/>
  <c r="CH54" i="46" s="1"/>
  <c r="CI54" i="46" s="1"/>
  <c r="CJ54" i="46" s="1"/>
  <c r="CK54" i="46" s="1"/>
  <c r="CL54" i="46" s="1"/>
  <c r="CM54" i="46" s="1"/>
  <c r="CN54" i="46" s="1"/>
  <c r="CO54" i="46" s="1"/>
  <c r="CP54" i="46" s="1"/>
  <c r="CQ54" i="46" s="1"/>
  <c r="CR54" i="46" s="1"/>
  <c r="CS54" i="46" s="1"/>
  <c r="CT54" i="46" s="1"/>
  <c r="CU54" i="46" s="1"/>
  <c r="CV54" i="46" s="1"/>
  <c r="CW54" i="46" s="1"/>
  <c r="CX54" i="46" s="1"/>
  <c r="CY54" i="46" s="1"/>
  <c r="CZ54" i="46" s="1"/>
  <c r="DA54" i="46" s="1"/>
  <c r="DB54" i="46" s="1"/>
  <c r="DC54" i="46" s="1"/>
  <c r="DD54" i="46" s="1"/>
  <c r="DE54" i="46" s="1"/>
  <c r="DF54" i="46" s="1"/>
  <c r="DG54" i="46" s="1"/>
  <c r="DH54" i="46" s="1"/>
  <c r="DI54" i="46" s="1"/>
  <c r="DJ54" i="46" s="1"/>
  <c r="DK54" i="46" s="1"/>
  <c r="DL54" i="46" s="1"/>
  <c r="DM54" i="46" s="1"/>
  <c r="DN54" i="46" s="1"/>
  <c r="DO54" i="46" s="1"/>
  <c r="DP54" i="46" s="1"/>
  <c r="DQ54" i="46" s="1"/>
  <c r="DR54" i="46" s="1"/>
  <c r="CE7" i="46"/>
  <c r="AA50" i="46"/>
  <c r="F57" i="45"/>
  <c r="H57" i="45" s="1"/>
  <c r="I57" i="45" s="1"/>
  <c r="F54" i="50"/>
  <c r="H54" i="50" s="1"/>
  <c r="I54" i="50" s="1"/>
  <c r="F58" i="46"/>
  <c r="N57" i="45"/>
  <c r="T51" i="49"/>
  <c r="U51" i="49" s="1"/>
  <c r="G51" i="49"/>
  <c r="W55" i="46"/>
  <c r="K55" i="46"/>
  <c r="N55" i="46" s="1"/>
  <c r="H55" i="46"/>
  <c r="I55" i="46" s="1"/>
  <c r="G55" i="46"/>
  <c r="U55" i="43"/>
  <c r="H55" i="45"/>
  <c r="I55" i="45" s="1"/>
  <c r="Q55" i="45"/>
  <c r="R55" i="45" s="1"/>
  <c r="S55" i="45" s="1"/>
  <c r="T55" i="45" s="1"/>
  <c r="U55" i="45" s="1"/>
  <c r="V55" i="45" s="1"/>
  <c r="W55" i="45" s="1"/>
  <c r="X55" i="45" s="1"/>
  <c r="Y55" i="45" s="1"/>
  <c r="Z55" i="45" s="1"/>
  <c r="AA55" i="45" s="1"/>
  <c r="AB55" i="45" s="1"/>
  <c r="AC55" i="45" s="1"/>
  <c r="AD55" i="45" s="1"/>
  <c r="AE55" i="45" s="1"/>
  <c r="AF55" i="45" s="1"/>
  <c r="AG55" i="45" s="1"/>
  <c r="AH55" i="45" s="1"/>
  <c r="AI55" i="45" s="1"/>
  <c r="AJ55" i="45" s="1"/>
  <c r="AK55" i="45" s="1"/>
  <c r="AL55" i="45" s="1"/>
  <c r="AM55" i="45" s="1"/>
  <c r="AN55" i="45" s="1"/>
  <c r="AO55" i="45" s="1"/>
  <c r="AP55" i="45" s="1"/>
  <c r="AQ55" i="45" s="1"/>
  <c r="AR55" i="45" s="1"/>
  <c r="AS55" i="45" s="1"/>
  <c r="AT55" i="45" s="1"/>
  <c r="AU55" i="45" s="1"/>
  <c r="AV55" i="45" s="1"/>
  <c r="AW55" i="45" s="1"/>
  <c r="AX55" i="45" s="1"/>
  <c r="AY55" i="45" s="1"/>
  <c r="AZ55" i="45" s="1"/>
  <c r="BA55" i="45" s="1"/>
  <c r="BB55" i="45" s="1"/>
  <c r="BC55" i="45" s="1"/>
  <c r="BD55" i="45" s="1"/>
  <c r="U56" i="43"/>
  <c r="G56" i="46"/>
  <c r="T50" i="49"/>
  <c r="U50" i="49" s="1"/>
  <c r="G50" i="49"/>
  <c r="K56" i="46"/>
  <c r="N56" i="46" s="1"/>
  <c r="H56" i="46"/>
  <c r="I56" i="46" s="1"/>
  <c r="W56" i="46"/>
  <c r="Q54" i="45"/>
  <c r="R54" i="45" s="1"/>
  <c r="S54" i="45" s="1"/>
  <c r="T54" i="45" s="1"/>
  <c r="U54" i="45" s="1"/>
  <c r="V54" i="45" s="1"/>
  <c r="W54" i="45" s="1"/>
  <c r="X54" i="45" s="1"/>
  <c r="Y54" i="45" s="1"/>
  <c r="Z54" i="45" s="1"/>
  <c r="AA54" i="45" s="1"/>
  <c r="AB54" i="45" s="1"/>
  <c r="AC54" i="45" s="1"/>
  <c r="AD54" i="45" s="1"/>
  <c r="AE54" i="45" s="1"/>
  <c r="AF54" i="45" s="1"/>
  <c r="AG54" i="45" s="1"/>
  <c r="AH54" i="45" s="1"/>
  <c r="AI54" i="45" s="1"/>
  <c r="AJ54" i="45" s="1"/>
  <c r="AK54" i="45" s="1"/>
  <c r="AL54" i="45" s="1"/>
  <c r="AM54" i="45" s="1"/>
  <c r="AN54" i="45" s="1"/>
  <c r="AO54" i="45" s="1"/>
  <c r="AP54" i="45" s="1"/>
  <c r="AQ54" i="45" s="1"/>
  <c r="AR54" i="45" s="1"/>
  <c r="AS54" i="45" s="1"/>
  <c r="AT54" i="45" s="1"/>
  <c r="AU54" i="45" s="1"/>
  <c r="AV54" i="45" s="1"/>
  <c r="AW54" i="45" s="1"/>
  <c r="AX54" i="45" s="1"/>
  <c r="AY54" i="45" s="1"/>
  <c r="AZ54" i="45" s="1"/>
  <c r="BA54" i="45" s="1"/>
  <c r="BB54" i="45" s="1"/>
  <c r="BC54" i="45" s="1"/>
  <c r="BD54" i="45" s="1"/>
  <c r="H54" i="45"/>
  <c r="I54" i="45" s="1"/>
  <c r="F57" i="46"/>
  <c r="M57" i="46" s="1"/>
  <c r="F56" i="45"/>
  <c r="N56" i="45"/>
  <c r="T57" i="43"/>
  <c r="F52" i="49"/>
  <c r="G58" i="46"/>
  <c r="U58" i="43"/>
  <c r="K56" i="45"/>
  <c r="J55" i="45"/>
  <c r="J56" i="45"/>
  <c r="K55" i="45"/>
  <c r="F58" i="45"/>
  <c r="N58" i="45"/>
  <c r="F59" i="46"/>
  <c r="M59" i="46" s="1"/>
  <c r="F55" i="50"/>
  <c r="T59" i="43"/>
  <c r="BF33" i="46" l="1"/>
  <c r="BT30" i="46"/>
  <c r="J54" i="46"/>
  <c r="CA21" i="46"/>
  <c r="X56" i="46"/>
  <c r="Y56" i="46" s="1"/>
  <c r="Z56" i="46" s="1"/>
  <c r="AA56" i="46" s="1"/>
  <c r="AB56" i="46" s="1"/>
  <c r="AC56" i="46" s="1"/>
  <c r="AD56" i="46" s="1"/>
  <c r="AE56" i="46" s="1"/>
  <c r="AF56" i="46" s="1"/>
  <c r="AG56" i="46" s="1"/>
  <c r="AH56" i="46" s="1"/>
  <c r="AI56" i="46" s="1"/>
  <c r="AJ56" i="46" s="1"/>
  <c r="AK56" i="46" s="1"/>
  <c r="AL56" i="46" s="1"/>
  <c r="AM56" i="46" s="1"/>
  <c r="AN56" i="46" s="1"/>
  <c r="AO56" i="46" s="1"/>
  <c r="AP56" i="46" s="1"/>
  <c r="AQ56" i="46" s="1"/>
  <c r="AR56" i="46" s="1"/>
  <c r="AS56" i="46" s="1"/>
  <c r="AT56" i="46" s="1"/>
  <c r="AU56" i="46" s="1"/>
  <c r="AV56" i="46" s="1"/>
  <c r="AW56" i="46" s="1"/>
  <c r="AX56" i="46" s="1"/>
  <c r="AY56" i="46" s="1"/>
  <c r="AZ56" i="46" s="1"/>
  <c r="BA56" i="46" s="1"/>
  <c r="BB56" i="46" s="1"/>
  <c r="BC56" i="46" s="1"/>
  <c r="BD56" i="46" s="1"/>
  <c r="BE56" i="46" s="1"/>
  <c r="BF56" i="46" s="1"/>
  <c r="BG56" i="46" s="1"/>
  <c r="BH56" i="46" s="1"/>
  <c r="BI56" i="46" s="1"/>
  <c r="BJ56" i="46" s="1"/>
  <c r="BK56" i="46" s="1"/>
  <c r="BL56" i="46" s="1"/>
  <c r="BM56" i="46" s="1"/>
  <c r="BN56" i="46" s="1"/>
  <c r="BO56" i="46" s="1"/>
  <c r="BP56" i="46" s="1"/>
  <c r="BQ56" i="46" s="1"/>
  <c r="BR56" i="46" s="1"/>
  <c r="BS56" i="46" s="1"/>
  <c r="BT56" i="46" s="1"/>
  <c r="BU56" i="46" s="1"/>
  <c r="BV56" i="46" s="1"/>
  <c r="BW56" i="46" s="1"/>
  <c r="BX56" i="46" s="1"/>
  <c r="BY56" i="46" s="1"/>
  <c r="BZ56" i="46" s="1"/>
  <c r="CA56" i="46" s="1"/>
  <c r="CB56" i="46" s="1"/>
  <c r="CC56" i="46" s="1"/>
  <c r="CD56" i="46" s="1"/>
  <c r="CE56" i="46" s="1"/>
  <c r="CF56" i="46" s="1"/>
  <c r="CG56" i="46" s="1"/>
  <c r="CH56" i="46" s="1"/>
  <c r="CI56" i="46" s="1"/>
  <c r="CJ56" i="46" s="1"/>
  <c r="CK56" i="46" s="1"/>
  <c r="CL56" i="46" s="1"/>
  <c r="CM56" i="46" s="1"/>
  <c r="CN56" i="46" s="1"/>
  <c r="CO56" i="46" s="1"/>
  <c r="CP56" i="46" s="1"/>
  <c r="CQ56" i="46" s="1"/>
  <c r="CR56" i="46" s="1"/>
  <c r="CS56" i="46" s="1"/>
  <c r="CT56" i="46" s="1"/>
  <c r="CU56" i="46" s="1"/>
  <c r="CV56" i="46" s="1"/>
  <c r="CW56" i="46" s="1"/>
  <c r="CX56" i="46" s="1"/>
  <c r="CY56" i="46" s="1"/>
  <c r="CZ56" i="46" s="1"/>
  <c r="DA56" i="46" s="1"/>
  <c r="DB56" i="46" s="1"/>
  <c r="DC56" i="46" s="1"/>
  <c r="DD56" i="46" s="1"/>
  <c r="DE56" i="46" s="1"/>
  <c r="DF56" i="46" s="1"/>
  <c r="DG56" i="46" s="1"/>
  <c r="DH56" i="46" s="1"/>
  <c r="DI56" i="46" s="1"/>
  <c r="DJ56" i="46" s="1"/>
  <c r="DK56" i="46" s="1"/>
  <c r="DL56" i="46" s="1"/>
  <c r="DM56" i="46" s="1"/>
  <c r="DN56" i="46" s="1"/>
  <c r="DO56" i="46" s="1"/>
  <c r="DP56" i="46" s="1"/>
  <c r="DQ56" i="46" s="1"/>
  <c r="DR56" i="46" s="1"/>
  <c r="X55" i="46"/>
  <c r="Y55" i="46" s="1"/>
  <c r="Z55" i="46" s="1"/>
  <c r="AA55" i="46" s="1"/>
  <c r="AB55" i="46" s="1"/>
  <c r="AC55" i="46" s="1"/>
  <c r="AD55" i="46" s="1"/>
  <c r="AE55" i="46" s="1"/>
  <c r="AF55" i="46" s="1"/>
  <c r="AG55" i="46" s="1"/>
  <c r="AH55" i="46" s="1"/>
  <c r="AI55" i="46" s="1"/>
  <c r="AJ55" i="46" s="1"/>
  <c r="AK55" i="46" s="1"/>
  <c r="AL55" i="46" s="1"/>
  <c r="AM55" i="46" s="1"/>
  <c r="AN55" i="46" s="1"/>
  <c r="AO55" i="46" s="1"/>
  <c r="AP55" i="46" s="1"/>
  <c r="AQ55" i="46" s="1"/>
  <c r="AR55" i="46" s="1"/>
  <c r="AS55" i="46" s="1"/>
  <c r="AT55" i="46" s="1"/>
  <c r="AU55" i="46" s="1"/>
  <c r="AV55" i="46" s="1"/>
  <c r="AW55" i="46" s="1"/>
  <c r="AX55" i="46" s="1"/>
  <c r="AY55" i="46" s="1"/>
  <c r="AZ55" i="46" s="1"/>
  <c r="BA55" i="46" s="1"/>
  <c r="BB55" i="46" s="1"/>
  <c r="BC55" i="46" s="1"/>
  <c r="BD55" i="46" s="1"/>
  <c r="BE55" i="46" s="1"/>
  <c r="BF55" i="46" s="1"/>
  <c r="BG55" i="46" s="1"/>
  <c r="BH55" i="46" s="1"/>
  <c r="BI55" i="46" s="1"/>
  <c r="BJ55" i="46" s="1"/>
  <c r="BK55" i="46" s="1"/>
  <c r="BL55" i="46" s="1"/>
  <c r="BM55" i="46" s="1"/>
  <c r="BN55" i="46" s="1"/>
  <c r="BO55" i="46" s="1"/>
  <c r="BP55" i="46" s="1"/>
  <c r="BQ55" i="46" s="1"/>
  <c r="BR55" i="46" s="1"/>
  <c r="BS55" i="46" s="1"/>
  <c r="BT55" i="46" s="1"/>
  <c r="BU55" i="46" s="1"/>
  <c r="BV55" i="46" s="1"/>
  <c r="BW55" i="46" s="1"/>
  <c r="BX55" i="46" s="1"/>
  <c r="BY55" i="46" s="1"/>
  <c r="BZ55" i="46" s="1"/>
  <c r="CA55" i="46" s="1"/>
  <c r="CB55" i="46" s="1"/>
  <c r="CC55" i="46" s="1"/>
  <c r="CD55" i="46" s="1"/>
  <c r="CE55" i="46" s="1"/>
  <c r="CF55" i="46" s="1"/>
  <c r="CG55" i="46" s="1"/>
  <c r="CH55" i="46" s="1"/>
  <c r="CI55" i="46" s="1"/>
  <c r="CJ55" i="46" s="1"/>
  <c r="CK55" i="46" s="1"/>
  <c r="CL55" i="46" s="1"/>
  <c r="CM55" i="46" s="1"/>
  <c r="CN55" i="46" s="1"/>
  <c r="CO55" i="46" s="1"/>
  <c r="CP55" i="46" s="1"/>
  <c r="CQ55" i="46" s="1"/>
  <c r="CR55" i="46" s="1"/>
  <c r="CS55" i="46" s="1"/>
  <c r="CT55" i="46" s="1"/>
  <c r="CU55" i="46" s="1"/>
  <c r="CV55" i="46" s="1"/>
  <c r="CW55" i="46" s="1"/>
  <c r="CX55" i="46" s="1"/>
  <c r="CY55" i="46" s="1"/>
  <c r="CZ55" i="46" s="1"/>
  <c r="DA55" i="46" s="1"/>
  <c r="DB55" i="46" s="1"/>
  <c r="DC55" i="46" s="1"/>
  <c r="DD55" i="46" s="1"/>
  <c r="DE55" i="46" s="1"/>
  <c r="DF55" i="46" s="1"/>
  <c r="DG55" i="46" s="1"/>
  <c r="DH55" i="46" s="1"/>
  <c r="DI55" i="46" s="1"/>
  <c r="DJ55" i="46" s="1"/>
  <c r="DK55" i="46" s="1"/>
  <c r="DL55" i="46" s="1"/>
  <c r="DM55" i="46" s="1"/>
  <c r="DN55" i="46" s="1"/>
  <c r="DO55" i="46" s="1"/>
  <c r="DP55" i="46" s="1"/>
  <c r="DQ55" i="46" s="1"/>
  <c r="DR55" i="46" s="1"/>
  <c r="CF7" i="46"/>
  <c r="K58" i="46"/>
  <c r="N58" i="46" s="1"/>
  <c r="M58" i="46"/>
  <c r="AB50" i="46"/>
  <c r="Q57" i="45"/>
  <c r="R57" i="45" s="1"/>
  <c r="S57" i="45" s="1"/>
  <c r="T57" i="45" s="1"/>
  <c r="U57" i="45" s="1"/>
  <c r="V57" i="45" s="1"/>
  <c r="W57" i="45" s="1"/>
  <c r="X57" i="45" s="1"/>
  <c r="Y57" i="45" s="1"/>
  <c r="Z57" i="45" s="1"/>
  <c r="AA57" i="45" s="1"/>
  <c r="AB57" i="45" s="1"/>
  <c r="AC57" i="45" s="1"/>
  <c r="AD57" i="45" s="1"/>
  <c r="AE57" i="45" s="1"/>
  <c r="AF57" i="45" s="1"/>
  <c r="AG57" i="45" s="1"/>
  <c r="AH57" i="45" s="1"/>
  <c r="AI57" i="45" s="1"/>
  <c r="AJ57" i="45" s="1"/>
  <c r="AK57" i="45" s="1"/>
  <c r="AL57" i="45" s="1"/>
  <c r="AM57" i="45" s="1"/>
  <c r="AN57" i="45" s="1"/>
  <c r="AO57" i="45" s="1"/>
  <c r="AP57" i="45" s="1"/>
  <c r="AQ57" i="45" s="1"/>
  <c r="AR57" i="45" s="1"/>
  <c r="AS57" i="45" s="1"/>
  <c r="AT57" i="45" s="1"/>
  <c r="AU57" i="45" s="1"/>
  <c r="AV57" i="45" s="1"/>
  <c r="AW57" i="45" s="1"/>
  <c r="AX57" i="45" s="1"/>
  <c r="AY57" i="45" s="1"/>
  <c r="AZ57" i="45" s="1"/>
  <c r="BA57" i="45" s="1"/>
  <c r="BB57" i="45" s="1"/>
  <c r="BC57" i="45" s="1"/>
  <c r="BD57" i="45" s="1"/>
  <c r="W58" i="46"/>
  <c r="Q36" i="50"/>
  <c r="R36" i="50" s="1"/>
  <c r="S36" i="50" s="1"/>
  <c r="T36" i="50" s="1"/>
  <c r="U36" i="50" s="1"/>
  <c r="V36" i="50" s="1"/>
  <c r="W36" i="50" s="1"/>
  <c r="X36" i="50" s="1"/>
  <c r="Y36" i="50" s="1"/>
  <c r="Z36" i="50" s="1"/>
  <c r="AA36" i="50" s="1"/>
  <c r="AB36" i="50" s="1"/>
  <c r="AC36" i="50" s="1"/>
  <c r="AD36" i="50" s="1"/>
  <c r="AE36" i="50" s="1"/>
  <c r="AF36" i="50" s="1"/>
  <c r="AG36" i="50" s="1"/>
  <c r="AH36" i="50" s="1"/>
  <c r="AI36" i="50" s="1"/>
  <c r="AJ36" i="50" s="1"/>
  <c r="AK36" i="50" s="1"/>
  <c r="AL36" i="50" s="1"/>
  <c r="AM36" i="50" s="1"/>
  <c r="AN36" i="50" s="1"/>
  <c r="AO36" i="50" s="1"/>
  <c r="AP36" i="50" s="1"/>
  <c r="AQ36" i="50" s="1"/>
  <c r="AR36" i="50" s="1"/>
  <c r="AS36" i="50" s="1"/>
  <c r="AT36" i="50" s="1"/>
  <c r="H58" i="46"/>
  <c r="I58" i="46" s="1"/>
  <c r="T65" i="43"/>
  <c r="U65" i="43" s="1"/>
  <c r="U57" i="43"/>
  <c r="G57" i="46"/>
  <c r="Q56" i="45"/>
  <c r="R56" i="45" s="1"/>
  <c r="S56" i="45" s="1"/>
  <c r="T56" i="45" s="1"/>
  <c r="U56" i="45" s="1"/>
  <c r="V56" i="45" s="1"/>
  <c r="W56" i="45" s="1"/>
  <c r="X56" i="45" s="1"/>
  <c r="Y56" i="45" s="1"/>
  <c r="Z56" i="45" s="1"/>
  <c r="AA56" i="45" s="1"/>
  <c r="AB56" i="45" s="1"/>
  <c r="AC56" i="45" s="1"/>
  <c r="AD56" i="45" s="1"/>
  <c r="AE56" i="45" s="1"/>
  <c r="AF56" i="45" s="1"/>
  <c r="AG56" i="45" s="1"/>
  <c r="AH56" i="45" s="1"/>
  <c r="AI56" i="45" s="1"/>
  <c r="AJ56" i="45" s="1"/>
  <c r="AK56" i="45" s="1"/>
  <c r="AL56" i="45" s="1"/>
  <c r="AM56" i="45" s="1"/>
  <c r="AN56" i="45" s="1"/>
  <c r="AO56" i="45" s="1"/>
  <c r="AP56" i="45" s="1"/>
  <c r="AQ56" i="45" s="1"/>
  <c r="AR56" i="45" s="1"/>
  <c r="AS56" i="45" s="1"/>
  <c r="AT56" i="45" s="1"/>
  <c r="AU56" i="45" s="1"/>
  <c r="AV56" i="45" s="1"/>
  <c r="AW56" i="45" s="1"/>
  <c r="AX56" i="45" s="1"/>
  <c r="AY56" i="45" s="1"/>
  <c r="AZ56" i="45" s="1"/>
  <c r="BA56" i="45" s="1"/>
  <c r="BB56" i="45" s="1"/>
  <c r="BC56" i="45" s="1"/>
  <c r="BD56" i="45" s="1"/>
  <c r="H56" i="45"/>
  <c r="I56" i="45" s="1"/>
  <c r="H57" i="46"/>
  <c r="I57" i="46" s="1"/>
  <c r="K57" i="46"/>
  <c r="N57" i="46" s="1"/>
  <c r="W57" i="46"/>
  <c r="F53" i="49"/>
  <c r="G52" i="49"/>
  <c r="Q58" i="45"/>
  <c r="R58" i="45" s="1"/>
  <c r="S58" i="45" s="1"/>
  <c r="T58" i="45" s="1"/>
  <c r="U58" i="45" s="1"/>
  <c r="V58" i="45" s="1"/>
  <c r="W58" i="45" s="1"/>
  <c r="X58" i="45" s="1"/>
  <c r="Y58" i="45" s="1"/>
  <c r="Z58" i="45" s="1"/>
  <c r="AA58" i="45" s="1"/>
  <c r="AB58" i="45" s="1"/>
  <c r="AC58" i="45" s="1"/>
  <c r="AD58" i="45" s="1"/>
  <c r="AE58" i="45" s="1"/>
  <c r="AF58" i="45" s="1"/>
  <c r="AG58" i="45" s="1"/>
  <c r="AH58" i="45" s="1"/>
  <c r="AI58" i="45" s="1"/>
  <c r="AJ58" i="45" s="1"/>
  <c r="AK58" i="45" s="1"/>
  <c r="AL58" i="45" s="1"/>
  <c r="AM58" i="45" s="1"/>
  <c r="AN58" i="45" s="1"/>
  <c r="AO58" i="45" s="1"/>
  <c r="AP58" i="45" s="1"/>
  <c r="AQ58" i="45" s="1"/>
  <c r="AR58" i="45" s="1"/>
  <c r="AS58" i="45" s="1"/>
  <c r="AT58" i="45" s="1"/>
  <c r="AU58" i="45" s="1"/>
  <c r="AV58" i="45" s="1"/>
  <c r="AW58" i="45" s="1"/>
  <c r="AX58" i="45" s="1"/>
  <c r="AY58" i="45" s="1"/>
  <c r="AZ58" i="45" s="1"/>
  <c r="BA58" i="45" s="1"/>
  <c r="BB58" i="45" s="1"/>
  <c r="BC58" i="45" s="1"/>
  <c r="BD58" i="45" s="1"/>
  <c r="H58" i="45"/>
  <c r="I58" i="45" s="1"/>
  <c r="Q37" i="50"/>
  <c r="R37" i="50" s="1"/>
  <c r="S37" i="50" s="1"/>
  <c r="T37" i="50" s="1"/>
  <c r="U37" i="50" s="1"/>
  <c r="V37" i="50" s="1"/>
  <c r="W37" i="50" s="1"/>
  <c r="X37" i="50" s="1"/>
  <c r="Y37" i="50" s="1"/>
  <c r="Z37" i="50" s="1"/>
  <c r="AA37" i="50" s="1"/>
  <c r="AB37" i="50" s="1"/>
  <c r="AC37" i="50" s="1"/>
  <c r="AD37" i="50" s="1"/>
  <c r="AE37" i="50" s="1"/>
  <c r="AF37" i="50" s="1"/>
  <c r="AG37" i="50" s="1"/>
  <c r="AH37" i="50" s="1"/>
  <c r="AI37" i="50" s="1"/>
  <c r="AJ37" i="50" s="1"/>
  <c r="AK37" i="50" s="1"/>
  <c r="AL37" i="50" s="1"/>
  <c r="AM37" i="50" s="1"/>
  <c r="AN37" i="50" s="1"/>
  <c r="AO37" i="50" s="1"/>
  <c r="AP37" i="50" s="1"/>
  <c r="AQ37" i="50" s="1"/>
  <c r="AR37" i="50" s="1"/>
  <c r="AS37" i="50" s="1"/>
  <c r="AT37" i="50" s="1"/>
  <c r="H55" i="50"/>
  <c r="I55" i="50" s="1"/>
  <c r="K59" i="46"/>
  <c r="N59" i="46" s="1"/>
  <c r="H59" i="46"/>
  <c r="I59" i="46" s="1"/>
  <c r="T52" i="49"/>
  <c r="U52" i="49" s="1"/>
  <c r="G59" i="46"/>
  <c r="U59" i="43"/>
  <c r="J54" i="50"/>
  <c r="K57" i="45"/>
  <c r="J57" i="45"/>
  <c r="K54" i="50"/>
  <c r="F59" i="45"/>
  <c r="F60" i="46"/>
  <c r="M60" i="46" s="1"/>
  <c r="T60" i="43"/>
  <c r="N59" i="45"/>
  <c r="F56" i="50"/>
  <c r="W59" i="46"/>
  <c r="J56" i="46" l="1"/>
  <c r="CB21" i="46"/>
  <c r="BU30" i="46"/>
  <c r="J55" i="46"/>
  <c r="BG33" i="46"/>
  <c r="X59" i="46"/>
  <c r="Y59" i="46" s="1"/>
  <c r="Z59" i="46" s="1"/>
  <c r="AA59" i="46" s="1"/>
  <c r="AB59" i="46" s="1"/>
  <c r="AC59" i="46" s="1"/>
  <c r="AD59" i="46" s="1"/>
  <c r="AE59" i="46" s="1"/>
  <c r="AF59" i="46" s="1"/>
  <c r="AG59" i="46" s="1"/>
  <c r="AH59" i="46" s="1"/>
  <c r="AI59" i="46" s="1"/>
  <c r="AJ59" i="46" s="1"/>
  <c r="AK59" i="46" s="1"/>
  <c r="AL59" i="46" s="1"/>
  <c r="AM59" i="46" s="1"/>
  <c r="AN59" i="46" s="1"/>
  <c r="AO59" i="46" s="1"/>
  <c r="AP59" i="46" s="1"/>
  <c r="AQ59" i="46" s="1"/>
  <c r="AR59" i="46" s="1"/>
  <c r="AS59" i="46" s="1"/>
  <c r="AT59" i="46" s="1"/>
  <c r="AU59" i="46" s="1"/>
  <c r="AV59" i="46" s="1"/>
  <c r="AW59" i="46" s="1"/>
  <c r="AX59" i="46" s="1"/>
  <c r="AY59" i="46" s="1"/>
  <c r="AZ59" i="46" s="1"/>
  <c r="BA59" i="46" s="1"/>
  <c r="BB59" i="46" s="1"/>
  <c r="BC59" i="46" s="1"/>
  <c r="BD59" i="46" s="1"/>
  <c r="BE59" i="46" s="1"/>
  <c r="BF59" i="46" s="1"/>
  <c r="BG59" i="46" s="1"/>
  <c r="BH59" i="46" s="1"/>
  <c r="BI59" i="46" s="1"/>
  <c r="BJ59" i="46" s="1"/>
  <c r="BK59" i="46" s="1"/>
  <c r="BL59" i="46" s="1"/>
  <c r="BM59" i="46" s="1"/>
  <c r="BN59" i="46" s="1"/>
  <c r="BO59" i="46" s="1"/>
  <c r="BP59" i="46" s="1"/>
  <c r="BQ59" i="46" s="1"/>
  <c r="BR59" i="46" s="1"/>
  <c r="BS59" i="46" s="1"/>
  <c r="BT59" i="46" s="1"/>
  <c r="BU59" i="46" s="1"/>
  <c r="BV59" i="46" s="1"/>
  <c r="BW59" i="46" s="1"/>
  <c r="BX59" i="46" s="1"/>
  <c r="BY59" i="46" s="1"/>
  <c r="BZ59" i="46" s="1"/>
  <c r="CA59" i="46" s="1"/>
  <c r="CB59" i="46" s="1"/>
  <c r="CC59" i="46" s="1"/>
  <c r="CD59" i="46" s="1"/>
  <c r="CE59" i="46" s="1"/>
  <c r="CF59" i="46" s="1"/>
  <c r="CG59" i="46" s="1"/>
  <c r="CH59" i="46" s="1"/>
  <c r="CI59" i="46" s="1"/>
  <c r="CJ59" i="46" s="1"/>
  <c r="CK59" i="46" s="1"/>
  <c r="CL59" i="46" s="1"/>
  <c r="CM59" i="46" s="1"/>
  <c r="CN59" i="46" s="1"/>
  <c r="CO59" i="46" s="1"/>
  <c r="CP59" i="46" s="1"/>
  <c r="CQ59" i="46" s="1"/>
  <c r="CR59" i="46" s="1"/>
  <c r="CS59" i="46" s="1"/>
  <c r="CT59" i="46" s="1"/>
  <c r="CU59" i="46" s="1"/>
  <c r="CV59" i="46" s="1"/>
  <c r="CW59" i="46" s="1"/>
  <c r="CX59" i="46" s="1"/>
  <c r="CY59" i="46" s="1"/>
  <c r="CZ59" i="46" s="1"/>
  <c r="DA59" i="46" s="1"/>
  <c r="DB59" i="46" s="1"/>
  <c r="DC59" i="46" s="1"/>
  <c r="DD59" i="46" s="1"/>
  <c r="DE59" i="46" s="1"/>
  <c r="DF59" i="46" s="1"/>
  <c r="DG59" i="46" s="1"/>
  <c r="DH59" i="46" s="1"/>
  <c r="DI59" i="46" s="1"/>
  <c r="DJ59" i="46" s="1"/>
  <c r="DK59" i="46" s="1"/>
  <c r="DL59" i="46" s="1"/>
  <c r="DM59" i="46" s="1"/>
  <c r="DN59" i="46" s="1"/>
  <c r="DO59" i="46" s="1"/>
  <c r="DP59" i="46" s="1"/>
  <c r="DQ59" i="46" s="1"/>
  <c r="DR59" i="46" s="1"/>
  <c r="X58" i="46"/>
  <c r="Y58" i="46" s="1"/>
  <c r="Z58" i="46" s="1"/>
  <c r="AA58" i="46" s="1"/>
  <c r="AB58" i="46" s="1"/>
  <c r="AC58" i="46" s="1"/>
  <c r="AD58" i="46" s="1"/>
  <c r="AE58" i="46" s="1"/>
  <c r="AF58" i="46" s="1"/>
  <c r="AG58" i="46" s="1"/>
  <c r="AH58" i="46" s="1"/>
  <c r="AI58" i="46" s="1"/>
  <c r="AJ58" i="46" s="1"/>
  <c r="AK58" i="46" s="1"/>
  <c r="AL58" i="46" s="1"/>
  <c r="AM58" i="46" s="1"/>
  <c r="AN58" i="46" s="1"/>
  <c r="AO58" i="46" s="1"/>
  <c r="AP58" i="46" s="1"/>
  <c r="AQ58" i="46" s="1"/>
  <c r="AR58" i="46" s="1"/>
  <c r="AS58" i="46" s="1"/>
  <c r="AT58" i="46" s="1"/>
  <c r="AU58" i="46" s="1"/>
  <c r="AV58" i="46" s="1"/>
  <c r="AW58" i="46" s="1"/>
  <c r="AX58" i="46" s="1"/>
  <c r="AY58" i="46" s="1"/>
  <c r="AZ58" i="46" s="1"/>
  <c r="BA58" i="46" s="1"/>
  <c r="BB58" i="46" s="1"/>
  <c r="BC58" i="46" s="1"/>
  <c r="BD58" i="46" s="1"/>
  <c r="BE58" i="46" s="1"/>
  <c r="BF58" i="46" s="1"/>
  <c r="BG58" i="46" s="1"/>
  <c r="BH58" i="46" s="1"/>
  <c r="BI58" i="46" s="1"/>
  <c r="BJ58" i="46" s="1"/>
  <c r="BK58" i="46" s="1"/>
  <c r="BL58" i="46" s="1"/>
  <c r="BM58" i="46" s="1"/>
  <c r="BN58" i="46" s="1"/>
  <c r="BO58" i="46" s="1"/>
  <c r="BP58" i="46" s="1"/>
  <c r="BQ58" i="46" s="1"/>
  <c r="BR58" i="46" s="1"/>
  <c r="BS58" i="46" s="1"/>
  <c r="BT58" i="46" s="1"/>
  <c r="BU58" i="46" s="1"/>
  <c r="BV58" i="46" s="1"/>
  <c r="BW58" i="46" s="1"/>
  <c r="BX58" i="46" s="1"/>
  <c r="BY58" i="46" s="1"/>
  <c r="BZ58" i="46" s="1"/>
  <c r="CA58" i="46" s="1"/>
  <c r="CB58" i="46" s="1"/>
  <c r="CC58" i="46" s="1"/>
  <c r="CD58" i="46" s="1"/>
  <c r="CE58" i="46" s="1"/>
  <c r="CF58" i="46" s="1"/>
  <c r="CG58" i="46" s="1"/>
  <c r="CH58" i="46" s="1"/>
  <c r="CI58" i="46" s="1"/>
  <c r="CJ58" i="46" s="1"/>
  <c r="CK58" i="46" s="1"/>
  <c r="CL58" i="46" s="1"/>
  <c r="CM58" i="46" s="1"/>
  <c r="CN58" i="46" s="1"/>
  <c r="CO58" i="46" s="1"/>
  <c r="CP58" i="46" s="1"/>
  <c r="CQ58" i="46" s="1"/>
  <c r="CR58" i="46" s="1"/>
  <c r="CS58" i="46" s="1"/>
  <c r="CT58" i="46" s="1"/>
  <c r="CU58" i="46" s="1"/>
  <c r="CV58" i="46" s="1"/>
  <c r="CW58" i="46" s="1"/>
  <c r="CX58" i="46" s="1"/>
  <c r="CY58" i="46" s="1"/>
  <c r="CZ58" i="46" s="1"/>
  <c r="DA58" i="46" s="1"/>
  <c r="DB58" i="46" s="1"/>
  <c r="DC58" i="46" s="1"/>
  <c r="DD58" i="46" s="1"/>
  <c r="DE58" i="46" s="1"/>
  <c r="DF58" i="46" s="1"/>
  <c r="DG58" i="46" s="1"/>
  <c r="DH58" i="46" s="1"/>
  <c r="DI58" i="46" s="1"/>
  <c r="DJ58" i="46" s="1"/>
  <c r="DK58" i="46" s="1"/>
  <c r="DL58" i="46" s="1"/>
  <c r="DM58" i="46" s="1"/>
  <c r="DN58" i="46" s="1"/>
  <c r="DO58" i="46" s="1"/>
  <c r="DP58" i="46" s="1"/>
  <c r="DQ58" i="46" s="1"/>
  <c r="DR58" i="46" s="1"/>
  <c r="X57" i="46"/>
  <c r="Y57" i="46" s="1"/>
  <c r="Z57" i="46" s="1"/>
  <c r="AA57" i="46" s="1"/>
  <c r="AB57" i="46" s="1"/>
  <c r="AC57" i="46" s="1"/>
  <c r="AD57" i="46" s="1"/>
  <c r="AE57" i="46" s="1"/>
  <c r="AF57" i="46" s="1"/>
  <c r="AG57" i="46" s="1"/>
  <c r="AH57" i="46" s="1"/>
  <c r="AI57" i="46" s="1"/>
  <c r="AJ57" i="46" s="1"/>
  <c r="AK57" i="46" s="1"/>
  <c r="AL57" i="46" s="1"/>
  <c r="AM57" i="46" s="1"/>
  <c r="AN57" i="46" s="1"/>
  <c r="AO57" i="46" s="1"/>
  <c r="AP57" i="46" s="1"/>
  <c r="AQ57" i="46" s="1"/>
  <c r="AR57" i="46" s="1"/>
  <c r="AS57" i="46" s="1"/>
  <c r="AT57" i="46" s="1"/>
  <c r="AU57" i="46" s="1"/>
  <c r="AV57" i="46" s="1"/>
  <c r="AW57" i="46" s="1"/>
  <c r="AX57" i="46" s="1"/>
  <c r="AY57" i="46" s="1"/>
  <c r="AZ57" i="46" s="1"/>
  <c r="BA57" i="46" s="1"/>
  <c r="BB57" i="46" s="1"/>
  <c r="BC57" i="46" s="1"/>
  <c r="BD57" i="46" s="1"/>
  <c r="BE57" i="46" s="1"/>
  <c r="BF57" i="46" s="1"/>
  <c r="BG57" i="46" s="1"/>
  <c r="BH57" i="46" s="1"/>
  <c r="BI57" i="46" s="1"/>
  <c r="BJ57" i="46" s="1"/>
  <c r="BK57" i="46" s="1"/>
  <c r="BL57" i="46" s="1"/>
  <c r="BM57" i="46" s="1"/>
  <c r="BN57" i="46" s="1"/>
  <c r="BO57" i="46" s="1"/>
  <c r="BP57" i="46" s="1"/>
  <c r="BQ57" i="46" s="1"/>
  <c r="BR57" i="46" s="1"/>
  <c r="BS57" i="46" s="1"/>
  <c r="BT57" i="46" s="1"/>
  <c r="BU57" i="46" s="1"/>
  <c r="BV57" i="46" s="1"/>
  <c r="BW57" i="46" s="1"/>
  <c r="BX57" i="46" s="1"/>
  <c r="BY57" i="46" s="1"/>
  <c r="BZ57" i="46" s="1"/>
  <c r="CA57" i="46" s="1"/>
  <c r="CB57" i="46" s="1"/>
  <c r="CC57" i="46" s="1"/>
  <c r="CD57" i="46" s="1"/>
  <c r="CE57" i="46" s="1"/>
  <c r="CF57" i="46" s="1"/>
  <c r="CG57" i="46" s="1"/>
  <c r="CH57" i="46" s="1"/>
  <c r="CI57" i="46" s="1"/>
  <c r="CJ57" i="46" s="1"/>
  <c r="CK57" i="46" s="1"/>
  <c r="CL57" i="46" s="1"/>
  <c r="CM57" i="46" s="1"/>
  <c r="CN57" i="46" s="1"/>
  <c r="CO57" i="46" s="1"/>
  <c r="CP57" i="46" s="1"/>
  <c r="CQ57" i="46" s="1"/>
  <c r="CR57" i="46" s="1"/>
  <c r="CS57" i="46" s="1"/>
  <c r="CT57" i="46" s="1"/>
  <c r="CU57" i="46" s="1"/>
  <c r="CV57" i="46" s="1"/>
  <c r="CW57" i="46" s="1"/>
  <c r="CX57" i="46" s="1"/>
  <c r="CY57" i="46" s="1"/>
  <c r="CZ57" i="46" s="1"/>
  <c r="DA57" i="46" s="1"/>
  <c r="DB57" i="46" s="1"/>
  <c r="DC57" i="46" s="1"/>
  <c r="DD57" i="46" s="1"/>
  <c r="DE57" i="46" s="1"/>
  <c r="DF57" i="46" s="1"/>
  <c r="DG57" i="46" s="1"/>
  <c r="DH57" i="46" s="1"/>
  <c r="DI57" i="46" s="1"/>
  <c r="DJ57" i="46" s="1"/>
  <c r="DK57" i="46" s="1"/>
  <c r="DL57" i="46" s="1"/>
  <c r="DM57" i="46" s="1"/>
  <c r="DN57" i="46" s="1"/>
  <c r="DO57" i="46" s="1"/>
  <c r="DP57" i="46" s="1"/>
  <c r="DQ57" i="46" s="1"/>
  <c r="DR57" i="46" s="1"/>
  <c r="CG7" i="46"/>
  <c r="AC50" i="46"/>
  <c r="T53" i="49"/>
  <c r="U53" i="49" s="1"/>
  <c r="G53" i="49"/>
  <c r="F54" i="49"/>
  <c r="G54" i="49" s="1"/>
  <c r="Q38" i="50"/>
  <c r="R38" i="50" s="1"/>
  <c r="S38" i="50" s="1"/>
  <c r="T38" i="50" s="1"/>
  <c r="U38" i="50" s="1"/>
  <c r="V38" i="50" s="1"/>
  <c r="W38" i="50" s="1"/>
  <c r="X38" i="50" s="1"/>
  <c r="Y38" i="50" s="1"/>
  <c r="Z38" i="50" s="1"/>
  <c r="AA38" i="50" s="1"/>
  <c r="AB38" i="50" s="1"/>
  <c r="AC38" i="50" s="1"/>
  <c r="AD38" i="50" s="1"/>
  <c r="AE38" i="50" s="1"/>
  <c r="AF38" i="50" s="1"/>
  <c r="AG38" i="50" s="1"/>
  <c r="AH38" i="50" s="1"/>
  <c r="AI38" i="50" s="1"/>
  <c r="AJ38" i="50" s="1"/>
  <c r="AK38" i="50" s="1"/>
  <c r="AL38" i="50" s="1"/>
  <c r="AM38" i="50" s="1"/>
  <c r="AN38" i="50" s="1"/>
  <c r="AO38" i="50" s="1"/>
  <c r="AP38" i="50" s="1"/>
  <c r="AQ38" i="50" s="1"/>
  <c r="AR38" i="50" s="1"/>
  <c r="AS38" i="50" s="1"/>
  <c r="AT38" i="50" s="1"/>
  <c r="H56" i="50"/>
  <c r="I56" i="50" s="1"/>
  <c r="K60" i="46"/>
  <c r="N60" i="46" s="1"/>
  <c r="H60" i="46"/>
  <c r="I60" i="46" s="1"/>
  <c r="Q59" i="45"/>
  <c r="R59" i="45" s="1"/>
  <c r="S59" i="45" s="1"/>
  <c r="T59" i="45" s="1"/>
  <c r="U59" i="45" s="1"/>
  <c r="V59" i="45" s="1"/>
  <c r="W59" i="45" s="1"/>
  <c r="X59" i="45" s="1"/>
  <c r="Y59" i="45" s="1"/>
  <c r="Z59" i="45" s="1"/>
  <c r="AA59" i="45" s="1"/>
  <c r="AB59" i="45" s="1"/>
  <c r="AC59" i="45" s="1"/>
  <c r="AD59" i="45" s="1"/>
  <c r="AE59" i="45" s="1"/>
  <c r="AF59" i="45" s="1"/>
  <c r="AG59" i="45" s="1"/>
  <c r="AH59" i="45" s="1"/>
  <c r="AI59" i="45" s="1"/>
  <c r="AJ59" i="45" s="1"/>
  <c r="AK59" i="45" s="1"/>
  <c r="AL59" i="45" s="1"/>
  <c r="AM59" i="45" s="1"/>
  <c r="AN59" i="45" s="1"/>
  <c r="AO59" i="45" s="1"/>
  <c r="AP59" i="45" s="1"/>
  <c r="AQ59" i="45" s="1"/>
  <c r="AR59" i="45" s="1"/>
  <c r="AS59" i="45" s="1"/>
  <c r="AT59" i="45" s="1"/>
  <c r="AU59" i="45" s="1"/>
  <c r="AV59" i="45" s="1"/>
  <c r="AW59" i="45" s="1"/>
  <c r="AX59" i="45" s="1"/>
  <c r="AY59" i="45" s="1"/>
  <c r="AZ59" i="45" s="1"/>
  <c r="BA59" i="45" s="1"/>
  <c r="BB59" i="45" s="1"/>
  <c r="BC59" i="45" s="1"/>
  <c r="BD59" i="45" s="1"/>
  <c r="H59" i="45"/>
  <c r="I59" i="45" s="1"/>
  <c r="J58" i="45"/>
  <c r="G60" i="46"/>
  <c r="U60" i="43"/>
  <c r="K55" i="50"/>
  <c r="K58" i="45"/>
  <c r="W60" i="46"/>
  <c r="J55" i="50"/>
  <c r="T61" i="43"/>
  <c r="F57" i="50"/>
  <c r="N60" i="45"/>
  <c r="F61" i="46"/>
  <c r="M61" i="46" s="1"/>
  <c r="F60" i="45"/>
  <c r="J59" i="46" l="1"/>
  <c r="BV30" i="46"/>
  <c r="BH33" i="46"/>
  <c r="CC21" i="46"/>
  <c r="J57" i="46"/>
  <c r="J58" i="46"/>
  <c r="F55" i="49"/>
  <c r="G55" i="49" s="1"/>
  <c r="T54" i="49"/>
  <c r="U54" i="49" s="1"/>
  <c r="X60" i="46"/>
  <c r="Y60" i="46" s="1"/>
  <c r="Z60" i="46" s="1"/>
  <c r="AA60" i="46" s="1"/>
  <c r="AB60" i="46" s="1"/>
  <c r="AC60" i="46" s="1"/>
  <c r="AD60" i="46" s="1"/>
  <c r="AE60" i="46" s="1"/>
  <c r="AF60" i="46" s="1"/>
  <c r="AG60" i="46" s="1"/>
  <c r="AH60" i="46" s="1"/>
  <c r="AI60" i="46" s="1"/>
  <c r="AJ60" i="46" s="1"/>
  <c r="AK60" i="46" s="1"/>
  <c r="AL60" i="46" s="1"/>
  <c r="AM60" i="46" s="1"/>
  <c r="AN60" i="46" s="1"/>
  <c r="AO60" i="46" s="1"/>
  <c r="AP60" i="46" s="1"/>
  <c r="AQ60" i="46" s="1"/>
  <c r="AR60" i="46" s="1"/>
  <c r="AS60" i="46" s="1"/>
  <c r="AT60" i="46" s="1"/>
  <c r="AU60" i="46" s="1"/>
  <c r="AV60" i="46" s="1"/>
  <c r="AW60" i="46" s="1"/>
  <c r="AX60" i="46" s="1"/>
  <c r="AY60" i="46" s="1"/>
  <c r="AZ60" i="46" s="1"/>
  <c r="BA60" i="46" s="1"/>
  <c r="BB60" i="46" s="1"/>
  <c r="BC60" i="46" s="1"/>
  <c r="BD60" i="46" s="1"/>
  <c r="BE60" i="46" s="1"/>
  <c r="BF60" i="46" s="1"/>
  <c r="BG60" i="46" s="1"/>
  <c r="BH60" i="46" s="1"/>
  <c r="BI60" i="46" s="1"/>
  <c r="BJ60" i="46" s="1"/>
  <c r="BK60" i="46" s="1"/>
  <c r="BL60" i="46" s="1"/>
  <c r="BM60" i="46" s="1"/>
  <c r="BN60" i="46" s="1"/>
  <c r="BO60" i="46" s="1"/>
  <c r="BP60" i="46" s="1"/>
  <c r="BQ60" i="46" s="1"/>
  <c r="BR60" i="46" s="1"/>
  <c r="BS60" i="46" s="1"/>
  <c r="BT60" i="46" s="1"/>
  <c r="BU60" i="46" s="1"/>
  <c r="BV60" i="46" s="1"/>
  <c r="BW60" i="46" s="1"/>
  <c r="BX60" i="46" s="1"/>
  <c r="BY60" i="46" s="1"/>
  <c r="BZ60" i="46" s="1"/>
  <c r="CA60" i="46" s="1"/>
  <c r="CB60" i="46" s="1"/>
  <c r="CC60" i="46" s="1"/>
  <c r="CD60" i="46" s="1"/>
  <c r="CE60" i="46" s="1"/>
  <c r="CF60" i="46" s="1"/>
  <c r="CG60" i="46" s="1"/>
  <c r="CH60" i="46" s="1"/>
  <c r="CI60" i="46" s="1"/>
  <c r="CJ60" i="46" s="1"/>
  <c r="CK60" i="46" s="1"/>
  <c r="CL60" i="46" s="1"/>
  <c r="CM60" i="46" s="1"/>
  <c r="CN60" i="46" s="1"/>
  <c r="CO60" i="46" s="1"/>
  <c r="CP60" i="46" s="1"/>
  <c r="CQ60" i="46" s="1"/>
  <c r="CR60" i="46" s="1"/>
  <c r="CS60" i="46" s="1"/>
  <c r="CT60" i="46" s="1"/>
  <c r="CU60" i="46" s="1"/>
  <c r="CV60" i="46" s="1"/>
  <c r="CW60" i="46" s="1"/>
  <c r="CX60" i="46" s="1"/>
  <c r="CY60" i="46" s="1"/>
  <c r="CZ60" i="46" s="1"/>
  <c r="DA60" i="46" s="1"/>
  <c r="DB60" i="46" s="1"/>
  <c r="DC60" i="46" s="1"/>
  <c r="DD60" i="46" s="1"/>
  <c r="DE60" i="46" s="1"/>
  <c r="DF60" i="46" s="1"/>
  <c r="DG60" i="46" s="1"/>
  <c r="DH60" i="46" s="1"/>
  <c r="DI60" i="46" s="1"/>
  <c r="DJ60" i="46" s="1"/>
  <c r="DK60" i="46" s="1"/>
  <c r="DL60" i="46" s="1"/>
  <c r="DM60" i="46" s="1"/>
  <c r="DN60" i="46" s="1"/>
  <c r="DO60" i="46" s="1"/>
  <c r="DP60" i="46" s="1"/>
  <c r="DQ60" i="46" s="1"/>
  <c r="DR60" i="46" s="1"/>
  <c r="CH7" i="46"/>
  <c r="AD50" i="46"/>
  <c r="F65" i="43"/>
  <c r="G69" i="43" s="1"/>
  <c r="Q39" i="50"/>
  <c r="R39" i="50" s="1"/>
  <c r="S39" i="50" s="1"/>
  <c r="T39" i="50" s="1"/>
  <c r="U39" i="50" s="1"/>
  <c r="V39" i="50" s="1"/>
  <c r="W39" i="50" s="1"/>
  <c r="X39" i="50" s="1"/>
  <c r="Y39" i="50" s="1"/>
  <c r="Z39" i="50" s="1"/>
  <c r="AA39" i="50" s="1"/>
  <c r="AB39" i="50" s="1"/>
  <c r="AC39" i="50" s="1"/>
  <c r="AD39" i="50" s="1"/>
  <c r="AE39" i="50" s="1"/>
  <c r="AF39" i="50" s="1"/>
  <c r="AG39" i="50" s="1"/>
  <c r="AH39" i="50" s="1"/>
  <c r="AI39" i="50" s="1"/>
  <c r="AJ39" i="50" s="1"/>
  <c r="AK39" i="50" s="1"/>
  <c r="AL39" i="50" s="1"/>
  <c r="AM39" i="50" s="1"/>
  <c r="AN39" i="50" s="1"/>
  <c r="AO39" i="50" s="1"/>
  <c r="AP39" i="50" s="1"/>
  <c r="AQ39" i="50" s="1"/>
  <c r="AR39" i="50" s="1"/>
  <c r="AS39" i="50" s="1"/>
  <c r="AT39" i="50" s="1"/>
  <c r="H57" i="50"/>
  <c r="I57" i="50" s="1"/>
  <c r="K61" i="46"/>
  <c r="N61" i="46" s="1"/>
  <c r="H61" i="46"/>
  <c r="I61" i="46" s="1"/>
  <c r="Q60" i="45"/>
  <c r="R60" i="45" s="1"/>
  <c r="S60" i="45" s="1"/>
  <c r="T60" i="45" s="1"/>
  <c r="U60" i="45" s="1"/>
  <c r="V60" i="45" s="1"/>
  <c r="W60" i="45" s="1"/>
  <c r="X60" i="45" s="1"/>
  <c r="Y60" i="45" s="1"/>
  <c r="Z60" i="45" s="1"/>
  <c r="AA60" i="45" s="1"/>
  <c r="AB60" i="45" s="1"/>
  <c r="AC60" i="45" s="1"/>
  <c r="AD60" i="45" s="1"/>
  <c r="AE60" i="45" s="1"/>
  <c r="AF60" i="45" s="1"/>
  <c r="AG60" i="45" s="1"/>
  <c r="AH60" i="45" s="1"/>
  <c r="AI60" i="45" s="1"/>
  <c r="AJ60" i="45" s="1"/>
  <c r="AK60" i="45" s="1"/>
  <c r="AL60" i="45" s="1"/>
  <c r="AM60" i="45" s="1"/>
  <c r="AN60" i="45" s="1"/>
  <c r="AO60" i="45" s="1"/>
  <c r="AP60" i="45" s="1"/>
  <c r="AQ60" i="45" s="1"/>
  <c r="AR60" i="45" s="1"/>
  <c r="AS60" i="45" s="1"/>
  <c r="AT60" i="45" s="1"/>
  <c r="AU60" i="45" s="1"/>
  <c r="AV60" i="45" s="1"/>
  <c r="AW60" i="45" s="1"/>
  <c r="AX60" i="45" s="1"/>
  <c r="AY60" i="45" s="1"/>
  <c r="AZ60" i="45" s="1"/>
  <c r="BA60" i="45" s="1"/>
  <c r="BB60" i="45" s="1"/>
  <c r="BC60" i="45" s="1"/>
  <c r="BD60" i="45" s="1"/>
  <c r="H60" i="45"/>
  <c r="I60" i="45" s="1"/>
  <c r="J59" i="45"/>
  <c r="G61" i="46"/>
  <c r="U61" i="43"/>
  <c r="J56" i="50"/>
  <c r="F58" i="50"/>
  <c r="T62" i="43"/>
  <c r="F62" i="46"/>
  <c r="M62" i="46" s="1"/>
  <c r="F61" i="45"/>
  <c r="N61" i="45"/>
  <c r="W61" i="46"/>
  <c r="K59" i="45"/>
  <c r="K56" i="50"/>
  <c r="F56" i="49" l="1"/>
  <c r="G56" i="49" s="1"/>
  <c r="T55" i="49"/>
  <c r="U55" i="49" s="1"/>
  <c r="BI33" i="46"/>
  <c r="J60" i="46"/>
  <c r="BW30" i="46"/>
  <c r="CD21" i="46"/>
  <c r="X61" i="46"/>
  <c r="Y61" i="46" s="1"/>
  <c r="Z61" i="46" s="1"/>
  <c r="AA61" i="46" s="1"/>
  <c r="AB61" i="46" s="1"/>
  <c r="AC61" i="46" s="1"/>
  <c r="AD61" i="46" s="1"/>
  <c r="AE61" i="46" s="1"/>
  <c r="AF61" i="46" s="1"/>
  <c r="AG61" i="46" s="1"/>
  <c r="AH61" i="46" s="1"/>
  <c r="AI61" i="46" s="1"/>
  <c r="AJ61" i="46" s="1"/>
  <c r="AK61" i="46" s="1"/>
  <c r="AL61" i="46" s="1"/>
  <c r="AM61" i="46" s="1"/>
  <c r="AN61" i="46" s="1"/>
  <c r="AO61" i="46" s="1"/>
  <c r="AP61" i="46" s="1"/>
  <c r="AQ61" i="46" s="1"/>
  <c r="AR61" i="46" s="1"/>
  <c r="AS61" i="46" s="1"/>
  <c r="AT61" i="46" s="1"/>
  <c r="AU61" i="46" s="1"/>
  <c r="AV61" i="46" s="1"/>
  <c r="AW61" i="46" s="1"/>
  <c r="AX61" i="46" s="1"/>
  <c r="AY61" i="46" s="1"/>
  <c r="AZ61" i="46" s="1"/>
  <c r="BA61" i="46" s="1"/>
  <c r="BB61" i="46" s="1"/>
  <c r="BC61" i="46" s="1"/>
  <c r="BD61" i="46" s="1"/>
  <c r="BE61" i="46" s="1"/>
  <c r="BF61" i="46" s="1"/>
  <c r="BG61" i="46" s="1"/>
  <c r="BH61" i="46" s="1"/>
  <c r="BI61" i="46" s="1"/>
  <c r="BJ61" i="46" s="1"/>
  <c r="BK61" i="46" s="1"/>
  <c r="BL61" i="46" s="1"/>
  <c r="BM61" i="46" s="1"/>
  <c r="BN61" i="46" s="1"/>
  <c r="BO61" i="46" s="1"/>
  <c r="BP61" i="46" s="1"/>
  <c r="BQ61" i="46" s="1"/>
  <c r="BR61" i="46" s="1"/>
  <c r="BS61" i="46" s="1"/>
  <c r="BT61" i="46" s="1"/>
  <c r="BU61" i="46" s="1"/>
  <c r="BV61" i="46" s="1"/>
  <c r="BW61" i="46" s="1"/>
  <c r="BX61" i="46" s="1"/>
  <c r="BY61" i="46" s="1"/>
  <c r="BZ61" i="46" s="1"/>
  <c r="CA61" i="46" s="1"/>
  <c r="CB61" i="46" s="1"/>
  <c r="CC61" i="46" s="1"/>
  <c r="CD61" i="46" s="1"/>
  <c r="CE61" i="46" s="1"/>
  <c r="CF61" i="46" s="1"/>
  <c r="CG61" i="46" s="1"/>
  <c r="CH61" i="46" s="1"/>
  <c r="CI61" i="46" s="1"/>
  <c r="CJ61" i="46" s="1"/>
  <c r="CK61" i="46" s="1"/>
  <c r="CL61" i="46" s="1"/>
  <c r="CM61" i="46" s="1"/>
  <c r="CN61" i="46" s="1"/>
  <c r="CO61" i="46" s="1"/>
  <c r="CP61" i="46" s="1"/>
  <c r="CQ61" i="46" s="1"/>
  <c r="CR61" i="46" s="1"/>
  <c r="CS61" i="46" s="1"/>
  <c r="CT61" i="46" s="1"/>
  <c r="CU61" i="46" s="1"/>
  <c r="CV61" i="46" s="1"/>
  <c r="CW61" i="46" s="1"/>
  <c r="CX61" i="46" s="1"/>
  <c r="CY61" i="46" s="1"/>
  <c r="CZ61" i="46" s="1"/>
  <c r="DA61" i="46" s="1"/>
  <c r="DB61" i="46" s="1"/>
  <c r="DC61" i="46" s="1"/>
  <c r="DD61" i="46" s="1"/>
  <c r="DE61" i="46" s="1"/>
  <c r="DF61" i="46" s="1"/>
  <c r="DG61" i="46" s="1"/>
  <c r="DH61" i="46" s="1"/>
  <c r="DI61" i="46" s="1"/>
  <c r="DJ61" i="46" s="1"/>
  <c r="DK61" i="46" s="1"/>
  <c r="DL61" i="46" s="1"/>
  <c r="DM61" i="46" s="1"/>
  <c r="DN61" i="46" s="1"/>
  <c r="DO61" i="46" s="1"/>
  <c r="DP61" i="46" s="1"/>
  <c r="DQ61" i="46" s="1"/>
  <c r="DR61" i="46" s="1"/>
  <c r="CI7" i="46"/>
  <c r="AE50" i="46"/>
  <c r="G65" i="43"/>
  <c r="Q40" i="50"/>
  <c r="R40" i="50" s="1"/>
  <c r="S40" i="50" s="1"/>
  <c r="T40" i="50" s="1"/>
  <c r="U40" i="50" s="1"/>
  <c r="V40" i="50" s="1"/>
  <c r="W40" i="50" s="1"/>
  <c r="X40" i="50" s="1"/>
  <c r="Y40" i="50" s="1"/>
  <c r="Z40" i="50" s="1"/>
  <c r="AA40" i="50" s="1"/>
  <c r="AB40" i="50" s="1"/>
  <c r="AC40" i="50" s="1"/>
  <c r="AD40" i="50" s="1"/>
  <c r="AE40" i="50" s="1"/>
  <c r="AF40" i="50" s="1"/>
  <c r="AG40" i="50" s="1"/>
  <c r="AH40" i="50" s="1"/>
  <c r="AI40" i="50" s="1"/>
  <c r="AJ40" i="50" s="1"/>
  <c r="AK40" i="50" s="1"/>
  <c r="AL40" i="50" s="1"/>
  <c r="AM40" i="50" s="1"/>
  <c r="AN40" i="50" s="1"/>
  <c r="AO40" i="50" s="1"/>
  <c r="AP40" i="50" s="1"/>
  <c r="AQ40" i="50" s="1"/>
  <c r="AR40" i="50" s="1"/>
  <c r="AS40" i="50" s="1"/>
  <c r="AT40" i="50" s="1"/>
  <c r="H58" i="50"/>
  <c r="I58" i="50" s="1"/>
  <c r="K62" i="46"/>
  <c r="N62" i="46" s="1"/>
  <c r="H62" i="46"/>
  <c r="I62" i="46" s="1"/>
  <c r="Q61" i="45"/>
  <c r="R61" i="45" s="1"/>
  <c r="S61" i="45" s="1"/>
  <c r="T61" i="45" s="1"/>
  <c r="U61" i="45" s="1"/>
  <c r="V61" i="45" s="1"/>
  <c r="W61" i="45" s="1"/>
  <c r="X61" i="45" s="1"/>
  <c r="Y61" i="45" s="1"/>
  <c r="Z61" i="45" s="1"/>
  <c r="AA61" i="45" s="1"/>
  <c r="AB61" i="45" s="1"/>
  <c r="AC61" i="45" s="1"/>
  <c r="AD61" i="45" s="1"/>
  <c r="AE61" i="45" s="1"/>
  <c r="AF61" i="45" s="1"/>
  <c r="AG61" i="45" s="1"/>
  <c r="AH61" i="45" s="1"/>
  <c r="AI61" i="45" s="1"/>
  <c r="AJ61" i="45" s="1"/>
  <c r="AK61" i="45" s="1"/>
  <c r="AL61" i="45" s="1"/>
  <c r="AM61" i="45" s="1"/>
  <c r="AN61" i="45" s="1"/>
  <c r="AO61" i="45" s="1"/>
  <c r="AP61" i="45" s="1"/>
  <c r="AQ61" i="45" s="1"/>
  <c r="AR61" i="45" s="1"/>
  <c r="AS61" i="45" s="1"/>
  <c r="AT61" i="45" s="1"/>
  <c r="AU61" i="45" s="1"/>
  <c r="AV61" i="45" s="1"/>
  <c r="AW61" i="45" s="1"/>
  <c r="AX61" i="45" s="1"/>
  <c r="AY61" i="45" s="1"/>
  <c r="AZ61" i="45" s="1"/>
  <c r="BA61" i="45" s="1"/>
  <c r="BB61" i="45" s="1"/>
  <c r="BC61" i="45" s="1"/>
  <c r="BD61" i="45" s="1"/>
  <c r="H61" i="45"/>
  <c r="I61" i="45" s="1"/>
  <c r="T56" i="49"/>
  <c r="U56" i="49" s="1"/>
  <c r="F57" i="49"/>
  <c r="G57" i="49" s="1"/>
  <c r="G62" i="46"/>
  <c r="U62" i="43"/>
  <c r="K57" i="50"/>
  <c r="J57" i="50"/>
  <c r="J60" i="45"/>
  <c r="T63" i="43"/>
  <c r="F59" i="50"/>
  <c r="F62" i="45"/>
  <c r="N62" i="45"/>
  <c r="F63" i="46"/>
  <c r="M63" i="46" s="1"/>
  <c r="K60" i="45"/>
  <c r="W62" i="46"/>
  <c r="CE21" i="46" l="1"/>
  <c r="BX30" i="46"/>
  <c r="J61" i="46"/>
  <c r="BJ33" i="46"/>
  <c r="X62" i="46"/>
  <c r="Y62" i="46" s="1"/>
  <c r="Z62" i="46" s="1"/>
  <c r="AA62" i="46" s="1"/>
  <c r="AB62" i="46" s="1"/>
  <c r="AC62" i="46" s="1"/>
  <c r="AD62" i="46" s="1"/>
  <c r="AE62" i="46" s="1"/>
  <c r="AF62" i="46" s="1"/>
  <c r="AG62" i="46" s="1"/>
  <c r="AH62" i="46" s="1"/>
  <c r="AI62" i="46" s="1"/>
  <c r="AJ62" i="46" s="1"/>
  <c r="AK62" i="46" s="1"/>
  <c r="AL62" i="46" s="1"/>
  <c r="AM62" i="46" s="1"/>
  <c r="AN62" i="46" s="1"/>
  <c r="AO62" i="46" s="1"/>
  <c r="AP62" i="46" s="1"/>
  <c r="AQ62" i="46" s="1"/>
  <c r="AR62" i="46" s="1"/>
  <c r="AS62" i="46" s="1"/>
  <c r="AT62" i="46" s="1"/>
  <c r="AU62" i="46" s="1"/>
  <c r="AV62" i="46" s="1"/>
  <c r="AW62" i="46" s="1"/>
  <c r="AX62" i="46" s="1"/>
  <c r="AY62" i="46" s="1"/>
  <c r="AZ62" i="46" s="1"/>
  <c r="BA62" i="46" s="1"/>
  <c r="BB62" i="46" s="1"/>
  <c r="BC62" i="46" s="1"/>
  <c r="BD62" i="46" s="1"/>
  <c r="BE62" i="46" s="1"/>
  <c r="BF62" i="46" s="1"/>
  <c r="BG62" i="46" s="1"/>
  <c r="BH62" i="46" s="1"/>
  <c r="BI62" i="46" s="1"/>
  <c r="BJ62" i="46" s="1"/>
  <c r="BK62" i="46" s="1"/>
  <c r="BL62" i="46" s="1"/>
  <c r="BM62" i="46" s="1"/>
  <c r="BN62" i="46" s="1"/>
  <c r="BO62" i="46" s="1"/>
  <c r="BP62" i="46" s="1"/>
  <c r="BQ62" i="46" s="1"/>
  <c r="BR62" i="46" s="1"/>
  <c r="BS62" i="46" s="1"/>
  <c r="BT62" i="46" s="1"/>
  <c r="BU62" i="46" s="1"/>
  <c r="BV62" i="46" s="1"/>
  <c r="BW62" i="46" s="1"/>
  <c r="BX62" i="46" s="1"/>
  <c r="BY62" i="46" s="1"/>
  <c r="BZ62" i="46" s="1"/>
  <c r="CA62" i="46" s="1"/>
  <c r="CB62" i="46" s="1"/>
  <c r="CC62" i="46" s="1"/>
  <c r="CD62" i="46" s="1"/>
  <c r="CE62" i="46" s="1"/>
  <c r="CF62" i="46" s="1"/>
  <c r="CG62" i="46" s="1"/>
  <c r="CH62" i="46" s="1"/>
  <c r="CI62" i="46" s="1"/>
  <c r="CJ62" i="46" s="1"/>
  <c r="CK62" i="46" s="1"/>
  <c r="CL62" i="46" s="1"/>
  <c r="CM62" i="46" s="1"/>
  <c r="CN62" i="46" s="1"/>
  <c r="CO62" i="46" s="1"/>
  <c r="CP62" i="46" s="1"/>
  <c r="CQ62" i="46" s="1"/>
  <c r="CR62" i="46" s="1"/>
  <c r="CS62" i="46" s="1"/>
  <c r="CT62" i="46" s="1"/>
  <c r="CU62" i="46" s="1"/>
  <c r="CV62" i="46" s="1"/>
  <c r="CW62" i="46" s="1"/>
  <c r="CX62" i="46" s="1"/>
  <c r="CY62" i="46" s="1"/>
  <c r="CZ62" i="46" s="1"/>
  <c r="DA62" i="46" s="1"/>
  <c r="DB62" i="46" s="1"/>
  <c r="DC62" i="46" s="1"/>
  <c r="DD62" i="46" s="1"/>
  <c r="DE62" i="46" s="1"/>
  <c r="DF62" i="46" s="1"/>
  <c r="DG62" i="46" s="1"/>
  <c r="DH62" i="46" s="1"/>
  <c r="DI62" i="46" s="1"/>
  <c r="DJ62" i="46" s="1"/>
  <c r="DK62" i="46" s="1"/>
  <c r="DL62" i="46" s="1"/>
  <c r="DM62" i="46" s="1"/>
  <c r="DN62" i="46" s="1"/>
  <c r="DO62" i="46" s="1"/>
  <c r="DP62" i="46" s="1"/>
  <c r="DQ62" i="46" s="1"/>
  <c r="DR62" i="46" s="1"/>
  <c r="CJ7" i="46"/>
  <c r="AF50" i="46"/>
  <c r="F67" i="46"/>
  <c r="M67" i="46" s="1"/>
  <c r="F62" i="50"/>
  <c r="N70" i="45"/>
  <c r="T69" i="43"/>
  <c r="U69" i="43" s="1"/>
  <c r="F68" i="46"/>
  <c r="M68" i="46" s="1"/>
  <c r="T70" i="43"/>
  <c r="U70" i="43" s="1"/>
  <c r="N71" i="45"/>
  <c r="Q41" i="50"/>
  <c r="R41" i="50" s="1"/>
  <c r="S41" i="50" s="1"/>
  <c r="T41" i="50" s="1"/>
  <c r="U41" i="50" s="1"/>
  <c r="V41" i="50" s="1"/>
  <c r="W41" i="50" s="1"/>
  <c r="X41" i="50" s="1"/>
  <c r="Y41" i="50" s="1"/>
  <c r="Z41" i="50" s="1"/>
  <c r="AA41" i="50" s="1"/>
  <c r="AB41" i="50" s="1"/>
  <c r="AC41" i="50" s="1"/>
  <c r="AD41" i="50" s="1"/>
  <c r="AE41" i="50" s="1"/>
  <c r="AF41" i="50" s="1"/>
  <c r="AG41" i="50" s="1"/>
  <c r="AH41" i="50" s="1"/>
  <c r="AI41" i="50" s="1"/>
  <c r="AJ41" i="50" s="1"/>
  <c r="AK41" i="50" s="1"/>
  <c r="AL41" i="50" s="1"/>
  <c r="AM41" i="50" s="1"/>
  <c r="AN41" i="50" s="1"/>
  <c r="AO41" i="50" s="1"/>
  <c r="AP41" i="50" s="1"/>
  <c r="AQ41" i="50" s="1"/>
  <c r="AR41" i="50" s="1"/>
  <c r="AS41" i="50" s="1"/>
  <c r="AT41" i="50" s="1"/>
  <c r="H59" i="50"/>
  <c r="I59" i="50" s="1"/>
  <c r="K63" i="46"/>
  <c r="N63" i="46" s="1"/>
  <c r="H63" i="46"/>
  <c r="I63" i="46" s="1"/>
  <c r="Q62" i="45"/>
  <c r="R62" i="45" s="1"/>
  <c r="S62" i="45" s="1"/>
  <c r="T62" i="45" s="1"/>
  <c r="U62" i="45" s="1"/>
  <c r="V62" i="45" s="1"/>
  <c r="W62" i="45" s="1"/>
  <c r="X62" i="45" s="1"/>
  <c r="Y62" i="45" s="1"/>
  <c r="Z62" i="45" s="1"/>
  <c r="AA62" i="45" s="1"/>
  <c r="AB62" i="45" s="1"/>
  <c r="AC62" i="45" s="1"/>
  <c r="AD62" i="45" s="1"/>
  <c r="AE62" i="45" s="1"/>
  <c r="AF62" i="45" s="1"/>
  <c r="AG62" i="45" s="1"/>
  <c r="AH62" i="45" s="1"/>
  <c r="AI62" i="45" s="1"/>
  <c r="AJ62" i="45" s="1"/>
  <c r="AK62" i="45" s="1"/>
  <c r="AL62" i="45" s="1"/>
  <c r="AM62" i="45" s="1"/>
  <c r="AN62" i="45" s="1"/>
  <c r="AO62" i="45" s="1"/>
  <c r="AP62" i="45" s="1"/>
  <c r="AQ62" i="45" s="1"/>
  <c r="AR62" i="45" s="1"/>
  <c r="AS62" i="45" s="1"/>
  <c r="AT62" i="45" s="1"/>
  <c r="AU62" i="45" s="1"/>
  <c r="AV62" i="45" s="1"/>
  <c r="AW62" i="45" s="1"/>
  <c r="AX62" i="45" s="1"/>
  <c r="AY62" i="45" s="1"/>
  <c r="AZ62" i="45" s="1"/>
  <c r="BA62" i="45" s="1"/>
  <c r="BB62" i="45" s="1"/>
  <c r="BC62" i="45" s="1"/>
  <c r="BD62" i="45" s="1"/>
  <c r="H62" i="45"/>
  <c r="I62" i="45" s="1"/>
  <c r="T57" i="49"/>
  <c r="U57" i="49" s="1"/>
  <c r="F58" i="49"/>
  <c r="G63" i="46"/>
  <c r="U63" i="43"/>
  <c r="J58" i="50"/>
  <c r="F63" i="45"/>
  <c r="H63" i="45" s="1"/>
  <c r="I63" i="45" s="1"/>
  <c r="F64" i="46"/>
  <c r="M64" i="46" s="1"/>
  <c r="N63" i="45"/>
  <c r="T64" i="43"/>
  <c r="K58" i="50"/>
  <c r="W63" i="46"/>
  <c r="K61" i="45"/>
  <c r="J61" i="45"/>
  <c r="J62" i="46" l="1"/>
  <c r="BK33" i="46"/>
  <c r="BY30" i="46"/>
  <c r="CF21" i="46"/>
  <c r="X63" i="46"/>
  <c r="Y63" i="46" s="1"/>
  <c r="Z63" i="46" s="1"/>
  <c r="AA63" i="46" s="1"/>
  <c r="AB63" i="46" s="1"/>
  <c r="AC63" i="46" s="1"/>
  <c r="AD63" i="46" s="1"/>
  <c r="AE63" i="46" s="1"/>
  <c r="AF63" i="46" s="1"/>
  <c r="AG63" i="46" s="1"/>
  <c r="AH63" i="46" s="1"/>
  <c r="AI63" i="46" s="1"/>
  <c r="AJ63" i="46" s="1"/>
  <c r="AK63" i="46" s="1"/>
  <c r="AL63" i="46" s="1"/>
  <c r="AM63" i="46" s="1"/>
  <c r="AN63" i="46" s="1"/>
  <c r="AO63" i="46" s="1"/>
  <c r="AP63" i="46" s="1"/>
  <c r="AQ63" i="46" s="1"/>
  <c r="AR63" i="46" s="1"/>
  <c r="AS63" i="46" s="1"/>
  <c r="AT63" i="46" s="1"/>
  <c r="AU63" i="46" s="1"/>
  <c r="AV63" i="46" s="1"/>
  <c r="AW63" i="46" s="1"/>
  <c r="AX63" i="46" s="1"/>
  <c r="AY63" i="46" s="1"/>
  <c r="AZ63" i="46" s="1"/>
  <c r="BA63" i="46" s="1"/>
  <c r="BB63" i="46" s="1"/>
  <c r="BC63" i="46" s="1"/>
  <c r="BD63" i="46" s="1"/>
  <c r="BE63" i="46" s="1"/>
  <c r="BF63" i="46" s="1"/>
  <c r="BG63" i="46" s="1"/>
  <c r="BH63" i="46" s="1"/>
  <c r="BI63" i="46" s="1"/>
  <c r="BJ63" i="46" s="1"/>
  <c r="BK63" i="46" s="1"/>
  <c r="BL63" i="46" s="1"/>
  <c r="BM63" i="46" s="1"/>
  <c r="BN63" i="46" s="1"/>
  <c r="BO63" i="46" s="1"/>
  <c r="BP63" i="46" s="1"/>
  <c r="BQ63" i="46" s="1"/>
  <c r="BR63" i="46" s="1"/>
  <c r="BS63" i="46" s="1"/>
  <c r="BT63" i="46" s="1"/>
  <c r="BU63" i="46" s="1"/>
  <c r="BV63" i="46" s="1"/>
  <c r="BW63" i="46" s="1"/>
  <c r="BX63" i="46" s="1"/>
  <c r="BY63" i="46" s="1"/>
  <c r="BZ63" i="46" s="1"/>
  <c r="CA63" i="46" s="1"/>
  <c r="CB63" i="46" s="1"/>
  <c r="CC63" i="46" s="1"/>
  <c r="CD63" i="46" s="1"/>
  <c r="CE63" i="46" s="1"/>
  <c r="CF63" i="46" s="1"/>
  <c r="CG63" i="46" s="1"/>
  <c r="CH63" i="46" s="1"/>
  <c r="CI63" i="46" s="1"/>
  <c r="CJ63" i="46" s="1"/>
  <c r="CK63" i="46" s="1"/>
  <c r="CL63" i="46" s="1"/>
  <c r="CM63" i="46" s="1"/>
  <c r="CN63" i="46" s="1"/>
  <c r="CO63" i="46" s="1"/>
  <c r="CP63" i="46" s="1"/>
  <c r="CQ63" i="46" s="1"/>
  <c r="CR63" i="46" s="1"/>
  <c r="CS63" i="46" s="1"/>
  <c r="CT63" i="46" s="1"/>
  <c r="CU63" i="46" s="1"/>
  <c r="CV63" i="46" s="1"/>
  <c r="CW63" i="46" s="1"/>
  <c r="CX63" i="46" s="1"/>
  <c r="CY63" i="46" s="1"/>
  <c r="CZ63" i="46" s="1"/>
  <c r="DA63" i="46" s="1"/>
  <c r="DB63" i="46" s="1"/>
  <c r="DC63" i="46" s="1"/>
  <c r="DD63" i="46" s="1"/>
  <c r="DE63" i="46" s="1"/>
  <c r="DF63" i="46" s="1"/>
  <c r="DG63" i="46" s="1"/>
  <c r="DH63" i="46" s="1"/>
  <c r="DI63" i="46" s="1"/>
  <c r="DJ63" i="46" s="1"/>
  <c r="DK63" i="46" s="1"/>
  <c r="DL63" i="46" s="1"/>
  <c r="DM63" i="46" s="1"/>
  <c r="DN63" i="46" s="1"/>
  <c r="DO63" i="46" s="1"/>
  <c r="DP63" i="46" s="1"/>
  <c r="DQ63" i="46" s="1"/>
  <c r="DR63" i="46" s="1"/>
  <c r="CK7" i="46"/>
  <c r="AG50" i="46"/>
  <c r="F59" i="49"/>
  <c r="F60" i="49" s="1"/>
  <c r="G58" i="49"/>
  <c r="N72" i="45"/>
  <c r="T71" i="43"/>
  <c r="U71" i="43" s="1"/>
  <c r="F69" i="46"/>
  <c r="M69" i="46" s="1"/>
  <c r="W68" i="46"/>
  <c r="H68" i="46"/>
  <c r="I68" i="46" s="1"/>
  <c r="K68" i="46"/>
  <c r="N68" i="46" s="1"/>
  <c r="H62" i="50"/>
  <c r="I62" i="50" s="1"/>
  <c r="Q62" i="50"/>
  <c r="R62" i="50" s="1"/>
  <c r="S62" i="50" s="1"/>
  <c r="T62" i="50" s="1"/>
  <c r="U62" i="50" s="1"/>
  <c r="V62" i="50" s="1"/>
  <c r="W62" i="50" s="1"/>
  <c r="X62" i="50" s="1"/>
  <c r="Y62" i="50" s="1"/>
  <c r="Z62" i="50" s="1"/>
  <c r="AA62" i="50" s="1"/>
  <c r="AB62" i="50" s="1"/>
  <c r="AC62" i="50" s="1"/>
  <c r="AD62" i="50" s="1"/>
  <c r="AE62" i="50" s="1"/>
  <c r="AF62" i="50" s="1"/>
  <c r="AG62" i="50" s="1"/>
  <c r="AH62" i="50" s="1"/>
  <c r="AI62" i="50" s="1"/>
  <c r="AJ62" i="50" s="1"/>
  <c r="AK62" i="50" s="1"/>
  <c r="AL62" i="50" s="1"/>
  <c r="AM62" i="50" s="1"/>
  <c r="AN62" i="50" s="1"/>
  <c r="AO62" i="50" s="1"/>
  <c r="AP62" i="50" s="1"/>
  <c r="AQ62" i="50" s="1"/>
  <c r="AR62" i="50" s="1"/>
  <c r="AS62" i="50" s="1"/>
  <c r="AT62" i="50" s="1"/>
  <c r="F77" i="50"/>
  <c r="K67" i="46"/>
  <c r="N67" i="46" s="1"/>
  <c r="H67" i="46"/>
  <c r="I67" i="46" s="1"/>
  <c r="W67" i="46"/>
  <c r="K64" i="46"/>
  <c r="N64" i="46" s="1"/>
  <c r="H64" i="46"/>
  <c r="I64" i="46" s="1"/>
  <c r="T58" i="49"/>
  <c r="U58" i="49" s="1"/>
  <c r="G64" i="46"/>
  <c r="U64" i="43"/>
  <c r="J62" i="45"/>
  <c r="K62" i="45"/>
  <c r="J59" i="50"/>
  <c r="N66" i="45"/>
  <c r="W64" i="46"/>
  <c r="X64" i="46" s="1"/>
  <c r="Y64" i="46" s="1"/>
  <c r="Z64" i="46" s="1"/>
  <c r="AA64" i="46" s="1"/>
  <c r="AB64" i="46" s="1"/>
  <c r="AC64" i="46" s="1"/>
  <c r="AD64" i="46" s="1"/>
  <c r="AE64" i="46" s="1"/>
  <c r="AF64" i="46" s="1"/>
  <c r="AG64" i="46" s="1"/>
  <c r="AH64" i="46" s="1"/>
  <c r="AI64" i="46" s="1"/>
  <c r="AJ64" i="46" s="1"/>
  <c r="AK64" i="46" s="1"/>
  <c r="AL64" i="46" s="1"/>
  <c r="AM64" i="46" s="1"/>
  <c r="AN64" i="46" s="1"/>
  <c r="AO64" i="46" s="1"/>
  <c r="AP64" i="46" s="1"/>
  <c r="AQ64" i="46" s="1"/>
  <c r="AR64" i="46" s="1"/>
  <c r="AS64" i="46" s="1"/>
  <c r="AT64" i="46" s="1"/>
  <c r="AU64" i="46" s="1"/>
  <c r="AV64" i="46" s="1"/>
  <c r="AW64" i="46" s="1"/>
  <c r="AX64" i="46" s="1"/>
  <c r="AY64" i="46" s="1"/>
  <c r="AZ64" i="46" s="1"/>
  <c r="BA64" i="46" s="1"/>
  <c r="BB64" i="46" s="1"/>
  <c r="BC64" i="46" s="1"/>
  <c r="BD64" i="46" s="1"/>
  <c r="BE64" i="46" s="1"/>
  <c r="BF64" i="46" s="1"/>
  <c r="K59" i="50"/>
  <c r="Q63" i="45"/>
  <c r="F81" i="45"/>
  <c r="H81" i="45" s="1"/>
  <c r="I81" i="45" s="1"/>
  <c r="F82" i="45"/>
  <c r="BG64" i="46" l="1"/>
  <c r="BH64" i="46" s="1"/>
  <c r="BI64" i="46" s="1"/>
  <c r="BJ64" i="46" s="1"/>
  <c r="BK64" i="46" s="1"/>
  <c r="BL64" i="46" s="1"/>
  <c r="BM64" i="46" s="1"/>
  <c r="BN64" i="46" s="1"/>
  <c r="BO64" i="46" s="1"/>
  <c r="BP64" i="46" s="1"/>
  <c r="BQ64" i="46" s="1"/>
  <c r="BR64" i="46" s="1"/>
  <c r="BS64" i="46" s="1"/>
  <c r="BT64" i="46" s="1"/>
  <c r="BU64" i="46" s="1"/>
  <c r="BV64" i="46" s="1"/>
  <c r="BW64" i="46" s="1"/>
  <c r="BX64" i="46" s="1"/>
  <c r="BY64" i="46" s="1"/>
  <c r="BZ64" i="46" s="1"/>
  <c r="CA64" i="46" s="1"/>
  <c r="CB64" i="46" s="1"/>
  <c r="CC64" i="46" s="1"/>
  <c r="CD64" i="46" s="1"/>
  <c r="CE64" i="46" s="1"/>
  <c r="CF64" i="46" s="1"/>
  <c r="CG64" i="46" s="1"/>
  <c r="CH64" i="46" s="1"/>
  <c r="CI64" i="46" s="1"/>
  <c r="CJ64" i="46" s="1"/>
  <c r="CK64" i="46" s="1"/>
  <c r="CL64" i="46" s="1"/>
  <c r="CM64" i="46" s="1"/>
  <c r="CN64" i="46" s="1"/>
  <c r="CO64" i="46" s="1"/>
  <c r="CP64" i="46" s="1"/>
  <c r="CQ64" i="46" s="1"/>
  <c r="CR64" i="46" s="1"/>
  <c r="CS64" i="46" s="1"/>
  <c r="CT64" i="46" s="1"/>
  <c r="CU64" i="46" s="1"/>
  <c r="CV64" i="46" s="1"/>
  <c r="CW64" i="46" s="1"/>
  <c r="CX64" i="46" s="1"/>
  <c r="CY64" i="46" s="1"/>
  <c r="CZ64" i="46" s="1"/>
  <c r="DA64" i="46" s="1"/>
  <c r="DB64" i="46" s="1"/>
  <c r="DC64" i="46" s="1"/>
  <c r="DD64" i="46" s="1"/>
  <c r="DE64" i="46" s="1"/>
  <c r="DF64" i="46" s="1"/>
  <c r="DG64" i="46" s="1"/>
  <c r="DH64" i="46" s="1"/>
  <c r="DI64" i="46" s="1"/>
  <c r="DJ64" i="46" s="1"/>
  <c r="DK64" i="46" s="1"/>
  <c r="DL64" i="46" s="1"/>
  <c r="DM64" i="46" s="1"/>
  <c r="DN64" i="46" s="1"/>
  <c r="DO64" i="46" s="1"/>
  <c r="DP64" i="46" s="1"/>
  <c r="DQ64" i="46" s="1"/>
  <c r="DR64" i="46" s="1"/>
  <c r="BZ30" i="46"/>
  <c r="BL33" i="46"/>
  <c r="J63" i="46"/>
  <c r="CG21" i="46"/>
  <c r="X68" i="46"/>
  <c r="Y68" i="46" s="1"/>
  <c r="Z68" i="46" s="1"/>
  <c r="AA68" i="46" s="1"/>
  <c r="AB68" i="46" s="1"/>
  <c r="AC68" i="46" s="1"/>
  <c r="AD68" i="46" s="1"/>
  <c r="AE68" i="46" s="1"/>
  <c r="AF68" i="46" s="1"/>
  <c r="AG68" i="46" s="1"/>
  <c r="AH68" i="46" s="1"/>
  <c r="AI68" i="46" s="1"/>
  <c r="AJ68" i="46" s="1"/>
  <c r="AK68" i="46" s="1"/>
  <c r="AL68" i="46" s="1"/>
  <c r="AM68" i="46" s="1"/>
  <c r="AN68" i="46" s="1"/>
  <c r="AO68" i="46" s="1"/>
  <c r="AP68" i="46" s="1"/>
  <c r="AQ68" i="46" s="1"/>
  <c r="AR68" i="46" s="1"/>
  <c r="AS68" i="46" s="1"/>
  <c r="AT68" i="46" s="1"/>
  <c r="AU68" i="46" s="1"/>
  <c r="AV68" i="46" s="1"/>
  <c r="AW68" i="46" s="1"/>
  <c r="AX68" i="46" s="1"/>
  <c r="AY68" i="46" s="1"/>
  <c r="AZ68" i="46" s="1"/>
  <c r="BA68" i="46" s="1"/>
  <c r="BB68" i="46" s="1"/>
  <c r="BC68" i="46" s="1"/>
  <c r="BD68" i="46" s="1"/>
  <c r="BE68" i="46" s="1"/>
  <c r="BF68" i="46" s="1"/>
  <c r="BG68" i="46" s="1"/>
  <c r="BH68" i="46" s="1"/>
  <c r="BI68" i="46" s="1"/>
  <c r="BJ68" i="46" s="1"/>
  <c r="BK68" i="46" s="1"/>
  <c r="BL68" i="46" s="1"/>
  <c r="BM68" i="46" s="1"/>
  <c r="BN68" i="46" s="1"/>
  <c r="BO68" i="46" s="1"/>
  <c r="BP68" i="46" s="1"/>
  <c r="BQ68" i="46" s="1"/>
  <c r="BR68" i="46" s="1"/>
  <c r="BS68" i="46" s="1"/>
  <c r="BT68" i="46" s="1"/>
  <c r="BU68" i="46" s="1"/>
  <c r="BV68" i="46" s="1"/>
  <c r="BW68" i="46" s="1"/>
  <c r="BX68" i="46" s="1"/>
  <c r="BY68" i="46" s="1"/>
  <c r="BZ68" i="46" s="1"/>
  <c r="CA68" i="46" s="1"/>
  <c r="CB68" i="46" s="1"/>
  <c r="CC68" i="46" s="1"/>
  <c r="CD68" i="46" s="1"/>
  <c r="CE68" i="46" s="1"/>
  <c r="CF68" i="46" s="1"/>
  <c r="CG68" i="46" s="1"/>
  <c r="CH68" i="46" s="1"/>
  <c r="CI68" i="46" s="1"/>
  <c r="CJ68" i="46" s="1"/>
  <c r="CK68" i="46" s="1"/>
  <c r="CL68" i="46" s="1"/>
  <c r="CM68" i="46" s="1"/>
  <c r="CN68" i="46" s="1"/>
  <c r="CO68" i="46" s="1"/>
  <c r="CP68" i="46" s="1"/>
  <c r="CQ68" i="46" s="1"/>
  <c r="CR68" i="46" s="1"/>
  <c r="CS68" i="46" s="1"/>
  <c r="CT68" i="46" s="1"/>
  <c r="CU68" i="46" s="1"/>
  <c r="CV68" i="46" s="1"/>
  <c r="CW68" i="46" s="1"/>
  <c r="CX68" i="46" s="1"/>
  <c r="CY68" i="46" s="1"/>
  <c r="CZ68" i="46" s="1"/>
  <c r="DA68" i="46" s="1"/>
  <c r="DB68" i="46" s="1"/>
  <c r="DC68" i="46" s="1"/>
  <c r="DD68" i="46" s="1"/>
  <c r="DE68" i="46" s="1"/>
  <c r="DF68" i="46" s="1"/>
  <c r="DG68" i="46" s="1"/>
  <c r="DH68" i="46" s="1"/>
  <c r="DI68" i="46" s="1"/>
  <c r="DJ68" i="46" s="1"/>
  <c r="DK68" i="46" s="1"/>
  <c r="DL68" i="46" s="1"/>
  <c r="DM68" i="46" s="1"/>
  <c r="DN68" i="46" s="1"/>
  <c r="DO68" i="46" s="1"/>
  <c r="DP68" i="46" s="1"/>
  <c r="DQ68" i="46" s="1"/>
  <c r="DR68" i="46" s="1"/>
  <c r="CL7" i="46"/>
  <c r="AH50" i="46"/>
  <c r="X67" i="46"/>
  <c r="F61" i="49"/>
  <c r="F62" i="49" s="1"/>
  <c r="G60" i="49"/>
  <c r="T59" i="49"/>
  <c r="U59" i="49" s="1"/>
  <c r="G59" i="49"/>
  <c r="T73" i="43"/>
  <c r="U73" i="43" s="1"/>
  <c r="F71" i="46"/>
  <c r="M71" i="46" s="1"/>
  <c r="N74" i="45"/>
  <c r="N73" i="45"/>
  <c r="T72" i="43"/>
  <c r="F70" i="46"/>
  <c r="M70" i="46" s="1"/>
  <c r="H77" i="50"/>
  <c r="Q77" i="50"/>
  <c r="R77" i="50" s="1"/>
  <c r="S77" i="50" s="1"/>
  <c r="T77" i="50" s="1"/>
  <c r="U77" i="50" s="1"/>
  <c r="V77" i="50" s="1"/>
  <c r="W77" i="50" s="1"/>
  <c r="X77" i="50" s="1"/>
  <c r="Y77" i="50" s="1"/>
  <c r="Z77" i="50" s="1"/>
  <c r="AA77" i="50" s="1"/>
  <c r="AB77" i="50" s="1"/>
  <c r="AC77" i="50" s="1"/>
  <c r="AD77" i="50" s="1"/>
  <c r="AE77" i="50" s="1"/>
  <c r="AF77" i="50" s="1"/>
  <c r="AG77" i="50" s="1"/>
  <c r="AH77" i="50" s="1"/>
  <c r="AI77" i="50" s="1"/>
  <c r="AJ77" i="50" s="1"/>
  <c r="AK77" i="50" s="1"/>
  <c r="AL77" i="50" s="1"/>
  <c r="AM77" i="50" s="1"/>
  <c r="AN77" i="50" s="1"/>
  <c r="AO77" i="50" s="1"/>
  <c r="AP77" i="50" s="1"/>
  <c r="AQ77" i="50" s="1"/>
  <c r="AR77" i="50" s="1"/>
  <c r="AS77" i="50" s="1"/>
  <c r="AT77" i="50" s="1"/>
  <c r="W69" i="46"/>
  <c r="H69" i="46"/>
  <c r="I69" i="46" s="1"/>
  <c r="K69" i="46"/>
  <c r="N69" i="46" s="1"/>
  <c r="G82" i="46"/>
  <c r="AQ66" i="61" s="1"/>
  <c r="T60" i="49"/>
  <c r="U60" i="49" s="1"/>
  <c r="Q82" i="45"/>
  <c r="R82" i="45" s="1"/>
  <c r="S82" i="45" s="1"/>
  <c r="T82" i="45" s="1"/>
  <c r="U82" i="45" s="1"/>
  <c r="V82" i="45" s="1"/>
  <c r="W82" i="45" s="1"/>
  <c r="X82" i="45" s="1"/>
  <c r="Y82" i="45" s="1"/>
  <c r="Z82" i="45" s="1"/>
  <c r="AA82" i="45" s="1"/>
  <c r="AB82" i="45" s="1"/>
  <c r="AC82" i="45" s="1"/>
  <c r="AD82" i="45" s="1"/>
  <c r="AE82" i="45" s="1"/>
  <c r="AF82" i="45" s="1"/>
  <c r="AG82" i="45" s="1"/>
  <c r="AH82" i="45" s="1"/>
  <c r="AI82" i="45" s="1"/>
  <c r="AJ82" i="45" s="1"/>
  <c r="AK82" i="45" s="1"/>
  <c r="AL82" i="45" s="1"/>
  <c r="AM82" i="45" s="1"/>
  <c r="AN82" i="45" s="1"/>
  <c r="AO82" i="45" s="1"/>
  <c r="AP82" i="45" s="1"/>
  <c r="AQ82" i="45" s="1"/>
  <c r="AR82" i="45" s="1"/>
  <c r="AS82" i="45" s="1"/>
  <c r="AT82" i="45" s="1"/>
  <c r="AU82" i="45" s="1"/>
  <c r="AV82" i="45" s="1"/>
  <c r="AW82" i="45" s="1"/>
  <c r="AX82" i="45" s="1"/>
  <c r="AY82" i="45" s="1"/>
  <c r="AZ82" i="45" s="1"/>
  <c r="BA82" i="45" s="1"/>
  <c r="BB82" i="45" s="1"/>
  <c r="BC82" i="45" s="1"/>
  <c r="BD82" i="45" s="1"/>
  <c r="H82" i="45"/>
  <c r="I82" i="45" s="1"/>
  <c r="Q81" i="45"/>
  <c r="H86" i="45"/>
  <c r="J86" i="45" s="1"/>
  <c r="R63" i="45"/>
  <c r="S63" i="45" s="1"/>
  <c r="T63" i="45" s="1"/>
  <c r="U63" i="45" s="1"/>
  <c r="V63" i="45" s="1"/>
  <c r="W63" i="45" s="1"/>
  <c r="X63" i="45" s="1"/>
  <c r="Y63" i="45" s="1"/>
  <c r="Z63" i="45" s="1"/>
  <c r="AA63" i="45" s="1"/>
  <c r="AB63" i="45" s="1"/>
  <c r="AC63" i="45" s="1"/>
  <c r="AD63" i="45" s="1"/>
  <c r="AE63" i="45" s="1"/>
  <c r="AF63" i="45" s="1"/>
  <c r="AG63" i="45" s="1"/>
  <c r="AH63" i="45" s="1"/>
  <c r="AI63" i="45" s="1"/>
  <c r="AJ63" i="45" s="1"/>
  <c r="AK63" i="45" s="1"/>
  <c r="AL63" i="45" s="1"/>
  <c r="AM63" i="45" s="1"/>
  <c r="AN63" i="45" s="1"/>
  <c r="AO63" i="45" s="1"/>
  <c r="AP63" i="45" s="1"/>
  <c r="AQ63" i="45" s="1"/>
  <c r="AR63" i="45" s="1"/>
  <c r="AS63" i="45" s="1"/>
  <c r="AT63" i="45" s="1"/>
  <c r="AU63" i="45" s="1"/>
  <c r="AV63" i="45" s="1"/>
  <c r="AW63" i="45" s="1"/>
  <c r="AX63" i="45" s="1"/>
  <c r="AY63" i="45" s="1"/>
  <c r="AZ63" i="45" s="1"/>
  <c r="BA63" i="45" s="1"/>
  <c r="BB63" i="45" s="1"/>
  <c r="BC63" i="45" s="1"/>
  <c r="BD63" i="45" s="1"/>
  <c r="J64" i="46" l="1"/>
  <c r="J68" i="46"/>
  <c r="BM33" i="46"/>
  <c r="CA30" i="46"/>
  <c r="CH21" i="46"/>
  <c r="X69" i="46"/>
  <c r="Y69" i="46" s="1"/>
  <c r="Z69" i="46" s="1"/>
  <c r="AA69" i="46" s="1"/>
  <c r="AB69" i="46" s="1"/>
  <c r="AC69" i="46" s="1"/>
  <c r="AD69" i="46" s="1"/>
  <c r="AE69" i="46" s="1"/>
  <c r="AF69" i="46" s="1"/>
  <c r="AG69" i="46" s="1"/>
  <c r="AH69" i="46" s="1"/>
  <c r="AI69" i="46" s="1"/>
  <c r="AJ69" i="46" s="1"/>
  <c r="AK69" i="46" s="1"/>
  <c r="AL69" i="46" s="1"/>
  <c r="AM69" i="46" s="1"/>
  <c r="AN69" i="46" s="1"/>
  <c r="AO69" i="46" s="1"/>
  <c r="AP69" i="46" s="1"/>
  <c r="AQ69" i="46" s="1"/>
  <c r="AR69" i="46" s="1"/>
  <c r="AS69" i="46" s="1"/>
  <c r="AT69" i="46" s="1"/>
  <c r="AU69" i="46" s="1"/>
  <c r="AV69" i="46" s="1"/>
  <c r="AW69" i="46" s="1"/>
  <c r="AX69" i="46" s="1"/>
  <c r="AY69" i="46" s="1"/>
  <c r="AZ69" i="46" s="1"/>
  <c r="BA69" i="46" s="1"/>
  <c r="BB69" i="46" s="1"/>
  <c r="BC69" i="46" s="1"/>
  <c r="BD69" i="46" s="1"/>
  <c r="BE69" i="46" s="1"/>
  <c r="BF69" i="46" s="1"/>
  <c r="BG69" i="46" s="1"/>
  <c r="BH69" i="46" s="1"/>
  <c r="BI69" i="46" s="1"/>
  <c r="BJ69" i="46" s="1"/>
  <c r="BK69" i="46" s="1"/>
  <c r="BL69" i="46" s="1"/>
  <c r="BM69" i="46" s="1"/>
  <c r="BN69" i="46" s="1"/>
  <c r="BO69" i="46" s="1"/>
  <c r="BP69" i="46" s="1"/>
  <c r="BQ69" i="46" s="1"/>
  <c r="BR69" i="46" s="1"/>
  <c r="BS69" i="46" s="1"/>
  <c r="BT69" i="46" s="1"/>
  <c r="BU69" i="46" s="1"/>
  <c r="BV69" i="46" s="1"/>
  <c r="BW69" i="46" s="1"/>
  <c r="BX69" i="46" s="1"/>
  <c r="BY69" i="46" s="1"/>
  <c r="BZ69" i="46" s="1"/>
  <c r="CA69" i="46" s="1"/>
  <c r="CB69" i="46" s="1"/>
  <c r="CC69" i="46" s="1"/>
  <c r="CD69" i="46" s="1"/>
  <c r="CE69" i="46" s="1"/>
  <c r="CF69" i="46" s="1"/>
  <c r="CG69" i="46" s="1"/>
  <c r="CH69" i="46" s="1"/>
  <c r="CI69" i="46" s="1"/>
  <c r="CJ69" i="46" s="1"/>
  <c r="CK69" i="46" s="1"/>
  <c r="CL69" i="46" s="1"/>
  <c r="CM69" i="46" s="1"/>
  <c r="CN69" i="46" s="1"/>
  <c r="CO69" i="46" s="1"/>
  <c r="CP69" i="46" s="1"/>
  <c r="CQ69" i="46" s="1"/>
  <c r="CR69" i="46" s="1"/>
  <c r="CS69" i="46" s="1"/>
  <c r="CT69" i="46" s="1"/>
  <c r="CU69" i="46" s="1"/>
  <c r="CV69" i="46" s="1"/>
  <c r="CW69" i="46" s="1"/>
  <c r="CX69" i="46" s="1"/>
  <c r="CY69" i="46" s="1"/>
  <c r="CZ69" i="46" s="1"/>
  <c r="DA69" i="46" s="1"/>
  <c r="DB69" i="46" s="1"/>
  <c r="DC69" i="46" s="1"/>
  <c r="DD69" i="46" s="1"/>
  <c r="DE69" i="46" s="1"/>
  <c r="DF69" i="46" s="1"/>
  <c r="DG69" i="46" s="1"/>
  <c r="DH69" i="46" s="1"/>
  <c r="DI69" i="46" s="1"/>
  <c r="DJ69" i="46" s="1"/>
  <c r="DK69" i="46" s="1"/>
  <c r="DL69" i="46" s="1"/>
  <c r="DM69" i="46" s="1"/>
  <c r="DN69" i="46" s="1"/>
  <c r="DO69" i="46" s="1"/>
  <c r="DP69" i="46" s="1"/>
  <c r="DQ69" i="46" s="1"/>
  <c r="DR69" i="46" s="1"/>
  <c r="CM7" i="46"/>
  <c r="Y67" i="46"/>
  <c r="AI50" i="46"/>
  <c r="H66" i="52"/>
  <c r="AP66" i="59"/>
  <c r="T62" i="49"/>
  <c r="U62" i="49" s="1"/>
  <c r="G62" i="49"/>
  <c r="T61" i="49"/>
  <c r="U61" i="49" s="1"/>
  <c r="G61" i="49"/>
  <c r="T74" i="43"/>
  <c r="U74" i="43" s="1"/>
  <c r="F72" i="46"/>
  <c r="M72" i="46" s="1"/>
  <c r="N75" i="45"/>
  <c r="W70" i="46"/>
  <c r="H70" i="46"/>
  <c r="I70" i="46" s="1"/>
  <c r="K70" i="46"/>
  <c r="N70" i="46" s="1"/>
  <c r="U72" i="43"/>
  <c r="F73" i="46"/>
  <c r="M73" i="46" s="1"/>
  <c r="T75" i="43"/>
  <c r="U75" i="43" s="1"/>
  <c r="N76" i="45"/>
  <c r="W71" i="46"/>
  <c r="K71" i="46"/>
  <c r="N71" i="46" s="1"/>
  <c r="H71" i="46"/>
  <c r="I71" i="46" s="1"/>
  <c r="F63" i="49"/>
  <c r="K63" i="45"/>
  <c r="J63" i="45"/>
  <c r="J82" i="45"/>
  <c r="R81" i="45"/>
  <c r="S81" i="45" s="1"/>
  <c r="T81" i="45" s="1"/>
  <c r="U81" i="45" s="1"/>
  <c r="V81" i="45" s="1"/>
  <c r="W81" i="45" s="1"/>
  <c r="X81" i="45" s="1"/>
  <c r="Y81" i="45" s="1"/>
  <c r="Z81" i="45" s="1"/>
  <c r="AA81" i="45" s="1"/>
  <c r="AB81" i="45" s="1"/>
  <c r="AC81" i="45" s="1"/>
  <c r="AD81" i="45" s="1"/>
  <c r="AE81" i="45" s="1"/>
  <c r="AF81" i="45" s="1"/>
  <c r="AG81" i="45" s="1"/>
  <c r="AH81" i="45" s="1"/>
  <c r="AI81" i="45" s="1"/>
  <c r="AJ81" i="45" s="1"/>
  <c r="AK81" i="45" s="1"/>
  <c r="AL81" i="45" s="1"/>
  <c r="AM81" i="45" s="1"/>
  <c r="AN81" i="45" s="1"/>
  <c r="AO81" i="45" s="1"/>
  <c r="AP81" i="45" s="1"/>
  <c r="AQ81" i="45" s="1"/>
  <c r="AR81" i="45" s="1"/>
  <c r="AS81" i="45" s="1"/>
  <c r="AT81" i="45" s="1"/>
  <c r="AU81" i="45" s="1"/>
  <c r="AV81" i="45" s="1"/>
  <c r="AW81" i="45" s="1"/>
  <c r="AX81" i="45" s="1"/>
  <c r="AY81" i="45" s="1"/>
  <c r="AZ81" i="45" s="1"/>
  <c r="BA81" i="45" s="1"/>
  <c r="BB81" i="45" s="1"/>
  <c r="BC81" i="45" s="1"/>
  <c r="BD81" i="45" s="1"/>
  <c r="T66" i="52" l="1"/>
  <c r="N66" i="61"/>
  <c r="CB30" i="46"/>
  <c r="J69" i="46"/>
  <c r="BN33" i="46"/>
  <c r="CI21" i="46"/>
  <c r="X71" i="46"/>
  <c r="Y71" i="46" s="1"/>
  <c r="Z71" i="46" s="1"/>
  <c r="AA71" i="46" s="1"/>
  <c r="AB71" i="46" s="1"/>
  <c r="AC71" i="46" s="1"/>
  <c r="AD71" i="46" s="1"/>
  <c r="AE71" i="46" s="1"/>
  <c r="AF71" i="46" s="1"/>
  <c r="AG71" i="46" s="1"/>
  <c r="AH71" i="46" s="1"/>
  <c r="AI71" i="46" s="1"/>
  <c r="AJ71" i="46" s="1"/>
  <c r="AK71" i="46" s="1"/>
  <c r="AL71" i="46" s="1"/>
  <c r="AM71" i="46" s="1"/>
  <c r="AN71" i="46" s="1"/>
  <c r="AO71" i="46" s="1"/>
  <c r="AP71" i="46" s="1"/>
  <c r="AQ71" i="46" s="1"/>
  <c r="AR71" i="46" s="1"/>
  <c r="AS71" i="46" s="1"/>
  <c r="AT71" i="46" s="1"/>
  <c r="AU71" i="46" s="1"/>
  <c r="AV71" i="46" s="1"/>
  <c r="AW71" i="46" s="1"/>
  <c r="AX71" i="46" s="1"/>
  <c r="AY71" i="46" s="1"/>
  <c r="AZ71" i="46" s="1"/>
  <c r="BA71" i="46" s="1"/>
  <c r="BB71" i="46" s="1"/>
  <c r="BC71" i="46" s="1"/>
  <c r="BD71" i="46" s="1"/>
  <c r="BE71" i="46" s="1"/>
  <c r="BF71" i="46" s="1"/>
  <c r="BG71" i="46" s="1"/>
  <c r="BH71" i="46" s="1"/>
  <c r="BI71" i="46" s="1"/>
  <c r="BJ71" i="46" s="1"/>
  <c r="BK71" i="46" s="1"/>
  <c r="BL71" i="46" s="1"/>
  <c r="BM71" i="46" s="1"/>
  <c r="BN71" i="46" s="1"/>
  <c r="BO71" i="46" s="1"/>
  <c r="BP71" i="46" s="1"/>
  <c r="BQ71" i="46" s="1"/>
  <c r="BR71" i="46" s="1"/>
  <c r="BS71" i="46" s="1"/>
  <c r="BT71" i="46" s="1"/>
  <c r="BU71" i="46" s="1"/>
  <c r="BV71" i="46" s="1"/>
  <c r="BW71" i="46" s="1"/>
  <c r="BX71" i="46" s="1"/>
  <c r="BY71" i="46" s="1"/>
  <c r="BZ71" i="46" s="1"/>
  <c r="CA71" i="46" s="1"/>
  <c r="CB71" i="46" s="1"/>
  <c r="CC71" i="46" s="1"/>
  <c r="CD71" i="46" s="1"/>
  <c r="CE71" i="46" s="1"/>
  <c r="CF71" i="46" s="1"/>
  <c r="CG71" i="46" s="1"/>
  <c r="CH71" i="46" s="1"/>
  <c r="CI71" i="46" s="1"/>
  <c r="CJ71" i="46" s="1"/>
  <c r="CK71" i="46" s="1"/>
  <c r="CL71" i="46" s="1"/>
  <c r="CM71" i="46" s="1"/>
  <c r="CN71" i="46" s="1"/>
  <c r="CO71" i="46" s="1"/>
  <c r="CP71" i="46" s="1"/>
  <c r="CQ71" i="46" s="1"/>
  <c r="CR71" i="46" s="1"/>
  <c r="CS71" i="46" s="1"/>
  <c r="CT71" i="46" s="1"/>
  <c r="CU71" i="46" s="1"/>
  <c r="CV71" i="46" s="1"/>
  <c r="CW71" i="46" s="1"/>
  <c r="CX71" i="46" s="1"/>
  <c r="CY71" i="46" s="1"/>
  <c r="CZ71" i="46" s="1"/>
  <c r="DA71" i="46" s="1"/>
  <c r="DB71" i="46" s="1"/>
  <c r="DC71" i="46" s="1"/>
  <c r="DD71" i="46" s="1"/>
  <c r="DE71" i="46" s="1"/>
  <c r="DF71" i="46" s="1"/>
  <c r="DG71" i="46" s="1"/>
  <c r="DH71" i="46" s="1"/>
  <c r="DI71" i="46" s="1"/>
  <c r="DJ71" i="46" s="1"/>
  <c r="DK71" i="46" s="1"/>
  <c r="DL71" i="46" s="1"/>
  <c r="DM71" i="46" s="1"/>
  <c r="DN71" i="46" s="1"/>
  <c r="DO71" i="46" s="1"/>
  <c r="DP71" i="46" s="1"/>
  <c r="DQ71" i="46" s="1"/>
  <c r="DR71" i="46" s="1"/>
  <c r="X70" i="46"/>
  <c r="CN7" i="46"/>
  <c r="AJ50" i="46"/>
  <c r="Z67" i="46"/>
  <c r="T63" i="49"/>
  <c r="U63" i="49" s="1"/>
  <c r="G63" i="49"/>
  <c r="W73" i="46"/>
  <c r="K73" i="46"/>
  <c r="N73" i="46" s="1"/>
  <c r="H73" i="46"/>
  <c r="I73" i="46" s="1"/>
  <c r="W72" i="46"/>
  <c r="K72" i="46"/>
  <c r="N72" i="46" s="1"/>
  <c r="H72" i="46"/>
  <c r="I72" i="46" s="1"/>
  <c r="T76" i="43"/>
  <c r="U76" i="43" s="1"/>
  <c r="F74" i="46"/>
  <c r="M74" i="46" s="1"/>
  <c r="N77" i="45"/>
  <c r="F64" i="49"/>
  <c r="G64" i="49" s="1"/>
  <c r="J81" i="45"/>
  <c r="Y70" i="46" l="1"/>
  <c r="CJ21" i="46"/>
  <c r="BO33" i="46"/>
  <c r="J71" i="46"/>
  <c r="CC30" i="46"/>
  <c r="X73" i="46"/>
  <c r="Y73" i="46" s="1"/>
  <c r="Z73" i="46" s="1"/>
  <c r="AA73" i="46" s="1"/>
  <c r="AB73" i="46" s="1"/>
  <c r="AC73" i="46" s="1"/>
  <c r="AD73" i="46" s="1"/>
  <c r="AE73" i="46" s="1"/>
  <c r="AF73" i="46" s="1"/>
  <c r="AG73" i="46" s="1"/>
  <c r="AH73" i="46" s="1"/>
  <c r="AI73" i="46" s="1"/>
  <c r="AJ73" i="46" s="1"/>
  <c r="AK73" i="46" s="1"/>
  <c r="AL73" i="46" s="1"/>
  <c r="AM73" i="46" s="1"/>
  <c r="AN73" i="46" s="1"/>
  <c r="AO73" i="46" s="1"/>
  <c r="AP73" i="46" s="1"/>
  <c r="AQ73" i="46" s="1"/>
  <c r="AR73" i="46" s="1"/>
  <c r="AS73" i="46" s="1"/>
  <c r="AT73" i="46" s="1"/>
  <c r="AU73" i="46" s="1"/>
  <c r="AV73" i="46" s="1"/>
  <c r="AW73" i="46" s="1"/>
  <c r="AX73" i="46" s="1"/>
  <c r="AY73" i="46" s="1"/>
  <c r="AZ73" i="46" s="1"/>
  <c r="BA73" i="46" s="1"/>
  <c r="BB73" i="46" s="1"/>
  <c r="BC73" i="46" s="1"/>
  <c r="BD73" i="46" s="1"/>
  <c r="BE73" i="46" s="1"/>
  <c r="BF73" i="46" s="1"/>
  <c r="BG73" i="46" s="1"/>
  <c r="BH73" i="46" s="1"/>
  <c r="BI73" i="46" s="1"/>
  <c r="BJ73" i="46" s="1"/>
  <c r="BK73" i="46" s="1"/>
  <c r="BL73" i="46" s="1"/>
  <c r="BM73" i="46" s="1"/>
  <c r="BN73" i="46" s="1"/>
  <c r="BO73" i="46" s="1"/>
  <c r="BP73" i="46" s="1"/>
  <c r="BQ73" i="46" s="1"/>
  <c r="BR73" i="46" s="1"/>
  <c r="BS73" i="46" s="1"/>
  <c r="BT73" i="46" s="1"/>
  <c r="BU73" i="46" s="1"/>
  <c r="BV73" i="46" s="1"/>
  <c r="BW73" i="46" s="1"/>
  <c r="BX73" i="46" s="1"/>
  <c r="BY73" i="46" s="1"/>
  <c r="BZ73" i="46" s="1"/>
  <c r="CA73" i="46" s="1"/>
  <c r="CB73" i="46" s="1"/>
  <c r="CC73" i="46" s="1"/>
  <c r="CD73" i="46" s="1"/>
  <c r="CE73" i="46" s="1"/>
  <c r="CF73" i="46" s="1"/>
  <c r="CG73" i="46" s="1"/>
  <c r="CH73" i="46" s="1"/>
  <c r="CI73" i="46" s="1"/>
  <c r="CJ73" i="46" s="1"/>
  <c r="CK73" i="46" s="1"/>
  <c r="CL73" i="46" s="1"/>
  <c r="CM73" i="46" s="1"/>
  <c r="CN73" i="46" s="1"/>
  <c r="CO73" i="46" s="1"/>
  <c r="CP73" i="46" s="1"/>
  <c r="CQ73" i="46" s="1"/>
  <c r="CR73" i="46" s="1"/>
  <c r="CS73" i="46" s="1"/>
  <c r="CT73" i="46" s="1"/>
  <c r="CU73" i="46" s="1"/>
  <c r="CV73" i="46" s="1"/>
  <c r="CW73" i="46" s="1"/>
  <c r="CX73" i="46" s="1"/>
  <c r="CY73" i="46" s="1"/>
  <c r="CZ73" i="46" s="1"/>
  <c r="DA73" i="46" s="1"/>
  <c r="DB73" i="46" s="1"/>
  <c r="DC73" i="46" s="1"/>
  <c r="DD73" i="46" s="1"/>
  <c r="DE73" i="46" s="1"/>
  <c r="DF73" i="46" s="1"/>
  <c r="DG73" i="46" s="1"/>
  <c r="DH73" i="46" s="1"/>
  <c r="DI73" i="46" s="1"/>
  <c r="DJ73" i="46" s="1"/>
  <c r="DK73" i="46" s="1"/>
  <c r="DL73" i="46" s="1"/>
  <c r="DM73" i="46" s="1"/>
  <c r="DN73" i="46" s="1"/>
  <c r="DO73" i="46" s="1"/>
  <c r="DP73" i="46" s="1"/>
  <c r="DQ73" i="46" s="1"/>
  <c r="DR73" i="46" s="1"/>
  <c r="X72" i="46"/>
  <c r="Y72" i="46" s="1"/>
  <c r="Z72" i="46" s="1"/>
  <c r="AA72" i="46" s="1"/>
  <c r="AB72" i="46" s="1"/>
  <c r="AC72" i="46" s="1"/>
  <c r="AD72" i="46" s="1"/>
  <c r="AE72" i="46" s="1"/>
  <c r="AF72" i="46" s="1"/>
  <c r="AG72" i="46" s="1"/>
  <c r="AH72" i="46" s="1"/>
  <c r="AI72" i="46" s="1"/>
  <c r="AJ72" i="46" s="1"/>
  <c r="AK72" i="46" s="1"/>
  <c r="AL72" i="46" s="1"/>
  <c r="AM72" i="46" s="1"/>
  <c r="AN72" i="46" s="1"/>
  <c r="AO72" i="46" s="1"/>
  <c r="AP72" i="46" s="1"/>
  <c r="AQ72" i="46" s="1"/>
  <c r="AR72" i="46" s="1"/>
  <c r="AS72" i="46" s="1"/>
  <c r="AT72" i="46" s="1"/>
  <c r="AU72" i="46" s="1"/>
  <c r="AV72" i="46" s="1"/>
  <c r="AW72" i="46" s="1"/>
  <c r="AX72" i="46" s="1"/>
  <c r="AY72" i="46" s="1"/>
  <c r="AZ72" i="46" s="1"/>
  <c r="BA72" i="46" s="1"/>
  <c r="BB72" i="46" s="1"/>
  <c r="BC72" i="46" s="1"/>
  <c r="BD72" i="46" s="1"/>
  <c r="BE72" i="46" s="1"/>
  <c r="BF72" i="46" s="1"/>
  <c r="BG72" i="46" s="1"/>
  <c r="BH72" i="46" s="1"/>
  <c r="BI72" i="46" s="1"/>
  <c r="BJ72" i="46" s="1"/>
  <c r="BK72" i="46" s="1"/>
  <c r="BL72" i="46" s="1"/>
  <c r="BM72" i="46" s="1"/>
  <c r="BN72" i="46" s="1"/>
  <c r="BO72" i="46" s="1"/>
  <c r="BP72" i="46" s="1"/>
  <c r="BQ72" i="46" s="1"/>
  <c r="BR72" i="46" s="1"/>
  <c r="BS72" i="46" s="1"/>
  <c r="BT72" i="46" s="1"/>
  <c r="BU72" i="46" s="1"/>
  <c r="BV72" i="46" s="1"/>
  <c r="BW72" i="46" s="1"/>
  <c r="BX72" i="46" s="1"/>
  <c r="BY72" i="46" s="1"/>
  <c r="BZ72" i="46" s="1"/>
  <c r="CA72" i="46" s="1"/>
  <c r="CB72" i="46" s="1"/>
  <c r="CC72" i="46" s="1"/>
  <c r="CD72" i="46" s="1"/>
  <c r="CE72" i="46" s="1"/>
  <c r="CF72" i="46" s="1"/>
  <c r="CG72" i="46" s="1"/>
  <c r="CH72" i="46" s="1"/>
  <c r="CI72" i="46" s="1"/>
  <c r="CJ72" i="46" s="1"/>
  <c r="CK72" i="46" s="1"/>
  <c r="CL72" i="46" s="1"/>
  <c r="CM72" i="46" s="1"/>
  <c r="CN72" i="46" s="1"/>
  <c r="CO72" i="46" s="1"/>
  <c r="CP72" i="46" s="1"/>
  <c r="CQ72" i="46" s="1"/>
  <c r="CR72" i="46" s="1"/>
  <c r="CS72" i="46" s="1"/>
  <c r="CT72" i="46" s="1"/>
  <c r="CU72" i="46" s="1"/>
  <c r="CV72" i="46" s="1"/>
  <c r="CW72" i="46" s="1"/>
  <c r="CX72" i="46" s="1"/>
  <c r="CY72" i="46" s="1"/>
  <c r="CZ72" i="46" s="1"/>
  <c r="DA72" i="46" s="1"/>
  <c r="DB72" i="46" s="1"/>
  <c r="DC72" i="46" s="1"/>
  <c r="DD72" i="46" s="1"/>
  <c r="DE72" i="46" s="1"/>
  <c r="DF72" i="46" s="1"/>
  <c r="DG72" i="46" s="1"/>
  <c r="DH72" i="46" s="1"/>
  <c r="DI72" i="46" s="1"/>
  <c r="DJ72" i="46" s="1"/>
  <c r="DK72" i="46" s="1"/>
  <c r="DL72" i="46" s="1"/>
  <c r="DM72" i="46" s="1"/>
  <c r="DN72" i="46" s="1"/>
  <c r="DO72" i="46" s="1"/>
  <c r="DP72" i="46" s="1"/>
  <c r="DQ72" i="46" s="1"/>
  <c r="DR72" i="46" s="1"/>
  <c r="CO7" i="46"/>
  <c r="AA67" i="46"/>
  <c r="AK50" i="46"/>
  <c r="AL50" i="46" s="1"/>
  <c r="AM50" i="46" s="1"/>
  <c r="AN50" i="46" s="1"/>
  <c r="AO50" i="46" s="1"/>
  <c r="AP50" i="46" s="1"/>
  <c r="AQ50" i="46" s="1"/>
  <c r="AR50" i="46" s="1"/>
  <c r="AS50" i="46" s="1"/>
  <c r="AT50" i="46" s="1"/>
  <c r="AU50" i="46" s="1"/>
  <c r="AV50" i="46" s="1"/>
  <c r="AW50" i="46" s="1"/>
  <c r="AX50" i="46" s="1"/>
  <c r="AY50" i="46" s="1"/>
  <c r="AZ50" i="46" s="1"/>
  <c r="BA50" i="46" s="1"/>
  <c r="T64" i="49"/>
  <c r="U64" i="49" s="1"/>
  <c r="F75" i="46"/>
  <c r="M75" i="46" s="1"/>
  <c r="T77" i="43"/>
  <c r="U77" i="43" s="1"/>
  <c r="N78" i="45"/>
  <c r="H74" i="46"/>
  <c r="I74" i="46" s="1"/>
  <c r="W74" i="46"/>
  <c r="K74" i="46"/>
  <c r="N74" i="46" s="1"/>
  <c r="J73" i="46" l="1"/>
  <c r="CD30" i="46"/>
  <c r="BP33" i="46"/>
  <c r="J72" i="46"/>
  <c r="BB50" i="46"/>
  <c r="CK21" i="46"/>
  <c r="Z70" i="46"/>
  <c r="X74" i="46"/>
  <c r="Y74" i="46" s="1"/>
  <c r="Z74" i="46" s="1"/>
  <c r="AA74" i="46" s="1"/>
  <c r="AB74" i="46" s="1"/>
  <c r="AC74" i="46" s="1"/>
  <c r="AD74" i="46" s="1"/>
  <c r="AE74" i="46" s="1"/>
  <c r="AF74" i="46" s="1"/>
  <c r="AG74" i="46" s="1"/>
  <c r="AH74" i="46" s="1"/>
  <c r="AI74" i="46" s="1"/>
  <c r="AJ74" i="46" s="1"/>
  <c r="AK74" i="46" s="1"/>
  <c r="AL74" i="46" s="1"/>
  <c r="AM74" i="46" s="1"/>
  <c r="AN74" i="46" s="1"/>
  <c r="AO74" i="46" s="1"/>
  <c r="AP74" i="46" s="1"/>
  <c r="AQ74" i="46" s="1"/>
  <c r="AR74" i="46" s="1"/>
  <c r="AS74" i="46" s="1"/>
  <c r="AT74" i="46" s="1"/>
  <c r="AU74" i="46" s="1"/>
  <c r="AV74" i="46" s="1"/>
  <c r="AW74" i="46" s="1"/>
  <c r="AX74" i="46" s="1"/>
  <c r="AY74" i="46" s="1"/>
  <c r="AZ74" i="46" s="1"/>
  <c r="BA74" i="46" s="1"/>
  <c r="BB74" i="46" s="1"/>
  <c r="BC74" i="46" s="1"/>
  <c r="BD74" i="46" s="1"/>
  <c r="BE74" i="46" s="1"/>
  <c r="BF74" i="46" s="1"/>
  <c r="BG74" i="46" s="1"/>
  <c r="BH74" i="46" s="1"/>
  <c r="BI74" i="46" s="1"/>
  <c r="BJ74" i="46" s="1"/>
  <c r="BK74" i="46" s="1"/>
  <c r="BL74" i="46" s="1"/>
  <c r="BM74" i="46" s="1"/>
  <c r="BN74" i="46" s="1"/>
  <c r="BO74" i="46" s="1"/>
  <c r="BP74" i="46" s="1"/>
  <c r="BQ74" i="46" s="1"/>
  <c r="BR74" i="46" s="1"/>
  <c r="BS74" i="46" s="1"/>
  <c r="BT74" i="46" s="1"/>
  <c r="BU74" i="46" s="1"/>
  <c r="BV74" i="46" s="1"/>
  <c r="BW74" i="46" s="1"/>
  <c r="BX74" i="46" s="1"/>
  <c r="BY74" i="46" s="1"/>
  <c r="BZ74" i="46" s="1"/>
  <c r="CA74" i="46" s="1"/>
  <c r="CB74" i="46" s="1"/>
  <c r="CC74" i="46" s="1"/>
  <c r="CD74" i="46" s="1"/>
  <c r="CE74" i="46" s="1"/>
  <c r="CF74" i="46" s="1"/>
  <c r="CG74" i="46" s="1"/>
  <c r="CH74" i="46" s="1"/>
  <c r="CI74" i="46" s="1"/>
  <c r="CJ74" i="46" s="1"/>
  <c r="CK74" i="46" s="1"/>
  <c r="CL74" i="46" s="1"/>
  <c r="CM74" i="46" s="1"/>
  <c r="CN74" i="46" s="1"/>
  <c r="CO74" i="46" s="1"/>
  <c r="CP74" i="46" s="1"/>
  <c r="CQ74" i="46" s="1"/>
  <c r="CR74" i="46" s="1"/>
  <c r="CS74" i="46" s="1"/>
  <c r="CT74" i="46" s="1"/>
  <c r="CU74" i="46" s="1"/>
  <c r="CV74" i="46" s="1"/>
  <c r="CW74" i="46" s="1"/>
  <c r="CX74" i="46" s="1"/>
  <c r="CY74" i="46" s="1"/>
  <c r="CZ74" i="46" s="1"/>
  <c r="DA74" i="46" s="1"/>
  <c r="DB74" i="46" s="1"/>
  <c r="DC74" i="46" s="1"/>
  <c r="DD74" i="46" s="1"/>
  <c r="DE74" i="46" s="1"/>
  <c r="DF74" i="46" s="1"/>
  <c r="DG74" i="46" s="1"/>
  <c r="DH74" i="46" s="1"/>
  <c r="DI74" i="46" s="1"/>
  <c r="DJ74" i="46" s="1"/>
  <c r="DK74" i="46" s="1"/>
  <c r="DL74" i="46" s="1"/>
  <c r="DM74" i="46" s="1"/>
  <c r="DN74" i="46" s="1"/>
  <c r="DO74" i="46" s="1"/>
  <c r="DP74" i="46" s="1"/>
  <c r="DQ74" i="46" s="1"/>
  <c r="DR74" i="46" s="1"/>
  <c r="CP7" i="46"/>
  <c r="AB67" i="46"/>
  <c r="F76" i="46"/>
  <c r="M76" i="46" s="1"/>
  <c r="T78" i="43"/>
  <c r="U78" i="43" s="1"/>
  <c r="K75" i="46"/>
  <c r="N75" i="46" s="1"/>
  <c r="H75" i="46"/>
  <c r="I75" i="46" s="1"/>
  <c r="W75" i="46"/>
  <c r="J74" i="46" l="1"/>
  <c r="CL21" i="46"/>
  <c r="BQ33" i="46"/>
  <c r="AA70" i="46"/>
  <c r="BC50" i="46"/>
  <c r="CE30" i="46"/>
  <c r="X75" i="46"/>
  <c r="CQ7" i="46"/>
  <c r="AC67" i="46"/>
  <c r="W76" i="46"/>
  <c r="K76" i="46"/>
  <c r="N76" i="46" s="1"/>
  <c r="H76" i="46"/>
  <c r="I76" i="46" s="1"/>
  <c r="T79" i="43"/>
  <c r="U79" i="43" s="1"/>
  <c r="F77" i="46"/>
  <c r="M77" i="46" s="1"/>
  <c r="CF30" i="46" l="1"/>
  <c r="BD50" i="46"/>
  <c r="CM21" i="46"/>
  <c r="AB70" i="46"/>
  <c r="BR33" i="46"/>
  <c r="Y75" i="46"/>
  <c r="X76" i="46"/>
  <c r="Y76" i="46" s="1"/>
  <c r="Z76" i="46" s="1"/>
  <c r="AA76" i="46" s="1"/>
  <c r="AB76" i="46" s="1"/>
  <c r="AC76" i="46" s="1"/>
  <c r="AD76" i="46" s="1"/>
  <c r="AE76" i="46" s="1"/>
  <c r="AF76" i="46" s="1"/>
  <c r="AG76" i="46" s="1"/>
  <c r="AH76" i="46" s="1"/>
  <c r="AI76" i="46" s="1"/>
  <c r="AJ76" i="46" s="1"/>
  <c r="AK76" i="46" s="1"/>
  <c r="AL76" i="46" s="1"/>
  <c r="AM76" i="46" s="1"/>
  <c r="AN76" i="46" s="1"/>
  <c r="AO76" i="46" s="1"/>
  <c r="AP76" i="46" s="1"/>
  <c r="AQ76" i="46" s="1"/>
  <c r="AR76" i="46" s="1"/>
  <c r="AS76" i="46" s="1"/>
  <c r="AT76" i="46" s="1"/>
  <c r="AU76" i="46" s="1"/>
  <c r="AV76" i="46" s="1"/>
  <c r="AW76" i="46" s="1"/>
  <c r="AX76" i="46" s="1"/>
  <c r="AY76" i="46" s="1"/>
  <c r="AZ76" i="46" s="1"/>
  <c r="BA76" i="46" s="1"/>
  <c r="BB76" i="46" s="1"/>
  <c r="BC76" i="46" s="1"/>
  <c r="BD76" i="46" s="1"/>
  <c r="BE76" i="46" s="1"/>
  <c r="BF76" i="46" s="1"/>
  <c r="BG76" i="46" s="1"/>
  <c r="BH76" i="46" s="1"/>
  <c r="BI76" i="46" s="1"/>
  <c r="BJ76" i="46" s="1"/>
  <c r="BK76" i="46" s="1"/>
  <c r="BL76" i="46" s="1"/>
  <c r="BM76" i="46" s="1"/>
  <c r="BN76" i="46" s="1"/>
  <c r="BO76" i="46" s="1"/>
  <c r="BP76" i="46" s="1"/>
  <c r="BQ76" i="46" s="1"/>
  <c r="BR76" i="46" s="1"/>
  <c r="BS76" i="46" s="1"/>
  <c r="BT76" i="46" s="1"/>
  <c r="BU76" i="46" s="1"/>
  <c r="BV76" i="46" s="1"/>
  <c r="BW76" i="46" s="1"/>
  <c r="BX76" i="46" s="1"/>
  <c r="BY76" i="46" s="1"/>
  <c r="BZ76" i="46" s="1"/>
  <c r="CA76" i="46" s="1"/>
  <c r="CB76" i="46" s="1"/>
  <c r="CC76" i="46" s="1"/>
  <c r="CD76" i="46" s="1"/>
  <c r="CE76" i="46" s="1"/>
  <c r="CF76" i="46" s="1"/>
  <c r="CG76" i="46" s="1"/>
  <c r="CH76" i="46" s="1"/>
  <c r="CI76" i="46" s="1"/>
  <c r="CJ76" i="46" s="1"/>
  <c r="CK76" i="46" s="1"/>
  <c r="CL76" i="46" s="1"/>
  <c r="CM76" i="46" s="1"/>
  <c r="CN76" i="46" s="1"/>
  <c r="CO76" i="46" s="1"/>
  <c r="CP76" i="46" s="1"/>
  <c r="CQ76" i="46" s="1"/>
  <c r="CR76" i="46" s="1"/>
  <c r="CS76" i="46" s="1"/>
  <c r="CT76" i="46" s="1"/>
  <c r="CU76" i="46" s="1"/>
  <c r="CV76" i="46" s="1"/>
  <c r="CW76" i="46" s="1"/>
  <c r="CX76" i="46" s="1"/>
  <c r="CY76" i="46" s="1"/>
  <c r="CZ76" i="46" s="1"/>
  <c r="DA76" i="46" s="1"/>
  <c r="DB76" i="46" s="1"/>
  <c r="DC76" i="46" s="1"/>
  <c r="DD76" i="46" s="1"/>
  <c r="DE76" i="46" s="1"/>
  <c r="DF76" i="46" s="1"/>
  <c r="DG76" i="46" s="1"/>
  <c r="DH76" i="46" s="1"/>
  <c r="DI76" i="46" s="1"/>
  <c r="DJ76" i="46" s="1"/>
  <c r="DK76" i="46" s="1"/>
  <c r="DL76" i="46" s="1"/>
  <c r="DM76" i="46" s="1"/>
  <c r="DN76" i="46" s="1"/>
  <c r="DO76" i="46" s="1"/>
  <c r="DP76" i="46" s="1"/>
  <c r="DQ76" i="46" s="1"/>
  <c r="DR76" i="46" s="1"/>
  <c r="CR7" i="46"/>
  <c r="AD67" i="46"/>
  <c r="T80" i="43"/>
  <c r="U80" i="43" s="1"/>
  <c r="F78" i="46"/>
  <c r="M78" i="46" s="1"/>
  <c r="K77" i="46"/>
  <c r="N77" i="46" s="1"/>
  <c r="H77" i="46"/>
  <c r="I77" i="46" s="1"/>
  <c r="W77" i="46"/>
  <c r="J76" i="46" l="1"/>
  <c r="Z75" i="46"/>
  <c r="CN21" i="46"/>
  <c r="BS33" i="46"/>
  <c r="AC70" i="46"/>
  <c r="BE50" i="46"/>
  <c r="CG30" i="46"/>
  <c r="X77" i="46"/>
  <c r="CS7" i="46"/>
  <c r="AE67" i="46"/>
  <c r="H78" i="46"/>
  <c r="I78" i="46" s="1"/>
  <c r="K78" i="46"/>
  <c r="N78" i="46" s="1"/>
  <c r="W78" i="46"/>
  <c r="F79" i="46"/>
  <c r="M79" i="46" s="1"/>
  <c r="T81" i="43"/>
  <c r="U81" i="43" s="1"/>
  <c r="CH30" i="46" l="1"/>
  <c r="BF50" i="46"/>
  <c r="AD70" i="46"/>
  <c r="BT33" i="46"/>
  <c r="CO21" i="46"/>
  <c r="Y77" i="46"/>
  <c r="AA75" i="46"/>
  <c r="X78" i="46"/>
  <c r="Y78" i="46" s="1"/>
  <c r="Z78" i="46" s="1"/>
  <c r="AA78" i="46" s="1"/>
  <c r="AB78" i="46" s="1"/>
  <c r="AC78" i="46" s="1"/>
  <c r="AD78" i="46" s="1"/>
  <c r="AE78" i="46" s="1"/>
  <c r="AF78" i="46" s="1"/>
  <c r="AG78" i="46" s="1"/>
  <c r="AH78" i="46" s="1"/>
  <c r="AI78" i="46" s="1"/>
  <c r="AJ78" i="46" s="1"/>
  <c r="AK78" i="46" s="1"/>
  <c r="AL78" i="46" s="1"/>
  <c r="AM78" i="46" s="1"/>
  <c r="AN78" i="46" s="1"/>
  <c r="AO78" i="46" s="1"/>
  <c r="AP78" i="46" s="1"/>
  <c r="AQ78" i="46" s="1"/>
  <c r="AR78" i="46" s="1"/>
  <c r="AS78" i="46" s="1"/>
  <c r="AT78" i="46" s="1"/>
  <c r="AU78" i="46" s="1"/>
  <c r="AV78" i="46" s="1"/>
  <c r="AW78" i="46" s="1"/>
  <c r="AX78" i="46" s="1"/>
  <c r="AY78" i="46" s="1"/>
  <c r="AZ78" i="46" s="1"/>
  <c r="BA78" i="46" s="1"/>
  <c r="BB78" i="46" s="1"/>
  <c r="BC78" i="46" s="1"/>
  <c r="BD78" i="46" s="1"/>
  <c r="BE78" i="46" s="1"/>
  <c r="BF78" i="46" s="1"/>
  <c r="BG78" i="46" s="1"/>
  <c r="BH78" i="46" s="1"/>
  <c r="BI78" i="46" s="1"/>
  <c r="BJ78" i="46" s="1"/>
  <c r="BK78" i="46" s="1"/>
  <c r="BL78" i="46" s="1"/>
  <c r="BM78" i="46" s="1"/>
  <c r="BN78" i="46" s="1"/>
  <c r="BO78" i="46" s="1"/>
  <c r="BP78" i="46" s="1"/>
  <c r="BQ78" i="46" s="1"/>
  <c r="BR78" i="46" s="1"/>
  <c r="BS78" i="46" s="1"/>
  <c r="BT78" i="46" s="1"/>
  <c r="BU78" i="46" s="1"/>
  <c r="BV78" i="46" s="1"/>
  <c r="BW78" i="46" s="1"/>
  <c r="BX78" i="46" s="1"/>
  <c r="BY78" i="46" s="1"/>
  <c r="BZ78" i="46" s="1"/>
  <c r="CA78" i="46" s="1"/>
  <c r="CB78" i="46" s="1"/>
  <c r="CC78" i="46" s="1"/>
  <c r="CD78" i="46" s="1"/>
  <c r="CE78" i="46" s="1"/>
  <c r="CF78" i="46" s="1"/>
  <c r="CG78" i="46" s="1"/>
  <c r="CH78" i="46" s="1"/>
  <c r="CI78" i="46" s="1"/>
  <c r="CJ78" i="46" s="1"/>
  <c r="CK78" i="46" s="1"/>
  <c r="CL78" i="46" s="1"/>
  <c r="CM78" i="46" s="1"/>
  <c r="CN78" i="46" s="1"/>
  <c r="CO78" i="46" s="1"/>
  <c r="CP78" i="46" s="1"/>
  <c r="CQ78" i="46" s="1"/>
  <c r="CR78" i="46" s="1"/>
  <c r="CS78" i="46" s="1"/>
  <c r="CT78" i="46" s="1"/>
  <c r="CU78" i="46" s="1"/>
  <c r="CV78" i="46" s="1"/>
  <c r="CW78" i="46" s="1"/>
  <c r="CX78" i="46" s="1"/>
  <c r="CY78" i="46" s="1"/>
  <c r="CZ78" i="46" s="1"/>
  <c r="DA78" i="46" s="1"/>
  <c r="DB78" i="46" s="1"/>
  <c r="DC78" i="46" s="1"/>
  <c r="DD78" i="46" s="1"/>
  <c r="DE78" i="46" s="1"/>
  <c r="DF78" i="46" s="1"/>
  <c r="DG78" i="46" s="1"/>
  <c r="DH78" i="46" s="1"/>
  <c r="DI78" i="46" s="1"/>
  <c r="DJ78" i="46" s="1"/>
  <c r="DK78" i="46" s="1"/>
  <c r="DL78" i="46" s="1"/>
  <c r="DM78" i="46" s="1"/>
  <c r="DN78" i="46" s="1"/>
  <c r="DO78" i="46" s="1"/>
  <c r="DP78" i="46" s="1"/>
  <c r="DQ78" i="46" s="1"/>
  <c r="DR78" i="46" s="1"/>
  <c r="CT7" i="46"/>
  <c r="AF67" i="46"/>
  <c r="H79" i="46"/>
  <c r="I79" i="46" s="1"/>
  <c r="W79" i="46"/>
  <c r="K79" i="46"/>
  <c r="N79" i="46" s="1"/>
  <c r="F83" i="43"/>
  <c r="F86" i="43" s="1"/>
  <c r="T82" i="43"/>
  <c r="F80" i="46"/>
  <c r="M80" i="46" s="1"/>
  <c r="Z77" i="46" l="1"/>
  <c r="BU33" i="46"/>
  <c r="AE70" i="46"/>
  <c r="CP21" i="46"/>
  <c r="J78" i="46"/>
  <c r="BG50" i="46"/>
  <c r="AB75" i="46"/>
  <c r="CI30" i="46"/>
  <c r="X79" i="46"/>
  <c r="CU7" i="46"/>
  <c r="I156" i="42"/>
  <c r="I157" i="42" s="1"/>
  <c r="I158" i="42" s="1"/>
  <c r="F87" i="43"/>
  <c r="AG67" i="46"/>
  <c r="U82" i="43"/>
  <c r="T83" i="43"/>
  <c r="U83" i="43" s="1"/>
  <c r="W80" i="46"/>
  <c r="X80" i="46" s="1"/>
  <c r="Y80" i="46" s="1"/>
  <c r="Z80" i="46" s="1"/>
  <c r="AA80" i="46" s="1"/>
  <c r="AB80" i="46" s="1"/>
  <c r="AC80" i="46" s="1"/>
  <c r="AD80" i="46" s="1"/>
  <c r="AE80" i="46" s="1"/>
  <c r="AF80" i="46" s="1"/>
  <c r="AG80" i="46" s="1"/>
  <c r="AH80" i="46" s="1"/>
  <c r="AI80" i="46" s="1"/>
  <c r="AJ80" i="46" s="1"/>
  <c r="AK80" i="46" s="1"/>
  <c r="AL80" i="46" s="1"/>
  <c r="AM80" i="46" s="1"/>
  <c r="AN80" i="46" s="1"/>
  <c r="AO80" i="46" s="1"/>
  <c r="AP80" i="46" s="1"/>
  <c r="AQ80" i="46" s="1"/>
  <c r="AR80" i="46" s="1"/>
  <c r="AS80" i="46" s="1"/>
  <c r="AT80" i="46" s="1"/>
  <c r="AU80" i="46" s="1"/>
  <c r="AV80" i="46" s="1"/>
  <c r="AW80" i="46" s="1"/>
  <c r="AX80" i="46" s="1"/>
  <c r="AY80" i="46" s="1"/>
  <c r="AZ80" i="46" s="1"/>
  <c r="BA80" i="46" s="1"/>
  <c r="BB80" i="46" s="1"/>
  <c r="BC80" i="46" s="1"/>
  <c r="BD80" i="46" s="1"/>
  <c r="BE80" i="46" s="1"/>
  <c r="BF80" i="46" s="1"/>
  <c r="BG80" i="46" s="1"/>
  <c r="BH80" i="46" s="1"/>
  <c r="BI80" i="46" s="1"/>
  <c r="BJ80" i="46" s="1"/>
  <c r="BK80" i="46" s="1"/>
  <c r="BL80" i="46" s="1"/>
  <c r="BM80" i="46" s="1"/>
  <c r="BN80" i="46" s="1"/>
  <c r="BO80" i="46" s="1"/>
  <c r="BP80" i="46" s="1"/>
  <c r="BQ80" i="46" s="1"/>
  <c r="BR80" i="46" s="1"/>
  <c r="BS80" i="46" s="1"/>
  <c r="BT80" i="46" s="1"/>
  <c r="BU80" i="46" s="1"/>
  <c r="BV80" i="46" s="1"/>
  <c r="BW80" i="46" s="1"/>
  <c r="BX80" i="46" s="1"/>
  <c r="BY80" i="46" s="1"/>
  <c r="BZ80" i="46" s="1"/>
  <c r="CA80" i="46" s="1"/>
  <c r="CB80" i="46" s="1"/>
  <c r="CC80" i="46" s="1"/>
  <c r="CD80" i="46" s="1"/>
  <c r="CE80" i="46" s="1"/>
  <c r="CF80" i="46" s="1"/>
  <c r="CG80" i="46" s="1"/>
  <c r="CH80" i="46" s="1"/>
  <c r="CI80" i="46" s="1"/>
  <c r="CJ80" i="46" s="1"/>
  <c r="CK80" i="46" s="1"/>
  <c r="CL80" i="46" s="1"/>
  <c r="CM80" i="46" s="1"/>
  <c r="CN80" i="46" s="1"/>
  <c r="CO80" i="46" s="1"/>
  <c r="CP80" i="46" s="1"/>
  <c r="CQ80" i="46" s="1"/>
  <c r="CR80" i="46" s="1"/>
  <c r="CS80" i="46" s="1"/>
  <c r="CT80" i="46" s="1"/>
  <c r="CU80" i="46" s="1"/>
  <c r="CV80" i="46" s="1"/>
  <c r="CW80" i="46" s="1"/>
  <c r="CX80" i="46" s="1"/>
  <c r="CY80" i="46" s="1"/>
  <c r="CZ80" i="46" s="1"/>
  <c r="DA80" i="46" s="1"/>
  <c r="DB80" i="46" s="1"/>
  <c r="DC80" i="46" s="1"/>
  <c r="DD80" i="46" s="1"/>
  <c r="DE80" i="46" s="1"/>
  <c r="DF80" i="46" s="1"/>
  <c r="DG80" i="46" s="1"/>
  <c r="DH80" i="46" s="1"/>
  <c r="DI80" i="46" s="1"/>
  <c r="DJ80" i="46" s="1"/>
  <c r="DK80" i="46" s="1"/>
  <c r="DL80" i="46" s="1"/>
  <c r="DM80" i="46" s="1"/>
  <c r="DN80" i="46" s="1"/>
  <c r="DO80" i="46" s="1"/>
  <c r="DP80" i="46" s="1"/>
  <c r="DQ80" i="46" s="1"/>
  <c r="DR80" i="46" s="1"/>
  <c r="H80" i="46"/>
  <c r="I80" i="46" s="1"/>
  <c r="K80" i="46"/>
  <c r="N80" i="46" s="1"/>
  <c r="K82" i="46" s="1"/>
  <c r="G83" i="43"/>
  <c r="N79" i="45"/>
  <c r="F82" i="46"/>
  <c r="I66" i="61" s="1"/>
  <c r="Y66" i="61" s="1"/>
  <c r="P66" i="59" l="1"/>
  <c r="AE66" i="59" s="1"/>
  <c r="Q66" i="61"/>
  <c r="AF66" i="61" s="1"/>
  <c r="K66" i="59"/>
  <c r="Z66" i="59" s="1"/>
  <c r="K66" i="61"/>
  <c r="AA66" i="61" s="1"/>
  <c r="AC75" i="46"/>
  <c r="AF70" i="46"/>
  <c r="BH50" i="46"/>
  <c r="BV33" i="46"/>
  <c r="CQ21" i="46"/>
  <c r="Y79" i="46"/>
  <c r="X82" i="46"/>
  <c r="CJ30" i="46"/>
  <c r="AA77" i="46"/>
  <c r="CV7" i="46"/>
  <c r="J80" i="46"/>
  <c r="W82" i="46"/>
  <c r="AH67" i="46"/>
  <c r="I66" i="59"/>
  <c r="E7" i="60" s="1"/>
  <c r="E20" i="60" s="1"/>
  <c r="M82" i="46"/>
  <c r="K66" i="52"/>
  <c r="W66" i="52" s="1"/>
  <c r="G66" i="52"/>
  <c r="S66" i="52" s="1"/>
  <c r="H82" i="46"/>
  <c r="J157" i="42"/>
  <c r="J158" i="42" s="1"/>
  <c r="N66" i="59" l="1"/>
  <c r="F7" i="60" s="1"/>
  <c r="F20" i="60" s="1"/>
  <c r="O66" i="61"/>
  <c r="AD66" i="61" s="1"/>
  <c r="Z79" i="46"/>
  <c r="Y82" i="46"/>
  <c r="CR21" i="46"/>
  <c r="BW33" i="46"/>
  <c r="CK30" i="46"/>
  <c r="AG70" i="46"/>
  <c r="BI50" i="46"/>
  <c r="AB77" i="46"/>
  <c r="AD75" i="46"/>
  <c r="CW7" i="46"/>
  <c r="AC66" i="59"/>
  <c r="X66" i="59"/>
  <c r="AI67" i="46"/>
  <c r="H159" i="42"/>
  <c r="I160" i="42" s="1"/>
  <c r="C8" i="53" s="1"/>
  <c r="I66" i="52"/>
  <c r="U66" i="52" s="1"/>
  <c r="I82" i="46"/>
  <c r="BJ50" i="46" l="1"/>
  <c r="AH70" i="46"/>
  <c r="CL30" i="46"/>
  <c r="BX33" i="46"/>
  <c r="CS21" i="46"/>
  <c r="AE75" i="46"/>
  <c r="AC77" i="46"/>
  <c r="AA79" i="46"/>
  <c r="Z82" i="46"/>
  <c r="CX7" i="46"/>
  <c r="AJ67" i="46"/>
  <c r="L160" i="42"/>
  <c r="K160" i="42"/>
  <c r="N160" i="42"/>
  <c r="M160" i="42"/>
  <c r="H160" i="42"/>
  <c r="D8" i="53" s="1"/>
  <c r="O160" i="42"/>
  <c r="J160" i="42"/>
  <c r="E8" i="53" s="1"/>
  <c r="AD77" i="46" l="1"/>
  <c r="AF75" i="46"/>
  <c r="BY33" i="46"/>
  <c r="CM30" i="46"/>
  <c r="CT21" i="46"/>
  <c r="AB79" i="46"/>
  <c r="AA82" i="46"/>
  <c r="AI70" i="46"/>
  <c r="BK50" i="46"/>
  <c r="CY7" i="46"/>
  <c r="AK67" i="46"/>
  <c r="F8" i="53"/>
  <c r="AC79" i="46" l="1"/>
  <c r="AB82" i="46"/>
  <c r="CU21" i="46"/>
  <c r="CN30" i="46"/>
  <c r="BZ33" i="46"/>
  <c r="BL50" i="46"/>
  <c r="AG75" i="46"/>
  <c r="AJ70" i="46"/>
  <c r="AE77" i="46"/>
  <c r="CZ7" i="46"/>
  <c r="AL67" i="46"/>
  <c r="AH75" i="46" l="1"/>
  <c r="AK70" i="46"/>
  <c r="BM50" i="46"/>
  <c r="CA33" i="46"/>
  <c r="CO30" i="46"/>
  <c r="CV21" i="46"/>
  <c r="AF77" i="46"/>
  <c r="AD79" i="46"/>
  <c r="AC82" i="46"/>
  <c r="DA7" i="46"/>
  <c r="AM67" i="46"/>
  <c r="CB33" i="46" l="1"/>
  <c r="BN50" i="46"/>
  <c r="AG77" i="46"/>
  <c r="AL70" i="46"/>
  <c r="CW21" i="46"/>
  <c r="CP30" i="46"/>
  <c r="AE79" i="46"/>
  <c r="AD82" i="46"/>
  <c r="AI75" i="46"/>
  <c r="DB7" i="46"/>
  <c r="AN67" i="46"/>
  <c r="AF79" i="46" l="1"/>
  <c r="AE82" i="46"/>
  <c r="AM70" i="46"/>
  <c r="CQ30" i="46"/>
  <c r="CX21" i="46"/>
  <c r="AH77" i="46"/>
  <c r="BO50" i="46"/>
  <c r="AJ75" i="46"/>
  <c r="CC33" i="46"/>
  <c r="DC7" i="46"/>
  <c r="AO67" i="46"/>
  <c r="BP50" i="46" l="1"/>
  <c r="CY21" i="46"/>
  <c r="CR30" i="46"/>
  <c r="AK75" i="46"/>
  <c r="AI77" i="46"/>
  <c r="AN70" i="46"/>
  <c r="CD33" i="46"/>
  <c r="AG79" i="46"/>
  <c r="AF82" i="46"/>
  <c r="DD7" i="46"/>
  <c r="AP67" i="46"/>
  <c r="AO70" i="46" l="1"/>
  <c r="CE33" i="46"/>
  <c r="AL75" i="46"/>
  <c r="AJ77" i="46"/>
  <c r="CS30" i="46"/>
  <c r="CZ21" i="46"/>
  <c r="AH79" i="46"/>
  <c r="AG82" i="46"/>
  <c r="BQ50" i="46"/>
  <c r="DE7" i="46"/>
  <c r="AQ67" i="46"/>
  <c r="AI79" i="46" l="1"/>
  <c r="AH82" i="46"/>
  <c r="CT30" i="46"/>
  <c r="DA21" i="46"/>
  <c r="AK77" i="46"/>
  <c r="AM75" i="46"/>
  <c r="CF33" i="46"/>
  <c r="BR50" i="46"/>
  <c r="AP70" i="46"/>
  <c r="DF7" i="46"/>
  <c r="AR67" i="46"/>
  <c r="CG33" i="46" l="1"/>
  <c r="BS50" i="46"/>
  <c r="AL77" i="46"/>
  <c r="AN75" i="46"/>
  <c r="DB21" i="46"/>
  <c r="CU30" i="46"/>
  <c r="AQ70" i="46"/>
  <c r="AJ79" i="46"/>
  <c r="AI82" i="46"/>
  <c r="DG7" i="46"/>
  <c r="AS67" i="46"/>
  <c r="CV30" i="46" l="1"/>
  <c r="AR70" i="46"/>
  <c r="AO75" i="46"/>
  <c r="DC21" i="46"/>
  <c r="AM77" i="46"/>
  <c r="BT50" i="46"/>
  <c r="AK79" i="46"/>
  <c r="AJ82" i="46"/>
  <c r="CH33" i="46"/>
  <c r="DH7" i="46"/>
  <c r="AT67" i="46"/>
  <c r="AL79" i="46" l="1"/>
  <c r="AK82" i="46"/>
  <c r="DD21" i="46"/>
  <c r="BU50" i="46"/>
  <c r="AN77" i="46"/>
  <c r="AP75" i="46"/>
  <c r="AS70" i="46"/>
  <c r="CI33" i="46"/>
  <c r="CW30" i="46"/>
  <c r="DI7" i="46"/>
  <c r="AU67" i="46"/>
  <c r="AT70" i="46" l="1"/>
  <c r="CJ33" i="46"/>
  <c r="AQ75" i="46"/>
  <c r="AO77" i="46"/>
  <c r="BV50" i="46"/>
  <c r="DE21" i="46"/>
  <c r="CX30" i="46"/>
  <c r="AM79" i="46"/>
  <c r="AL82" i="46"/>
  <c r="DJ7" i="46"/>
  <c r="AV67" i="46"/>
  <c r="BW50" i="46" l="1"/>
  <c r="CY30" i="46"/>
  <c r="DF21" i="46"/>
  <c r="AP77" i="46"/>
  <c r="AR75" i="46"/>
  <c r="CK33" i="46"/>
  <c r="AN79" i="46"/>
  <c r="AM82" i="46"/>
  <c r="AU70" i="46"/>
  <c r="DK7" i="46"/>
  <c r="AW67" i="46"/>
  <c r="CL33" i="46" l="1"/>
  <c r="AO79" i="46"/>
  <c r="AN82" i="46"/>
  <c r="AQ77" i="46"/>
  <c r="AS75" i="46"/>
  <c r="DG21" i="46"/>
  <c r="CZ30" i="46"/>
  <c r="AV70" i="46"/>
  <c r="BX50" i="46"/>
  <c r="DL7" i="46"/>
  <c r="AX67" i="46"/>
  <c r="AW70" i="46" l="1"/>
  <c r="AT75" i="46"/>
  <c r="DA30" i="46"/>
  <c r="DH21" i="46"/>
  <c r="AR77" i="46"/>
  <c r="AP79" i="46"/>
  <c r="AO82" i="46"/>
  <c r="BY50" i="46"/>
  <c r="CM33" i="46"/>
  <c r="DM7" i="46"/>
  <c r="AY67" i="46"/>
  <c r="AQ79" i="46" l="1"/>
  <c r="AP82" i="46"/>
  <c r="AS77" i="46"/>
  <c r="BZ50" i="46"/>
  <c r="DI21" i="46"/>
  <c r="DB30" i="46"/>
  <c r="AU75" i="46"/>
  <c r="CN33" i="46"/>
  <c r="AX70" i="46"/>
  <c r="DN7" i="46"/>
  <c r="AZ67" i="46"/>
  <c r="BA67" i="46" s="1"/>
  <c r="DC30" i="46" l="1"/>
  <c r="DJ21" i="46"/>
  <c r="AV75" i="46"/>
  <c r="BB67" i="46"/>
  <c r="CO33" i="46"/>
  <c r="CA50" i="46"/>
  <c r="AT77" i="46"/>
  <c r="AY70" i="46"/>
  <c r="AR79" i="46"/>
  <c r="AQ82" i="46"/>
  <c r="DO7" i="46"/>
  <c r="CP33" i="46" l="1"/>
  <c r="BC67" i="46"/>
  <c r="AW75" i="46"/>
  <c r="AU77" i="46"/>
  <c r="CB50" i="46"/>
  <c r="AS79" i="46"/>
  <c r="AR82" i="46"/>
  <c r="DK21" i="46"/>
  <c r="AZ70" i="46"/>
  <c r="DD30" i="46"/>
  <c r="DP7" i="46"/>
  <c r="AT79" i="46" l="1"/>
  <c r="AS82" i="46"/>
  <c r="DL21" i="46"/>
  <c r="CC50" i="46"/>
  <c r="AV77" i="46"/>
  <c r="AX75" i="46"/>
  <c r="DE30" i="46"/>
  <c r="BD67" i="46"/>
  <c r="BA70" i="46"/>
  <c r="CQ33" i="46"/>
  <c r="DQ7" i="46"/>
  <c r="BE67" i="46" l="1"/>
  <c r="DF30" i="46"/>
  <c r="AY75" i="46"/>
  <c r="AW77" i="46"/>
  <c r="CD50" i="46"/>
  <c r="CR33" i="46"/>
  <c r="DM21" i="46"/>
  <c r="BB70" i="46"/>
  <c r="AU79" i="46"/>
  <c r="AT82" i="46"/>
  <c r="DR7" i="46"/>
  <c r="CS33" i="46" l="1"/>
  <c r="CE50" i="46"/>
  <c r="DN21" i="46"/>
  <c r="AX77" i="46"/>
  <c r="AZ75" i="46"/>
  <c r="AV79" i="46"/>
  <c r="AU82" i="46"/>
  <c r="DG30" i="46"/>
  <c r="BC70" i="46"/>
  <c r="BF67" i="46"/>
  <c r="J7" i="46"/>
  <c r="BA75" i="46" l="1"/>
  <c r="BB75" i="46" s="1"/>
  <c r="BC75" i="46" s="1"/>
  <c r="BD75" i="46" s="1"/>
  <c r="BE75" i="46" s="1"/>
  <c r="BF75" i="46" s="1"/>
  <c r="BG75" i="46" s="1"/>
  <c r="BH75" i="46" s="1"/>
  <c r="BI75" i="46" s="1"/>
  <c r="BJ75" i="46" s="1"/>
  <c r="BK75" i="46" s="1"/>
  <c r="BL75" i="46" s="1"/>
  <c r="BM75" i="46" s="1"/>
  <c r="BN75" i="46" s="1"/>
  <c r="BO75" i="46" s="1"/>
  <c r="BP75" i="46" s="1"/>
  <c r="BQ75" i="46" s="1"/>
  <c r="BR75" i="46" s="1"/>
  <c r="BS75" i="46" s="1"/>
  <c r="BT75" i="46" s="1"/>
  <c r="BU75" i="46" s="1"/>
  <c r="BV75" i="46" s="1"/>
  <c r="BW75" i="46" s="1"/>
  <c r="BX75" i="46" s="1"/>
  <c r="BY75" i="46" s="1"/>
  <c r="BZ75" i="46" s="1"/>
  <c r="CA75" i="46" s="1"/>
  <c r="CB75" i="46" s="1"/>
  <c r="CC75" i="46" s="1"/>
  <c r="CD75" i="46" s="1"/>
  <c r="CE75" i="46" s="1"/>
  <c r="CF75" i="46" s="1"/>
  <c r="CG75" i="46" s="1"/>
  <c r="CH75" i="46" s="1"/>
  <c r="CI75" i="46" s="1"/>
  <c r="CJ75" i="46" s="1"/>
  <c r="CK75" i="46" s="1"/>
  <c r="CL75" i="46" s="1"/>
  <c r="CM75" i="46" s="1"/>
  <c r="CN75" i="46" s="1"/>
  <c r="CO75" i="46" s="1"/>
  <c r="CP75" i="46" s="1"/>
  <c r="CQ75" i="46" s="1"/>
  <c r="CR75" i="46" s="1"/>
  <c r="CS75" i="46" s="1"/>
  <c r="CT75" i="46" s="1"/>
  <c r="CU75" i="46" s="1"/>
  <c r="CV75" i="46" s="1"/>
  <c r="CW75" i="46" s="1"/>
  <c r="CX75" i="46" s="1"/>
  <c r="CY75" i="46" s="1"/>
  <c r="CZ75" i="46" s="1"/>
  <c r="DA75" i="46" s="1"/>
  <c r="DB75" i="46" s="1"/>
  <c r="DC75" i="46" s="1"/>
  <c r="DD75" i="46" s="1"/>
  <c r="DE75" i="46" s="1"/>
  <c r="DF75" i="46" s="1"/>
  <c r="DG75" i="46" s="1"/>
  <c r="DH75" i="46" s="1"/>
  <c r="DI75" i="46" s="1"/>
  <c r="DJ75" i="46" s="1"/>
  <c r="DK75" i="46" s="1"/>
  <c r="DL75" i="46" s="1"/>
  <c r="DM75" i="46" s="1"/>
  <c r="DN75" i="46" s="1"/>
  <c r="DO75" i="46" s="1"/>
  <c r="DP75" i="46" s="1"/>
  <c r="DQ75" i="46" s="1"/>
  <c r="DR75" i="46" s="1"/>
  <c r="J75" i="46" s="1"/>
  <c r="DH30" i="46"/>
  <c r="AY77" i="46"/>
  <c r="AW79" i="46"/>
  <c r="AV82" i="46"/>
  <c r="DO21" i="46"/>
  <c r="BG67" i="46"/>
  <c r="BH67" i="46" s="1"/>
  <c r="CF50" i="46"/>
  <c r="BD70" i="46"/>
  <c r="CT33" i="46"/>
  <c r="CG50" i="46" l="1"/>
  <c r="AZ77" i="46"/>
  <c r="CU33" i="46"/>
  <c r="DI30" i="46"/>
  <c r="BI67" i="46"/>
  <c r="DP21" i="46"/>
  <c r="AX79" i="46"/>
  <c r="AW82" i="46"/>
  <c r="BE70" i="46"/>
  <c r="AY79" i="46" l="1"/>
  <c r="AX82" i="46"/>
  <c r="BJ67" i="46"/>
  <c r="DQ21" i="46"/>
  <c r="DJ30" i="46"/>
  <c r="CV33" i="46"/>
  <c r="BA77" i="46"/>
  <c r="BB77" i="46" s="1"/>
  <c r="BC77" i="46" s="1"/>
  <c r="BD77" i="46" s="1"/>
  <c r="BE77" i="46" s="1"/>
  <c r="BF77" i="46" s="1"/>
  <c r="BG77" i="46" s="1"/>
  <c r="BH77" i="46" s="1"/>
  <c r="BI77" i="46" s="1"/>
  <c r="BJ77" i="46" s="1"/>
  <c r="BK77" i="46" s="1"/>
  <c r="BL77" i="46" s="1"/>
  <c r="BM77" i="46" s="1"/>
  <c r="BN77" i="46" s="1"/>
  <c r="BO77" i="46" s="1"/>
  <c r="BP77" i="46" s="1"/>
  <c r="BQ77" i="46" s="1"/>
  <c r="BR77" i="46" s="1"/>
  <c r="BS77" i="46" s="1"/>
  <c r="BT77" i="46" s="1"/>
  <c r="BU77" i="46" s="1"/>
  <c r="BV77" i="46" s="1"/>
  <c r="BW77" i="46" s="1"/>
  <c r="BX77" i="46" s="1"/>
  <c r="BY77" i="46" s="1"/>
  <c r="BZ77" i="46" s="1"/>
  <c r="CA77" i="46" s="1"/>
  <c r="CB77" i="46" s="1"/>
  <c r="CC77" i="46" s="1"/>
  <c r="CD77" i="46" s="1"/>
  <c r="CE77" i="46" s="1"/>
  <c r="CF77" i="46" s="1"/>
  <c r="CG77" i="46" s="1"/>
  <c r="CH77" i="46" s="1"/>
  <c r="CI77" i="46" s="1"/>
  <c r="CJ77" i="46" s="1"/>
  <c r="CK77" i="46" s="1"/>
  <c r="CL77" i="46" s="1"/>
  <c r="CM77" i="46" s="1"/>
  <c r="CN77" i="46" s="1"/>
  <c r="CO77" i="46" s="1"/>
  <c r="CP77" i="46" s="1"/>
  <c r="CQ77" i="46" s="1"/>
  <c r="CR77" i="46" s="1"/>
  <c r="CS77" i="46" s="1"/>
  <c r="CT77" i="46" s="1"/>
  <c r="CU77" i="46" s="1"/>
  <c r="CV77" i="46" s="1"/>
  <c r="CW77" i="46" s="1"/>
  <c r="CX77" i="46" s="1"/>
  <c r="CY77" i="46" s="1"/>
  <c r="CZ77" i="46" s="1"/>
  <c r="DA77" i="46" s="1"/>
  <c r="DB77" i="46" s="1"/>
  <c r="DC77" i="46" s="1"/>
  <c r="DD77" i="46" s="1"/>
  <c r="DE77" i="46" s="1"/>
  <c r="DF77" i="46" s="1"/>
  <c r="DG77" i="46" s="1"/>
  <c r="DH77" i="46" s="1"/>
  <c r="DI77" i="46" s="1"/>
  <c r="DJ77" i="46" s="1"/>
  <c r="DK77" i="46" s="1"/>
  <c r="DL77" i="46" s="1"/>
  <c r="DM77" i="46" s="1"/>
  <c r="DN77" i="46" s="1"/>
  <c r="DO77" i="46" s="1"/>
  <c r="DP77" i="46" s="1"/>
  <c r="DQ77" i="46" s="1"/>
  <c r="DR77" i="46" s="1"/>
  <c r="J77" i="46" s="1"/>
  <c r="BF70" i="46"/>
  <c r="CH50" i="46"/>
  <c r="BG70" i="46" l="1"/>
  <c r="BH70" i="46" s="1"/>
  <c r="BI70" i="46" s="1"/>
  <c r="BJ70" i="46" s="1"/>
  <c r="BK70" i="46" s="1"/>
  <c r="BL70" i="46" s="1"/>
  <c r="BM70" i="46" s="1"/>
  <c r="BN70" i="46" s="1"/>
  <c r="BO70" i="46" s="1"/>
  <c r="BP70" i="46" s="1"/>
  <c r="BQ70" i="46" s="1"/>
  <c r="BR70" i="46" s="1"/>
  <c r="BS70" i="46" s="1"/>
  <c r="BT70" i="46" s="1"/>
  <c r="BU70" i="46" s="1"/>
  <c r="BV70" i="46" s="1"/>
  <c r="BW70" i="46" s="1"/>
  <c r="BX70" i="46" s="1"/>
  <c r="BY70" i="46" s="1"/>
  <c r="BZ70" i="46" s="1"/>
  <c r="CA70" i="46" s="1"/>
  <c r="CB70" i="46" s="1"/>
  <c r="CC70" i="46" s="1"/>
  <c r="CD70" i="46" s="1"/>
  <c r="CE70" i="46" s="1"/>
  <c r="CF70" i="46" s="1"/>
  <c r="CG70" i="46" s="1"/>
  <c r="CH70" i="46" s="1"/>
  <c r="CI70" i="46" s="1"/>
  <c r="CJ70" i="46" s="1"/>
  <c r="CK70" i="46" s="1"/>
  <c r="CL70" i="46" s="1"/>
  <c r="CM70" i="46" s="1"/>
  <c r="CN70" i="46" s="1"/>
  <c r="CO70" i="46" s="1"/>
  <c r="CP70" i="46" s="1"/>
  <c r="CQ70" i="46" s="1"/>
  <c r="CR70" i="46" s="1"/>
  <c r="CS70" i="46" s="1"/>
  <c r="CT70" i="46" s="1"/>
  <c r="CU70" i="46" s="1"/>
  <c r="CV70" i="46" s="1"/>
  <c r="CW70" i="46" s="1"/>
  <c r="CX70" i="46" s="1"/>
  <c r="CY70" i="46" s="1"/>
  <c r="CZ70" i="46" s="1"/>
  <c r="DA70" i="46" s="1"/>
  <c r="DB70" i="46" s="1"/>
  <c r="DC70" i="46" s="1"/>
  <c r="DD70" i="46" s="1"/>
  <c r="DE70" i="46" s="1"/>
  <c r="DF70" i="46" s="1"/>
  <c r="DG70" i="46" s="1"/>
  <c r="DH70" i="46" s="1"/>
  <c r="DI70" i="46" s="1"/>
  <c r="DJ70" i="46" s="1"/>
  <c r="DK70" i="46" s="1"/>
  <c r="DL70" i="46" s="1"/>
  <c r="DM70" i="46" s="1"/>
  <c r="DN70" i="46" s="1"/>
  <c r="DO70" i="46" s="1"/>
  <c r="DP70" i="46" s="1"/>
  <c r="DQ70" i="46" s="1"/>
  <c r="DR70" i="46" s="1"/>
  <c r="J70" i="46" s="1"/>
  <c r="CW33" i="46"/>
  <c r="DK30" i="46"/>
  <c r="DR21" i="46"/>
  <c r="BK67" i="46"/>
  <c r="CI50" i="46"/>
  <c r="AZ79" i="46"/>
  <c r="AY82" i="46"/>
  <c r="BA79" i="46" l="1"/>
  <c r="AZ82" i="46"/>
  <c r="J21" i="46"/>
  <c r="DL30" i="46"/>
  <c r="CX33" i="46"/>
  <c r="CJ50" i="46"/>
  <c r="BL67" i="46"/>
  <c r="CY33" i="46" l="1"/>
  <c r="CK50" i="46"/>
  <c r="DM30" i="46"/>
  <c r="BM67" i="46"/>
  <c r="BB79" i="46"/>
  <c r="BA82" i="46"/>
  <c r="BC79" i="46" l="1"/>
  <c r="BB82" i="46"/>
  <c r="BN67" i="46"/>
  <c r="DN30" i="46"/>
  <c r="CL50" i="46"/>
  <c r="CZ33" i="46"/>
  <c r="CM50" i="46" l="1"/>
  <c r="DA33" i="46"/>
  <c r="DO30" i="46"/>
  <c r="BO67" i="46"/>
  <c r="BD79" i="46"/>
  <c r="BC82" i="46"/>
  <c r="BP67" i="46" l="1"/>
  <c r="BE79" i="46"/>
  <c r="BD82" i="46"/>
  <c r="DP30" i="46"/>
  <c r="DB33" i="46"/>
  <c r="CN50" i="46"/>
  <c r="CO50" i="46" l="1"/>
  <c r="DC33" i="46"/>
  <c r="DQ30" i="46"/>
  <c r="BF79" i="46"/>
  <c r="BE82" i="46"/>
  <c r="BQ67" i="46"/>
  <c r="BR67" i="46" l="1"/>
  <c r="DD33" i="46"/>
  <c r="BG79" i="46"/>
  <c r="BF82" i="46"/>
  <c r="DR30" i="46"/>
  <c r="CP50" i="46"/>
  <c r="J30" i="46" l="1"/>
  <c r="CQ50" i="46"/>
  <c r="BH79" i="46"/>
  <c r="BG82" i="46"/>
  <c r="DE33" i="46"/>
  <c r="BS67" i="46"/>
  <c r="DF33" i="46" l="1"/>
  <c r="BI79" i="46"/>
  <c r="BH82" i="46"/>
  <c r="BT67" i="46"/>
  <c r="CR50" i="46"/>
  <c r="CS50" i="46" l="1"/>
  <c r="BU67" i="46"/>
  <c r="BJ79" i="46"/>
  <c r="BI82" i="46"/>
  <c r="DG33" i="46"/>
  <c r="DH33" i="46" l="1"/>
  <c r="BK79" i="46"/>
  <c r="BJ82" i="46"/>
  <c r="BV67" i="46"/>
  <c r="CT50" i="46"/>
  <c r="CU50" i="46" l="1"/>
  <c r="BW67" i="46"/>
  <c r="BL79" i="46"/>
  <c r="BK82" i="46"/>
  <c r="DI33" i="46"/>
  <c r="BM79" i="46" l="1"/>
  <c r="BL82" i="46"/>
  <c r="DJ33" i="46"/>
  <c r="BX67" i="46"/>
  <c r="CV50" i="46"/>
  <c r="CW50" i="46" l="1"/>
  <c r="BY67" i="46"/>
  <c r="DK33" i="46"/>
  <c r="BN79" i="46"/>
  <c r="BM82" i="46"/>
  <c r="BO79" i="46" l="1"/>
  <c r="BN82" i="46"/>
  <c r="DL33" i="46"/>
  <c r="BZ67" i="46"/>
  <c r="CX50" i="46"/>
  <c r="CY50" i="46" l="1"/>
  <c r="CA67" i="46"/>
  <c r="DM33" i="46"/>
  <c r="BP79" i="46"/>
  <c r="BO82" i="46"/>
  <c r="BQ79" i="46" l="1"/>
  <c r="BP82" i="46"/>
  <c r="DN33" i="46"/>
  <c r="CB67" i="46"/>
  <c r="CZ50" i="46"/>
  <c r="DA50" i="46" l="1"/>
  <c r="CC67" i="46"/>
  <c r="DO33" i="46"/>
  <c r="BR79" i="46"/>
  <c r="BQ82" i="46"/>
  <c r="DP33" i="46" l="1"/>
  <c r="BS79" i="46"/>
  <c r="BR82" i="46"/>
  <c r="CD67" i="46"/>
  <c r="DB50" i="46"/>
  <c r="CE67" i="46" l="1"/>
  <c r="BT79" i="46"/>
  <c r="BS82" i="46"/>
  <c r="DC50" i="46"/>
  <c r="DQ33" i="46"/>
  <c r="BU79" i="46" l="1"/>
  <c r="BT82" i="46"/>
  <c r="DR33" i="46"/>
  <c r="DD50" i="46"/>
  <c r="CF67" i="46"/>
  <c r="DE50" i="46" l="1"/>
  <c r="J33" i="46"/>
  <c r="CG67" i="46"/>
  <c r="BV79" i="46"/>
  <c r="BU82" i="46"/>
  <c r="BW79" i="46" l="1"/>
  <c r="BV82" i="46"/>
  <c r="CH67" i="46"/>
  <c r="DF50" i="46"/>
  <c r="DG50" i="46" l="1"/>
  <c r="CI67" i="46"/>
  <c r="BX79" i="46"/>
  <c r="BW82" i="46"/>
  <c r="BY79" i="46" l="1"/>
  <c r="BX82" i="46"/>
  <c r="CJ67" i="46"/>
  <c r="DH50" i="46"/>
  <c r="DI50" i="46" l="1"/>
  <c r="CK67" i="46"/>
  <c r="BZ79" i="46"/>
  <c r="BY82" i="46"/>
  <c r="CA79" i="46" l="1"/>
  <c r="BZ82" i="46"/>
  <c r="CL67" i="46"/>
  <c r="DJ50" i="46"/>
  <c r="DK50" i="46" l="1"/>
  <c r="CM67" i="46"/>
  <c r="CB79" i="46"/>
  <c r="CA82" i="46"/>
  <c r="CC79" i="46" l="1"/>
  <c r="CB82" i="46"/>
  <c r="CN67" i="46"/>
  <c r="DL50" i="46"/>
  <c r="DM50" i="46" l="1"/>
  <c r="CO67" i="46"/>
  <c r="CD79" i="46"/>
  <c r="CC82" i="46"/>
  <c r="CE79" i="46" l="1"/>
  <c r="CD82" i="46"/>
  <c r="CP67" i="46"/>
  <c r="DN50" i="46"/>
  <c r="DO50" i="46" l="1"/>
  <c r="CQ67" i="46"/>
  <c r="CF79" i="46"/>
  <c r="CE82" i="46"/>
  <c r="CG79" i="46" l="1"/>
  <c r="CF82" i="46"/>
  <c r="CR67" i="46"/>
  <c r="DP50" i="46"/>
  <c r="DQ50" i="46" l="1"/>
  <c r="CS67" i="46"/>
  <c r="CH79" i="46"/>
  <c r="CG82" i="46"/>
  <c r="CI79" i="46" l="1"/>
  <c r="CH82" i="46"/>
  <c r="CT67" i="46"/>
  <c r="DR50" i="46"/>
  <c r="J50" i="46" l="1"/>
  <c r="CU67" i="46"/>
  <c r="CJ79" i="46"/>
  <c r="CI82" i="46"/>
  <c r="CK79" i="46" l="1"/>
  <c r="CJ82" i="46"/>
  <c r="CV67" i="46"/>
  <c r="CW67" i="46" l="1"/>
  <c r="CL79" i="46"/>
  <c r="CK82" i="46"/>
  <c r="CM79" i="46" l="1"/>
  <c r="CL82" i="46"/>
  <c r="CX67" i="46"/>
  <c r="CY67" i="46" l="1"/>
  <c r="CN79" i="46"/>
  <c r="CM82" i="46"/>
  <c r="CO79" i="46" l="1"/>
  <c r="CN82" i="46"/>
  <c r="CZ67" i="46"/>
  <c r="DA67" i="46" l="1"/>
  <c r="CP79" i="46"/>
  <c r="CO82" i="46"/>
  <c r="CQ79" i="46" l="1"/>
  <c r="CP82" i="46"/>
  <c r="DB67" i="46"/>
  <c r="DC67" i="46" l="1"/>
  <c r="CR79" i="46"/>
  <c r="CQ82" i="46"/>
  <c r="CS79" i="46" l="1"/>
  <c r="CR82" i="46"/>
  <c r="DD67" i="46"/>
  <c r="DE67" i="46" l="1"/>
  <c r="CT79" i="46"/>
  <c r="CS82" i="46"/>
  <c r="CU79" i="46" l="1"/>
  <c r="CT82" i="46"/>
  <c r="DF67" i="46"/>
  <c r="DG67" i="46" l="1"/>
  <c r="CV79" i="46"/>
  <c r="CU82" i="46"/>
  <c r="CW79" i="46" l="1"/>
  <c r="CV82" i="46"/>
  <c r="DH67" i="46"/>
  <c r="DI67" i="46" l="1"/>
  <c r="CX79" i="46"/>
  <c r="CW82" i="46"/>
  <c r="CY79" i="46" l="1"/>
  <c r="CX82" i="46"/>
  <c r="DJ67" i="46"/>
  <c r="DK67" i="46" l="1"/>
  <c r="CZ79" i="46"/>
  <c r="CY82" i="46"/>
  <c r="DA79" i="46" l="1"/>
  <c r="CZ82" i="46"/>
  <c r="DL67" i="46"/>
  <c r="DM67" i="46" l="1"/>
  <c r="DB79" i="46"/>
  <c r="DA82" i="46"/>
  <c r="DC79" i="46" l="1"/>
  <c r="DB82" i="46"/>
  <c r="DN67" i="46"/>
  <c r="DO67" i="46" l="1"/>
  <c r="DD79" i="46"/>
  <c r="DC82" i="46"/>
  <c r="DE79" i="46" l="1"/>
  <c r="DD82" i="46"/>
  <c r="DP67" i="46"/>
  <c r="DQ67" i="46" l="1"/>
  <c r="DF79" i="46"/>
  <c r="DE82" i="46"/>
  <c r="DG79" i="46" l="1"/>
  <c r="DF82" i="46"/>
  <c r="DR67" i="46"/>
  <c r="J67" i="46" l="1"/>
  <c r="DH79" i="46"/>
  <c r="DG82" i="46"/>
  <c r="DI79" i="46" l="1"/>
  <c r="DH82" i="46"/>
  <c r="DJ79" i="46" l="1"/>
  <c r="DI82" i="46"/>
  <c r="DK79" i="46" l="1"/>
  <c r="DJ82" i="46"/>
  <c r="DL79" i="46" l="1"/>
  <c r="DK82" i="46"/>
  <c r="DM79" i="46" l="1"/>
  <c r="DL82" i="46"/>
  <c r="DN79" i="46" l="1"/>
  <c r="DM82" i="46"/>
  <c r="DO79" i="46" l="1"/>
  <c r="DN82" i="46"/>
  <c r="DP79" i="46" l="1"/>
  <c r="DO82" i="46"/>
  <c r="DQ79" i="46" l="1"/>
  <c r="DP82" i="46"/>
  <c r="DR79" i="46" l="1"/>
  <c r="DQ82" i="46"/>
  <c r="J79" i="46" l="1"/>
  <c r="DR82" i="46"/>
  <c r="J82" i="46" s="1"/>
  <c r="P66" i="61" s="1"/>
  <c r="AE66" i="61" s="1"/>
  <c r="O66" i="59" l="1"/>
  <c r="AD66" i="59" s="1"/>
  <c r="J66" i="52"/>
  <c r="V66" i="52" s="1"/>
</calcChain>
</file>

<file path=xl/sharedStrings.xml><?xml version="1.0" encoding="utf-8"?>
<sst xmlns="http://schemas.openxmlformats.org/spreadsheetml/2006/main" count="1873" uniqueCount="424">
  <si>
    <t>Electricity</t>
  </si>
  <si>
    <t>Fuel Oil</t>
  </si>
  <si>
    <t>Natural Gas</t>
  </si>
  <si>
    <t>Propane</t>
  </si>
  <si>
    <t>Total Energy</t>
  </si>
  <si>
    <r>
      <t xml:space="preserve">                   </t>
    </r>
    <r>
      <rPr>
        <sz val="12"/>
        <color indexed="9"/>
        <rFont val="Arial"/>
        <family val="2"/>
      </rPr>
      <t>Baseline Energy Usage:</t>
    </r>
  </si>
  <si>
    <t>kWh</t>
  </si>
  <si>
    <t>Gallons</t>
  </si>
  <si>
    <t>therms</t>
  </si>
  <si>
    <t>Baseline Annual Energy Cost:</t>
  </si>
  <si>
    <t>(elect.)</t>
  </si>
  <si>
    <t>Baseline Unit Cost:</t>
  </si>
  <si>
    <t>($/kWh)</t>
  </si>
  <si>
    <t>($/gal.)</t>
  </si>
  <si>
    <t>($/therm)</t>
  </si>
  <si>
    <t>TOTAL ENERGY SAVINGS (kBTU)</t>
  </si>
  <si>
    <t>Electric</t>
  </si>
  <si>
    <t>IRR</t>
  </si>
  <si>
    <t>Assumptions</t>
  </si>
  <si>
    <t>Water / Sewer</t>
  </si>
  <si>
    <t>Baseline Energy Usage:</t>
  </si>
  <si>
    <t>kBTU</t>
  </si>
  <si>
    <t>NPV</t>
  </si>
  <si>
    <t>Wood Pellets</t>
  </si>
  <si>
    <t>tons</t>
  </si>
  <si>
    <t>($/ton)</t>
  </si>
  <si>
    <t>Wood Chips</t>
  </si>
  <si>
    <t>PELLET SAVINGS (tons)                 &amp; PERCENT (%)</t>
  </si>
  <si>
    <t>CHIPS SAVINGS (tons)                 &amp; PERCENT (%)</t>
  </si>
  <si>
    <t>ELECTRIC SAVINGS (kWh)         &amp; PERCENT (%)</t>
  </si>
  <si>
    <t>FUEL OIL SAVINGS (gal)      &amp; PERCENT (%)</t>
  </si>
  <si>
    <t>NAT. GAS SAVINGS (therms) &amp; PERCENT (%)</t>
  </si>
  <si>
    <t>PROPANE SAVINGS (gal)            &amp; PERCENT (%)</t>
  </si>
  <si>
    <t>POSSIBLE ENERGY EFFICIENCY MEASURES</t>
  </si>
  <si>
    <t>EEM</t>
  </si>
  <si>
    <t>CAPITAL INVESTMENT</t>
  </si>
  <si>
    <t>% SAVINGS</t>
  </si>
  <si>
    <t>kGallons</t>
  </si>
  <si>
    <t>WATER &amp; SEWER SAVINGS (kGal) &amp; PERCENT (%)</t>
  </si>
  <si>
    <t>QTY.</t>
  </si>
  <si>
    <t>UNIT</t>
  </si>
  <si>
    <t>LABOR</t>
  </si>
  <si>
    <t>BUILDING ENVELOPE UPGRADES</t>
  </si>
  <si>
    <t>MECHANICAL SYSTEM UPGRADES</t>
  </si>
  <si>
    <t>B1</t>
  </si>
  <si>
    <t>M1</t>
  </si>
  <si>
    <t>B2</t>
  </si>
  <si>
    <t>B3</t>
  </si>
  <si>
    <t>B4</t>
  </si>
  <si>
    <t>B5</t>
  </si>
  <si>
    <t>M2</t>
  </si>
  <si>
    <t>M3</t>
  </si>
  <si>
    <t>M4</t>
  </si>
  <si>
    <t>M5</t>
  </si>
  <si>
    <t>E1</t>
  </si>
  <si>
    <t>E2</t>
  </si>
  <si>
    <t>E3</t>
  </si>
  <si>
    <t>E4</t>
  </si>
  <si>
    <t>E5</t>
  </si>
  <si>
    <t>B6</t>
  </si>
  <si>
    <t>M6</t>
  </si>
  <si>
    <t>E6</t>
  </si>
  <si>
    <t>District Steam</t>
  </si>
  <si>
    <t>B7</t>
  </si>
  <si>
    <t>B8</t>
  </si>
  <si>
    <t>M7</t>
  </si>
  <si>
    <t>M8</t>
  </si>
  <si>
    <t>E7</t>
  </si>
  <si>
    <t>E8</t>
  </si>
  <si>
    <t>kPounds</t>
  </si>
  <si>
    <t>($/kLbs..)</t>
  </si>
  <si>
    <t>STEAM SAVINGS (kLbs.)            &amp; PERCENT (%)</t>
  </si>
  <si>
    <t>(yes / no)</t>
  </si>
  <si>
    <t>RENEWABLE ENERGY SYSTEM UPGRADES</t>
  </si>
  <si>
    <t xml:space="preserve">  </t>
  </si>
  <si>
    <t>ITEMS REQ.</t>
  </si>
  <si>
    <t>DIV.</t>
  </si>
  <si>
    <t>SECT.</t>
  </si>
  <si>
    <t>PG.#</t>
  </si>
  <si>
    <t>MAT.</t>
  </si>
  <si>
    <t>TOTAL</t>
  </si>
  <si>
    <t>BUILDING SHELL MEASURES</t>
  </si>
  <si>
    <t>MECHANICAL MEASURES</t>
  </si>
  <si>
    <t>R1</t>
  </si>
  <si>
    <t>R5</t>
  </si>
  <si>
    <t>R6</t>
  </si>
  <si>
    <t>R7</t>
  </si>
  <si>
    <t>R8</t>
  </si>
  <si>
    <t>ELECTRICAL MEASURES</t>
  </si>
  <si>
    <t>gallons</t>
  </si>
  <si>
    <t>END-OF-LIFE</t>
  </si>
  <si>
    <t>RENEWABLE ENERGY MEASURES</t>
  </si>
  <si>
    <t>Remove ceiling tile at perimeter of retail store</t>
  </si>
  <si>
    <t>Surgically air seal at roof to wall connection</t>
  </si>
  <si>
    <t>Replace ceiling tile at perimeter</t>
  </si>
  <si>
    <t>Clean 10" diameter area around RTU</t>
  </si>
  <si>
    <t>Paint 10' diameter w/ cool roof coating</t>
  </si>
  <si>
    <t>sf</t>
  </si>
  <si>
    <t>Remove appropriate ceiling tiles</t>
  </si>
  <si>
    <t>9</t>
  </si>
  <si>
    <t>1200</t>
  </si>
  <si>
    <t>ea</t>
  </si>
  <si>
    <t>Install duct runs (35"-0" each)</t>
  </si>
  <si>
    <t>Install dampers</t>
  </si>
  <si>
    <t>15</t>
  </si>
  <si>
    <t>Install fans</t>
  </si>
  <si>
    <t>Install louvers</t>
  </si>
  <si>
    <t>1660</t>
  </si>
  <si>
    <t>lf</t>
  </si>
  <si>
    <t>6020</t>
  </si>
  <si>
    <t>7560</t>
  </si>
  <si>
    <t>3200</t>
  </si>
  <si>
    <t>Install diffusers (24"x24")</t>
  </si>
  <si>
    <t>5280</t>
  </si>
  <si>
    <t>Demo existing duct runs (35"-0" each)</t>
  </si>
  <si>
    <t>Reinstall appropriate ceiling tiles</t>
  </si>
  <si>
    <t>LS</t>
  </si>
  <si>
    <t xml:space="preserve">SIMPLE PAYBACK </t>
  </si>
  <si>
    <t>ANNUAL ENERGY COST SAVINGS</t>
  </si>
  <si>
    <t>ENERGY INVESTMENT</t>
  </si>
  <si>
    <t>*IRR and NPV assume a 5% inflation rate and a 5% Cost of Capital, Utility rebates and tax credits are not included</t>
  </si>
  <si>
    <t>ANNUAL ENERGY  SAVINGS kBTU</t>
  </si>
  <si>
    <t xml:space="preserve"> CAPITAL INVESTMENT</t>
  </si>
  <si>
    <t xml:space="preserve">ENERGY INVESTMENT </t>
  </si>
  <si>
    <t>SIMPLE PAYBACK</t>
  </si>
  <si>
    <t>ANNUAL ENERGY SAVINGS kBTU</t>
  </si>
  <si>
    <t>Envelope</t>
  </si>
  <si>
    <t>Mechanical</t>
  </si>
  <si>
    <t>Electrical</t>
  </si>
  <si>
    <t>Capital Investment</t>
  </si>
  <si>
    <t>EEMs</t>
  </si>
  <si>
    <t>Oil</t>
  </si>
  <si>
    <t xml:space="preserve">Natural Gas </t>
  </si>
  <si>
    <t>Water</t>
  </si>
  <si>
    <t>qualifing test</t>
  </si>
  <si>
    <t>RECO-MMEND</t>
  </si>
  <si>
    <t>Renewable</t>
  </si>
  <si>
    <t>subtotal</t>
  </si>
  <si>
    <t>elc kwh savings</t>
  </si>
  <si>
    <t>N/A</t>
  </si>
  <si>
    <t>per year</t>
  </si>
  <si>
    <t>Total Project:</t>
  </si>
  <si>
    <t>Column9</t>
  </si>
  <si>
    <t xml:space="preserve">RENEWABLE ENERGY SYSTEM UPGRADES </t>
  </si>
  <si>
    <t>EEM #</t>
  </si>
  <si>
    <t>EEM#</t>
  </si>
  <si>
    <t>Assumptions :</t>
  </si>
  <si>
    <t>Baseline Energy Cost:</t>
  </si>
  <si>
    <t>Resilient Buildings Group</t>
  </si>
  <si>
    <t>Financial Analysis</t>
  </si>
  <si>
    <t>NOTES</t>
  </si>
  <si>
    <t>switching to propane to include tanks. It should be noted that propane will have to be purcheased at a price of $1.52/gal. in order to break even. This is calculated considering the increased efficiency and the decreased btu output of propane</t>
  </si>
  <si>
    <r>
      <rPr>
        <b/>
        <sz val="10"/>
        <rFont val="Arial"/>
        <family val="2"/>
      </rPr>
      <t>Replace boilers</t>
    </r>
    <r>
      <rPr>
        <sz val="10"/>
        <rFont val="Arial"/>
        <family val="2"/>
      </rPr>
      <t>- savings is based on increase in efficiency. Calculations are based on a cost of $2.10/gal of oil. There is a request to change fuel to propane and the pricing of the new boilers from the Construction Manager includes</t>
    </r>
  </si>
  <si>
    <r>
      <t>Propane produces 91,200 btus/gal and oil produces 138,800 btus/gal.</t>
    </r>
    <r>
      <rPr>
        <b/>
        <sz val="10"/>
        <rFont val="Arial"/>
        <family val="2"/>
      </rPr>
      <t xml:space="preserve"> The cost savings in this chart is based on oil at the $2.10/gal</t>
    </r>
  </si>
  <si>
    <r>
      <rPr>
        <b/>
        <sz val="10"/>
        <rFont val="Arial"/>
        <family val="2"/>
      </rPr>
      <t>Chiller Ice Storage</t>
    </r>
    <r>
      <rPr>
        <sz val="10"/>
        <rFont val="Arial"/>
        <family val="2"/>
      </rPr>
      <t>- Real Time Pricing based on handout at walk through from Lebanon Community Power.</t>
    </r>
  </si>
  <si>
    <t>Pricing of B1, B4, M2, M3, M4 are from the Construction Manager</t>
  </si>
  <si>
    <r>
      <rPr>
        <b/>
        <sz val="10"/>
        <rFont val="Arial"/>
        <family val="2"/>
      </rPr>
      <t>Install Passive Solar Wall</t>
    </r>
    <r>
      <rPr>
        <sz val="10"/>
        <rFont val="Arial"/>
        <family val="2"/>
      </rPr>
      <t>- Pricing is less than Construction Manager price as this is sized to required supply.</t>
    </r>
  </si>
  <si>
    <t>Lifetime</t>
  </si>
  <si>
    <t>LIFETIME</t>
  </si>
  <si>
    <t>ROI</t>
  </si>
  <si>
    <t>Lifetime of Measure</t>
  </si>
  <si>
    <t>Fuel savings</t>
  </si>
  <si>
    <t>Total Project without renewables:</t>
  </si>
  <si>
    <r>
      <t xml:space="preserve">Financial Analysis of All Measures with </t>
    </r>
    <r>
      <rPr>
        <b/>
        <i/>
        <sz val="18"/>
        <rFont val="Arial Narrow"/>
        <family val="2"/>
      </rPr>
      <t>POTENTIAL REBATES</t>
    </r>
  </si>
  <si>
    <t xml:space="preserve">Mechanical </t>
  </si>
  <si>
    <t>Therms</t>
  </si>
  <si>
    <t>Cost</t>
  </si>
  <si>
    <t>Total Cost</t>
  </si>
  <si>
    <t>kWH</t>
  </si>
  <si>
    <t>Financial Analysis of All Measures</t>
  </si>
  <si>
    <t>Renewable - DO NOT CASCADE</t>
  </si>
  <si>
    <t>Renewable  - DO NOT CASCADE</t>
  </si>
  <si>
    <t xml:space="preserve">ENTER ASSUMPTIONS HERE </t>
  </si>
  <si>
    <t>COST</t>
  </si>
  <si>
    <t>Cascaded Financial Analysis</t>
  </si>
  <si>
    <t xml:space="preserve">District Steam </t>
  </si>
  <si>
    <t>Water/Sewer</t>
  </si>
  <si>
    <t>Building Envelope Upgrades</t>
  </si>
  <si>
    <t>Annual Energy Cost Savings</t>
  </si>
  <si>
    <t>Annual kBTU Savings</t>
  </si>
  <si>
    <t>Mechanical System Upgrades</t>
  </si>
  <si>
    <t>Renewable System Upgrades</t>
  </si>
  <si>
    <t>EEM Title</t>
  </si>
  <si>
    <t>Simple Payback (Years)</t>
  </si>
  <si>
    <t>Inflation</t>
  </si>
  <si>
    <t>NIST Energy Escalation Rate Calculator</t>
  </si>
  <si>
    <t>Percent of Energy Cost Savings</t>
  </si>
  <si>
    <t>Coal</t>
  </si>
  <si>
    <t>Distillate Oil</t>
  </si>
  <si>
    <t>Energy Cost Savings</t>
  </si>
  <si>
    <t>Residual</t>
  </si>
  <si>
    <t>USING THE INFO IN THIS TABLE</t>
  </si>
  <si>
    <t>INTEREST RATE CALCULATOR</t>
  </si>
  <si>
    <t>Discount rate resource if needed</t>
  </si>
  <si>
    <t>INTEREST RATE CALCULATED =</t>
  </si>
  <si>
    <t>TO GET THE NOMINAL ESCALATION RATE</t>
  </si>
  <si>
    <t>Nominal Escalation Rate</t>
  </si>
  <si>
    <t>Discount Rate</t>
  </si>
  <si>
    <t>Adjusted Discount Rate</t>
  </si>
  <si>
    <t>Final Installed Cost</t>
  </si>
  <si>
    <t>Capital Cost</t>
  </si>
  <si>
    <t>Total Annual Energy Cost Savings</t>
  </si>
  <si>
    <t>Energy Savings Percent</t>
  </si>
  <si>
    <t>DO NOT EDIT</t>
  </si>
  <si>
    <t>IF THIS IS AN EEM PACKAGE…</t>
  </si>
  <si>
    <t>ENTER NAME OF PACKAGE IN THE BOX BELOW</t>
  </si>
  <si>
    <t>RECOMMENDED PACKAGE: Example</t>
  </si>
  <si>
    <t>ENVELOPE</t>
  </si>
  <si>
    <t>MECHANICAL</t>
  </si>
  <si>
    <t>ELECTRICAL</t>
  </si>
  <si>
    <t>RENEWABLE</t>
  </si>
  <si>
    <t>PACKAGE</t>
  </si>
  <si>
    <t>COPY AND PASTE TABLES BELOW INTO REPORT AS APPROPRIATE</t>
  </si>
  <si>
    <r>
      <t xml:space="preserve">                   </t>
    </r>
    <r>
      <rPr>
        <sz val="12"/>
        <color indexed="9"/>
        <rFont val="Times New Roman"/>
        <family val="1"/>
      </rPr>
      <t>Baseline Energy Usage:</t>
    </r>
  </si>
  <si>
    <r>
      <rPr>
        <b/>
        <sz val="10"/>
        <rFont val="Times New Roman"/>
        <family val="1"/>
      </rPr>
      <t xml:space="preserve">STEP 1) </t>
    </r>
    <r>
      <rPr>
        <sz val="10"/>
        <rFont val="Times New Roman"/>
        <family val="1"/>
      </rPr>
      <t>FILL OUT THIS CALCULATOR</t>
    </r>
  </si>
  <si>
    <r>
      <rPr>
        <b/>
        <sz val="10"/>
        <rFont val="Times New Roman"/>
        <family val="1"/>
      </rPr>
      <t xml:space="preserve">STEP 2) </t>
    </r>
    <r>
      <rPr>
        <sz val="10"/>
        <rFont val="Times New Roman"/>
        <family val="1"/>
      </rPr>
      <t>ENTER THE NOMINAL ESCALATION RATE HERE</t>
    </r>
  </si>
  <si>
    <r>
      <rPr>
        <b/>
        <sz val="10"/>
        <rFont val="Times New Roman"/>
        <family val="1"/>
      </rPr>
      <t xml:space="preserve">STEP 3) </t>
    </r>
    <r>
      <rPr>
        <sz val="10"/>
        <rFont val="Times New Roman"/>
        <family val="1"/>
      </rPr>
      <t>EDIT THE DISCOUNT RATE IF NEED (SHOULDN'T BE NECESSARY)</t>
    </r>
  </si>
  <si>
    <t>EEM Info</t>
  </si>
  <si>
    <t xml:space="preserve">Average building lifespan = </t>
  </si>
  <si>
    <t>SOURCE</t>
  </si>
  <si>
    <t>AVERAGE BUILDING LIFESPAN ASSUMPTION</t>
  </si>
  <si>
    <t>Positives Only</t>
  </si>
  <si>
    <t>*Calculated using the Nation Institute of Standards and Technology (NIST) Energy Escalation Rate Calculator</t>
  </si>
  <si>
    <t xml:space="preserve">                   kBtu Conversion:</t>
  </si>
  <si>
    <t>INSTRUCTIONS - INDIVIDUAL EEMS</t>
  </si>
  <si>
    <t>INSTRUCTIONS - PACKAGE OF EEMS</t>
  </si>
  <si>
    <t>3) Copy and paste THE PACKAGE TABLE to report as appropriate</t>
  </si>
  <si>
    <t>1) Enter all EEM data FOR PACKAGE ONLY, including title, capital cost, estimated savings percent for each fuel type, and measure lifetime. ENTER PACKAGE TITLE WHERE INDICATED</t>
  </si>
  <si>
    <r>
      <t>Incentive/ Rebate (</t>
    </r>
    <r>
      <rPr>
        <i/>
        <sz val="10"/>
        <color theme="0"/>
        <rFont val="Times New Roman"/>
        <family val="1"/>
      </rPr>
      <t>ENTER "0" IF N/A)</t>
    </r>
  </si>
  <si>
    <t>TOTAL CASCADED SAVINGS</t>
  </si>
  <si>
    <t>VARIES</t>
  </si>
  <si>
    <t>Net Value (for ROI)</t>
  </si>
  <si>
    <t>NPV Formatted</t>
  </si>
  <si>
    <t>MMBtus</t>
  </si>
  <si>
    <t>MMBtu</t>
  </si>
  <si>
    <t>$/MMBtu</t>
  </si>
  <si>
    <t>Category</t>
  </si>
  <si>
    <t>Measure</t>
  </si>
  <si>
    <t>Measure Lifetime Ranges</t>
  </si>
  <si>
    <t>Current Averages</t>
  </si>
  <si>
    <t>Source 1</t>
  </si>
  <si>
    <t>Source 2</t>
  </si>
  <si>
    <t>Source 3</t>
  </si>
  <si>
    <t>GENERAL SOURCE</t>
  </si>
  <si>
    <t>DOORS</t>
  </si>
  <si>
    <t>Fire-Rated Steel (exterior)</t>
  </si>
  <si>
    <t>100+</t>
  </si>
  <si>
    <t>Fiberglass (exterior) </t>
  </si>
  <si>
    <t>Wood (exterior)</t>
  </si>
  <si>
    <t>HVAC</t>
  </si>
  <si>
    <t>Air Conditioner (central)</t>
  </si>
  <si>
    <t>7 to 15</t>
  </si>
  <si>
    <t>15 to 20</t>
  </si>
  <si>
    <t>6 to 13</t>
  </si>
  <si>
    <t>INSULATION &amp; INFILTRATION BARRIERS</t>
  </si>
  <si>
    <t>Batts/Rolls</t>
  </si>
  <si>
    <t>Cellulose</t>
  </si>
  <si>
    <t>Fiberglass</t>
  </si>
  <si>
    <t>Foamboard</t>
  </si>
  <si>
    <t>Housewrap</t>
  </si>
  <si>
    <t>Loose-Fill</t>
  </si>
  <si>
    <t>Rockwool</t>
  </si>
  <si>
    <t>Wrap Tape</t>
  </si>
  <si>
    <t>Liquid-Applied Membrane</t>
  </si>
  <si>
    <t>Fixtures</t>
  </si>
  <si>
    <t>Air Exchanger</t>
  </si>
  <si>
    <t>ASHP</t>
  </si>
  <si>
    <t>Attic Fan</t>
  </si>
  <si>
    <t>Lighting Controls</t>
  </si>
  <si>
    <t>Boiler</t>
  </si>
  <si>
    <t>Boiler- Electric</t>
  </si>
  <si>
    <t>Screen (exterior)</t>
  </si>
  <si>
    <t>WINDOWS</t>
  </si>
  <si>
    <t>Vinyl/Fiberglass Windows</t>
  </si>
  <si>
    <t>Solar Panels</t>
  </si>
  <si>
    <t>Boiler- Gas or oil</t>
  </si>
  <si>
    <t>25 to 30</t>
  </si>
  <si>
    <t>Burner</t>
  </si>
  <si>
    <t>10+</t>
  </si>
  <si>
    <t>Centrifugal Chillers (Water-Cooled)</t>
  </si>
  <si>
    <t>Black Paper (felt paper)</t>
  </si>
  <si>
    <t>15 to 30</t>
  </si>
  <si>
    <t>Commercial Electric Resistance Storage Water Heaters</t>
  </si>
  <si>
    <t>ADHESIVES, CAULK &amp; PAINTS</t>
  </si>
  <si>
    <t>Construction Glue</t>
  </si>
  <si>
    <t>20+</t>
  </si>
  <si>
    <t>Sliding Glass/Patio (exterior)</t>
  </si>
  <si>
    <t>Vinyl (exterior)</t>
  </si>
  <si>
    <t>Wind Turbine Generators</t>
  </si>
  <si>
    <t>Commercial Oil-Fired Storage Water Heaters</t>
  </si>
  <si>
    <t>Condenser</t>
  </si>
  <si>
    <t>8 to 20</t>
  </si>
  <si>
    <t>Condensing Boiler/Furnace</t>
  </si>
  <si>
    <t>Dampers</t>
  </si>
  <si>
    <t>Dehumidifier</t>
  </si>
  <si>
    <t>Diffusers, Grilles and Registers</t>
  </si>
  <si>
    <t>Ducting</t>
  </si>
  <si>
    <t>ROOFING</t>
  </si>
  <si>
    <t>EPDM (ethylene propylene diene monomer) Rubber</t>
  </si>
  <si>
    <t>Aluminum/Aluminum-Clad</t>
  </si>
  <si>
    <t>Electric Radiant Heater</t>
  </si>
  <si>
    <t>Electric Resistance Heater</t>
  </si>
  <si>
    <t>Roofing Adhesives/Cements</t>
  </si>
  <si>
    <t>15+</t>
  </si>
  <si>
    <t>APPLIANCES</t>
  </si>
  <si>
    <t>Freezer   </t>
  </si>
  <si>
    <t>10 to 20</t>
  </si>
  <si>
    <t>Gas Range   </t>
  </si>
  <si>
    <t>15 to 17</t>
  </si>
  <si>
    <t>15 to 18</t>
  </si>
  <si>
    <t>Commercial 12</t>
  </si>
  <si>
    <t>Evaporative Cooler</t>
  </si>
  <si>
    <t>15 to 25</t>
  </si>
  <si>
    <t>Exhaust Fans</t>
  </si>
  <si>
    <t>Furnace- gas or oil fired</t>
  </si>
  <si>
    <t>GSHP</t>
  </si>
  <si>
    <t>8 to 21</t>
  </si>
  <si>
    <t>Pipe Insulate</t>
  </si>
  <si>
    <t>Duct Insulation</t>
  </si>
  <si>
    <t>Skylights</t>
  </si>
  <si>
    <t>Gas Oven</t>
  </si>
  <si>
    <t>10 to 18</t>
  </si>
  <si>
    <t>Range/Oven Hood</t>
  </si>
  <si>
    <t>Electric Range</t>
  </si>
  <si>
    <t>13 to 15</t>
  </si>
  <si>
    <t>13 to 16</t>
  </si>
  <si>
    <t>Washing Machine</t>
  </si>
  <si>
    <t>5 to 15</t>
  </si>
  <si>
    <t>6 to 17</t>
  </si>
  <si>
    <t>Refrigerator</t>
  </si>
  <si>
    <t>Heat Exchanger</t>
  </si>
  <si>
    <t>10 to 15</t>
  </si>
  <si>
    <t>Heat-Recovery Ventilator</t>
  </si>
  <si>
    <t>Hot-Water and Steam-Radiant Boiler</t>
  </si>
  <si>
    <t>Double-Pane</t>
  </si>
  <si>
    <t>20 years per energy star</t>
  </si>
  <si>
    <t>Dryer (clothes)</t>
  </si>
  <si>
    <t xml:space="preserve">12 to 13 </t>
  </si>
  <si>
    <t>8 to 18</t>
  </si>
  <si>
    <t>HPWH</t>
  </si>
  <si>
    <t>13- 15</t>
  </si>
  <si>
    <t>Humidifier</t>
  </si>
  <si>
    <t>Induction and Fan-Coil Units</t>
  </si>
  <si>
    <t>Dishwasher</t>
  </si>
  <si>
    <t>9 to 11</t>
  </si>
  <si>
    <t>Residential Propane Backup Generators</t>
  </si>
  <si>
    <t>Packaged Terminal AC</t>
  </si>
  <si>
    <t>Packaged Terminal Heat Pump</t>
  </si>
  <si>
    <t>Hand Dryer</t>
  </si>
  <si>
    <t>10 to 12</t>
  </si>
  <si>
    <t>Caulking (interior &amp; exterior)</t>
  </si>
  <si>
    <t>Air Conditioner (window)</t>
  </si>
  <si>
    <t>5 to 7</t>
  </si>
  <si>
    <t>7 to 12</t>
  </si>
  <si>
    <t xml:space="preserve">15 yrs </t>
  </si>
  <si>
    <t>Swamp Cooler</t>
  </si>
  <si>
    <t>Programmable Tstat</t>
  </si>
  <si>
    <t>Reciprocating Chillers (Air-Cooled Only)</t>
  </si>
  <si>
    <t>Rooftop Heat Pump</t>
  </si>
  <si>
    <t>Microwave Oven</t>
  </si>
  <si>
    <t>9 to 10</t>
  </si>
  <si>
    <t>Solar System Batteries</t>
  </si>
  <si>
    <t>3 to 12</t>
  </si>
  <si>
    <t>7 to 10</t>
  </si>
  <si>
    <t>Sealants</t>
  </si>
  <si>
    <t>Humidifier (portable)</t>
  </si>
  <si>
    <t>Screw, Scroll Chillers (Air-Cooled Only)</t>
  </si>
  <si>
    <t>Thermostats</t>
  </si>
  <si>
    <t>Ventilator</t>
  </si>
  <si>
    <t xml:space="preserve">Water Heater- Gas/ Electric/ Oil fired Residential </t>
  </si>
  <si>
    <t>Source</t>
  </si>
  <si>
    <t>Estimated Incentive*</t>
  </si>
  <si>
    <t>Estimated Net Cost</t>
  </si>
  <si>
    <t>Annual Electric Savings (kWh)</t>
  </si>
  <si>
    <t>Annual Oil Savings (Gal)</t>
  </si>
  <si>
    <t>Annual Nat. Gas Savings (Therms)</t>
  </si>
  <si>
    <t>Annual Propane Savings (Gal)</t>
  </si>
  <si>
    <t>Incentive Reference</t>
  </si>
  <si>
    <t>*Please see "Note Regarding Incentives" on first page of financial modeling section</t>
  </si>
  <si>
    <t>conversions</t>
  </si>
  <si>
    <t>NO INCENTIVES</t>
  </si>
  <si>
    <r>
      <t>*</t>
    </r>
    <r>
      <rPr>
        <b/>
        <i/>
        <sz val="10"/>
        <color rgb="FF000000"/>
        <rFont val="Times New Roman"/>
        <family val="1"/>
      </rPr>
      <t>Please see "Note Regarding Incentives" on first page of financial modeling section</t>
    </r>
  </si>
  <si>
    <t>Annual Cost Savings</t>
  </si>
  <si>
    <r>
      <t>Program Path</t>
    </r>
    <r>
      <rPr>
        <b/>
        <vertAlign val="superscript"/>
        <sz val="10"/>
        <color rgb="FFFFFFFF"/>
        <rFont val="Calibri"/>
        <family val="2"/>
      </rPr>
      <t>3</t>
    </r>
  </si>
  <si>
    <t>---</t>
  </si>
  <si>
    <r>
      <t>2</t>
    </r>
    <r>
      <rPr>
        <b/>
        <sz val="10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Installation cost assumes each measure is a retrofit and the total cost is eligible unless end-of-life.</t>
    </r>
  </si>
  <si>
    <r>
      <t>3</t>
    </r>
    <r>
      <rPr>
        <b/>
        <sz val="9"/>
        <color rgb="FF000000"/>
        <rFont val="Calibri"/>
        <family val="2"/>
      </rPr>
      <t xml:space="preserve"> P: Prescriptive, C: Custom, CE: Custom Express, TA: Technical Assistance Study.</t>
    </r>
  </si>
  <si>
    <r>
      <t xml:space="preserve">4 </t>
    </r>
    <r>
      <rPr>
        <b/>
        <sz val="9"/>
        <color rgb="FF000000"/>
        <rFont val="Calibri"/>
        <family val="2"/>
      </rPr>
      <t>These measures are recommended when equipment fails or is nearing the end of useful life. Potential incentives would be based on the incremental cost difference between code-compliant and high efficiency equipment. Only high efficiency equipment is eligible for incentives.</t>
    </r>
  </si>
  <si>
    <r>
      <t xml:space="preserve"> Installation Cost</t>
    </r>
    <r>
      <rPr>
        <vertAlign val="superscript"/>
        <sz val="10"/>
        <color rgb="FFFFFFFF"/>
        <rFont val="Calibri"/>
        <family val="2"/>
      </rPr>
      <t>1,2</t>
    </r>
  </si>
  <si>
    <t>Simple Payback (years)</t>
  </si>
  <si>
    <r>
      <t>1</t>
    </r>
    <r>
      <rPr>
        <b/>
        <sz val="9"/>
        <color rgb="FF000000"/>
        <rFont val="Calibri"/>
        <family val="2"/>
      </rPr>
      <t xml:space="preserve"> Budgetary costs provided by GDS.</t>
    </r>
  </si>
  <si>
    <t>Annual Gas Savings (CCF)</t>
  </si>
  <si>
    <t>Packaged Results</t>
  </si>
  <si>
    <t>Don't Edit</t>
  </si>
  <si>
    <r>
      <t>1</t>
    </r>
    <r>
      <rPr>
        <b/>
        <sz val="9"/>
        <color rgb="FF000000"/>
        <rFont val="Calibri"/>
        <family val="2"/>
      </rPr>
      <t xml:space="preserve"> Budgetary costs provided by RBG.</t>
    </r>
  </si>
  <si>
    <t>Energy Savings</t>
  </si>
  <si>
    <t>Electric kWh</t>
  </si>
  <si>
    <t>Oil MMBtu</t>
  </si>
  <si>
    <t>Natural Gas MMBtu</t>
  </si>
  <si>
    <t>Propane MMBtu</t>
  </si>
  <si>
    <t>Wood Pellets MMBtu</t>
  </si>
  <si>
    <t>Wood Chips MMBtu</t>
  </si>
  <si>
    <t>COPY AND PASTE TABLES BELOW INTO REPORT AS APPROPRIATE, DELETE IRRELEVANT COLUMNS</t>
  </si>
  <si>
    <r>
      <t xml:space="preserve">ENTER KWH AND MMBTU SAVINGS VALUES </t>
    </r>
    <r>
      <rPr>
        <b/>
        <u/>
        <sz val="18"/>
        <color rgb="FFFF0000"/>
        <rFont val="Times New Roman"/>
        <family val="1"/>
      </rPr>
      <t>NOT</t>
    </r>
    <r>
      <rPr>
        <b/>
        <sz val="18"/>
        <color rgb="FFFF0000"/>
        <rFont val="Times New Roman"/>
        <family val="1"/>
      </rPr>
      <t xml:space="preserve"> PERCENTAGES</t>
    </r>
  </si>
  <si>
    <t>Discount Rate Assumptions</t>
  </si>
  <si>
    <t>APPLIANCES &amp; LIGHTING</t>
  </si>
  <si>
    <t>APPLIANCES AND LIGHTING UPGRADES</t>
  </si>
  <si>
    <t>Appliances and Lighting</t>
  </si>
  <si>
    <t>Appliances &amp; Lighting</t>
  </si>
  <si>
    <t>Appliances &amp; Lighting Upgrades</t>
  </si>
  <si>
    <t>Infrared Heater</t>
  </si>
  <si>
    <t>TRM</t>
  </si>
  <si>
    <t>Compressor Line</t>
  </si>
  <si>
    <t>Reference</t>
  </si>
  <si>
    <t>Data Entry</t>
  </si>
  <si>
    <t>Results</t>
  </si>
  <si>
    <t>Backend - Individual EEMs</t>
  </si>
  <si>
    <t>Backend - Package &amp; Cascading</t>
  </si>
  <si>
    <r>
      <t>Formula (</t>
    </r>
    <r>
      <rPr>
        <i/>
        <sz val="10"/>
        <rFont val="Arial"/>
        <family val="2"/>
      </rPr>
      <t>optional override but should not be necessary</t>
    </r>
    <r>
      <rPr>
        <sz val="10"/>
        <rFont val="Arial"/>
        <family val="2"/>
      </rPr>
      <t>)</t>
    </r>
  </si>
  <si>
    <t>Cell Color-Coding Key</t>
  </si>
  <si>
    <t>Tab Color-Coding Key</t>
  </si>
  <si>
    <t>1) Enter all EEM data ine the "EEM Data Entry" tab, including title, capital cost, estimated kWh savings for electric and MMBtu savings for each fuel type, and measure lifetime</t>
  </si>
  <si>
    <t>2) Follow the instructions on the "Interest Rate" tab to determine the interest rate for this project</t>
  </si>
  <si>
    <t>3) Copy and paste tables from the appropriate "RESULTS" tab to audit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</si>
</sst>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 $&quot;#,##0\ ;&quot; $(&quot;#,##0\);&quot; $-&quot;#\ ;@\ "/>
    <numFmt numFmtId="165" formatCode="#,##0\ ;\(#,##0\)"/>
    <numFmt numFmtId="166" formatCode="\$#,##0\ ;[Red]&quot;($&quot;#,##0\)"/>
    <numFmt numFmtId="167" formatCode="\$#,##0"/>
    <numFmt numFmtId="168" formatCode="\$#,##0.0000\ ;&quot;($&quot;#,##0.0000\)"/>
    <numFmt numFmtId="169" formatCode="#,##0.000"/>
    <numFmt numFmtId="170" formatCode="0.0"/>
    <numFmt numFmtId="171" formatCode="&quot; $&quot;#,##0.00\ ;&quot; $(&quot;#,##0.00\);&quot; $-&quot;#\ ;@\ "/>
    <numFmt numFmtId="172" formatCode="#,##0.00\ ;&quot; (&quot;#,##0.00\);&quot; -&quot;#\ ;@\ "/>
    <numFmt numFmtId="173" formatCode="0.0%"/>
    <numFmt numFmtId="174" formatCode="&quot;$&quot;#,##0"/>
    <numFmt numFmtId="175" formatCode="#,##0.0"/>
    <numFmt numFmtId="176" formatCode="&quot;$&quot;#,##0.00"/>
    <numFmt numFmtId="177" formatCode="0.00000%"/>
    <numFmt numFmtId="178" formatCode="#,##0.00000"/>
    <numFmt numFmtId="179" formatCode="0,000"/>
    <numFmt numFmtId="180" formatCode="&quot;$&quot;0,000"/>
  </numFmts>
  <fonts count="126" x14ac:knownFonts="1">
    <font>
      <sz val="10"/>
      <name val="Arial"/>
      <family val="2"/>
    </font>
    <font>
      <sz val="10"/>
      <name val="Arial"/>
      <family val="2"/>
    </font>
    <font>
      <u/>
      <sz val="12"/>
      <color indexed="9"/>
      <name val="Arial"/>
      <family val="2"/>
    </font>
    <font>
      <sz val="12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2"/>
      <name val="Arial"/>
      <family val="2"/>
    </font>
    <font>
      <b/>
      <sz val="16"/>
      <color indexed="9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8"/>
      <name val="Arial"/>
      <family val="2"/>
    </font>
    <font>
      <sz val="16"/>
      <color indexed="9"/>
      <name val="Book Antiqua"/>
      <family val="1"/>
    </font>
    <font>
      <b/>
      <sz val="10"/>
      <color indexed="9"/>
      <name val="Book Antiqua"/>
      <family val="1"/>
    </font>
    <font>
      <sz val="10"/>
      <color indexed="8"/>
      <name val="Book Antiqua"/>
      <family val="1"/>
    </font>
    <font>
      <b/>
      <sz val="10"/>
      <color indexed="8"/>
      <name val="Book Antiqua"/>
      <family val="1"/>
    </font>
    <font>
      <b/>
      <sz val="10"/>
      <name val="Book Antiqua"/>
      <family val="1"/>
    </font>
    <font>
      <sz val="12"/>
      <color indexed="9"/>
      <name val="Arial"/>
      <family val="2"/>
    </font>
    <font>
      <b/>
      <sz val="10"/>
      <color indexed="9"/>
      <name val="Book Antiqua"/>
      <family val="1"/>
    </font>
    <font>
      <b/>
      <sz val="10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sz val="10"/>
      <name val="Arial Narrow"/>
      <family val="2"/>
    </font>
    <font>
      <b/>
      <sz val="20"/>
      <color indexed="8"/>
      <name val="Arial"/>
      <family val="2"/>
    </font>
    <font>
      <b/>
      <sz val="8"/>
      <color indexed="10"/>
      <name val="Arial Narrow"/>
      <family val="2"/>
    </font>
    <font>
      <sz val="8"/>
      <color indexed="10"/>
      <name val="Arial Narrow"/>
      <family val="2"/>
    </font>
    <font>
      <sz val="8"/>
      <name val="Arial Narrow"/>
      <family val="2"/>
    </font>
    <font>
      <sz val="12"/>
      <color indexed="9"/>
      <name val="Arial"/>
      <family val="2"/>
    </font>
    <font>
      <i/>
      <sz val="8"/>
      <color indexed="8"/>
      <name val="Arial Narrow"/>
      <family val="2"/>
    </font>
    <font>
      <b/>
      <sz val="9"/>
      <name val="Arial Narrow"/>
      <family val="2"/>
    </font>
    <font>
      <sz val="12"/>
      <color indexed="9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4"/>
      <name val="Arial Narrow"/>
      <family val="2"/>
    </font>
    <font>
      <sz val="9"/>
      <name val="Arial Narrow"/>
      <family val="2"/>
    </font>
    <font>
      <b/>
      <sz val="10"/>
      <color indexed="9"/>
      <name val="Arial Narrow"/>
      <family val="2"/>
    </font>
    <font>
      <sz val="25"/>
      <name val="Arial Narrow"/>
      <family val="2"/>
    </font>
    <font>
      <sz val="11"/>
      <color theme="1"/>
      <name val="Calibri"/>
      <family val="2"/>
      <scheme val="minor"/>
    </font>
    <font>
      <sz val="10"/>
      <color theme="0"/>
      <name val="Verdana"/>
      <family val="2"/>
    </font>
    <font>
      <b/>
      <sz val="18"/>
      <name val="Arial Narrow"/>
      <family val="2"/>
    </font>
    <font>
      <b/>
      <sz val="14"/>
      <color indexed="8"/>
      <name val="Arial Narrow"/>
      <family val="2"/>
    </font>
    <font>
      <sz val="14"/>
      <name val="Arial Narrow"/>
      <family val="2"/>
    </font>
    <font>
      <b/>
      <sz val="14"/>
      <color indexed="9"/>
      <name val="Arial Narrow"/>
      <family val="2"/>
    </font>
    <font>
      <sz val="14"/>
      <color indexed="8"/>
      <name val="Arial Narrow"/>
      <family val="2"/>
    </font>
    <font>
      <b/>
      <sz val="14"/>
      <color theme="0"/>
      <name val="Arial Narrow"/>
      <family val="2"/>
    </font>
    <font>
      <b/>
      <sz val="12"/>
      <name val="Arial Narrow"/>
      <family val="2"/>
    </font>
    <font>
      <b/>
      <sz val="9"/>
      <color theme="0"/>
      <name val="Arial Narrow"/>
      <family val="2"/>
    </font>
    <font>
      <sz val="9"/>
      <color theme="0"/>
      <name val="Arial Narrow"/>
      <family val="2"/>
    </font>
    <font>
      <sz val="9"/>
      <color theme="0"/>
      <name val="Arial"/>
      <family val="2"/>
    </font>
    <font>
      <b/>
      <i/>
      <sz val="18"/>
      <name val="Arial Narrow"/>
      <family val="2"/>
    </font>
    <font>
      <sz val="14"/>
      <color theme="1"/>
      <name val="Arial Narrow"/>
      <family val="2"/>
    </font>
    <font>
      <sz val="11"/>
      <name val="Arial"/>
      <family val="2"/>
    </font>
    <font>
      <sz val="14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Book Antiqua"/>
      <family val="1"/>
    </font>
    <font>
      <sz val="12"/>
      <name val="Times New Roman"/>
      <family val="1"/>
    </font>
    <font>
      <u/>
      <sz val="10"/>
      <color theme="10"/>
      <name val="Arial"/>
      <family val="2"/>
    </font>
    <font>
      <b/>
      <sz val="12"/>
      <color rgb="FFFF000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6"/>
      <color rgb="FFFF000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6"/>
      <color indexed="9"/>
      <name val="Times New Roman"/>
      <family val="1"/>
    </font>
    <font>
      <u/>
      <sz val="12"/>
      <color indexed="9"/>
      <name val="Times New Roman"/>
      <family val="1"/>
    </font>
    <font>
      <b/>
      <sz val="12"/>
      <color indexed="9"/>
      <name val="Times New Roman"/>
      <family val="1"/>
    </font>
    <font>
      <sz val="12"/>
      <color indexed="9"/>
      <name val="Times New Roman"/>
      <family val="1"/>
    </font>
    <font>
      <b/>
      <sz val="14"/>
      <color rgb="FFFF0000"/>
      <name val="Times New Roman"/>
      <family val="1"/>
    </font>
    <font>
      <i/>
      <sz val="10"/>
      <name val="Times New Roman"/>
      <family val="1"/>
    </font>
    <font>
      <sz val="14"/>
      <name val="Times New Roman"/>
      <family val="1"/>
    </font>
    <font>
      <u/>
      <sz val="10"/>
      <color theme="10"/>
      <name val="Times New Roman"/>
      <family val="1"/>
    </font>
    <font>
      <b/>
      <u/>
      <sz val="10"/>
      <color theme="10"/>
      <name val="Times New Roman"/>
      <family val="1"/>
    </font>
    <font>
      <b/>
      <sz val="9"/>
      <color theme="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b/>
      <sz val="15"/>
      <name val="Times New Roman"/>
      <family val="1"/>
    </font>
    <font>
      <sz val="10"/>
      <color rgb="FFC0000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9"/>
      <name val="Times New Roman"/>
      <family val="1"/>
    </font>
    <font>
      <b/>
      <sz val="11"/>
      <name val="Times New Roman"/>
      <family val="1"/>
    </font>
    <font>
      <sz val="16"/>
      <name val="Times New Roman"/>
      <family val="1"/>
    </font>
    <font>
      <b/>
      <sz val="10"/>
      <color theme="0"/>
      <name val="Times New Roman"/>
      <family val="1"/>
    </font>
    <font>
      <sz val="25"/>
      <name val="Times New Roman"/>
      <family val="1"/>
    </font>
    <font>
      <b/>
      <sz val="14"/>
      <name val="Times New Roman"/>
      <family val="1"/>
    </font>
    <font>
      <sz val="14"/>
      <color indexed="8"/>
      <name val="Times New Roman"/>
      <family val="1"/>
    </font>
    <font>
      <b/>
      <sz val="14"/>
      <color indexed="9"/>
      <name val="Times New Roman"/>
      <family val="1"/>
    </font>
    <font>
      <b/>
      <sz val="14"/>
      <color indexed="8"/>
      <name val="Times New Roman"/>
      <family val="1"/>
    </font>
    <font>
      <b/>
      <sz val="14"/>
      <color theme="0"/>
      <name val="Times New Roman"/>
      <family val="1"/>
    </font>
    <font>
      <sz val="11"/>
      <name val="Times New Roman"/>
      <family val="1"/>
    </font>
    <font>
      <sz val="16"/>
      <color indexed="9"/>
      <name val="Times New Roman"/>
      <family val="1"/>
    </font>
    <font>
      <b/>
      <sz val="10"/>
      <color rgb="FFFF0000"/>
      <name val="Times New Roman"/>
      <family val="1"/>
    </font>
    <font>
      <sz val="10"/>
      <color indexed="8"/>
      <name val="Times New Roman"/>
      <family val="1"/>
    </font>
    <font>
      <i/>
      <sz val="11"/>
      <name val="Times New Roman"/>
      <family val="1"/>
    </font>
    <font>
      <i/>
      <sz val="11"/>
      <color indexed="9"/>
      <name val="Times New Roman"/>
      <family val="1"/>
    </font>
    <font>
      <b/>
      <sz val="20"/>
      <color rgb="FFFF0000"/>
      <name val="Calibri"/>
      <family val="2"/>
      <scheme val="minor"/>
    </font>
    <font>
      <i/>
      <sz val="10"/>
      <color theme="0"/>
      <name val="Times New Roman"/>
      <family val="1"/>
    </font>
    <font>
      <b/>
      <i/>
      <sz val="14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0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b/>
      <i/>
      <sz val="10"/>
      <name val="Times New Roman"/>
      <family val="1"/>
    </font>
    <font>
      <b/>
      <sz val="18"/>
      <color rgb="FFFF0000"/>
      <name val="Times New Roman"/>
      <family val="1"/>
    </font>
    <font>
      <sz val="18"/>
      <name val="Times New Roman"/>
      <family val="1"/>
    </font>
    <font>
      <b/>
      <sz val="20"/>
      <color rgb="FFFF0000"/>
      <name val="Times New Roman"/>
      <family val="1"/>
    </font>
    <font>
      <sz val="20"/>
      <name val="Times New Roman"/>
      <family val="1"/>
    </font>
    <font>
      <sz val="10"/>
      <color theme="1" tint="0.499984740745262"/>
      <name val="Times New Roman"/>
      <family val="1"/>
    </font>
    <font>
      <b/>
      <sz val="10"/>
      <color rgb="FFFFFFFF"/>
      <name val="Calibri"/>
      <family val="2"/>
    </font>
    <font>
      <vertAlign val="superscript"/>
      <sz val="10"/>
      <color rgb="FFFFFFFF"/>
      <name val="Calibri"/>
      <family val="2"/>
    </font>
    <font>
      <b/>
      <vertAlign val="superscript"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vertAlign val="superscript"/>
      <sz val="10"/>
      <color rgb="FF000000"/>
      <name val="Calibri"/>
      <family val="2"/>
    </font>
    <font>
      <b/>
      <vertAlign val="superscript"/>
      <sz val="9"/>
      <color rgb="FF000000"/>
      <name val="Calibri"/>
      <family val="2"/>
    </font>
    <font>
      <b/>
      <sz val="9"/>
      <color rgb="FF000000"/>
      <name val="Calibri"/>
      <family val="2"/>
    </font>
    <font>
      <i/>
      <sz val="10"/>
      <color theme="0" tint="-0.34998626667073579"/>
      <name val="Arial"/>
      <family val="2"/>
    </font>
    <font>
      <b/>
      <u/>
      <sz val="18"/>
      <color rgb="FFFF0000"/>
      <name val="Times New Roman"/>
      <family val="1"/>
    </font>
    <font>
      <sz val="10"/>
      <color theme="0"/>
      <name val="Arial"/>
      <family val="2"/>
    </font>
    <font>
      <i/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indexed="22"/>
      </patternFill>
    </fill>
    <fill>
      <gradientFill degree="90">
        <stop position="0">
          <color theme="0"/>
        </stop>
        <stop position="1">
          <color rgb="FFFFFF99"/>
        </stop>
      </gradient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6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6A3A8"/>
        <bgColor indexed="64"/>
      </patternFill>
    </fill>
    <fill>
      <patternFill patternType="solid">
        <fgColor rgb="FFE3ECE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2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rgb="FF76A3A8"/>
      </left>
      <right/>
      <top style="medium">
        <color rgb="FF76A3A8"/>
      </top>
      <bottom/>
      <diagonal/>
    </border>
    <border>
      <left/>
      <right/>
      <top style="medium">
        <color rgb="FF76A3A8"/>
      </top>
      <bottom/>
      <diagonal/>
    </border>
    <border>
      <left/>
      <right style="medium">
        <color rgb="FF76A3A8"/>
      </right>
      <top style="medium">
        <color rgb="FF76A3A8"/>
      </top>
      <bottom/>
      <diagonal/>
    </border>
    <border>
      <left style="medium">
        <color rgb="FFACC7CA"/>
      </left>
      <right style="medium">
        <color rgb="FFACC7CA"/>
      </right>
      <top/>
      <bottom style="medium">
        <color rgb="FFACC7CA"/>
      </bottom>
      <diagonal/>
    </border>
    <border>
      <left/>
      <right style="medium">
        <color rgb="FFACC7CA"/>
      </right>
      <top/>
      <bottom style="medium">
        <color rgb="FFACC7CA"/>
      </bottom>
      <diagonal/>
    </border>
    <border>
      <left style="medium">
        <color rgb="FFACC7CA"/>
      </left>
      <right/>
      <top/>
      <bottom/>
      <diagonal/>
    </border>
    <border>
      <left/>
      <right style="medium">
        <color rgb="FFACC7CA"/>
      </right>
      <top/>
      <bottom/>
      <diagonal/>
    </border>
    <border>
      <left style="medium">
        <color rgb="FFACC7CA"/>
      </left>
      <right/>
      <top/>
      <bottom style="medium">
        <color rgb="FFACC7CA"/>
      </bottom>
      <diagonal/>
    </border>
    <border>
      <left/>
      <right/>
      <top/>
      <bottom style="medium">
        <color rgb="FFACC7CA"/>
      </bottom>
      <diagonal/>
    </border>
    <border>
      <left style="medium">
        <color rgb="FFACC7CA"/>
      </left>
      <right/>
      <top style="medium">
        <color rgb="FFACC7CA"/>
      </top>
      <bottom/>
      <diagonal/>
    </border>
    <border>
      <left/>
      <right/>
      <top style="medium">
        <color rgb="FFACC7CA"/>
      </top>
      <bottom/>
      <diagonal/>
    </border>
    <border>
      <left/>
      <right style="medium">
        <color rgb="FFACC7CA"/>
      </right>
      <top style="medium">
        <color rgb="FFACC7CA"/>
      </top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/>
      <top/>
      <bottom style="thin">
        <color theme="0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172" fontId="1" fillId="0" borderId="0" applyFill="0" applyBorder="0" applyAlignment="0" applyProtection="0"/>
    <xf numFmtId="171" fontId="1" fillId="0" borderId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1" fillId="0" borderId="0"/>
    <xf numFmtId="9" fontId="1" fillId="0" borderId="0" applyFill="0" applyBorder="0" applyAlignment="0" applyProtection="0"/>
    <xf numFmtId="0" fontId="19" fillId="8" borderId="12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 applyNumberFormat="0" applyFill="0" applyBorder="0" applyAlignment="0" applyProtection="0"/>
  </cellStyleXfs>
  <cellXfs count="1016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3" borderId="0" xfId="0" applyFont="1" applyFill="1"/>
    <xf numFmtId="3" fontId="4" fillId="2" borderId="0" xfId="0" applyNumberFormat="1" applyFont="1" applyFill="1" applyAlignment="1">
      <alignment vertical="center" wrapText="1"/>
    </xf>
    <xf numFmtId="3" fontId="4" fillId="2" borderId="15" xfId="0" applyNumberFormat="1" applyFont="1" applyFill="1" applyBorder="1" applyAlignment="1">
      <alignment vertical="center" wrapText="1"/>
    </xf>
    <xf numFmtId="168" fontId="5" fillId="3" borderId="16" xfId="0" applyNumberFormat="1" applyFont="1" applyFill="1" applyBorder="1"/>
    <xf numFmtId="164" fontId="5" fillId="3" borderId="16" xfId="0" applyNumberFormat="1" applyFont="1" applyFill="1" applyBorder="1"/>
    <xf numFmtId="0" fontId="5" fillId="3" borderId="16" xfId="0" applyFont="1" applyFill="1" applyBorder="1"/>
    <xf numFmtId="3" fontId="5" fillId="3" borderId="16" xfId="0" applyNumberFormat="1" applyFont="1" applyFill="1" applyBorder="1"/>
    <xf numFmtId="169" fontId="5" fillId="3" borderId="17" xfId="0" applyNumberFormat="1" applyFont="1" applyFill="1" applyBorder="1"/>
    <xf numFmtId="165" fontId="17" fillId="3" borderId="0" xfId="0" applyNumberFormat="1" applyFont="1" applyFill="1"/>
    <xf numFmtId="0" fontId="17" fillId="3" borderId="0" xfId="0" applyFont="1" applyFill="1"/>
    <xf numFmtId="0" fontId="4" fillId="3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5" fillId="3" borderId="16" xfId="0" applyFont="1" applyFill="1" applyBorder="1" applyAlignment="1">
      <alignment horizontal="right"/>
    </xf>
    <xf numFmtId="0" fontId="6" fillId="3" borderId="2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0" fillId="0" borderId="16" xfId="0" applyBorder="1"/>
    <xf numFmtId="174" fontId="0" fillId="0" borderId="0" xfId="0" applyNumberFormat="1"/>
    <xf numFmtId="173" fontId="9" fillId="0" borderId="11" xfId="0" applyNumberFormat="1" applyFont="1" applyBorder="1" applyAlignment="1">
      <alignment horizontal="center" vertical="center"/>
    </xf>
    <xf numFmtId="0" fontId="14" fillId="2" borderId="24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12" xfId="0" applyFont="1" applyBorder="1" applyAlignment="1">
      <alignment horizontal="center" vertical="center"/>
    </xf>
    <xf numFmtId="0" fontId="0" fillId="2" borderId="0" xfId="0" applyFill="1"/>
    <xf numFmtId="0" fontId="19" fillId="2" borderId="14" xfId="0" applyFont="1" applyFill="1" applyBorder="1"/>
    <xf numFmtId="0" fontId="15" fillId="2" borderId="16" xfId="0" applyFont="1" applyFill="1" applyBorder="1" applyAlignment="1">
      <alignment vertical="center"/>
    </xf>
    <xf numFmtId="0" fontId="8" fillId="2" borderId="13" xfId="0" applyFont="1" applyFill="1" applyBorder="1" applyAlignment="1">
      <alignment horizontal="right"/>
    </xf>
    <xf numFmtId="0" fontId="3" fillId="2" borderId="0" xfId="0" applyFont="1" applyFill="1"/>
    <xf numFmtId="0" fontId="8" fillId="2" borderId="0" xfId="0" applyFont="1" applyFill="1"/>
    <xf numFmtId="0" fontId="8" fillId="2" borderId="16" xfId="0" applyFont="1" applyFill="1" applyBorder="1"/>
    <xf numFmtId="0" fontId="3" fillId="2" borderId="16" xfId="0" applyFont="1" applyFill="1" applyBorder="1"/>
    <xf numFmtId="0" fontId="13" fillId="2" borderId="27" xfId="0" applyFont="1" applyFill="1" applyBorder="1" applyAlignment="1">
      <alignment vertical="center"/>
    </xf>
    <xf numFmtId="0" fontId="13" fillId="2" borderId="28" xfId="0" applyFont="1" applyFill="1" applyBorder="1" applyAlignment="1">
      <alignment vertical="center"/>
    </xf>
    <xf numFmtId="0" fontId="13" fillId="2" borderId="24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3" fontId="9" fillId="0" borderId="11" xfId="0" applyNumberFormat="1" applyFont="1" applyBorder="1" applyAlignment="1">
      <alignment horizontal="center" vertical="center"/>
    </xf>
    <xf numFmtId="0" fontId="6" fillId="3" borderId="27" xfId="0" applyFont="1" applyFill="1" applyBorder="1" applyAlignment="1">
      <alignment vertical="center" wrapText="1"/>
    </xf>
    <xf numFmtId="0" fontId="20" fillId="0" borderId="0" xfId="5" applyFont="1"/>
    <xf numFmtId="49" fontId="21" fillId="0" borderId="23" xfId="5" applyNumberFormat="1" applyFont="1" applyBorder="1" applyAlignment="1">
      <alignment horizontal="center" vertical="center"/>
    </xf>
    <xf numFmtId="49" fontId="21" fillId="0" borderId="19" xfId="5" applyNumberFormat="1" applyFont="1" applyBorder="1" applyAlignment="1">
      <alignment horizontal="center" vertical="center"/>
    </xf>
    <xf numFmtId="0" fontId="21" fillId="0" borderId="1" xfId="5" applyFont="1" applyBorder="1" applyAlignment="1">
      <alignment horizontal="center" vertical="center"/>
    </xf>
    <xf numFmtId="176" fontId="21" fillId="0" borderId="2" xfId="5" applyNumberFormat="1" applyFont="1" applyBorder="1" applyAlignment="1">
      <alignment horizontal="center" vertical="center"/>
    </xf>
    <xf numFmtId="0" fontId="20" fillId="0" borderId="0" xfId="5" applyFont="1" applyAlignment="1">
      <alignment horizontal="center"/>
    </xf>
    <xf numFmtId="0" fontId="21" fillId="0" borderId="2" xfId="5" applyFont="1" applyBorder="1" applyAlignment="1">
      <alignment horizontal="center" vertical="center"/>
    </xf>
    <xf numFmtId="0" fontId="20" fillId="5" borderId="7" xfId="5" applyFont="1" applyFill="1" applyBorder="1" applyAlignment="1">
      <alignment horizontal="center"/>
    </xf>
    <xf numFmtId="0" fontId="21" fillId="5" borderId="11" xfId="5" applyFont="1" applyFill="1" applyBorder="1" applyAlignment="1">
      <alignment horizontal="center" vertical="center"/>
    </xf>
    <xf numFmtId="0" fontId="21" fillId="5" borderId="29" xfId="5" applyFont="1" applyFill="1" applyBorder="1" applyAlignment="1">
      <alignment horizontal="center" vertical="center"/>
    </xf>
    <xf numFmtId="0" fontId="20" fillId="0" borderId="7" xfId="5" applyFont="1" applyBorder="1" applyAlignment="1">
      <alignment horizontal="center" vertical="center"/>
    </xf>
    <xf numFmtId="0" fontId="20" fillId="0" borderId="30" xfId="5" applyFont="1" applyBorder="1"/>
    <xf numFmtId="0" fontId="20" fillId="0" borderId="31" xfId="5" applyFont="1" applyBorder="1" applyAlignment="1">
      <alignment horizontal="center"/>
    </xf>
    <xf numFmtId="0" fontId="20" fillId="0" borderId="32" xfId="5" applyFont="1" applyBorder="1" applyAlignment="1">
      <alignment horizontal="center"/>
    </xf>
    <xf numFmtId="0" fontId="20" fillId="0" borderId="33" xfId="5" applyFont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1" fillId="0" borderId="35" xfId="5" applyFont="1" applyBorder="1"/>
    <xf numFmtId="49" fontId="21" fillId="0" borderId="36" xfId="5" applyNumberFormat="1" applyFont="1" applyBorder="1" applyAlignment="1">
      <alignment horizontal="center" vertical="center"/>
    </xf>
    <xf numFmtId="49" fontId="21" fillId="0" borderId="37" xfId="5" applyNumberFormat="1" applyFont="1" applyBorder="1" applyAlignment="1">
      <alignment horizontal="center" vertical="center"/>
    </xf>
    <xf numFmtId="0" fontId="21" fillId="5" borderId="7" xfId="5" applyFont="1" applyFill="1" applyBorder="1" applyAlignment="1">
      <alignment horizontal="center" vertical="center"/>
    </xf>
    <xf numFmtId="0" fontId="21" fillId="0" borderId="38" xfId="5" applyFont="1" applyBorder="1" applyAlignment="1">
      <alignment horizontal="center" vertical="center"/>
    </xf>
    <xf numFmtId="176" fontId="21" fillId="0" borderId="9" xfId="5" applyNumberFormat="1" applyFont="1" applyBorder="1" applyAlignment="1">
      <alignment horizontal="center" vertical="center"/>
    </xf>
    <xf numFmtId="0" fontId="21" fillId="0" borderId="39" xfId="5" applyFont="1" applyBorder="1"/>
    <xf numFmtId="0" fontId="21" fillId="0" borderId="40" xfId="5" applyFont="1" applyBorder="1"/>
    <xf numFmtId="49" fontId="21" fillId="0" borderId="41" xfId="5" applyNumberFormat="1" applyFont="1" applyBorder="1" applyAlignment="1">
      <alignment horizontal="center" vertical="center"/>
    </xf>
    <xf numFmtId="49" fontId="21" fillId="0" borderId="16" xfId="5" applyNumberFormat="1" applyFont="1" applyBorder="1" applyAlignment="1">
      <alignment horizontal="center" vertical="center"/>
    </xf>
    <xf numFmtId="0" fontId="21" fillId="0" borderId="42" xfId="5" applyFont="1" applyBorder="1" applyAlignment="1">
      <alignment horizontal="center" vertical="center"/>
    </xf>
    <xf numFmtId="176" fontId="21" fillId="0" borderId="43" xfId="5" applyNumberFormat="1" applyFont="1" applyBorder="1" applyAlignment="1">
      <alignment horizontal="center" vertical="center"/>
    </xf>
    <xf numFmtId="0" fontId="20" fillId="5" borderId="27" xfId="5" applyFont="1" applyFill="1" applyBorder="1"/>
    <xf numFmtId="0" fontId="20" fillId="5" borderId="24" xfId="5" applyFont="1" applyFill="1" applyBorder="1" applyAlignment="1">
      <alignment horizontal="right"/>
    </xf>
    <xf numFmtId="0" fontId="20" fillId="5" borderId="24" xfId="5" applyFont="1" applyFill="1" applyBorder="1" applyAlignment="1">
      <alignment horizontal="center"/>
    </xf>
    <xf numFmtId="0" fontId="23" fillId="0" borderId="0" xfId="5" applyFont="1"/>
    <xf numFmtId="0" fontId="21" fillId="0" borderId="44" xfId="5" applyFont="1" applyBorder="1" applyAlignment="1">
      <alignment horizontal="center" vertical="center"/>
    </xf>
    <xf numFmtId="0" fontId="21" fillId="0" borderId="14" xfId="5" applyFont="1" applyBorder="1"/>
    <xf numFmtId="0" fontId="21" fillId="0" borderId="45" xfId="5" applyFont="1" applyBorder="1" applyAlignment="1">
      <alignment horizontal="center" vertical="center"/>
    </xf>
    <xf numFmtId="0" fontId="21" fillId="0" borderId="17" xfId="5" applyFont="1" applyBorder="1" applyAlignment="1">
      <alignment horizontal="center" vertical="center"/>
    </xf>
    <xf numFmtId="176" fontId="21" fillId="0" borderId="36" xfId="5" applyNumberFormat="1" applyFont="1" applyBorder="1" applyAlignment="1">
      <alignment horizontal="center" vertical="center"/>
    </xf>
    <xf numFmtId="176" fontId="21" fillId="0" borderId="46" xfId="5" applyNumberFormat="1" applyFont="1" applyBorder="1" applyAlignment="1">
      <alignment horizontal="center" vertical="center"/>
    </xf>
    <xf numFmtId="176" fontId="20" fillId="0" borderId="47" xfId="5" applyNumberFormat="1" applyFont="1" applyBorder="1"/>
    <xf numFmtId="176" fontId="20" fillId="0" borderId="48" xfId="5" applyNumberFormat="1" applyFont="1" applyBorder="1"/>
    <xf numFmtId="176" fontId="20" fillId="0" borderId="49" xfId="5" applyNumberFormat="1" applyFont="1" applyBorder="1"/>
    <xf numFmtId="176" fontId="20" fillId="0" borderId="20" xfId="5" applyNumberFormat="1" applyFont="1" applyBorder="1"/>
    <xf numFmtId="176" fontId="20" fillId="0" borderId="0" xfId="5" applyNumberFormat="1" applyFont="1"/>
    <xf numFmtId="176" fontId="21" fillId="0" borderId="50" xfId="5" applyNumberFormat="1" applyFont="1" applyBorder="1" applyAlignment="1">
      <alignment horizontal="center" vertical="center"/>
    </xf>
    <xf numFmtId="0" fontId="24" fillId="5" borderId="27" xfId="5" applyFont="1" applyFill="1" applyBorder="1"/>
    <xf numFmtId="0" fontId="21" fillId="0" borderId="12" xfId="5" applyFont="1" applyBorder="1"/>
    <xf numFmtId="0" fontId="20" fillId="5" borderId="24" xfId="5" applyFont="1" applyFill="1" applyBorder="1" applyAlignment="1">
      <alignment horizontal="left"/>
    </xf>
    <xf numFmtId="176" fontId="26" fillId="0" borderId="2" xfId="5" applyNumberFormat="1" applyFont="1" applyBorder="1" applyAlignment="1">
      <alignment horizontal="center" vertical="center"/>
    </xf>
    <xf numFmtId="176" fontId="26" fillId="0" borderId="46" xfId="5" applyNumberFormat="1" applyFont="1" applyBorder="1" applyAlignment="1">
      <alignment horizontal="center" vertical="center"/>
    </xf>
    <xf numFmtId="0" fontId="21" fillId="5" borderId="14" xfId="5" applyFont="1" applyFill="1" applyBorder="1" applyAlignment="1">
      <alignment horizontal="center" vertical="center"/>
    </xf>
    <xf numFmtId="176" fontId="20" fillId="0" borderId="51" xfId="5" applyNumberFormat="1" applyFont="1" applyBorder="1"/>
    <xf numFmtId="0" fontId="21" fillId="0" borderId="33" xfId="5" applyFont="1" applyBorder="1" applyAlignment="1">
      <alignment horizontal="center" vertical="center"/>
    </xf>
    <xf numFmtId="176" fontId="21" fillId="0" borderId="31" xfId="5" applyNumberFormat="1" applyFont="1" applyBorder="1" applyAlignment="1">
      <alignment horizontal="center" vertical="center"/>
    </xf>
    <xf numFmtId="176" fontId="21" fillId="0" borderId="32" xfId="5" applyNumberFormat="1" applyFont="1" applyBorder="1" applyAlignment="1">
      <alignment horizontal="center" vertical="center"/>
    </xf>
    <xf numFmtId="0" fontId="21" fillId="0" borderId="2" xfId="5" applyFont="1" applyBorder="1"/>
    <xf numFmtId="0" fontId="21" fillId="5" borderId="12" xfId="5" applyFont="1" applyFill="1" applyBorder="1" applyAlignment="1">
      <alignment horizontal="center" vertical="center"/>
    </xf>
    <xf numFmtId="0" fontId="21" fillId="5" borderId="22" xfId="5" applyFont="1" applyFill="1" applyBorder="1" applyAlignment="1">
      <alignment horizontal="center" vertical="center"/>
    </xf>
    <xf numFmtId="176" fontId="20" fillId="0" borderId="44" xfId="5" applyNumberFormat="1" applyFont="1" applyBorder="1"/>
    <xf numFmtId="176" fontId="20" fillId="0" borderId="52" xfId="5" applyNumberFormat="1" applyFont="1" applyBorder="1"/>
    <xf numFmtId="0" fontId="21" fillId="0" borderId="30" xfId="5" applyFont="1" applyBorder="1" applyAlignment="1">
      <alignment horizontal="center" vertical="center"/>
    </xf>
    <xf numFmtId="176" fontId="21" fillId="0" borderId="34" xfId="5" applyNumberFormat="1" applyFont="1" applyBorder="1" applyAlignment="1">
      <alignment horizontal="center" vertical="center"/>
    </xf>
    <xf numFmtId="0" fontId="21" fillId="0" borderId="53" xfId="5" applyFont="1" applyBorder="1" applyAlignment="1">
      <alignment horizontal="center" vertical="center"/>
    </xf>
    <xf numFmtId="176" fontId="21" fillId="0" borderId="26" xfId="5" applyNumberFormat="1" applyFont="1" applyBorder="1" applyAlignment="1">
      <alignment horizontal="center" vertical="center"/>
    </xf>
    <xf numFmtId="0" fontId="21" fillId="0" borderId="54" xfId="5" applyFont="1" applyBorder="1" applyAlignment="1">
      <alignment horizontal="center" vertical="center"/>
    </xf>
    <xf numFmtId="0" fontId="21" fillId="0" borderId="55" xfId="5" applyFont="1" applyBorder="1" applyAlignment="1">
      <alignment horizontal="center" vertical="center"/>
    </xf>
    <xf numFmtId="0" fontId="21" fillId="0" borderId="20" xfId="5" applyFont="1" applyBorder="1" applyAlignment="1">
      <alignment horizontal="center" vertical="center"/>
    </xf>
    <xf numFmtId="0" fontId="27" fillId="3" borderId="0" xfId="0" applyFont="1" applyFill="1"/>
    <xf numFmtId="0" fontId="21" fillId="0" borderId="25" xfId="5" applyFont="1" applyBorder="1"/>
    <xf numFmtId="0" fontId="21" fillId="0" borderId="5" xfId="5" applyFont="1" applyBorder="1" applyAlignment="1">
      <alignment horizontal="center" vertical="center"/>
    </xf>
    <xf numFmtId="176" fontId="21" fillId="0" borderId="55" xfId="5" applyNumberFormat="1" applyFont="1" applyBorder="1" applyAlignment="1">
      <alignment horizontal="center" vertical="center"/>
    </xf>
    <xf numFmtId="176" fontId="21" fillId="0" borderId="23" xfId="5" applyNumberFormat="1" applyFont="1" applyBorder="1" applyAlignment="1">
      <alignment horizontal="center" vertical="center"/>
    </xf>
    <xf numFmtId="176" fontId="20" fillId="0" borderId="56" xfId="5" applyNumberFormat="1" applyFont="1" applyBorder="1"/>
    <xf numFmtId="0" fontId="21" fillId="0" borderId="37" xfId="5" applyFont="1" applyBorder="1" applyAlignment="1">
      <alignment horizontal="center" vertical="center"/>
    </xf>
    <xf numFmtId="0" fontId="21" fillId="0" borderId="19" xfId="5" applyFont="1" applyBorder="1" applyAlignment="1">
      <alignment horizontal="center" vertical="center"/>
    </xf>
    <xf numFmtId="0" fontId="21" fillId="0" borderId="16" xfId="5" applyFont="1" applyBorder="1" applyAlignment="1">
      <alignment horizontal="center" vertical="center"/>
    </xf>
    <xf numFmtId="176" fontId="21" fillId="4" borderId="2" xfId="5" applyNumberFormat="1" applyFont="1" applyFill="1" applyBorder="1" applyAlignment="1">
      <alignment horizontal="center" vertical="center"/>
    </xf>
    <xf numFmtId="176" fontId="21" fillId="4" borderId="46" xfId="5" applyNumberFormat="1" applyFont="1" applyFill="1" applyBorder="1" applyAlignment="1">
      <alignment horizontal="center" vertical="center"/>
    </xf>
    <xf numFmtId="0" fontId="28" fillId="0" borderId="53" xfId="5" applyFont="1" applyBorder="1" applyAlignment="1">
      <alignment horizontal="right"/>
    </xf>
    <xf numFmtId="0" fontId="0" fillId="0" borderId="0" xfId="0" applyAlignment="1">
      <alignment horizontal="right"/>
    </xf>
    <xf numFmtId="0" fontId="21" fillId="0" borderId="8" xfId="5" applyFont="1" applyBorder="1" applyAlignment="1">
      <alignment horizontal="center" vertical="center"/>
    </xf>
    <xf numFmtId="176" fontId="21" fillId="0" borderId="10" xfId="5" applyNumberFormat="1" applyFont="1" applyBorder="1" applyAlignment="1">
      <alignment horizontal="center" vertical="center"/>
    </xf>
    <xf numFmtId="176" fontId="25" fillId="0" borderId="9" xfId="5" applyNumberFormat="1" applyFont="1" applyBorder="1" applyAlignment="1">
      <alignment horizontal="center" vertical="center"/>
    </xf>
    <xf numFmtId="176" fontId="25" fillId="0" borderId="10" xfId="5" applyNumberFormat="1" applyFont="1" applyBorder="1" applyAlignment="1">
      <alignment horizontal="center" vertical="center"/>
    </xf>
    <xf numFmtId="176" fontId="25" fillId="0" borderId="55" xfId="5" applyNumberFormat="1" applyFont="1" applyBorder="1" applyAlignment="1">
      <alignment horizontal="center" vertical="center"/>
    </xf>
    <xf numFmtId="176" fontId="25" fillId="0" borderId="23" xfId="5" applyNumberFormat="1" applyFont="1" applyBorder="1" applyAlignment="1">
      <alignment horizontal="center" vertical="center"/>
    </xf>
    <xf numFmtId="170" fontId="21" fillId="0" borderId="5" xfId="5" applyNumberFormat="1" applyFont="1" applyBorder="1" applyAlignment="1">
      <alignment horizontal="center" vertical="center"/>
    </xf>
    <xf numFmtId="170" fontId="21" fillId="0" borderId="38" xfId="5" applyNumberFormat="1" applyFont="1" applyBorder="1" applyAlignment="1">
      <alignment horizontal="center" vertical="center"/>
    </xf>
    <xf numFmtId="170" fontId="21" fillId="0" borderId="1" xfId="5" applyNumberFormat="1" applyFont="1" applyBorder="1" applyAlignment="1">
      <alignment horizontal="center" vertical="center"/>
    </xf>
    <xf numFmtId="170" fontId="21" fillId="0" borderId="53" xfId="5" applyNumberFormat="1" applyFont="1" applyBorder="1" applyAlignment="1">
      <alignment horizontal="center" vertical="center"/>
    </xf>
    <xf numFmtId="170" fontId="21" fillId="0" borderId="42" xfId="5" applyNumberFormat="1" applyFont="1" applyBorder="1" applyAlignment="1">
      <alignment horizontal="center" vertical="center"/>
    </xf>
    <xf numFmtId="0" fontId="21" fillId="5" borderId="56" xfId="5" applyFont="1" applyFill="1" applyBorder="1" applyAlignment="1">
      <alignment horizontal="center" vertical="center"/>
    </xf>
    <xf numFmtId="176" fontId="21" fillId="0" borderId="58" xfId="5" applyNumberFormat="1" applyFont="1" applyBorder="1" applyAlignment="1">
      <alignment horizontal="center" vertical="center"/>
    </xf>
    <xf numFmtId="173" fontId="19" fillId="0" borderId="3" xfId="0" applyNumberFormat="1" applyFont="1" applyBorder="1" applyAlignment="1">
      <alignment horizontal="center" vertical="center"/>
    </xf>
    <xf numFmtId="165" fontId="5" fillId="3" borderId="0" xfId="0" applyNumberFormat="1" applyFont="1" applyFill="1" applyProtection="1">
      <protection locked="0"/>
    </xf>
    <xf numFmtId="165" fontId="5" fillId="3" borderId="0" xfId="0" applyNumberFormat="1" applyFont="1" applyFill="1"/>
    <xf numFmtId="165" fontId="30" fillId="3" borderId="0" xfId="0" applyNumberFormat="1" applyFont="1" applyFill="1"/>
    <xf numFmtId="164" fontId="30" fillId="3" borderId="0" xfId="0" applyNumberFormat="1" applyFont="1" applyFill="1"/>
    <xf numFmtId="166" fontId="30" fillId="3" borderId="0" xfId="0" applyNumberFormat="1" applyFont="1" applyFill="1" applyAlignment="1">
      <alignment horizontal="right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1" fillId="0" borderId="0" xfId="7" applyAlignment="1">
      <alignment horizontal="center"/>
    </xf>
    <xf numFmtId="0" fontId="31" fillId="0" borderId="0" xfId="7"/>
    <xf numFmtId="0" fontId="31" fillId="0" borderId="0" xfId="7" applyAlignment="1">
      <alignment vertical="top"/>
    </xf>
    <xf numFmtId="49" fontId="32" fillId="0" borderId="0" xfId="7" applyNumberFormat="1" applyFont="1" applyAlignment="1">
      <alignment vertical="top" wrapText="1"/>
    </xf>
    <xf numFmtId="3" fontId="31" fillId="0" borderId="0" xfId="7" applyNumberFormat="1" applyAlignment="1">
      <alignment horizontal="right" vertical="top"/>
    </xf>
    <xf numFmtId="173" fontId="31" fillId="0" borderId="0" xfId="7" applyNumberFormat="1" applyAlignment="1">
      <alignment horizontal="center" vertical="top"/>
    </xf>
    <xf numFmtId="49" fontId="31" fillId="0" borderId="0" xfId="7" applyNumberFormat="1" applyAlignment="1">
      <alignment vertical="top" wrapText="1"/>
    </xf>
    <xf numFmtId="0" fontId="32" fillId="0" borderId="0" xfId="7" applyFont="1"/>
    <xf numFmtId="0" fontId="22" fillId="0" borderId="0" xfId="0" applyFont="1"/>
    <xf numFmtId="176" fontId="22" fillId="0" borderId="0" xfId="0" applyNumberFormat="1" applyFont="1"/>
    <xf numFmtId="0" fontId="22" fillId="0" borderId="0" xfId="0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vertical="center"/>
    </xf>
    <xf numFmtId="6" fontId="22" fillId="0" borderId="0" xfId="0" applyNumberFormat="1" applyFont="1" applyAlignment="1">
      <alignment horizontal="center"/>
    </xf>
    <xf numFmtId="0" fontId="19" fillId="0" borderId="0" xfId="0" applyFont="1" applyAlignment="1">
      <alignment vertical="center"/>
    </xf>
    <xf numFmtId="0" fontId="19" fillId="0" borderId="27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3" fontId="18" fillId="2" borderId="13" xfId="0" applyNumberFormat="1" applyFont="1" applyFill="1" applyBorder="1" applyAlignment="1">
      <alignment horizontal="center" vertical="center"/>
    </xf>
    <xf numFmtId="3" fontId="18" fillId="2" borderId="13" xfId="0" applyNumberFormat="1" applyFont="1" applyFill="1" applyBorder="1" applyAlignment="1">
      <alignment horizontal="center" vertical="center"/>
    </xf>
    <xf numFmtId="173" fontId="18" fillId="2" borderId="21" xfId="0" applyNumberFormat="1" applyFont="1" applyFill="1" applyBorder="1" applyAlignment="1">
      <alignment horizontal="center" vertical="center"/>
    </xf>
    <xf numFmtId="49" fontId="16" fillId="0" borderId="7" xfId="0" applyNumberFormat="1" applyFont="1" applyBorder="1"/>
    <xf numFmtId="49" fontId="16" fillId="0" borderId="7" xfId="0" applyNumberFormat="1" applyFont="1" applyBorder="1" applyAlignment="1">
      <alignment wrapText="1"/>
    </xf>
    <xf numFmtId="49" fontId="16" fillId="0" borderId="11" xfId="0" applyNumberFormat="1" applyFont="1" applyBorder="1"/>
    <xf numFmtId="49" fontId="38" fillId="6" borderId="0" xfId="7" applyNumberFormat="1" applyFont="1" applyFill="1" applyAlignment="1">
      <alignment horizontal="center" vertical="top"/>
    </xf>
    <xf numFmtId="3" fontId="38" fillId="7" borderId="0" xfId="7" applyNumberFormat="1" applyFont="1" applyFill="1" applyAlignment="1">
      <alignment horizontal="center" vertical="center" wrapText="1"/>
    </xf>
    <xf numFmtId="0" fontId="38" fillId="6" borderId="0" xfId="7" applyFont="1" applyFill="1" applyAlignment="1">
      <alignment horizontal="center"/>
    </xf>
    <xf numFmtId="0" fontId="38" fillId="6" borderId="0" xfId="7" applyFont="1" applyFill="1" applyAlignment="1">
      <alignment horizontal="center" wrapText="1"/>
    </xf>
    <xf numFmtId="173" fontId="38" fillId="7" borderId="0" xfId="7" applyNumberFormat="1" applyFont="1" applyFill="1" applyAlignment="1">
      <alignment horizontal="center" wrapText="1"/>
    </xf>
    <xf numFmtId="49" fontId="16" fillId="0" borderId="56" xfId="0" applyNumberFormat="1" applyFont="1" applyBorder="1"/>
    <xf numFmtId="49" fontId="38" fillId="6" borderId="0" xfId="7" applyNumberFormat="1" applyFont="1" applyFill="1" applyAlignment="1">
      <alignment horizontal="left" wrapText="1"/>
    </xf>
    <xf numFmtId="0" fontId="31" fillId="0" borderId="2" xfId="7" applyBorder="1" applyAlignment="1">
      <alignment vertical="top"/>
    </xf>
    <xf numFmtId="49" fontId="31" fillId="9" borderId="2" xfId="7" applyNumberFormat="1" applyFill="1" applyBorder="1" applyAlignment="1">
      <alignment vertical="top" wrapText="1"/>
    </xf>
    <xf numFmtId="173" fontId="31" fillId="9" borderId="2" xfId="7" applyNumberFormat="1" applyFill="1" applyBorder="1" applyAlignment="1">
      <alignment horizontal="center" vertical="top"/>
    </xf>
    <xf numFmtId="173" fontId="31" fillId="9" borderId="2" xfId="7" applyNumberFormat="1" applyFill="1" applyBorder="1" applyAlignment="1">
      <alignment horizontal="center"/>
    </xf>
    <xf numFmtId="174" fontId="31" fillId="9" borderId="2" xfId="7" applyNumberFormat="1" applyFill="1" applyBorder="1"/>
    <xf numFmtId="4" fontId="19" fillId="0" borderId="14" xfId="0" applyNumberFormat="1" applyFont="1" applyBorder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174" fontId="16" fillId="0" borderId="29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3" fontId="16" fillId="0" borderId="16" xfId="0" applyNumberFormat="1" applyFont="1" applyBorder="1" applyAlignment="1">
      <alignment horizontal="center" vertical="center"/>
    </xf>
    <xf numFmtId="173" fontId="16" fillId="0" borderId="17" xfId="0" applyNumberFormat="1" applyFont="1" applyBorder="1" applyAlignment="1">
      <alignment horizontal="center" vertical="center"/>
    </xf>
    <xf numFmtId="3" fontId="9" fillId="0" borderId="29" xfId="0" applyNumberFormat="1" applyFont="1" applyBorder="1" applyAlignment="1">
      <alignment horizontal="center" vertical="center"/>
    </xf>
    <xf numFmtId="173" fontId="9" fillId="0" borderId="29" xfId="0" applyNumberFormat="1" applyFont="1" applyBorder="1" applyAlignment="1">
      <alignment horizontal="center" vertical="center"/>
    </xf>
    <xf numFmtId="49" fontId="16" fillId="0" borderId="20" xfId="0" applyNumberFormat="1" applyFont="1" applyBorder="1"/>
    <xf numFmtId="0" fontId="19" fillId="2" borderId="22" xfId="0" applyFont="1" applyFill="1" applyBorder="1"/>
    <xf numFmtId="0" fontId="19" fillId="0" borderId="20" xfId="0" applyFont="1" applyBorder="1" applyAlignment="1">
      <alignment horizontal="center" vertical="center"/>
    </xf>
    <xf numFmtId="0" fontId="39" fillId="0" borderId="0" xfId="0" applyFont="1"/>
    <xf numFmtId="174" fontId="33" fillId="0" borderId="59" xfId="0" applyNumberFormat="1" applyFont="1" applyBorder="1" applyAlignment="1">
      <alignment horizontal="center" vertical="center"/>
    </xf>
    <xf numFmtId="173" fontId="33" fillId="0" borderId="32" xfId="0" applyNumberFormat="1" applyFont="1" applyBorder="1" applyAlignment="1">
      <alignment horizontal="center" vertical="center"/>
    </xf>
    <xf numFmtId="170" fontId="33" fillId="0" borderId="6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173" fontId="33" fillId="0" borderId="59" xfId="0" applyNumberFormat="1" applyFont="1" applyBorder="1" applyAlignment="1">
      <alignment horizontal="center" vertical="center"/>
    </xf>
    <xf numFmtId="6" fontId="33" fillId="0" borderId="60" xfId="0" applyNumberFormat="1" applyFont="1" applyBorder="1" applyAlignment="1">
      <alignment horizontal="center" vertical="center"/>
    </xf>
    <xf numFmtId="3" fontId="33" fillId="0" borderId="59" xfId="0" applyNumberFormat="1" applyFont="1" applyBorder="1" applyAlignment="1">
      <alignment horizontal="center" vertical="center"/>
    </xf>
    <xf numFmtId="174" fontId="33" fillId="0" borderId="4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74" fontId="33" fillId="0" borderId="64" xfId="0" applyNumberFormat="1" applyFont="1" applyBorder="1" applyAlignment="1">
      <alignment horizontal="center" vertical="center"/>
    </xf>
    <xf numFmtId="0" fontId="41" fillId="0" borderId="0" xfId="0" applyFont="1" applyAlignment="1">
      <alignment horizontal="center"/>
    </xf>
    <xf numFmtId="176" fontId="41" fillId="0" borderId="0" xfId="0" applyNumberFormat="1" applyFont="1" applyAlignment="1">
      <alignment horizontal="center" vertical="top"/>
    </xf>
    <xf numFmtId="3" fontId="41" fillId="0" borderId="0" xfId="0" applyNumberFormat="1" applyFont="1" applyAlignment="1">
      <alignment horizontal="center" vertical="center"/>
    </xf>
    <xf numFmtId="0" fontId="40" fillId="0" borderId="24" xfId="0" applyFont="1" applyBorder="1" applyAlignment="1">
      <alignment horizontal="left" vertical="center" wrapText="1"/>
    </xf>
    <xf numFmtId="0" fontId="42" fillId="0" borderId="0" xfId="0" applyFont="1" applyAlignment="1">
      <alignment horizontal="center"/>
    </xf>
    <xf numFmtId="37" fontId="33" fillId="0" borderId="24" xfId="1" applyNumberFormat="1" applyFont="1" applyBorder="1" applyAlignment="1">
      <alignment horizontal="center" vertical="center"/>
    </xf>
    <xf numFmtId="0" fontId="40" fillId="0" borderId="0" xfId="0" applyFont="1" applyAlignment="1">
      <alignment horizontal="left" vertical="center" wrapText="1"/>
    </xf>
    <xf numFmtId="174" fontId="33" fillId="0" borderId="6" xfId="0" applyNumberFormat="1" applyFont="1" applyBorder="1" applyAlignment="1">
      <alignment horizontal="center" vertical="center"/>
    </xf>
    <xf numFmtId="37" fontId="33" fillId="0" borderId="0" xfId="1" applyNumberFormat="1" applyFont="1" applyBorder="1" applyAlignment="1">
      <alignment horizontal="center" vertical="center"/>
    </xf>
    <xf numFmtId="170" fontId="33" fillId="0" borderId="6" xfId="0" applyNumberFormat="1" applyFont="1" applyBorder="1" applyAlignment="1">
      <alignment horizontal="center" vertical="center"/>
    </xf>
    <xf numFmtId="170" fontId="41" fillId="0" borderId="31" xfId="0" applyNumberFormat="1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70" fontId="41" fillId="0" borderId="18" xfId="0" applyNumberFormat="1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173" fontId="41" fillId="0" borderId="0" xfId="0" applyNumberFormat="1" applyFont="1" applyAlignment="1">
      <alignment horizontal="center" vertical="center"/>
    </xf>
    <xf numFmtId="170" fontId="41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174" fontId="41" fillId="0" borderId="0" xfId="0" applyNumberFormat="1" applyFont="1" applyAlignment="1">
      <alignment horizontal="center"/>
    </xf>
    <xf numFmtId="3" fontId="41" fillId="0" borderId="0" xfId="0" applyNumberFormat="1" applyFont="1" applyAlignment="1">
      <alignment horizontal="center"/>
    </xf>
    <xf numFmtId="175" fontId="41" fillId="0" borderId="0" xfId="0" applyNumberFormat="1" applyFont="1" applyAlignment="1">
      <alignment horizontal="center"/>
    </xf>
    <xf numFmtId="9" fontId="22" fillId="0" borderId="0" xfId="10" applyFont="1" applyAlignment="1">
      <alignment horizontal="center"/>
    </xf>
    <xf numFmtId="174" fontId="0" fillId="0" borderId="0" xfId="0" applyNumberFormat="1" applyAlignment="1">
      <alignment horizontal="center"/>
    </xf>
    <xf numFmtId="9" fontId="0" fillId="0" borderId="0" xfId="10" applyFont="1" applyAlignment="1">
      <alignment horizontal="center"/>
    </xf>
    <xf numFmtId="0" fontId="22" fillId="0" borderId="2" xfId="0" applyFont="1" applyBorder="1" applyAlignment="1">
      <alignment wrapText="1"/>
    </xf>
    <xf numFmtId="4" fontId="22" fillId="0" borderId="2" xfId="0" applyNumberFormat="1" applyFont="1" applyBorder="1"/>
    <xf numFmtId="174" fontId="41" fillId="0" borderId="0" xfId="11" applyNumberFormat="1" applyFont="1" applyAlignment="1">
      <alignment horizontal="center" vertical="top"/>
    </xf>
    <xf numFmtId="174" fontId="41" fillId="0" borderId="0" xfId="11" applyNumberFormat="1" applyFont="1" applyFill="1" applyAlignment="1">
      <alignment horizontal="center"/>
    </xf>
    <xf numFmtId="174" fontId="33" fillId="0" borderId="65" xfId="11" applyNumberFormat="1" applyFont="1" applyBorder="1" applyAlignment="1">
      <alignment horizontal="center" vertical="center"/>
    </xf>
    <xf numFmtId="174" fontId="41" fillId="0" borderId="0" xfId="11" applyNumberFormat="1" applyFont="1" applyBorder="1" applyAlignment="1">
      <alignment horizontal="center"/>
    </xf>
    <xf numFmtId="174" fontId="33" fillId="0" borderId="66" xfId="11" applyNumberFormat="1" applyFont="1" applyBorder="1" applyAlignment="1">
      <alignment horizontal="center" vertical="center"/>
    </xf>
    <xf numFmtId="173" fontId="33" fillId="0" borderId="0" xfId="0" applyNumberFormat="1" applyFont="1" applyAlignment="1">
      <alignment horizontal="center" vertical="center"/>
    </xf>
    <xf numFmtId="6" fontId="33" fillId="0" borderId="0" xfId="0" applyNumberFormat="1" applyFont="1" applyAlignment="1">
      <alignment horizontal="center" vertical="center"/>
    </xf>
    <xf numFmtId="174" fontId="33" fillId="0" borderId="0" xfId="0" applyNumberFormat="1" applyFont="1" applyAlignment="1">
      <alignment horizontal="center" vertical="center"/>
    </xf>
    <xf numFmtId="174" fontId="33" fillId="0" borderId="0" xfId="11" applyNumberFormat="1" applyFont="1" applyBorder="1" applyAlignment="1">
      <alignment horizontal="center" vertical="center"/>
    </xf>
    <xf numFmtId="170" fontId="33" fillId="0" borderId="0" xfId="0" applyNumberFormat="1" applyFont="1" applyAlignment="1">
      <alignment horizontal="center" vertical="center"/>
    </xf>
    <xf numFmtId="2" fontId="33" fillId="0" borderId="64" xfId="0" applyNumberFormat="1" applyFont="1" applyBorder="1" applyAlignment="1">
      <alignment horizontal="center" vertical="center"/>
    </xf>
    <xf numFmtId="173" fontId="33" fillId="0" borderId="64" xfId="0" applyNumberFormat="1" applyFont="1" applyBorder="1" applyAlignment="1">
      <alignment horizontal="center" vertical="center"/>
    </xf>
    <xf numFmtId="3" fontId="0" fillId="0" borderId="0" xfId="0" applyNumberFormat="1"/>
    <xf numFmtId="0" fontId="19" fillId="0" borderId="12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41" fillId="0" borderId="0" xfId="0" applyFont="1" applyAlignment="1">
      <alignment vertical="center"/>
    </xf>
    <xf numFmtId="0" fontId="33" fillId="0" borderId="13" xfId="0" applyFont="1" applyBorder="1" applyAlignment="1">
      <alignment horizontal="center" vertical="center"/>
    </xf>
    <xf numFmtId="174" fontId="41" fillId="0" borderId="13" xfId="0" applyNumberFormat="1" applyFont="1" applyBorder="1" applyAlignment="1">
      <alignment horizontal="center" vertical="center"/>
    </xf>
    <xf numFmtId="3" fontId="41" fillId="0" borderId="13" xfId="0" applyNumberFormat="1" applyFont="1" applyBorder="1" applyAlignment="1">
      <alignment horizontal="center" vertical="center"/>
    </xf>
    <xf numFmtId="173" fontId="41" fillId="0" borderId="31" xfId="0" applyNumberFormat="1" applyFont="1" applyBorder="1" applyAlignment="1">
      <alignment horizontal="center" vertical="center"/>
    </xf>
    <xf numFmtId="6" fontId="41" fillId="0" borderId="13" xfId="0" applyNumberFormat="1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174" fontId="41" fillId="0" borderId="16" xfId="0" applyNumberFormat="1" applyFont="1" applyBorder="1" applyAlignment="1">
      <alignment horizontal="center" vertical="center"/>
    </xf>
    <xf numFmtId="173" fontId="41" fillId="0" borderId="18" xfId="0" applyNumberFormat="1" applyFont="1" applyBorder="1" applyAlignment="1">
      <alignment horizontal="center" vertical="center"/>
    </xf>
    <xf numFmtId="6" fontId="41" fillId="0" borderId="16" xfId="0" applyNumberFormat="1" applyFont="1" applyBorder="1" applyAlignment="1">
      <alignment horizontal="center" vertical="center"/>
    </xf>
    <xf numFmtId="6" fontId="33" fillId="0" borderId="59" xfId="0" applyNumberFormat="1" applyFont="1" applyBorder="1" applyAlignment="1">
      <alignment horizontal="center" vertical="center"/>
    </xf>
    <xf numFmtId="6" fontId="33" fillId="0" borderId="32" xfId="0" applyNumberFormat="1" applyFont="1" applyBorder="1" applyAlignment="1">
      <alignment horizontal="center" vertical="center"/>
    </xf>
    <xf numFmtId="174" fontId="41" fillId="0" borderId="31" xfId="0" applyNumberFormat="1" applyFont="1" applyBorder="1" applyAlignment="1">
      <alignment horizontal="center" vertical="center"/>
    </xf>
    <xf numFmtId="174" fontId="41" fillId="0" borderId="31" xfId="11" applyNumberFormat="1" applyFont="1" applyBorder="1" applyAlignment="1">
      <alignment horizontal="center" vertical="center"/>
    </xf>
    <xf numFmtId="0" fontId="44" fillId="12" borderId="67" xfId="0" applyFont="1" applyFill="1" applyBorder="1" applyAlignment="1">
      <alignment horizontal="right" vertical="center" wrapText="1"/>
    </xf>
    <xf numFmtId="3" fontId="41" fillId="0" borderId="16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left" vertical="center" wrapText="1"/>
    </xf>
    <xf numFmtId="174" fontId="33" fillId="0" borderId="41" xfId="0" applyNumberFormat="1" applyFont="1" applyBorder="1" applyAlignment="1">
      <alignment horizontal="center" vertical="center"/>
    </xf>
    <xf numFmtId="174" fontId="33" fillId="0" borderId="18" xfId="0" applyNumberFormat="1" applyFont="1" applyBorder="1" applyAlignment="1">
      <alignment horizontal="center" vertical="center"/>
    </xf>
    <xf numFmtId="3" fontId="33" fillId="0" borderId="41" xfId="0" applyNumberFormat="1" applyFont="1" applyBorder="1" applyAlignment="1">
      <alignment horizontal="center" vertical="center"/>
    </xf>
    <xf numFmtId="170" fontId="33" fillId="0" borderId="18" xfId="0" applyNumberFormat="1" applyFont="1" applyBorder="1" applyAlignment="1">
      <alignment horizontal="center" vertical="center"/>
    </xf>
    <xf numFmtId="173" fontId="33" fillId="0" borderId="41" xfId="0" applyNumberFormat="1" applyFont="1" applyBorder="1" applyAlignment="1">
      <alignment horizontal="center" vertical="center"/>
    </xf>
    <xf numFmtId="6" fontId="33" fillId="0" borderId="41" xfId="0" applyNumberFormat="1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49" fontId="36" fillId="0" borderId="0" xfId="0" applyNumberFormat="1" applyFont="1" applyAlignment="1">
      <alignment horizontal="left" vertical="center"/>
    </xf>
    <xf numFmtId="0" fontId="45" fillId="0" borderId="0" xfId="0" applyFont="1" applyAlignment="1">
      <alignment vertical="center"/>
    </xf>
    <xf numFmtId="0" fontId="45" fillId="0" borderId="68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 wrapText="1"/>
    </xf>
    <xf numFmtId="174" fontId="19" fillId="0" borderId="71" xfId="11" applyNumberFormat="1" applyFont="1" applyFill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3" fontId="19" fillId="0" borderId="71" xfId="0" applyNumberFormat="1" applyFont="1" applyBorder="1" applyAlignment="1">
      <alignment horizontal="center" vertical="center" wrapText="1"/>
    </xf>
    <xf numFmtId="0" fontId="0" fillId="0" borderId="72" xfId="0" applyBorder="1" applyAlignment="1">
      <alignment horizontal="center"/>
    </xf>
    <xf numFmtId="0" fontId="34" fillId="13" borderId="70" xfId="0" applyFont="1" applyFill="1" applyBorder="1" applyAlignment="1">
      <alignment horizontal="right"/>
    </xf>
    <xf numFmtId="3" fontId="34" fillId="13" borderId="70" xfId="0" applyNumberFormat="1" applyFont="1" applyFill="1" applyBorder="1" applyAlignment="1">
      <alignment horizontal="right" vertical="center"/>
    </xf>
    <xf numFmtId="0" fontId="34" fillId="11" borderId="70" xfId="0" applyFont="1" applyFill="1" applyBorder="1" applyAlignment="1">
      <alignment horizontal="right"/>
    </xf>
    <xf numFmtId="174" fontId="34" fillId="11" borderId="70" xfId="0" applyNumberFormat="1" applyFont="1" applyFill="1" applyBorder="1" applyAlignment="1">
      <alignment horizontal="right" vertical="center"/>
    </xf>
    <xf numFmtId="174" fontId="34" fillId="13" borderId="70" xfId="0" applyNumberFormat="1" applyFont="1" applyFill="1" applyBorder="1" applyAlignment="1">
      <alignment horizontal="right" vertical="top"/>
    </xf>
    <xf numFmtId="176" fontId="34" fillId="13" borderId="70" xfId="0" applyNumberFormat="1" applyFont="1" applyFill="1" applyBorder="1" applyAlignment="1">
      <alignment horizontal="right" vertical="top"/>
    </xf>
    <xf numFmtId="0" fontId="46" fillId="12" borderId="70" xfId="0" applyFont="1" applyFill="1" applyBorder="1" applyAlignment="1">
      <alignment horizontal="right"/>
    </xf>
    <xf numFmtId="174" fontId="22" fillId="0" borderId="0" xfId="0" applyNumberFormat="1" applyFont="1" applyAlignment="1">
      <alignment horizontal="center"/>
    </xf>
    <xf numFmtId="44" fontId="0" fillId="0" borderId="0" xfId="11" applyFont="1"/>
    <xf numFmtId="165" fontId="0" fillId="0" borderId="0" xfId="0" applyNumberFormat="1"/>
    <xf numFmtId="9" fontId="31" fillId="9" borderId="2" xfId="10" applyFont="1" applyFill="1" applyBorder="1" applyAlignment="1">
      <alignment horizontal="center" vertical="top"/>
    </xf>
    <xf numFmtId="0" fontId="31" fillId="0" borderId="2" xfId="7" applyBorder="1" applyAlignment="1">
      <alignment horizontal="center" vertical="top"/>
    </xf>
    <xf numFmtId="3" fontId="31" fillId="0" borderId="0" xfId="7" applyNumberFormat="1" applyAlignment="1">
      <alignment horizontal="center" vertical="top"/>
    </xf>
    <xf numFmtId="174" fontId="31" fillId="9" borderId="2" xfId="7" applyNumberFormat="1" applyFill="1" applyBorder="1" applyAlignment="1">
      <alignment horizontal="center"/>
    </xf>
    <xf numFmtId="173" fontId="31" fillId="0" borderId="0" xfId="7" applyNumberFormat="1" applyAlignment="1">
      <alignment horizontal="center"/>
    </xf>
    <xf numFmtId="174" fontId="41" fillId="0" borderId="2" xfId="0" applyNumberFormat="1" applyFont="1" applyBorder="1" applyAlignment="1">
      <alignment horizontal="center" vertical="center"/>
    </xf>
    <xf numFmtId="3" fontId="41" fillId="0" borderId="2" xfId="0" applyNumberFormat="1" applyFont="1" applyBorder="1" applyAlignment="1">
      <alignment horizontal="center" vertical="center"/>
    </xf>
    <xf numFmtId="170" fontId="41" fillId="0" borderId="2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173" fontId="41" fillId="0" borderId="2" xfId="0" applyNumberFormat="1" applyFont="1" applyBorder="1" applyAlignment="1">
      <alignment horizontal="center" vertical="center"/>
    </xf>
    <xf numFmtId="6" fontId="41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174" fontId="41" fillId="13" borderId="2" xfId="0" applyNumberFormat="1" applyFont="1" applyFill="1" applyBorder="1" applyAlignment="1">
      <alignment horizontal="center" vertical="center"/>
    </xf>
    <xf numFmtId="170" fontId="41" fillId="13" borderId="2" xfId="0" applyNumberFormat="1" applyFont="1" applyFill="1" applyBorder="1" applyAlignment="1">
      <alignment horizontal="center" vertical="center"/>
    </xf>
    <xf numFmtId="0" fontId="41" fillId="13" borderId="2" xfId="0" applyFont="1" applyFill="1" applyBorder="1" applyAlignment="1">
      <alignment horizontal="center" vertical="center"/>
    </xf>
    <xf numFmtId="173" fontId="41" fillId="13" borderId="2" xfId="0" applyNumberFormat="1" applyFont="1" applyFill="1" applyBorder="1" applyAlignment="1">
      <alignment horizontal="center" vertical="center"/>
    </xf>
    <xf numFmtId="6" fontId="41" fillId="13" borderId="2" xfId="0" applyNumberFormat="1" applyFont="1" applyFill="1" applyBorder="1" applyAlignment="1">
      <alignment horizontal="center" vertical="center"/>
    </xf>
    <xf numFmtId="3" fontId="41" fillId="13" borderId="2" xfId="0" applyNumberFormat="1" applyFont="1" applyFill="1" applyBorder="1" applyAlignment="1">
      <alignment horizontal="center" vertical="center"/>
    </xf>
    <xf numFmtId="174" fontId="33" fillId="0" borderId="57" xfId="11" applyNumberFormat="1" applyFont="1" applyBorder="1" applyAlignment="1">
      <alignment horizontal="center" vertical="center"/>
    </xf>
    <xf numFmtId="174" fontId="41" fillId="11" borderId="2" xfId="0" applyNumberFormat="1" applyFont="1" applyFill="1" applyBorder="1" applyAlignment="1">
      <alignment horizontal="center" vertical="center"/>
    </xf>
    <xf numFmtId="170" fontId="41" fillId="11" borderId="2" xfId="0" applyNumberFormat="1" applyFont="1" applyFill="1" applyBorder="1" applyAlignment="1">
      <alignment horizontal="center" vertical="center"/>
    </xf>
    <xf numFmtId="0" fontId="41" fillId="11" borderId="2" xfId="0" applyFont="1" applyFill="1" applyBorder="1" applyAlignment="1">
      <alignment horizontal="center" vertical="center"/>
    </xf>
    <xf numFmtId="6" fontId="41" fillId="11" borderId="2" xfId="0" applyNumberFormat="1" applyFont="1" applyFill="1" applyBorder="1" applyAlignment="1">
      <alignment horizontal="center" vertical="center"/>
    </xf>
    <xf numFmtId="173" fontId="31" fillId="9" borderId="2" xfId="10" applyNumberFormat="1" applyFont="1" applyFill="1" applyBorder="1" applyAlignment="1">
      <alignment horizontal="center" vertical="top"/>
    </xf>
    <xf numFmtId="174" fontId="41" fillId="0" borderId="2" xfId="11" applyNumberFormat="1" applyFont="1" applyBorder="1" applyAlignment="1">
      <alignment horizontal="center" vertical="center"/>
    </xf>
    <xf numFmtId="5" fontId="31" fillId="9" borderId="2" xfId="11" applyNumberFormat="1" applyFont="1" applyFill="1" applyBorder="1" applyAlignment="1">
      <alignment horizontal="center" vertical="top"/>
    </xf>
    <xf numFmtId="174" fontId="41" fillId="0" borderId="18" xfId="0" applyNumberFormat="1" applyFont="1" applyBorder="1" applyAlignment="1">
      <alignment horizontal="center" vertical="center"/>
    </xf>
    <xf numFmtId="174" fontId="41" fillId="0" borderId="18" xfId="11" applyNumberFormat="1" applyFont="1" applyBorder="1" applyAlignment="1">
      <alignment horizontal="center" vertical="center"/>
    </xf>
    <xf numFmtId="0" fontId="33" fillId="13" borderId="2" xfId="0" applyFont="1" applyFill="1" applyBorder="1" applyAlignment="1">
      <alignment horizontal="center" vertical="center"/>
    </xf>
    <xf numFmtId="0" fontId="33" fillId="11" borderId="2" xfId="0" applyFont="1" applyFill="1" applyBorder="1" applyAlignment="1">
      <alignment horizontal="center" vertical="center"/>
    </xf>
    <xf numFmtId="3" fontId="41" fillId="11" borderId="2" xfId="0" applyNumberFormat="1" applyFont="1" applyFill="1" applyBorder="1" applyAlignment="1">
      <alignment horizontal="center" vertical="center"/>
    </xf>
    <xf numFmtId="174" fontId="41" fillId="15" borderId="2" xfId="11" applyNumberFormat="1" applyFont="1" applyFill="1" applyBorder="1" applyAlignment="1">
      <alignment horizontal="center" vertical="center"/>
    </xf>
    <xf numFmtId="174" fontId="41" fillId="0" borderId="3" xfId="0" applyNumberFormat="1" applyFont="1" applyBorder="1" applyAlignment="1">
      <alignment horizontal="center" vertical="center"/>
    </xf>
    <xf numFmtId="170" fontId="41" fillId="0" borderId="3" xfId="0" applyNumberFormat="1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37" fontId="33" fillId="0" borderId="16" xfId="1" applyNumberFormat="1" applyFont="1" applyBorder="1" applyAlignment="1">
      <alignment horizontal="center" vertical="center"/>
    </xf>
    <xf numFmtId="0" fontId="51" fillId="0" borderId="0" xfId="0" applyFont="1" applyAlignment="1">
      <alignment horizontal="center"/>
    </xf>
    <xf numFmtId="4" fontId="22" fillId="0" borderId="0" xfId="0" applyNumberFormat="1" applyFont="1"/>
    <xf numFmtId="0" fontId="22" fillId="13" borderId="70" xfId="0" applyFont="1" applyFill="1" applyBorder="1" applyAlignment="1">
      <alignment horizontal="right"/>
    </xf>
    <xf numFmtId="3" fontId="22" fillId="13" borderId="70" xfId="0" applyNumberFormat="1" applyFont="1" applyFill="1" applyBorder="1" applyAlignment="1">
      <alignment horizontal="right" vertical="center"/>
    </xf>
    <xf numFmtId="0" fontId="0" fillId="13" borderId="70" xfId="0" applyFill="1" applyBorder="1" applyAlignment="1">
      <alignment horizontal="right"/>
    </xf>
    <xf numFmtId="0" fontId="0" fillId="13" borderId="73" xfId="0" applyFill="1" applyBorder="1"/>
    <xf numFmtId="0" fontId="22" fillId="11" borderId="70" xfId="0" applyFont="1" applyFill="1" applyBorder="1" applyAlignment="1">
      <alignment horizontal="right"/>
    </xf>
    <xf numFmtId="174" fontId="22" fillId="11" borderId="70" xfId="0" applyNumberFormat="1" applyFont="1" applyFill="1" applyBorder="1" applyAlignment="1">
      <alignment horizontal="right" vertical="center"/>
    </xf>
    <xf numFmtId="0" fontId="0" fillId="11" borderId="70" xfId="0" applyFill="1" applyBorder="1" applyAlignment="1">
      <alignment horizontal="center"/>
    </xf>
    <xf numFmtId="0" fontId="0" fillId="11" borderId="73" xfId="0" applyFill="1" applyBorder="1"/>
    <xf numFmtId="174" fontId="22" fillId="13" borderId="70" xfId="0" applyNumberFormat="1" applyFont="1" applyFill="1" applyBorder="1" applyAlignment="1">
      <alignment horizontal="right" vertical="top"/>
    </xf>
    <xf numFmtId="176" fontId="22" fillId="13" borderId="70" xfId="0" applyNumberFormat="1" applyFont="1" applyFill="1" applyBorder="1" applyAlignment="1">
      <alignment horizontal="right" vertical="top"/>
    </xf>
    <xf numFmtId="0" fontId="0" fillId="13" borderId="70" xfId="0" applyFill="1" applyBorder="1" applyAlignment="1">
      <alignment horizontal="center"/>
    </xf>
    <xf numFmtId="174" fontId="52" fillId="0" borderId="2" xfId="0" applyNumberFormat="1" applyFont="1" applyBorder="1" applyAlignment="1">
      <alignment horizontal="center" vertical="center"/>
    </xf>
    <xf numFmtId="170" fontId="52" fillId="0" borderId="2" xfId="0" applyNumberFormat="1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6" fontId="52" fillId="0" borderId="2" xfId="0" applyNumberFormat="1" applyFont="1" applyBorder="1" applyAlignment="1">
      <alignment horizontal="center" vertical="center"/>
    </xf>
    <xf numFmtId="0" fontId="41" fillId="13" borderId="2" xfId="0" applyFont="1" applyFill="1" applyBorder="1" applyAlignment="1">
      <alignment horizontal="left" vertical="center" wrapText="1"/>
    </xf>
    <xf numFmtId="0" fontId="41" fillId="0" borderId="0" xfId="0" applyFont="1" applyAlignment="1">
      <alignment vertical="center" wrapText="1"/>
    </xf>
    <xf numFmtId="0" fontId="33" fillId="0" borderId="71" xfId="0" applyFont="1" applyBorder="1" applyAlignment="1">
      <alignment horizontal="center" vertical="center" wrapText="1"/>
    </xf>
    <xf numFmtId="0" fontId="43" fillId="0" borderId="57" xfId="0" applyFont="1" applyBorder="1" applyAlignment="1">
      <alignment horizontal="left" vertical="center" wrapText="1"/>
    </xf>
    <xf numFmtId="0" fontId="43" fillId="0" borderId="33" xfId="0" applyFont="1" applyBorder="1" applyAlignment="1">
      <alignment horizontal="left" vertical="center" wrapText="1"/>
    </xf>
    <xf numFmtId="0" fontId="43" fillId="0" borderId="0" xfId="0" applyFont="1" applyAlignment="1">
      <alignment horizontal="right" vertical="center" wrapText="1"/>
    </xf>
    <xf numFmtId="0" fontId="42" fillId="0" borderId="0" xfId="0" applyFont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0" fontId="33" fillId="11" borderId="2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left" vertical="center" wrapText="1"/>
    </xf>
    <xf numFmtId="174" fontId="41" fillId="14" borderId="2" xfId="11" applyNumberFormat="1" applyFont="1" applyFill="1" applyBorder="1" applyAlignment="1">
      <alignment horizontal="center" vertical="center"/>
    </xf>
    <xf numFmtId="174" fontId="52" fillId="11" borderId="2" xfId="0" applyNumberFormat="1" applyFont="1" applyFill="1" applyBorder="1" applyAlignment="1">
      <alignment horizontal="center" vertical="center"/>
    </xf>
    <xf numFmtId="170" fontId="52" fillId="11" borderId="2" xfId="0" applyNumberFormat="1" applyFont="1" applyFill="1" applyBorder="1" applyAlignment="1">
      <alignment horizontal="center" vertical="center"/>
    </xf>
    <xf numFmtId="0" fontId="52" fillId="11" borderId="2" xfId="0" applyFont="1" applyFill="1" applyBorder="1" applyAlignment="1">
      <alignment horizontal="center" vertical="center"/>
    </xf>
    <xf numFmtId="6" fontId="52" fillId="11" borderId="2" xfId="0" applyNumberFormat="1" applyFont="1" applyFill="1" applyBorder="1" applyAlignment="1">
      <alignment horizontal="center" vertical="center"/>
    </xf>
    <xf numFmtId="176" fontId="0" fillId="0" borderId="0" xfId="0" applyNumberFormat="1"/>
    <xf numFmtId="9" fontId="0" fillId="0" borderId="0" xfId="10" applyFont="1"/>
    <xf numFmtId="49" fontId="19" fillId="0" borderId="0" xfId="0" applyNumberFormat="1" applyFont="1" applyAlignment="1">
      <alignment horizontal="left" vertical="center"/>
    </xf>
    <xf numFmtId="4" fontId="22" fillId="13" borderId="70" xfId="0" applyNumberFormat="1" applyFont="1" applyFill="1" applyBorder="1" applyAlignment="1">
      <alignment horizontal="right" vertical="center"/>
    </xf>
    <xf numFmtId="3" fontId="0" fillId="0" borderId="74" xfId="0" applyNumberFormat="1" applyBorder="1"/>
    <xf numFmtId="174" fontId="0" fillId="0" borderId="70" xfId="0" applyNumberFormat="1" applyBorder="1" applyAlignment="1">
      <alignment horizontal="right"/>
    </xf>
    <xf numFmtId="174" fontId="22" fillId="0" borderId="70" xfId="0" applyNumberFormat="1" applyFont="1" applyBorder="1" applyAlignment="1">
      <alignment horizontal="right"/>
    </xf>
    <xf numFmtId="0" fontId="22" fillId="0" borderId="73" xfId="0" applyFont="1" applyBorder="1" applyAlignment="1">
      <alignment horizontal="left"/>
    </xf>
    <xf numFmtId="0" fontId="22" fillId="0" borderId="73" xfId="0" applyFont="1" applyBorder="1" applyAlignment="1">
      <alignment horizontal="center"/>
    </xf>
    <xf numFmtId="164" fontId="46" fillId="0" borderId="0" xfId="0" applyNumberFormat="1" applyFont="1" applyAlignment="1">
      <alignment horizontal="center"/>
    </xf>
    <xf numFmtId="0" fontId="22" fillId="0" borderId="0" xfId="0" applyFont="1" applyAlignment="1">
      <alignment wrapText="1"/>
    </xf>
    <xf numFmtId="4" fontId="22" fillId="0" borderId="0" xfId="0" applyNumberFormat="1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1" fontId="33" fillId="0" borderId="64" xfId="0" applyNumberFormat="1" applyFont="1" applyBorder="1" applyAlignment="1">
      <alignment horizontal="center" vertical="center"/>
    </xf>
    <xf numFmtId="174" fontId="22" fillId="13" borderId="70" xfId="0" applyNumberFormat="1" applyFont="1" applyFill="1" applyBorder="1" applyAlignment="1">
      <alignment horizontal="right" vertical="center"/>
    </xf>
    <xf numFmtId="49" fontId="19" fillId="0" borderId="12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43" fillId="0" borderId="0" xfId="0" applyFont="1" applyAlignment="1">
      <alignment horizontal="left" vertical="center" wrapText="1"/>
    </xf>
    <xf numFmtId="174" fontId="41" fillId="0" borderId="0" xfId="0" applyNumberFormat="1" applyFont="1" applyAlignment="1">
      <alignment horizontal="center" vertical="center"/>
    </xf>
    <xf numFmtId="174" fontId="41" fillId="0" borderId="0" xfId="11" applyNumberFormat="1" applyFont="1" applyBorder="1" applyAlignment="1">
      <alignment horizontal="center" vertical="center"/>
    </xf>
    <xf numFmtId="170" fontId="41" fillId="0" borderId="0" xfId="0" applyNumberFormat="1" applyFont="1" applyAlignment="1">
      <alignment horizontal="center" vertical="center"/>
    </xf>
    <xf numFmtId="6" fontId="41" fillId="0" borderId="0" xfId="0" applyNumberFormat="1" applyFont="1" applyAlignment="1">
      <alignment horizontal="center" vertical="center"/>
    </xf>
    <xf numFmtId="0" fontId="9" fillId="0" borderId="0" xfId="0" applyFont="1"/>
    <xf numFmtId="173" fontId="19" fillId="0" borderId="2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31" fillId="9" borderId="2" xfId="7" applyFill="1" applyBorder="1" applyAlignment="1">
      <alignment horizontal="left" vertical="top"/>
    </xf>
    <xf numFmtId="49" fontId="31" fillId="0" borderId="2" xfId="7" applyNumberFormat="1" applyBorder="1" applyAlignment="1">
      <alignment vertical="top" wrapText="1"/>
    </xf>
    <xf numFmtId="44" fontId="31" fillId="9" borderId="2" xfId="11" applyFont="1" applyFill="1" applyBorder="1" applyAlignment="1">
      <alignment vertical="top" wrapText="1"/>
    </xf>
    <xf numFmtId="173" fontId="31" fillId="9" borderId="2" xfId="7" applyNumberFormat="1" applyFill="1" applyBorder="1" applyAlignment="1">
      <alignment horizontal="center" vertical="center"/>
    </xf>
    <xf numFmtId="9" fontId="31" fillId="9" borderId="2" xfId="10" applyFont="1" applyFill="1" applyBorder="1" applyAlignment="1">
      <alignment horizontal="center" vertical="center" wrapText="1"/>
    </xf>
    <xf numFmtId="177" fontId="31" fillId="9" borderId="2" xfId="10" applyNumberFormat="1" applyFont="1" applyFill="1" applyBorder="1" applyAlignment="1">
      <alignment horizontal="center" vertical="center" wrapText="1"/>
    </xf>
    <xf numFmtId="9" fontId="19" fillId="0" borderId="14" xfId="10" applyFont="1" applyBorder="1" applyAlignment="1">
      <alignment horizontal="center" vertical="center"/>
    </xf>
    <xf numFmtId="9" fontId="19" fillId="0" borderId="3" xfId="10" applyFont="1" applyBorder="1" applyAlignment="1">
      <alignment horizontal="center" vertical="center"/>
    </xf>
    <xf numFmtId="9" fontId="16" fillId="0" borderId="16" xfId="10" applyFont="1" applyFill="1" applyBorder="1" applyAlignment="1">
      <alignment horizontal="center" vertical="center"/>
    </xf>
    <xf numFmtId="174" fontId="16" fillId="0" borderId="2" xfId="0" applyNumberFormat="1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173" fontId="16" fillId="0" borderId="2" xfId="0" applyNumberFormat="1" applyFont="1" applyBorder="1" applyAlignment="1">
      <alignment horizontal="center" vertical="center"/>
    </xf>
    <xf numFmtId="4" fontId="16" fillId="0" borderId="2" xfId="0" applyNumberFormat="1" applyFont="1" applyBorder="1" applyAlignment="1">
      <alignment horizontal="center" vertical="center"/>
    </xf>
    <xf numFmtId="178" fontId="16" fillId="0" borderId="2" xfId="0" applyNumberFormat="1" applyFont="1" applyBorder="1" applyAlignment="1">
      <alignment horizontal="center" vertical="center"/>
    </xf>
    <xf numFmtId="167" fontId="4" fillId="3" borderId="15" xfId="0" applyNumberFormat="1" applyFont="1" applyFill="1" applyBorder="1" applyAlignment="1">
      <alignment horizontal="center"/>
    </xf>
    <xf numFmtId="9" fontId="19" fillId="0" borderId="3" xfId="0" applyNumberFormat="1" applyFont="1" applyBorder="1" applyAlignment="1">
      <alignment horizontal="center" vertical="center"/>
    </xf>
    <xf numFmtId="0" fontId="31" fillId="9" borderId="2" xfId="10" applyNumberFormat="1" applyFont="1" applyFill="1" applyBorder="1" applyAlignment="1">
      <alignment horizontal="center" vertical="top"/>
    </xf>
    <xf numFmtId="0" fontId="31" fillId="9" borderId="2" xfId="7" applyFill="1" applyBorder="1" applyAlignment="1">
      <alignment horizontal="center" vertical="center"/>
    </xf>
    <xf numFmtId="0" fontId="31" fillId="0" borderId="2" xfId="10" applyNumberFormat="1" applyFont="1" applyFill="1" applyBorder="1" applyAlignment="1">
      <alignment horizontal="center" vertical="top"/>
    </xf>
    <xf numFmtId="0" fontId="19" fillId="2" borderId="0" xfId="0" applyFont="1" applyFill="1"/>
    <xf numFmtId="9" fontId="16" fillId="0" borderId="2" xfId="10" applyFont="1" applyFill="1" applyBorder="1" applyAlignment="1">
      <alignment horizontal="center" vertical="center"/>
    </xf>
    <xf numFmtId="0" fontId="41" fillId="13" borderId="0" xfId="0" applyFont="1" applyFill="1" applyAlignment="1">
      <alignment horizontal="center"/>
    </xf>
    <xf numFmtId="174" fontId="13" fillId="2" borderId="7" xfId="0" applyNumberFormat="1" applyFont="1" applyFill="1" applyBorder="1" applyAlignment="1">
      <alignment horizontal="center" vertical="center"/>
    </xf>
    <xf numFmtId="167" fontId="4" fillId="3" borderId="0" xfId="0" applyNumberFormat="1" applyFont="1" applyFill="1"/>
    <xf numFmtId="174" fontId="54" fillId="17" borderId="79" xfId="0" applyNumberFormat="1" applyFont="1" applyFill="1" applyBorder="1" applyAlignment="1">
      <alignment horizontal="center" vertical="center"/>
    </xf>
    <xf numFmtId="3" fontId="54" fillId="17" borderId="79" xfId="0" applyNumberFormat="1" applyFont="1" applyFill="1" applyBorder="1" applyAlignment="1">
      <alignment horizontal="center" vertical="center"/>
    </xf>
    <xf numFmtId="9" fontId="53" fillId="17" borderId="79" xfId="0" applyNumberFormat="1" applyFont="1" applyFill="1" applyBorder="1" applyAlignment="1">
      <alignment horizontal="center" vertical="center"/>
    </xf>
    <xf numFmtId="173" fontId="54" fillId="17" borderId="79" xfId="0" applyNumberFormat="1" applyFont="1" applyFill="1" applyBorder="1" applyAlignment="1">
      <alignment horizontal="center" vertical="center"/>
    </xf>
    <xf numFmtId="0" fontId="15" fillId="2" borderId="76" xfId="0" applyFont="1" applyFill="1" applyBorder="1" applyAlignment="1">
      <alignment vertical="center"/>
    </xf>
    <xf numFmtId="0" fontId="14" fillId="2" borderId="77" xfId="0" applyFont="1" applyFill="1" applyBorder="1" applyAlignment="1">
      <alignment vertical="center"/>
    </xf>
    <xf numFmtId="0" fontId="0" fillId="0" borderId="80" xfId="0" applyBorder="1"/>
    <xf numFmtId="49" fontId="31" fillId="17" borderId="0" xfId="7" applyNumberFormat="1" applyFill="1" applyAlignment="1">
      <alignment vertical="top" wrapText="1"/>
    </xf>
    <xf numFmtId="173" fontId="1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173" fontId="9" fillId="0" borderId="0" xfId="0" applyNumberFormat="1" applyFont="1" applyAlignment="1">
      <alignment horizontal="center" vertical="center"/>
    </xf>
    <xf numFmtId="0" fontId="19" fillId="0" borderId="0" xfId="0" applyFont="1" applyAlignment="1" applyProtection="1">
      <alignment horizontal="center" vertical="center"/>
      <protection locked="0"/>
    </xf>
    <xf numFmtId="173" fontId="41" fillId="0" borderId="0" xfId="0" applyNumberFormat="1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/>
      <protection locked="0"/>
    </xf>
    <xf numFmtId="0" fontId="19" fillId="0" borderId="71" xfId="0" applyFont="1" applyBorder="1" applyAlignment="1" applyProtection="1">
      <alignment horizontal="center" vertical="center" wrapText="1"/>
      <protection locked="0"/>
    </xf>
    <xf numFmtId="0" fontId="19" fillId="0" borderId="69" xfId="0" applyFont="1" applyBorder="1" applyAlignment="1" applyProtection="1">
      <alignment horizontal="center" vertical="center" wrapText="1"/>
      <protection locked="0"/>
    </xf>
    <xf numFmtId="173" fontId="33" fillId="0" borderId="0" xfId="0" applyNumberFormat="1" applyFont="1" applyAlignment="1" applyProtection="1">
      <alignment horizontal="center" vertical="center"/>
      <protection locked="0"/>
    </xf>
    <xf numFmtId="6" fontId="33" fillId="0" borderId="0" xfId="0" applyNumberFormat="1" applyFont="1" applyAlignment="1" applyProtection="1">
      <alignment horizontal="center" vertical="center"/>
      <protection locked="0"/>
    </xf>
    <xf numFmtId="3" fontId="4" fillId="2" borderId="15" xfId="0" applyNumberFormat="1" applyFont="1" applyFill="1" applyBorder="1" applyAlignment="1">
      <alignment horizontal="center" wrapText="1"/>
    </xf>
    <xf numFmtId="3" fontId="4" fillId="2" borderId="0" xfId="0" applyNumberFormat="1" applyFont="1" applyFill="1" applyAlignment="1">
      <alignment horizontal="right" wrapText="1"/>
    </xf>
    <xf numFmtId="173" fontId="41" fillId="13" borderId="2" xfId="0" applyNumberFormat="1" applyFont="1" applyFill="1" applyBorder="1" applyAlignment="1" applyProtection="1">
      <alignment horizontal="center" vertical="center"/>
      <protection locked="0"/>
    </xf>
    <xf numFmtId="6" fontId="41" fillId="13" borderId="2" xfId="0" applyNumberFormat="1" applyFont="1" applyFill="1" applyBorder="1" applyAlignment="1" applyProtection="1">
      <alignment horizontal="center" vertical="center"/>
      <protection locked="0"/>
    </xf>
    <xf numFmtId="6" fontId="41" fillId="0" borderId="2" xfId="0" applyNumberFormat="1" applyFont="1" applyBorder="1" applyAlignment="1" applyProtection="1">
      <alignment horizontal="center" vertical="center"/>
      <protection locked="0"/>
    </xf>
    <xf numFmtId="173" fontId="41" fillId="0" borderId="2" xfId="0" applyNumberFormat="1" applyFont="1" applyBorder="1" applyAlignment="1" applyProtection="1">
      <alignment horizontal="center" vertical="center"/>
      <protection locked="0"/>
    </xf>
    <xf numFmtId="173" fontId="41" fillId="0" borderId="19" xfId="0" applyNumberFormat="1" applyFont="1" applyBorder="1" applyAlignment="1" applyProtection="1">
      <alignment horizontal="center" vertical="center"/>
      <protection locked="0"/>
    </xf>
    <xf numFmtId="6" fontId="41" fillId="0" borderId="5" xfId="0" applyNumberFormat="1" applyFont="1" applyBorder="1" applyAlignment="1" applyProtection="1">
      <alignment horizontal="center" vertical="center"/>
      <protection locked="0"/>
    </xf>
    <xf numFmtId="173" fontId="41" fillId="0" borderId="59" xfId="0" applyNumberFormat="1" applyFont="1" applyBorder="1" applyAlignment="1" applyProtection="1">
      <alignment horizontal="center" vertical="center"/>
      <protection locked="0"/>
    </xf>
    <xf numFmtId="6" fontId="41" fillId="0" borderId="59" xfId="0" applyNumberFormat="1" applyFont="1" applyBorder="1" applyAlignment="1" applyProtection="1">
      <alignment horizontal="center" vertical="center"/>
      <protection locked="0"/>
    </xf>
    <xf numFmtId="173" fontId="50" fillId="19" borderId="2" xfId="0" applyNumberFormat="1" applyFont="1" applyFill="1" applyBorder="1" applyAlignment="1" applyProtection="1">
      <alignment horizontal="center" vertical="center"/>
      <protection locked="0"/>
    </xf>
    <xf numFmtId="6" fontId="50" fillId="19" borderId="2" xfId="0" applyNumberFormat="1" applyFont="1" applyFill="1" applyBorder="1" applyAlignment="1" applyProtection="1">
      <alignment horizontal="center" vertical="center"/>
      <protection locked="0"/>
    </xf>
    <xf numFmtId="173" fontId="50" fillId="16" borderId="2" xfId="0" applyNumberFormat="1" applyFont="1" applyFill="1" applyBorder="1" applyAlignment="1" applyProtection="1">
      <alignment horizontal="center" vertical="center"/>
      <protection locked="0"/>
    </xf>
    <xf numFmtId="6" fontId="50" fillId="16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176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0" xfId="0" applyFont="1" applyProtection="1">
      <protection locked="0"/>
    </xf>
    <xf numFmtId="0" fontId="0" fillId="0" borderId="0" xfId="0" applyProtection="1"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174" fontId="41" fillId="0" borderId="2" xfId="0" applyNumberFormat="1" applyFont="1" applyBorder="1" applyAlignment="1" applyProtection="1">
      <alignment horizontal="center" vertical="center"/>
      <protection locked="0"/>
    </xf>
    <xf numFmtId="0" fontId="41" fillId="0" borderId="2" xfId="0" applyFont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vertical="center"/>
      <protection locked="0"/>
    </xf>
    <xf numFmtId="176" fontId="41" fillId="0" borderId="0" xfId="0" applyNumberFormat="1" applyFont="1" applyAlignment="1" applyProtection="1">
      <alignment horizontal="center" vertical="top"/>
      <protection locked="0"/>
    </xf>
    <xf numFmtId="174" fontId="41" fillId="0" borderId="0" xfId="11" applyNumberFormat="1" applyFont="1" applyAlignment="1" applyProtection="1">
      <alignment horizontal="center" vertical="top"/>
      <protection locked="0"/>
    </xf>
    <xf numFmtId="3" fontId="41" fillId="0" borderId="0" xfId="0" applyNumberFormat="1" applyFont="1" applyAlignment="1" applyProtection="1">
      <alignment horizontal="center" vertical="center"/>
      <protection locked="0"/>
    </xf>
    <xf numFmtId="170" fontId="41" fillId="0" borderId="0" xfId="0" applyNumberFormat="1" applyFont="1" applyAlignment="1" applyProtection="1">
      <alignment horizontal="center"/>
      <protection locked="0"/>
    </xf>
    <xf numFmtId="0" fontId="33" fillId="0" borderId="71" xfId="0" applyFont="1" applyBorder="1" applyAlignment="1" applyProtection="1">
      <alignment horizontal="center" vertical="center"/>
      <protection locked="0"/>
    </xf>
    <xf numFmtId="174" fontId="19" fillId="0" borderId="71" xfId="11" applyNumberFormat="1" applyFont="1" applyFill="1" applyBorder="1" applyAlignment="1" applyProtection="1">
      <alignment horizontal="center" vertical="center" wrapText="1"/>
      <protection locked="0"/>
    </xf>
    <xf numFmtId="0" fontId="43" fillId="0" borderId="2" xfId="0" applyFont="1" applyBorder="1" applyAlignment="1" applyProtection="1">
      <alignment horizontal="left" vertical="center"/>
      <protection locked="0"/>
    </xf>
    <xf numFmtId="174" fontId="41" fillId="0" borderId="2" xfId="11" applyNumberFormat="1" applyFont="1" applyFill="1" applyBorder="1" applyAlignment="1" applyProtection="1">
      <alignment horizontal="center" vertical="center"/>
      <protection locked="0"/>
    </xf>
    <xf numFmtId="3" fontId="41" fillId="0" borderId="2" xfId="0" applyNumberFormat="1" applyFont="1" applyBorder="1" applyAlignment="1" applyProtection="1">
      <alignment horizontal="center" vertical="center"/>
      <protection locked="0"/>
    </xf>
    <xf numFmtId="170" fontId="41" fillId="0" borderId="2" xfId="0" applyNumberFormat="1" applyFont="1" applyBorder="1" applyAlignment="1" applyProtection="1">
      <alignment horizontal="center" vertical="center"/>
      <protection locked="0"/>
    </xf>
    <xf numFmtId="174" fontId="41" fillId="0" borderId="18" xfId="0" applyNumberFormat="1" applyFont="1" applyBorder="1" applyAlignment="1" applyProtection="1">
      <alignment horizontal="center" vertical="center"/>
      <protection locked="0"/>
    </xf>
    <xf numFmtId="170" fontId="41" fillId="0" borderId="18" xfId="0" applyNumberFormat="1" applyFont="1" applyBorder="1" applyAlignment="1" applyProtection="1">
      <alignment horizontal="center" vertical="center"/>
      <protection locked="0"/>
    </xf>
    <xf numFmtId="0" fontId="41" fillId="0" borderId="16" xfId="0" applyFont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/>
      <protection locked="0"/>
    </xf>
    <xf numFmtId="174" fontId="41" fillId="0" borderId="0" xfId="0" applyNumberFormat="1" applyFont="1" applyAlignment="1" applyProtection="1">
      <alignment horizontal="center"/>
      <protection locked="0"/>
    </xf>
    <xf numFmtId="174" fontId="41" fillId="0" borderId="0" xfId="11" applyNumberFormat="1" applyFont="1" applyFill="1" applyAlignment="1" applyProtection="1">
      <alignment horizontal="center"/>
      <protection locked="0"/>
    </xf>
    <xf numFmtId="3" fontId="41" fillId="0" borderId="0" xfId="0" applyNumberFormat="1" applyFont="1" applyAlignment="1" applyProtection="1">
      <alignment horizontal="center"/>
      <protection locked="0"/>
    </xf>
    <xf numFmtId="175" fontId="41" fillId="0" borderId="0" xfId="0" applyNumberFormat="1" applyFont="1" applyAlignment="1" applyProtection="1">
      <alignment horizontal="center"/>
      <protection locked="0"/>
    </xf>
    <xf numFmtId="0" fontId="43" fillId="0" borderId="19" xfId="0" applyFont="1" applyBorder="1" applyAlignment="1" applyProtection="1">
      <alignment horizontal="left" vertical="center" wrapText="1"/>
      <protection locked="0"/>
    </xf>
    <xf numFmtId="174" fontId="41" fillId="0" borderId="19" xfId="0" applyNumberFormat="1" applyFont="1" applyBorder="1" applyAlignment="1" applyProtection="1">
      <alignment horizontal="center" vertical="center"/>
      <protection locked="0"/>
    </xf>
    <xf numFmtId="174" fontId="41" fillId="0" borderId="41" xfId="11" applyNumberFormat="1" applyFont="1" applyFill="1" applyBorder="1" applyAlignment="1" applyProtection="1">
      <alignment horizontal="center" vertical="center"/>
      <protection locked="0"/>
    </xf>
    <xf numFmtId="3" fontId="41" fillId="0" borderId="19" xfId="0" applyNumberFormat="1" applyFont="1" applyBorder="1" applyAlignment="1" applyProtection="1">
      <alignment horizontal="center" vertical="center"/>
      <protection locked="0"/>
    </xf>
    <xf numFmtId="170" fontId="41" fillId="0" borderId="19" xfId="0" applyNumberFormat="1" applyFont="1" applyBorder="1" applyAlignment="1" applyProtection="1">
      <alignment horizontal="center" vertical="center"/>
      <protection locked="0"/>
    </xf>
    <xf numFmtId="0" fontId="41" fillId="0" borderId="19" xfId="0" applyFont="1" applyBorder="1" applyAlignment="1" applyProtection="1">
      <alignment horizontal="center" vertical="center"/>
      <protection locked="0"/>
    </xf>
    <xf numFmtId="0" fontId="43" fillId="0" borderId="16" xfId="0" applyFont="1" applyBorder="1" applyAlignment="1" applyProtection="1">
      <alignment horizontal="left" vertical="center" wrapText="1"/>
      <protection locked="0"/>
    </xf>
    <xf numFmtId="174" fontId="41" fillId="0" borderId="41" xfId="0" applyNumberFormat="1" applyFont="1" applyBorder="1" applyAlignment="1" applyProtection="1">
      <alignment horizontal="center" vertical="center"/>
      <protection locked="0"/>
    </xf>
    <xf numFmtId="3" fontId="41" fillId="0" borderId="41" xfId="0" applyNumberFormat="1" applyFont="1" applyBorder="1" applyAlignment="1" applyProtection="1">
      <alignment horizontal="center" vertical="center"/>
      <protection locked="0"/>
    </xf>
    <xf numFmtId="0" fontId="43" fillId="0" borderId="24" xfId="0" applyFont="1" applyBorder="1" applyAlignment="1" applyProtection="1">
      <alignment horizontal="left" vertical="center" wrapText="1"/>
      <protection locked="0"/>
    </xf>
    <xf numFmtId="174" fontId="41" fillId="0" borderId="64" xfId="0" applyNumberFormat="1" applyFont="1" applyBorder="1" applyAlignment="1" applyProtection="1">
      <alignment horizontal="center" vertical="center"/>
      <protection locked="0"/>
    </xf>
    <xf numFmtId="174" fontId="41" fillId="0" borderId="59" xfId="0" applyNumberFormat="1" applyFont="1" applyBorder="1" applyAlignment="1" applyProtection="1">
      <alignment horizontal="center" vertical="center"/>
      <protection locked="0"/>
    </xf>
    <xf numFmtId="3" fontId="41" fillId="0" borderId="59" xfId="0" applyNumberFormat="1" applyFont="1" applyBorder="1" applyAlignment="1" applyProtection="1">
      <alignment horizontal="center" vertical="center"/>
      <protection locked="0"/>
    </xf>
    <xf numFmtId="170" fontId="41" fillId="0" borderId="64" xfId="0" applyNumberFormat="1" applyFont="1" applyBorder="1" applyAlignment="1" applyProtection="1">
      <alignment horizontal="center" vertical="center"/>
      <protection locked="0"/>
    </xf>
    <xf numFmtId="0" fontId="41" fillId="0" borderId="24" xfId="0" applyFont="1" applyBorder="1" applyAlignment="1" applyProtection="1">
      <alignment horizontal="center" vertical="center"/>
      <protection locked="0"/>
    </xf>
    <xf numFmtId="0" fontId="40" fillId="0" borderId="24" xfId="0" applyFont="1" applyBorder="1" applyAlignment="1" applyProtection="1">
      <alignment horizontal="left" vertical="center" wrapText="1"/>
      <protection locked="0"/>
    </xf>
    <xf numFmtId="174" fontId="33" fillId="0" borderId="64" xfId="0" applyNumberFormat="1" applyFont="1" applyBorder="1" applyAlignment="1" applyProtection="1">
      <alignment horizontal="center" vertical="center"/>
      <protection locked="0"/>
    </xf>
    <xf numFmtId="174" fontId="33" fillId="0" borderId="59" xfId="0" applyNumberFormat="1" applyFont="1" applyBorder="1" applyAlignment="1" applyProtection="1">
      <alignment horizontal="center" vertical="center"/>
      <protection locked="0"/>
    </xf>
    <xf numFmtId="174" fontId="33" fillId="0" borderId="65" xfId="11" applyNumberFormat="1" applyFont="1" applyBorder="1" applyAlignment="1" applyProtection="1">
      <alignment horizontal="center" vertical="center"/>
      <protection locked="0"/>
    </xf>
    <xf numFmtId="3" fontId="33" fillId="0" borderId="59" xfId="0" applyNumberFormat="1" applyFont="1" applyBorder="1" applyAlignment="1" applyProtection="1">
      <alignment horizontal="center" vertical="center"/>
      <protection locked="0"/>
    </xf>
    <xf numFmtId="170" fontId="33" fillId="0" borderId="64" xfId="0" applyNumberFormat="1" applyFont="1" applyBorder="1" applyAlignment="1" applyProtection="1">
      <alignment horizontal="center" vertical="center"/>
      <protection locked="0"/>
    </xf>
    <xf numFmtId="0" fontId="33" fillId="0" borderId="24" xfId="0" applyFont="1" applyBorder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vertical="center"/>
      <protection locked="0"/>
    </xf>
    <xf numFmtId="174" fontId="41" fillId="0" borderId="0" xfId="11" applyNumberFormat="1" applyFont="1" applyBorder="1" applyAlignment="1" applyProtection="1">
      <alignment horizontal="center"/>
      <protection locked="0"/>
    </xf>
    <xf numFmtId="3" fontId="19" fillId="0" borderId="71" xfId="0" applyNumberFormat="1" applyFont="1" applyBorder="1" applyAlignment="1" applyProtection="1">
      <alignment horizontal="center" vertical="center" wrapText="1"/>
      <protection locked="0"/>
    </xf>
    <xf numFmtId="174" fontId="41" fillId="0" borderId="16" xfId="11" applyNumberFormat="1" applyFont="1" applyFill="1" applyBorder="1" applyAlignment="1" applyProtection="1">
      <alignment horizontal="center" vertical="center"/>
      <protection locked="0"/>
    </xf>
    <xf numFmtId="37" fontId="33" fillId="0" borderId="24" xfId="1" applyNumberFormat="1" applyFont="1" applyBorder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left" vertical="center" wrapText="1"/>
      <protection locked="0"/>
    </xf>
    <xf numFmtId="174" fontId="33" fillId="0" borderId="0" xfId="0" applyNumberFormat="1" applyFont="1" applyAlignment="1" applyProtection="1">
      <alignment horizontal="center" vertical="center"/>
      <protection locked="0"/>
    </xf>
    <xf numFmtId="174" fontId="33" fillId="0" borderId="0" xfId="11" applyNumberFormat="1" applyFont="1" applyBorder="1" applyAlignment="1" applyProtection="1">
      <alignment horizontal="center" vertical="center"/>
      <protection locked="0"/>
    </xf>
    <xf numFmtId="37" fontId="33" fillId="0" borderId="0" xfId="1" applyNumberFormat="1" applyFont="1" applyBorder="1" applyAlignment="1" applyProtection="1">
      <alignment horizontal="center" vertical="center"/>
      <protection locked="0"/>
    </xf>
    <xf numFmtId="170" fontId="33" fillId="0" borderId="0" xfId="0" applyNumberFormat="1" applyFont="1" applyAlignment="1" applyProtection="1">
      <alignment horizontal="center" vertical="center"/>
      <protection locked="0"/>
    </xf>
    <xf numFmtId="0" fontId="44" fillId="12" borderId="2" xfId="0" applyFont="1" applyFill="1" applyBorder="1" applyAlignment="1" applyProtection="1">
      <alignment horizontal="right" vertical="center" wrapText="1"/>
      <protection locked="0"/>
    </xf>
    <xf numFmtId="174" fontId="33" fillId="11" borderId="2" xfId="0" applyNumberFormat="1" applyFont="1" applyFill="1" applyBorder="1" applyAlignment="1" applyProtection="1">
      <alignment horizontal="center" vertical="center"/>
      <protection locked="0"/>
    </xf>
    <xf numFmtId="3" fontId="33" fillId="11" borderId="2" xfId="0" applyNumberFormat="1" applyFont="1" applyFill="1" applyBorder="1" applyAlignment="1" applyProtection="1">
      <alignment horizontal="center" vertical="center"/>
      <protection locked="0"/>
    </xf>
    <xf numFmtId="170" fontId="50" fillId="19" borderId="2" xfId="0" applyNumberFormat="1" applyFont="1" applyFill="1" applyBorder="1" applyAlignment="1" applyProtection="1">
      <alignment horizontal="center" vertical="center"/>
      <protection locked="0"/>
    </xf>
    <xf numFmtId="0" fontId="50" fillId="16" borderId="75" xfId="0" applyFont="1" applyFill="1" applyBorder="1" applyAlignment="1" applyProtection="1">
      <alignment horizontal="center" vertical="center"/>
      <protection locked="0"/>
    </xf>
    <xf numFmtId="174" fontId="33" fillId="13" borderId="2" xfId="0" applyNumberFormat="1" applyFont="1" applyFill="1" applyBorder="1" applyAlignment="1" applyProtection="1">
      <alignment horizontal="center" vertical="center"/>
      <protection locked="0"/>
    </xf>
    <xf numFmtId="3" fontId="33" fillId="13" borderId="2" xfId="0" applyNumberFormat="1" applyFont="1" applyFill="1" applyBorder="1" applyAlignment="1" applyProtection="1">
      <alignment horizontal="center" vertical="center"/>
      <protection locked="0"/>
    </xf>
    <xf numFmtId="170" fontId="50" fillId="16" borderId="2" xfId="0" applyNumberFormat="1" applyFont="1" applyFill="1" applyBorder="1" applyAlignment="1" applyProtection="1">
      <alignment horizontal="center" vertical="center"/>
      <protection locked="0"/>
    </xf>
    <xf numFmtId="0" fontId="43" fillId="13" borderId="2" xfId="0" applyFont="1" applyFill="1" applyBorder="1" applyAlignment="1">
      <alignment horizontal="left" vertical="center" wrapText="1"/>
    </xf>
    <xf numFmtId="174" fontId="41" fillId="13" borderId="2" xfId="11" applyNumberFormat="1" applyFont="1" applyFill="1" applyBorder="1" applyAlignment="1" applyProtection="1">
      <alignment horizontal="center" vertical="center"/>
    </xf>
    <xf numFmtId="0" fontId="22" fillId="0" borderId="0" xfId="0" applyFont="1" applyAlignment="1" applyProtection="1">
      <alignment horizontal="center"/>
      <protection locked="0"/>
    </xf>
    <xf numFmtId="9" fontId="41" fillId="13" borderId="2" xfId="0" applyNumberFormat="1" applyFont="1" applyFill="1" applyBorder="1" applyAlignment="1">
      <alignment horizontal="left" vertical="center" wrapText="1"/>
    </xf>
    <xf numFmtId="44" fontId="30" fillId="3" borderId="0" xfId="11" applyFont="1" applyFill="1" applyBorder="1"/>
    <xf numFmtId="0" fontId="43" fillId="11" borderId="2" xfId="0" applyFont="1" applyFill="1" applyBorder="1" applyAlignment="1">
      <alignment horizontal="left" vertical="center" wrapText="1"/>
    </xf>
    <xf numFmtId="174" fontId="41" fillId="11" borderId="2" xfId="11" applyNumberFormat="1" applyFont="1" applyFill="1" applyBorder="1" applyAlignment="1" applyProtection="1">
      <alignment horizontal="center" vertical="center"/>
    </xf>
    <xf numFmtId="173" fontId="41" fillId="11" borderId="2" xfId="0" applyNumberFormat="1" applyFont="1" applyFill="1" applyBorder="1" applyAlignment="1" applyProtection="1">
      <alignment horizontal="center" vertical="center"/>
      <protection locked="0"/>
    </xf>
    <xf numFmtId="6" fontId="41" fillId="11" borderId="2" xfId="0" applyNumberFormat="1" applyFont="1" applyFill="1" applyBorder="1" applyAlignment="1" applyProtection="1">
      <alignment horizontal="center" vertical="center"/>
      <protection locked="0"/>
    </xf>
    <xf numFmtId="0" fontId="41" fillId="11" borderId="0" xfId="0" applyFont="1" applyFill="1" applyAlignment="1">
      <alignment horizontal="center"/>
    </xf>
    <xf numFmtId="0" fontId="41" fillId="13" borderId="2" xfId="0" applyFont="1" applyFill="1" applyBorder="1" applyAlignment="1">
      <alignment horizontal="center"/>
    </xf>
    <xf numFmtId="0" fontId="41" fillId="11" borderId="2" xfId="0" applyFont="1" applyFill="1" applyBorder="1" applyAlignment="1">
      <alignment horizontal="center"/>
    </xf>
    <xf numFmtId="174" fontId="41" fillId="0" borderId="2" xfId="11" applyNumberFormat="1" applyFont="1" applyBorder="1" applyAlignment="1" applyProtection="1">
      <alignment horizontal="center" vertical="center"/>
      <protection locked="0"/>
    </xf>
    <xf numFmtId="0" fontId="58" fillId="0" borderId="0" xfId="7" applyFont="1"/>
    <xf numFmtId="49" fontId="59" fillId="6" borderId="70" xfId="7" applyNumberFormat="1" applyFont="1" applyFill="1" applyBorder="1" applyAlignment="1">
      <alignment horizontal="center"/>
    </xf>
    <xf numFmtId="49" fontId="59" fillId="6" borderId="70" xfId="7" applyNumberFormat="1" applyFont="1" applyFill="1" applyBorder="1" applyAlignment="1">
      <alignment horizontal="left" wrapText="1"/>
    </xf>
    <xf numFmtId="0" fontId="59" fillId="6" borderId="70" xfId="7" applyFont="1" applyFill="1" applyBorder="1" applyAlignment="1">
      <alignment horizontal="center" wrapText="1"/>
    </xf>
    <xf numFmtId="49" fontId="59" fillId="6" borderId="70" xfId="7" applyNumberFormat="1" applyFont="1" applyFill="1" applyBorder="1" applyAlignment="1">
      <alignment horizontal="center" wrapText="1"/>
    </xf>
    <xf numFmtId="3" fontId="59" fillId="7" borderId="70" xfId="7" applyNumberFormat="1" applyFont="1" applyFill="1" applyBorder="1" applyAlignment="1">
      <alignment horizontal="center" wrapText="1"/>
    </xf>
    <xf numFmtId="173" fontId="59" fillId="7" borderId="70" xfId="7" applyNumberFormat="1" applyFont="1" applyFill="1" applyBorder="1" applyAlignment="1">
      <alignment horizontal="center" wrapText="1"/>
    </xf>
    <xf numFmtId="0" fontId="59" fillId="6" borderId="70" xfId="7" applyFont="1" applyFill="1" applyBorder="1" applyAlignment="1">
      <alignment horizontal="center"/>
    </xf>
    <xf numFmtId="0" fontId="58" fillId="0" borderId="0" xfId="7" applyFont="1" applyAlignment="1">
      <alignment horizontal="center"/>
    </xf>
    <xf numFmtId="0" fontId="58" fillId="0" borderId="0" xfId="7" applyFont="1" applyAlignment="1">
      <alignment vertical="top"/>
    </xf>
    <xf numFmtId="49" fontId="61" fillId="0" borderId="0" xfId="7" applyNumberFormat="1" applyFont="1" applyAlignment="1">
      <alignment vertical="top" wrapText="1"/>
    </xf>
    <xf numFmtId="49" fontId="61" fillId="0" borderId="0" xfId="7" applyNumberFormat="1" applyFont="1" applyAlignment="1">
      <alignment horizontal="center" vertical="center" wrapText="1"/>
    </xf>
    <xf numFmtId="3" fontId="58" fillId="0" borderId="0" xfId="7" applyNumberFormat="1" applyFont="1" applyAlignment="1">
      <alignment horizontal="center" vertical="center"/>
    </xf>
    <xf numFmtId="173" fontId="58" fillId="0" borderId="0" xfId="7" applyNumberFormat="1" applyFont="1" applyAlignment="1">
      <alignment horizontal="center" vertical="center"/>
    </xf>
    <xf numFmtId="0" fontId="58" fillId="0" borderId="0" xfId="7" applyFont="1" applyAlignment="1">
      <alignment horizontal="center" vertical="center"/>
    </xf>
    <xf numFmtId="0" fontId="62" fillId="2" borderId="0" xfId="0" applyFont="1" applyFill="1"/>
    <xf numFmtId="0" fontId="63" fillId="2" borderId="13" xfId="0" applyFont="1" applyFill="1" applyBorder="1" applyAlignment="1">
      <alignment horizontal="right"/>
    </xf>
    <xf numFmtId="0" fontId="58" fillId="0" borderId="2" xfId="7" applyFont="1" applyBorder="1" applyAlignment="1">
      <alignment vertical="top"/>
    </xf>
    <xf numFmtId="10" fontId="58" fillId="9" borderId="2" xfId="10" applyNumberFormat="1" applyFont="1" applyFill="1" applyBorder="1" applyAlignment="1">
      <alignment horizontal="center" vertical="center"/>
    </xf>
    <xf numFmtId="0" fontId="55" fillId="2" borderId="0" xfId="0" applyFont="1" applyFill="1"/>
    <xf numFmtId="0" fontId="65" fillId="3" borderId="0" xfId="0" applyFont="1" applyFill="1" applyAlignment="1">
      <alignment horizontal="right"/>
    </xf>
    <xf numFmtId="165" fontId="62" fillId="10" borderId="0" xfId="0" applyNumberFormat="1" applyFont="1" applyFill="1"/>
    <xf numFmtId="164" fontId="66" fillId="3" borderId="0" xfId="0" applyNumberFormat="1" applyFont="1" applyFill="1"/>
    <xf numFmtId="0" fontId="66" fillId="3" borderId="0" xfId="0" applyFont="1" applyFill="1"/>
    <xf numFmtId="165" fontId="62" fillId="10" borderId="0" xfId="0" applyNumberFormat="1" applyFont="1" applyFill="1" applyProtection="1">
      <protection locked="0"/>
    </xf>
    <xf numFmtId="3" fontId="61" fillId="0" borderId="11" xfId="0" applyNumberFormat="1" applyFont="1" applyBorder="1" applyAlignment="1">
      <alignment horizontal="center" vertical="center"/>
    </xf>
    <xf numFmtId="3" fontId="65" fillId="2" borderId="15" xfId="0" applyNumberFormat="1" applyFont="1" applyFill="1" applyBorder="1" applyAlignment="1">
      <alignment vertical="center" wrapText="1"/>
    </xf>
    <xf numFmtId="0" fontId="63" fillId="2" borderId="0" xfId="0" applyFont="1" applyFill="1"/>
    <xf numFmtId="0" fontId="66" fillId="3" borderId="0" xfId="0" applyFont="1" applyFill="1" applyAlignment="1">
      <alignment horizontal="right"/>
    </xf>
    <xf numFmtId="166" fontId="62" fillId="10" borderId="0" xfId="0" applyNumberFormat="1" applyFont="1" applyFill="1" applyAlignment="1" applyProtection="1">
      <alignment horizontal="right"/>
      <protection locked="0"/>
    </xf>
    <xf numFmtId="166" fontId="62" fillId="10" borderId="0" xfId="0" applyNumberFormat="1" applyFont="1" applyFill="1" applyAlignment="1">
      <alignment horizontal="right"/>
    </xf>
    <xf numFmtId="167" fontId="65" fillId="3" borderId="0" xfId="0" applyNumberFormat="1" applyFont="1" applyFill="1"/>
    <xf numFmtId="167" fontId="65" fillId="3" borderId="15" xfId="0" applyNumberFormat="1" applyFont="1" applyFill="1" applyBorder="1"/>
    <xf numFmtId="0" fontId="63" fillId="2" borderId="16" xfId="0" applyFont="1" applyFill="1" applyBorder="1"/>
    <xf numFmtId="0" fontId="66" fillId="3" borderId="16" xfId="0" applyFont="1" applyFill="1" applyBorder="1" applyAlignment="1">
      <alignment horizontal="right"/>
    </xf>
    <xf numFmtId="168" fontId="66" fillId="3" borderId="16" xfId="0" applyNumberFormat="1" applyFont="1" applyFill="1" applyBorder="1"/>
    <xf numFmtId="164" fontId="66" fillId="3" borderId="16" xfId="0" applyNumberFormat="1" applyFont="1" applyFill="1" applyBorder="1"/>
    <xf numFmtId="0" fontId="66" fillId="3" borderId="16" xfId="0" applyFont="1" applyFill="1" applyBorder="1"/>
    <xf numFmtId="3" fontId="66" fillId="3" borderId="16" xfId="0" applyNumberFormat="1" applyFont="1" applyFill="1" applyBorder="1"/>
    <xf numFmtId="169" fontId="66" fillId="3" borderId="17" xfId="0" applyNumberFormat="1" applyFont="1" applyFill="1" applyBorder="1"/>
    <xf numFmtId="0" fontId="67" fillId="0" borderId="0" xfId="7" applyFont="1" applyAlignment="1">
      <alignment wrapText="1"/>
    </xf>
    <xf numFmtId="0" fontId="58" fillId="20" borderId="20" xfId="7" applyFont="1" applyFill="1" applyBorder="1" applyAlignment="1">
      <alignment wrapText="1"/>
    </xf>
    <xf numFmtId="9" fontId="58" fillId="0" borderId="0" xfId="10" applyFont="1"/>
    <xf numFmtId="0" fontId="61" fillId="0" borderId="0" xfId="7" applyFont="1"/>
    <xf numFmtId="49" fontId="58" fillId="0" borderId="0" xfId="7" applyNumberFormat="1" applyFont="1" applyAlignment="1">
      <alignment vertical="top" wrapText="1"/>
    </xf>
    <xf numFmtId="49" fontId="61" fillId="0" borderId="0" xfId="7" applyNumberFormat="1" applyFont="1" applyAlignment="1">
      <alignment horizontal="center" vertical="top" wrapText="1"/>
    </xf>
    <xf numFmtId="173" fontId="68" fillId="0" borderId="0" xfId="7" applyNumberFormat="1" applyFont="1" applyAlignment="1">
      <alignment horizontal="center"/>
    </xf>
    <xf numFmtId="0" fontId="68" fillId="0" borderId="0" xfId="7" applyFont="1" applyAlignment="1">
      <alignment horizontal="center"/>
    </xf>
    <xf numFmtId="3" fontId="68" fillId="0" borderId="0" xfId="7" applyNumberFormat="1" applyFont="1" applyAlignment="1">
      <alignment horizontal="right" vertical="top"/>
    </xf>
    <xf numFmtId="173" fontId="68" fillId="0" borderId="0" xfId="7" applyNumberFormat="1" applyFont="1" applyAlignment="1">
      <alignment horizontal="center" vertical="center"/>
    </xf>
    <xf numFmtId="176" fontId="68" fillId="0" borderId="0" xfId="7" applyNumberFormat="1" applyFont="1" applyAlignment="1">
      <alignment horizontal="center" vertical="center"/>
    </xf>
    <xf numFmtId="176" fontId="68" fillId="0" borderId="0" xfId="10" applyNumberFormat="1" applyFont="1" applyAlignment="1">
      <alignment horizontal="center" vertical="center"/>
    </xf>
    <xf numFmtId="0" fontId="68" fillId="0" borderId="0" xfId="7" applyFont="1" applyAlignment="1">
      <alignment horizontal="center" vertical="center"/>
    </xf>
    <xf numFmtId="3" fontId="58" fillId="0" borderId="0" xfId="7" applyNumberFormat="1" applyFont="1" applyAlignment="1">
      <alignment horizontal="right" vertical="top"/>
    </xf>
    <xf numFmtId="173" fontId="58" fillId="0" borderId="0" xfId="7" applyNumberFormat="1" applyFont="1" applyAlignment="1">
      <alignment horizontal="center" vertical="top"/>
    </xf>
    <xf numFmtId="0" fontId="58" fillId="0" borderId="0" xfId="0" applyFont="1"/>
    <xf numFmtId="0" fontId="70" fillId="0" borderId="0" xfId="12" applyFont="1" applyBorder="1"/>
    <xf numFmtId="173" fontId="58" fillId="0" borderId="0" xfId="10" applyNumberFormat="1" applyFont="1" applyBorder="1"/>
    <xf numFmtId="0" fontId="58" fillId="0" borderId="14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58" fillId="0" borderId="15" xfId="0" applyFont="1" applyBorder="1" applyAlignment="1">
      <alignment horizontal="center"/>
    </xf>
    <xf numFmtId="0" fontId="58" fillId="0" borderId="16" xfId="0" applyFont="1" applyBorder="1" applyAlignment="1">
      <alignment horizontal="center"/>
    </xf>
    <xf numFmtId="0" fontId="58" fillId="0" borderId="17" xfId="0" applyFont="1" applyBorder="1" applyAlignment="1">
      <alignment horizontal="center"/>
    </xf>
    <xf numFmtId="0" fontId="72" fillId="12" borderId="70" xfId="0" applyFont="1" applyFill="1" applyBorder="1" applyAlignment="1">
      <alignment horizontal="right"/>
    </xf>
    <xf numFmtId="0" fontId="73" fillId="0" borderId="0" xfId="0" applyFont="1" applyAlignment="1">
      <alignment vertical="center"/>
    </xf>
    <xf numFmtId="0" fontId="74" fillId="13" borderId="70" xfId="0" applyFont="1" applyFill="1" applyBorder="1" applyAlignment="1">
      <alignment horizontal="right"/>
    </xf>
    <xf numFmtId="3" fontId="74" fillId="13" borderId="70" xfId="0" applyNumberFormat="1" applyFont="1" applyFill="1" applyBorder="1" applyAlignment="1">
      <alignment horizontal="right" vertical="center"/>
    </xf>
    <xf numFmtId="0" fontId="74" fillId="11" borderId="70" xfId="0" applyFont="1" applyFill="1" applyBorder="1" applyAlignment="1">
      <alignment horizontal="right"/>
    </xf>
    <xf numFmtId="174" fontId="74" fillId="11" borderId="70" xfId="0" applyNumberFormat="1" applyFont="1" applyFill="1" applyBorder="1" applyAlignment="1">
      <alignment horizontal="right" vertical="center"/>
    </xf>
    <xf numFmtId="44" fontId="74" fillId="13" borderId="70" xfId="11" applyFont="1" applyFill="1" applyBorder="1" applyAlignment="1">
      <alignment horizontal="right" vertical="center"/>
    </xf>
    <xf numFmtId="174" fontId="74" fillId="13" borderId="70" xfId="0" applyNumberFormat="1" applyFont="1" applyFill="1" applyBorder="1" applyAlignment="1">
      <alignment horizontal="right" vertical="top"/>
    </xf>
    <xf numFmtId="176" fontId="74" fillId="13" borderId="70" xfId="0" applyNumberFormat="1" applyFont="1" applyFill="1" applyBorder="1" applyAlignment="1">
      <alignment horizontal="right" vertical="top"/>
    </xf>
    <xf numFmtId="174" fontId="74" fillId="0" borderId="0" xfId="0" applyNumberFormat="1" applyFont="1" applyAlignment="1">
      <alignment horizontal="right" vertical="top"/>
    </xf>
    <xf numFmtId="176" fontId="74" fillId="0" borderId="0" xfId="0" applyNumberFormat="1" applyFont="1" applyAlignment="1">
      <alignment horizontal="right" vertical="top"/>
    </xf>
    <xf numFmtId="174" fontId="74" fillId="0" borderId="0" xfId="0" applyNumberFormat="1" applyFont="1" applyAlignment="1">
      <alignment horizontal="left" vertical="top"/>
    </xf>
    <xf numFmtId="176" fontId="74" fillId="0" borderId="0" xfId="11" applyNumberFormat="1" applyFont="1" applyFill="1" applyBorder="1" applyAlignment="1">
      <alignment horizontal="right" vertical="top"/>
    </xf>
    <xf numFmtId="176" fontId="58" fillId="0" borderId="0" xfId="11" applyNumberFormat="1" applyFont="1" applyBorder="1" applyAlignment="1">
      <alignment horizontal="right"/>
    </xf>
    <xf numFmtId="0" fontId="58" fillId="0" borderId="0" xfId="0" applyFont="1" applyAlignment="1">
      <alignment horizontal="left"/>
    </xf>
    <xf numFmtId="174" fontId="74" fillId="0" borderId="0" xfId="0" applyNumberFormat="1" applyFont="1" applyAlignment="1">
      <alignment horizontal="right"/>
    </xf>
    <xf numFmtId="0" fontId="75" fillId="0" borderId="0" xfId="0" applyFont="1"/>
    <xf numFmtId="0" fontId="74" fillId="0" borderId="0" xfId="0" applyFont="1" applyAlignment="1">
      <alignment horizontal="left" vertical="top"/>
    </xf>
    <xf numFmtId="0" fontId="76" fillId="0" borderId="0" xfId="0" applyFont="1" applyAlignment="1">
      <alignment vertical="center"/>
    </xf>
    <xf numFmtId="0" fontId="77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 wrapText="1"/>
    </xf>
    <xf numFmtId="0" fontId="61" fillId="0" borderId="0" xfId="0" applyFont="1" applyAlignment="1" applyProtection="1">
      <alignment horizontal="center" vertical="center"/>
      <protection locked="0"/>
    </xf>
    <xf numFmtId="0" fontId="78" fillId="0" borderId="2" xfId="0" applyFont="1" applyBorder="1" applyAlignment="1">
      <alignment horizontal="center" vertical="center"/>
    </xf>
    <xf numFmtId="0" fontId="58" fillId="20" borderId="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1" fillId="0" borderId="0" xfId="0" applyFont="1" applyAlignment="1">
      <alignment horizontal="left" vertical="center"/>
    </xf>
    <xf numFmtId="174" fontId="61" fillId="0" borderId="0" xfId="0" applyNumberFormat="1" applyFont="1" applyAlignment="1">
      <alignment horizontal="center" vertical="center"/>
    </xf>
    <xf numFmtId="3" fontId="61" fillId="0" borderId="0" xfId="0" applyNumberFormat="1" applyFont="1" applyAlignment="1">
      <alignment horizontal="center" vertical="center"/>
    </xf>
    <xf numFmtId="170" fontId="61" fillId="0" borderId="0" xfId="0" applyNumberFormat="1" applyFont="1" applyAlignment="1">
      <alignment horizontal="center" vertical="center"/>
    </xf>
    <xf numFmtId="173" fontId="61" fillId="0" borderId="0" xfId="0" applyNumberFormat="1" applyFont="1" applyAlignment="1" applyProtection="1">
      <alignment horizontal="center" vertical="center"/>
      <protection locked="0"/>
    </xf>
    <xf numFmtId="6" fontId="61" fillId="0" borderId="0" xfId="0" applyNumberFormat="1" applyFont="1" applyAlignment="1" applyProtection="1">
      <alignment horizontal="center" vertical="center"/>
      <protection locked="0"/>
    </xf>
    <xf numFmtId="9" fontId="61" fillId="0" borderId="0" xfId="10" applyFont="1" applyAlignment="1">
      <alignment horizontal="center" vertical="center"/>
    </xf>
    <xf numFmtId="176" fontId="78" fillId="0" borderId="2" xfId="0" applyNumberFormat="1" applyFont="1" applyBorder="1" applyAlignment="1">
      <alignment horizontal="center" vertical="center"/>
    </xf>
    <xf numFmtId="176" fontId="58" fillId="0" borderId="2" xfId="0" applyNumberFormat="1" applyFont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61" fillId="0" borderId="0" xfId="0" applyFont="1" applyAlignment="1" applyProtection="1">
      <alignment horizontal="center" vertical="center" wrapText="1"/>
      <protection locked="0"/>
    </xf>
    <xf numFmtId="0" fontId="61" fillId="12" borderId="0" xfId="0" applyFont="1" applyFill="1" applyAlignment="1">
      <alignment horizontal="center" vertical="center" wrapText="1"/>
    </xf>
    <xf numFmtId="49" fontId="61" fillId="0" borderId="0" xfId="0" applyNumberFormat="1" applyFont="1" applyAlignment="1">
      <alignment horizontal="left" vertical="center"/>
    </xf>
    <xf numFmtId="9" fontId="61" fillId="0" borderId="0" xfId="10" applyFont="1" applyFill="1" applyAlignment="1">
      <alignment horizontal="center" vertical="center"/>
    </xf>
    <xf numFmtId="9" fontId="61" fillId="0" borderId="0" xfId="10" applyFont="1" applyFill="1" applyBorder="1" applyAlignment="1">
      <alignment horizontal="center" vertical="center"/>
    </xf>
    <xf numFmtId="0" fontId="79" fillId="0" borderId="0" xfId="0" applyFont="1" applyAlignment="1">
      <alignment horizontal="center"/>
    </xf>
    <xf numFmtId="0" fontId="79" fillId="0" borderId="0" xfId="0" applyFont="1" applyAlignment="1">
      <alignment horizontal="right" vertical="center"/>
    </xf>
    <xf numFmtId="174" fontId="61" fillId="0" borderId="0" xfId="0" applyNumberFormat="1" applyFont="1" applyAlignment="1">
      <alignment horizontal="center"/>
    </xf>
    <xf numFmtId="3" fontId="61" fillId="0" borderId="0" xfId="0" applyNumberFormat="1" applyFont="1" applyAlignment="1">
      <alignment horizontal="center"/>
    </xf>
    <xf numFmtId="175" fontId="61" fillId="0" borderId="0" xfId="0" applyNumberFormat="1" applyFont="1" applyAlignment="1">
      <alignment horizontal="center"/>
    </xf>
    <xf numFmtId="0" fontId="58" fillId="0" borderId="0" xfId="0" applyFont="1" applyAlignment="1" applyProtection="1">
      <alignment horizontal="center"/>
      <protection locked="0"/>
    </xf>
    <xf numFmtId="0" fontId="78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0" borderId="70" xfId="0" applyFont="1" applyBorder="1" applyAlignment="1">
      <alignment horizontal="center" vertical="center"/>
    </xf>
    <xf numFmtId="0" fontId="79" fillId="0" borderId="70" xfId="0" applyFont="1" applyBorder="1" applyAlignment="1">
      <alignment horizontal="left" vertical="center" wrapText="1"/>
    </xf>
    <xf numFmtId="174" fontId="61" fillId="0" borderId="70" xfId="0" applyNumberFormat="1" applyFont="1" applyBorder="1" applyAlignment="1">
      <alignment horizontal="center" vertical="center"/>
    </xf>
    <xf numFmtId="3" fontId="61" fillId="0" borderId="70" xfId="0" applyNumberFormat="1" applyFont="1" applyBorder="1" applyAlignment="1">
      <alignment horizontal="center" vertical="center"/>
    </xf>
    <xf numFmtId="170" fontId="61" fillId="0" borderId="70" xfId="0" applyNumberFormat="1" applyFont="1" applyBorder="1" applyAlignment="1">
      <alignment horizontal="center" vertical="center"/>
    </xf>
    <xf numFmtId="173" fontId="61" fillId="0" borderId="70" xfId="0" applyNumberFormat="1" applyFont="1" applyBorder="1" applyAlignment="1" applyProtection="1">
      <alignment horizontal="center" vertical="center"/>
      <protection locked="0"/>
    </xf>
    <xf numFmtId="6" fontId="61" fillId="0" borderId="70" xfId="0" applyNumberFormat="1" applyFont="1" applyBorder="1" applyAlignment="1" applyProtection="1">
      <alignment horizontal="center" vertical="center"/>
      <protection locked="0"/>
    </xf>
    <xf numFmtId="9" fontId="61" fillId="0" borderId="70" xfId="0" applyNumberFormat="1" applyFont="1" applyBorder="1" applyAlignment="1">
      <alignment horizontal="center" vertical="center"/>
    </xf>
    <xf numFmtId="0" fontId="80" fillId="0" borderId="0" xfId="0" applyFont="1" applyAlignment="1">
      <alignment horizontal="center"/>
    </xf>
    <xf numFmtId="0" fontId="80" fillId="0" borderId="0" xfId="0" applyFont="1" applyAlignment="1">
      <alignment vertical="center"/>
    </xf>
    <xf numFmtId="0" fontId="58" fillId="0" borderId="2" xfId="0" applyFont="1" applyBorder="1" applyAlignment="1">
      <alignment horizontal="center" vertical="center"/>
    </xf>
    <xf numFmtId="3" fontId="61" fillId="0" borderId="0" xfId="0" applyNumberFormat="1" applyFont="1" applyAlignment="1">
      <alignment horizontal="center" vertical="center" wrapText="1"/>
    </xf>
    <xf numFmtId="6" fontId="58" fillId="0" borderId="0" xfId="0" applyNumberFormat="1" applyFont="1" applyAlignment="1">
      <alignment horizontal="center"/>
    </xf>
    <xf numFmtId="0" fontId="61" fillId="0" borderId="0" xfId="0" applyFont="1" applyAlignment="1">
      <alignment vertical="center"/>
    </xf>
    <xf numFmtId="0" fontId="81" fillId="0" borderId="0" xfId="0" applyFont="1"/>
    <xf numFmtId="0" fontId="58" fillId="0" borderId="78" xfId="0" applyFont="1" applyBorder="1"/>
    <xf numFmtId="0" fontId="82" fillId="0" borderId="0" xfId="0" applyFont="1" applyAlignment="1">
      <alignment horizontal="center"/>
    </xf>
    <xf numFmtId="49" fontId="84" fillId="0" borderId="0" xfId="0" applyNumberFormat="1" applyFont="1" applyAlignment="1">
      <alignment horizontal="left" vertical="center"/>
    </xf>
    <xf numFmtId="0" fontId="58" fillId="0" borderId="72" xfId="0" applyFont="1" applyBorder="1" applyAlignment="1">
      <alignment horizontal="center"/>
    </xf>
    <xf numFmtId="0" fontId="62" fillId="0" borderId="0" xfId="0" applyFont="1" applyAlignment="1">
      <alignment vertical="center"/>
    </xf>
    <xf numFmtId="0" fontId="85" fillId="0" borderId="0" xfId="0" applyFont="1" applyAlignment="1">
      <alignment horizontal="center" vertical="center" wrapText="1"/>
    </xf>
    <xf numFmtId="0" fontId="78" fillId="0" borderId="79" xfId="0" applyFont="1" applyBorder="1"/>
    <xf numFmtId="0" fontId="58" fillId="20" borderId="79" xfId="0" applyFont="1" applyFill="1" applyBorder="1" applyAlignment="1">
      <alignment horizontal="center" vertical="center"/>
    </xf>
    <xf numFmtId="0" fontId="85" fillId="13" borderId="79" xfId="0" applyFont="1" applyFill="1" applyBorder="1" applyAlignment="1">
      <alignment horizontal="center" vertical="center"/>
    </xf>
    <xf numFmtId="49" fontId="69" fillId="13" borderId="79" xfId="0" applyNumberFormat="1" applyFont="1" applyFill="1" applyBorder="1" applyAlignment="1">
      <alignment horizontal="left" vertical="center" wrapText="1"/>
    </xf>
    <xf numFmtId="174" fontId="69" fillId="13" borderId="79" xfId="0" applyNumberFormat="1" applyFont="1" applyFill="1" applyBorder="1" applyAlignment="1">
      <alignment horizontal="center" vertical="center"/>
    </xf>
    <xf numFmtId="174" fontId="69" fillId="15" borderId="79" xfId="11" applyNumberFormat="1" applyFont="1" applyFill="1" applyBorder="1" applyAlignment="1">
      <alignment horizontal="center" vertical="center"/>
    </xf>
    <xf numFmtId="3" fontId="69" fillId="13" borderId="79" xfId="0" applyNumberFormat="1" applyFont="1" applyFill="1" applyBorder="1" applyAlignment="1">
      <alignment horizontal="center" vertical="center"/>
    </xf>
    <xf numFmtId="170" fontId="69" fillId="13" borderId="79" xfId="0" applyNumberFormat="1" applyFont="1" applyFill="1" applyBorder="1" applyAlignment="1">
      <alignment horizontal="center" vertical="center"/>
    </xf>
    <xf numFmtId="0" fontId="69" fillId="13" borderId="79" xfId="0" applyFont="1" applyFill="1" applyBorder="1" applyAlignment="1">
      <alignment horizontal="center" vertical="center"/>
    </xf>
    <xf numFmtId="173" fontId="69" fillId="13" borderId="79" xfId="0" applyNumberFormat="1" applyFont="1" applyFill="1" applyBorder="1" applyAlignment="1" applyProtection="1">
      <alignment horizontal="center" vertical="center"/>
      <protection locked="0"/>
    </xf>
    <xf numFmtId="6" fontId="69" fillId="13" borderId="79" xfId="0" applyNumberFormat="1" applyFont="1" applyFill="1" applyBorder="1" applyAlignment="1" applyProtection="1">
      <alignment horizontal="center" vertical="center"/>
      <protection locked="0"/>
    </xf>
    <xf numFmtId="9" fontId="69" fillId="13" borderId="79" xfId="10" applyFont="1" applyFill="1" applyBorder="1" applyAlignment="1">
      <alignment horizontal="center" vertical="center"/>
    </xf>
    <xf numFmtId="176" fontId="78" fillId="0" borderId="79" xfId="0" applyNumberFormat="1" applyFont="1" applyBorder="1" applyAlignment="1">
      <alignment horizontal="center" vertical="center"/>
    </xf>
    <xf numFmtId="176" fontId="58" fillId="0" borderId="79" xfId="0" applyNumberFormat="1" applyFont="1" applyBorder="1" applyAlignment="1">
      <alignment horizontal="center" vertical="center"/>
    </xf>
    <xf numFmtId="0" fontId="85" fillId="11" borderId="79" xfId="0" applyFont="1" applyFill="1" applyBorder="1" applyAlignment="1">
      <alignment horizontal="center" vertical="center" wrapText="1"/>
    </xf>
    <xf numFmtId="0" fontId="69" fillId="11" borderId="79" xfId="0" applyFont="1" applyFill="1" applyBorder="1" applyAlignment="1">
      <alignment horizontal="left" vertical="center" wrapText="1"/>
    </xf>
    <xf numFmtId="174" fontId="69" fillId="11" borderId="79" xfId="0" applyNumberFormat="1" applyFont="1" applyFill="1" applyBorder="1" applyAlignment="1">
      <alignment horizontal="center" vertical="center"/>
    </xf>
    <xf numFmtId="174" fontId="69" fillId="14" borderId="79" xfId="11" applyNumberFormat="1" applyFont="1" applyFill="1" applyBorder="1" applyAlignment="1">
      <alignment horizontal="center" vertical="center"/>
    </xf>
    <xf numFmtId="3" fontId="69" fillId="11" borderId="79" xfId="0" applyNumberFormat="1" applyFont="1" applyFill="1" applyBorder="1" applyAlignment="1">
      <alignment horizontal="center" vertical="center"/>
    </xf>
    <xf numFmtId="170" fontId="69" fillId="11" borderId="79" xfId="0" applyNumberFormat="1" applyFont="1" applyFill="1" applyBorder="1" applyAlignment="1">
      <alignment horizontal="center" vertical="center"/>
    </xf>
    <xf numFmtId="0" fontId="69" fillId="11" borderId="79" xfId="0" applyFont="1" applyFill="1" applyBorder="1" applyAlignment="1">
      <alignment horizontal="center" vertical="center"/>
    </xf>
    <xf numFmtId="173" fontId="69" fillId="11" borderId="79" xfId="0" applyNumberFormat="1" applyFont="1" applyFill="1" applyBorder="1" applyAlignment="1" applyProtection="1">
      <alignment horizontal="center" vertical="center"/>
      <protection locked="0"/>
    </xf>
    <xf numFmtId="6" fontId="69" fillId="11" borderId="79" xfId="0" applyNumberFormat="1" applyFont="1" applyFill="1" applyBorder="1" applyAlignment="1" applyProtection="1">
      <alignment horizontal="center" vertical="center"/>
      <protection locked="0"/>
    </xf>
    <xf numFmtId="0" fontId="69" fillId="0" borderId="79" xfId="0" applyFont="1" applyBorder="1" applyAlignment="1">
      <alignment horizontal="center" vertical="center"/>
    </xf>
    <xf numFmtId="9" fontId="69" fillId="0" borderId="79" xfId="10" applyFont="1" applyFill="1" applyBorder="1" applyAlignment="1">
      <alignment horizontal="center" vertical="center"/>
    </xf>
    <xf numFmtId="0" fontId="69" fillId="13" borderId="79" xfId="0" applyFont="1" applyFill="1" applyBorder="1" applyAlignment="1">
      <alignment horizontal="left" vertical="center" wrapText="1"/>
    </xf>
    <xf numFmtId="174" fontId="69" fillId="0" borderId="79" xfId="0" applyNumberFormat="1" applyFont="1" applyBorder="1" applyAlignment="1">
      <alignment horizontal="center" vertical="center"/>
    </xf>
    <xf numFmtId="170" fontId="69" fillId="0" borderId="79" xfId="0" applyNumberFormat="1" applyFont="1" applyBorder="1" applyAlignment="1">
      <alignment horizontal="center" vertical="center"/>
    </xf>
    <xf numFmtId="173" fontId="69" fillId="0" borderId="79" xfId="0" applyNumberFormat="1" applyFont="1" applyBorder="1" applyAlignment="1" applyProtection="1">
      <alignment horizontal="center" vertical="center"/>
      <protection locked="0"/>
    </xf>
    <xf numFmtId="6" fontId="69" fillId="0" borderId="79" xfId="0" applyNumberFormat="1" applyFont="1" applyBorder="1" applyAlignment="1" applyProtection="1">
      <alignment horizontal="center" vertical="center"/>
      <protection locked="0"/>
    </xf>
    <xf numFmtId="0" fontId="85" fillId="11" borderId="79" xfId="0" applyFont="1" applyFill="1" applyBorder="1" applyAlignment="1">
      <alignment horizontal="center" vertical="center"/>
    </xf>
    <xf numFmtId="9" fontId="69" fillId="11" borderId="79" xfId="10" applyFont="1" applyFill="1" applyBorder="1" applyAlignment="1">
      <alignment horizontal="center" vertical="center"/>
    </xf>
    <xf numFmtId="0" fontId="69" fillId="0" borderId="0" xfId="0" applyFont="1" applyAlignment="1">
      <alignment vertical="center"/>
    </xf>
    <xf numFmtId="0" fontId="69" fillId="0" borderId="0" xfId="0" applyFont="1" applyAlignment="1">
      <alignment vertical="center" wrapText="1"/>
    </xf>
    <xf numFmtId="176" fontId="69" fillId="0" borderId="0" xfId="0" applyNumberFormat="1" applyFont="1" applyAlignment="1">
      <alignment horizontal="center" vertical="top"/>
    </xf>
    <xf numFmtId="174" fontId="69" fillId="0" borderId="0" xfId="11" applyNumberFormat="1" applyFont="1" applyAlignment="1">
      <alignment horizontal="center" vertical="top"/>
    </xf>
    <xf numFmtId="3" fontId="69" fillId="0" borderId="0" xfId="0" applyNumberFormat="1" applyFont="1" applyAlignment="1">
      <alignment horizontal="center" vertical="center"/>
    </xf>
    <xf numFmtId="170" fontId="69" fillId="0" borderId="0" xfId="0" applyNumberFormat="1" applyFont="1" applyAlignment="1">
      <alignment horizontal="center"/>
    </xf>
    <xf numFmtId="0" fontId="69" fillId="0" borderId="0" xfId="0" applyFont="1" applyAlignment="1">
      <alignment horizontal="center"/>
    </xf>
    <xf numFmtId="173" fontId="69" fillId="0" borderId="0" xfId="0" applyNumberFormat="1" applyFont="1" applyAlignment="1" applyProtection="1">
      <alignment horizontal="center" vertical="center"/>
      <protection locked="0"/>
    </xf>
    <xf numFmtId="0" fontId="69" fillId="0" borderId="0" xfId="0" applyFont="1" applyAlignment="1" applyProtection="1">
      <alignment horizontal="center"/>
      <protection locked="0"/>
    </xf>
    <xf numFmtId="4" fontId="58" fillId="0" borderId="0" xfId="0" applyNumberFormat="1" applyFont="1" applyAlignment="1">
      <alignment vertical="center"/>
    </xf>
    <xf numFmtId="0" fontId="58" fillId="0" borderId="79" xfId="0" applyFont="1" applyBorder="1" applyAlignment="1">
      <alignment horizontal="center" vertical="center"/>
    </xf>
    <xf numFmtId="0" fontId="58" fillId="0" borderId="79" xfId="0" applyFont="1" applyBorder="1" applyAlignment="1">
      <alignment vertical="center"/>
    </xf>
    <xf numFmtId="0" fontId="62" fillId="0" borderId="68" xfId="0" applyFont="1" applyBorder="1" applyAlignment="1">
      <alignment horizontal="center" vertical="center"/>
    </xf>
    <xf numFmtId="0" fontId="85" fillId="0" borderId="71" xfId="0" applyFont="1" applyBorder="1" applyAlignment="1">
      <alignment horizontal="center" vertical="center" wrapText="1"/>
    </xf>
    <xf numFmtId="0" fontId="61" fillId="0" borderId="71" xfId="0" applyFont="1" applyBorder="1" applyAlignment="1">
      <alignment horizontal="center" vertical="center" wrapText="1"/>
    </xf>
    <xf numFmtId="174" fontId="61" fillId="0" borderId="71" xfId="11" applyNumberFormat="1" applyFont="1" applyFill="1" applyBorder="1" applyAlignment="1">
      <alignment horizontal="center" vertical="center" wrapText="1"/>
    </xf>
    <xf numFmtId="0" fontId="61" fillId="0" borderId="71" xfId="0" applyFont="1" applyBorder="1" applyAlignment="1" applyProtection="1">
      <alignment horizontal="center" vertical="center" wrapText="1"/>
      <protection locked="0"/>
    </xf>
    <xf numFmtId="0" fontId="61" fillId="0" borderId="69" xfId="0" applyFont="1" applyBorder="1" applyAlignment="1" applyProtection="1">
      <alignment horizontal="center" vertical="center" wrapText="1"/>
      <protection locked="0"/>
    </xf>
    <xf numFmtId="0" fontId="78" fillId="0" borderId="79" xfId="0" applyFont="1" applyBorder="1" applyAlignment="1">
      <alignment horizontal="center" vertical="center"/>
    </xf>
    <xf numFmtId="0" fontId="85" fillId="0" borderId="79" xfId="0" applyFont="1" applyBorder="1" applyAlignment="1">
      <alignment horizontal="center" vertical="center"/>
    </xf>
    <xf numFmtId="0" fontId="86" fillId="0" borderId="79" xfId="0" applyFont="1" applyBorder="1" applyAlignment="1">
      <alignment horizontal="left" vertical="center" wrapText="1"/>
    </xf>
    <xf numFmtId="3" fontId="69" fillId="0" borderId="79" xfId="0" applyNumberFormat="1" applyFont="1" applyBorder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6" fillId="0" borderId="0" xfId="0" applyFont="1" applyAlignment="1">
      <alignment horizontal="left" vertical="center" wrapText="1"/>
    </xf>
    <xf numFmtId="174" fontId="69" fillId="0" borderId="0" xfId="0" applyNumberFormat="1" applyFont="1" applyAlignment="1">
      <alignment horizontal="center" vertical="center"/>
    </xf>
    <xf numFmtId="174" fontId="69" fillId="0" borderId="0" xfId="11" applyNumberFormat="1" applyFont="1" applyBorder="1" applyAlignment="1">
      <alignment horizontal="center" vertical="center"/>
    </xf>
    <xf numFmtId="170" fontId="69" fillId="0" borderId="0" xfId="0" applyNumberFormat="1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6" fontId="69" fillId="0" borderId="0" xfId="0" applyNumberFormat="1" applyFont="1" applyAlignment="1" applyProtection="1">
      <alignment horizontal="center" vertical="center"/>
      <protection locked="0"/>
    </xf>
    <xf numFmtId="0" fontId="58" fillId="0" borderId="79" xfId="0" applyFont="1" applyBorder="1"/>
    <xf numFmtId="0" fontId="86" fillId="0" borderId="0" xfId="0" applyFont="1" applyAlignment="1">
      <alignment horizontal="center"/>
    </xf>
    <xf numFmtId="0" fontId="86" fillId="0" borderId="0" xfId="0" applyFont="1" applyAlignment="1">
      <alignment horizontal="right" vertical="center" wrapText="1"/>
    </xf>
    <xf numFmtId="174" fontId="69" fillId="0" borderId="0" xfId="0" applyNumberFormat="1" applyFont="1" applyAlignment="1">
      <alignment horizontal="center"/>
    </xf>
    <xf numFmtId="174" fontId="69" fillId="0" borderId="0" xfId="11" applyNumberFormat="1" applyFont="1" applyFill="1" applyAlignment="1">
      <alignment horizontal="center"/>
    </xf>
    <xf numFmtId="3" fontId="69" fillId="0" borderId="0" xfId="0" applyNumberFormat="1" applyFont="1" applyAlignment="1">
      <alignment horizontal="center"/>
    </xf>
    <xf numFmtId="175" fontId="69" fillId="0" borderId="0" xfId="0" applyNumberFormat="1" applyFont="1" applyAlignment="1">
      <alignment horizontal="center"/>
    </xf>
    <xf numFmtId="0" fontId="87" fillId="0" borderId="0" xfId="0" applyFont="1" applyAlignment="1">
      <alignment horizontal="center"/>
    </xf>
    <xf numFmtId="0" fontId="87" fillId="0" borderId="0" xfId="0" applyFont="1" applyAlignment="1">
      <alignment vertical="center" wrapText="1"/>
    </xf>
    <xf numFmtId="174" fontId="69" fillId="0" borderId="0" xfId="11" applyNumberFormat="1" applyFont="1" applyBorder="1" applyAlignment="1">
      <alignment horizontal="center"/>
    </xf>
    <xf numFmtId="173" fontId="85" fillId="0" borderId="0" xfId="0" applyNumberFormat="1" applyFont="1" applyAlignment="1" applyProtection="1">
      <alignment horizontal="center" vertical="center"/>
      <protection locked="0"/>
    </xf>
    <xf numFmtId="6" fontId="85" fillId="0" borderId="0" xfId="0" applyNumberFormat="1" applyFont="1" applyAlignment="1" applyProtection="1">
      <alignment horizontal="center" vertical="center"/>
      <protection locked="0"/>
    </xf>
    <xf numFmtId="3" fontId="61" fillId="0" borderId="71" xfId="0" applyNumberFormat="1" applyFont="1" applyBorder="1" applyAlignment="1">
      <alignment horizontal="center" vertical="center" wrapText="1"/>
    </xf>
    <xf numFmtId="37" fontId="85" fillId="0" borderId="79" xfId="1" applyNumberFormat="1" applyFont="1" applyBorder="1" applyAlignment="1">
      <alignment horizontal="center" vertical="center"/>
    </xf>
    <xf numFmtId="9" fontId="69" fillId="0" borderId="79" xfId="10" applyFont="1" applyBorder="1"/>
    <xf numFmtId="37" fontId="85" fillId="11" borderId="79" xfId="1" applyNumberFormat="1" applyFont="1" applyFill="1" applyBorder="1" applyAlignment="1">
      <alignment horizontal="center" vertical="center"/>
    </xf>
    <xf numFmtId="3" fontId="85" fillId="0" borderId="79" xfId="0" applyNumberFormat="1" applyFont="1" applyBorder="1" applyAlignment="1">
      <alignment horizontal="center" vertical="center"/>
    </xf>
    <xf numFmtId="0" fontId="86" fillId="13" borderId="79" xfId="0" applyFont="1" applyFill="1" applyBorder="1" applyAlignment="1">
      <alignment horizontal="left" vertical="center" wrapText="1"/>
    </xf>
    <xf numFmtId="37" fontId="85" fillId="13" borderId="79" xfId="1" applyNumberFormat="1" applyFont="1" applyFill="1" applyBorder="1" applyAlignment="1">
      <alignment horizontal="center" vertical="center"/>
    </xf>
    <xf numFmtId="9" fontId="69" fillId="13" borderId="79" xfId="10" applyFont="1" applyFill="1" applyBorder="1"/>
    <xf numFmtId="0" fontId="88" fillId="0" borderId="0" xfId="0" applyFont="1" applyAlignment="1">
      <alignment horizontal="left" vertical="center" wrapText="1"/>
    </xf>
    <xf numFmtId="174" fontId="85" fillId="0" borderId="0" xfId="0" applyNumberFormat="1" applyFont="1" applyAlignment="1">
      <alignment horizontal="center" vertical="center"/>
    </xf>
    <xf numFmtId="174" fontId="85" fillId="0" borderId="0" xfId="11" applyNumberFormat="1" applyFont="1" applyBorder="1" applyAlignment="1">
      <alignment horizontal="center" vertical="center"/>
    </xf>
    <xf numFmtId="37" fontId="85" fillId="0" borderId="0" xfId="1" applyNumberFormat="1" applyFont="1" applyBorder="1" applyAlignment="1">
      <alignment horizontal="center" vertical="center"/>
    </xf>
    <xf numFmtId="170" fontId="85" fillId="0" borderId="0" xfId="0" applyNumberFormat="1" applyFont="1" applyAlignment="1">
      <alignment horizontal="center" vertical="center"/>
    </xf>
    <xf numFmtId="0" fontId="89" fillId="12" borderId="2" xfId="0" applyFont="1" applyFill="1" applyBorder="1" applyAlignment="1">
      <alignment horizontal="right" vertical="center" wrapText="1"/>
    </xf>
    <xf numFmtId="174" fontId="69" fillId="0" borderId="2" xfId="0" applyNumberFormat="1" applyFont="1" applyBorder="1" applyAlignment="1">
      <alignment horizontal="center" vertical="center"/>
    </xf>
    <xf numFmtId="0" fontId="69" fillId="0" borderId="2" xfId="0" applyFont="1" applyBorder="1" applyAlignment="1">
      <alignment horizontal="center" vertical="center"/>
    </xf>
    <xf numFmtId="2" fontId="85" fillId="0" borderId="2" xfId="0" applyNumberFormat="1" applyFont="1" applyBorder="1" applyAlignment="1">
      <alignment horizontal="center" vertical="center"/>
    </xf>
    <xf numFmtId="174" fontId="85" fillId="0" borderId="2" xfId="0" applyNumberFormat="1" applyFont="1" applyBorder="1" applyAlignment="1">
      <alignment horizontal="center" vertical="center"/>
    </xf>
    <xf numFmtId="173" fontId="85" fillId="0" borderId="2" xfId="0" applyNumberFormat="1" applyFont="1" applyBorder="1" applyAlignment="1" applyProtection="1">
      <alignment horizontal="center" vertical="center"/>
      <protection locked="0"/>
    </xf>
    <xf numFmtId="6" fontId="85" fillId="0" borderId="2" xfId="0" applyNumberFormat="1" applyFont="1" applyBorder="1" applyAlignment="1" applyProtection="1">
      <alignment horizontal="center" vertical="center"/>
      <protection locked="0"/>
    </xf>
    <xf numFmtId="9" fontId="85" fillId="0" borderId="2" xfId="10" applyFont="1" applyBorder="1" applyAlignment="1">
      <alignment horizontal="center" vertical="center"/>
    </xf>
    <xf numFmtId="174" fontId="58" fillId="0" borderId="0" xfId="0" applyNumberFormat="1" applyFont="1" applyAlignment="1">
      <alignment horizontal="center"/>
    </xf>
    <xf numFmtId="9" fontId="58" fillId="0" borderId="0" xfId="10" applyFont="1" applyAlignment="1">
      <alignment horizontal="center"/>
    </xf>
    <xf numFmtId="43" fontId="58" fillId="0" borderId="0" xfId="0" applyNumberFormat="1" applyFont="1" applyAlignment="1">
      <alignment horizontal="center"/>
    </xf>
    <xf numFmtId="0" fontId="61" fillId="0" borderId="0" xfId="0" applyFont="1" applyAlignment="1">
      <alignment horizontal="left"/>
    </xf>
    <xf numFmtId="43" fontId="58" fillId="0" borderId="0" xfId="0" applyNumberFormat="1" applyFont="1"/>
    <xf numFmtId="0" fontId="61" fillId="0" borderId="0" xfId="0" applyFont="1"/>
    <xf numFmtId="3" fontId="58" fillId="0" borderId="0" xfId="0" applyNumberFormat="1" applyFont="1" applyAlignment="1">
      <alignment horizontal="center"/>
    </xf>
    <xf numFmtId="0" fontId="90" fillId="0" borderId="0" xfId="0" applyFont="1" applyAlignment="1">
      <alignment horizontal="center"/>
    </xf>
    <xf numFmtId="0" fontId="55" fillId="0" borderId="0" xfId="0" applyFont="1"/>
    <xf numFmtId="3" fontId="61" fillId="0" borderId="11" xfId="0" applyNumberFormat="1" applyFont="1" applyBorder="1" applyAlignment="1" applyProtection="1">
      <alignment horizontal="center" vertical="center"/>
      <protection locked="0"/>
    </xf>
    <xf numFmtId="44" fontId="62" fillId="10" borderId="0" xfId="11" applyFont="1" applyFill="1" applyAlignment="1">
      <alignment horizontal="right"/>
    </xf>
    <xf numFmtId="44" fontId="62" fillId="10" borderId="0" xfId="11" applyFont="1" applyFill="1"/>
    <xf numFmtId="0" fontId="55" fillId="2" borderId="16" xfId="0" applyFont="1" applyFill="1" applyBorder="1"/>
    <xf numFmtId="0" fontId="62" fillId="0" borderId="0" xfId="0" applyFont="1" applyAlignment="1">
      <alignment horizontal="right"/>
    </xf>
    <xf numFmtId="0" fontId="58" fillId="2" borderId="0" xfId="0" applyFont="1" applyFill="1"/>
    <xf numFmtId="0" fontId="83" fillId="18" borderId="0" xfId="0" applyFont="1" applyFill="1" applyAlignment="1">
      <alignment horizontal="center" vertical="center" wrapText="1"/>
    </xf>
    <xf numFmtId="0" fontId="61" fillId="2" borderId="14" xfId="0" applyFont="1" applyFill="1" applyBorder="1"/>
    <xf numFmtId="0" fontId="61" fillId="2" borderId="0" xfId="0" applyFont="1" applyFill="1"/>
    <xf numFmtId="174" fontId="80" fillId="2" borderId="29" xfId="0" applyNumberFormat="1" applyFont="1" applyFill="1" applyBorder="1" applyAlignment="1">
      <alignment horizontal="center" vertical="center"/>
    </xf>
    <xf numFmtId="3" fontId="80" fillId="2" borderId="16" xfId="0" applyNumberFormat="1" applyFont="1" applyFill="1" applyBorder="1" applyAlignment="1">
      <alignment horizontal="center" vertical="center"/>
    </xf>
    <xf numFmtId="173" fontId="80" fillId="2" borderId="16" xfId="0" applyNumberFormat="1" applyFont="1" applyFill="1" applyBorder="1" applyAlignment="1">
      <alignment horizontal="center" vertical="center"/>
    </xf>
    <xf numFmtId="173" fontId="80" fillId="2" borderId="17" xfId="0" applyNumberFormat="1" applyFont="1" applyFill="1" applyBorder="1" applyAlignment="1">
      <alignment horizontal="center" vertical="center"/>
    </xf>
    <xf numFmtId="0" fontId="58" fillId="0" borderId="16" xfId="0" applyFont="1" applyBorder="1"/>
    <xf numFmtId="174" fontId="58" fillId="0" borderId="0" xfId="0" applyNumberFormat="1" applyFont="1"/>
    <xf numFmtId="0" fontId="80" fillId="2" borderId="0" xfId="0" applyFont="1" applyFill="1" applyAlignment="1">
      <alignment vertical="center"/>
    </xf>
    <xf numFmtId="166" fontId="58" fillId="0" borderId="0" xfId="0" applyNumberFormat="1" applyFont="1"/>
    <xf numFmtId="44" fontId="58" fillId="0" borderId="0" xfId="11" applyFont="1"/>
    <xf numFmtId="3" fontId="61" fillId="0" borderId="2" xfId="0" applyNumberFormat="1" applyFont="1" applyBorder="1" applyAlignment="1">
      <alignment horizontal="center" vertical="center"/>
    </xf>
    <xf numFmtId="173" fontId="61" fillId="0" borderId="2" xfId="0" applyNumberFormat="1" applyFont="1" applyBorder="1" applyAlignment="1">
      <alignment horizontal="center" vertical="center"/>
    </xf>
    <xf numFmtId="0" fontId="79" fillId="2" borderId="16" xfId="0" applyFont="1" applyFill="1" applyBorder="1" applyAlignment="1">
      <alignment vertical="center"/>
    </xf>
    <xf numFmtId="0" fontId="58" fillId="20" borderId="0" xfId="0" applyFont="1" applyFill="1"/>
    <xf numFmtId="0" fontId="70" fillId="0" borderId="0" xfId="12" applyFont="1"/>
    <xf numFmtId="0" fontId="94" fillId="2" borderId="0" xfId="0" applyFont="1" applyFill="1"/>
    <xf numFmtId="0" fontId="95" fillId="2" borderId="0" xfId="0" applyFont="1" applyFill="1" applyAlignment="1">
      <alignment horizontal="center"/>
    </xf>
    <xf numFmtId="0" fontId="95" fillId="2" borderId="15" xfId="0" applyFont="1" applyFill="1" applyBorder="1" applyAlignment="1">
      <alignment horizontal="center"/>
    </xf>
    <xf numFmtId="0" fontId="94" fillId="0" borderId="0" xfId="0" applyFont="1"/>
    <xf numFmtId="0" fontId="80" fillId="3" borderId="12" xfId="0" applyFont="1" applyFill="1" applyBorder="1" applyAlignment="1">
      <alignment vertical="center" wrapText="1"/>
    </xf>
    <xf numFmtId="0" fontId="80" fillId="3" borderId="7" xfId="0" applyFont="1" applyFill="1" applyBorder="1" applyAlignment="1">
      <alignment horizontal="center" vertical="center" wrapText="1"/>
    </xf>
    <xf numFmtId="0" fontId="80" fillId="2" borderId="13" xfId="0" applyFont="1" applyFill="1" applyBorder="1" applyAlignment="1">
      <alignment vertical="center"/>
    </xf>
    <xf numFmtId="0" fontId="80" fillId="2" borderId="21" xfId="0" applyFont="1" applyFill="1" applyBorder="1" applyAlignment="1">
      <alignment vertical="center"/>
    </xf>
    <xf numFmtId="0" fontId="80" fillId="2" borderId="12" xfId="0" applyFont="1" applyFill="1" applyBorder="1" applyAlignment="1">
      <alignment vertical="center"/>
    </xf>
    <xf numFmtId="173" fontId="92" fillId="18" borderId="6" xfId="0" applyNumberFormat="1" applyFont="1" applyFill="1" applyBorder="1" applyAlignment="1">
      <alignment horizontal="center" vertical="center"/>
    </xf>
    <xf numFmtId="0" fontId="93" fillId="2" borderId="16" xfId="0" applyFont="1" applyFill="1" applyBorder="1" applyAlignment="1">
      <alignment vertical="center"/>
    </xf>
    <xf numFmtId="174" fontId="80" fillId="2" borderId="11" xfId="0" applyNumberFormat="1" applyFont="1" applyFill="1" applyBorder="1" applyAlignment="1">
      <alignment horizontal="center" vertical="center"/>
    </xf>
    <xf numFmtId="3" fontId="80" fillId="2" borderId="0" xfId="0" applyNumberFormat="1" applyFont="1" applyFill="1" applyAlignment="1">
      <alignment horizontal="center" vertical="center"/>
    </xf>
    <xf numFmtId="173" fontId="80" fillId="2" borderId="0" xfId="0" applyNumberFormat="1" applyFont="1" applyFill="1" applyAlignment="1">
      <alignment horizontal="center" vertical="center"/>
    </xf>
    <xf numFmtId="173" fontId="80" fillId="2" borderId="15" xfId="0" applyNumberFormat="1" applyFont="1" applyFill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61" fillId="0" borderId="2" xfId="0" applyFont="1" applyBorder="1" applyAlignment="1">
      <alignment horizontal="left" vertical="center"/>
    </xf>
    <xf numFmtId="1" fontId="61" fillId="4" borderId="2" xfId="0" applyNumberFormat="1" applyFont="1" applyFill="1" applyBorder="1" applyAlignment="1">
      <alignment horizontal="center" vertical="center"/>
    </xf>
    <xf numFmtId="4" fontId="61" fillId="0" borderId="2" xfId="0" applyNumberFormat="1" applyFont="1" applyBorder="1" applyAlignment="1">
      <alignment horizontal="center" vertical="center"/>
    </xf>
    <xf numFmtId="49" fontId="61" fillId="0" borderId="2" xfId="0" applyNumberFormat="1" applyFont="1" applyBorder="1"/>
    <xf numFmtId="10" fontId="61" fillId="0" borderId="2" xfId="0" applyNumberFormat="1" applyFont="1" applyBorder="1" applyAlignment="1">
      <alignment horizontal="center" vertical="center"/>
    </xf>
    <xf numFmtId="49" fontId="61" fillId="0" borderId="2" xfId="0" applyNumberFormat="1" applyFont="1" applyBorder="1" applyAlignment="1">
      <alignment wrapText="1"/>
    </xf>
    <xf numFmtId="0" fontId="96" fillId="0" borderId="0" xfId="0" applyFont="1"/>
    <xf numFmtId="4" fontId="69" fillId="0" borderId="0" xfId="0" applyNumberFormat="1" applyFont="1" applyAlignment="1">
      <alignment horizontal="center" vertical="center"/>
    </xf>
    <xf numFmtId="4" fontId="85" fillId="0" borderId="0" xfId="0" applyNumberFormat="1" applyFont="1" applyAlignment="1">
      <alignment horizontal="center" vertical="center"/>
    </xf>
    <xf numFmtId="0" fontId="64" fillId="12" borderId="81" xfId="0" applyFont="1" applyFill="1" applyBorder="1" applyAlignment="1">
      <alignment horizontal="center"/>
    </xf>
    <xf numFmtId="0" fontId="0" fillId="23" borderId="67" xfId="0" applyFill="1" applyBorder="1"/>
    <xf numFmtId="10" fontId="0" fillId="23" borderId="64" xfId="10" applyNumberFormat="1" applyFont="1" applyFill="1" applyBorder="1"/>
    <xf numFmtId="0" fontId="0" fillId="23" borderId="60" xfId="0" applyFill="1" applyBorder="1"/>
    <xf numFmtId="10" fontId="0" fillId="24" borderId="64" xfId="10" applyNumberFormat="1" applyFont="1" applyFill="1" applyBorder="1"/>
    <xf numFmtId="0" fontId="98" fillId="0" borderId="2" xfId="0" applyFont="1" applyBorder="1" applyAlignment="1">
      <alignment horizontal="center" vertical="center"/>
    </xf>
    <xf numFmtId="174" fontId="58" fillId="0" borderId="0" xfId="0" applyNumberFormat="1" applyFont="1" applyAlignment="1">
      <alignment horizontal="center" vertical="center"/>
    </xf>
    <xf numFmtId="9" fontId="61" fillId="0" borderId="0" xfId="0" applyNumberFormat="1" applyFont="1" applyAlignment="1">
      <alignment horizontal="center" vertical="center"/>
    </xf>
    <xf numFmtId="2" fontId="61" fillId="0" borderId="0" xfId="10" applyNumberFormat="1" applyFont="1" applyAlignment="1">
      <alignment horizontal="center" vertical="center"/>
    </xf>
    <xf numFmtId="0" fontId="66" fillId="3" borderId="16" xfId="0" applyFont="1" applyFill="1" applyBorder="1" applyAlignment="1">
      <alignment horizontal="left"/>
    </xf>
    <xf numFmtId="1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 wrapText="1"/>
    </xf>
    <xf numFmtId="0" fontId="99" fillId="20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56" fillId="0" borderId="0" xfId="12" applyFill="1"/>
    <xf numFmtId="2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99" fillId="2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6" fillId="0" borderId="2" xfId="12" applyFill="1" applyBorder="1" applyAlignment="1">
      <alignment horizontal="center" vertical="center" wrapText="1"/>
    </xf>
    <xf numFmtId="0" fontId="100" fillId="0" borderId="2" xfId="12" applyFont="1" applyFill="1" applyBorder="1" applyAlignment="1">
      <alignment horizontal="center" vertical="center"/>
    </xf>
    <xf numFmtId="1" fontId="100" fillId="0" borderId="2" xfId="12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99" fillId="20" borderId="2" xfId="0" applyNumberFormat="1" applyFont="1" applyFill="1" applyBorder="1" applyAlignment="1">
      <alignment horizontal="center" vertical="center"/>
    </xf>
    <xf numFmtId="16" fontId="56" fillId="0" borderId="2" xfId="12" applyNumberFormat="1" applyFill="1" applyBorder="1" applyAlignment="1">
      <alignment horizontal="center" vertical="center" wrapText="1"/>
    </xf>
    <xf numFmtId="0" fontId="99" fillId="0" borderId="0" xfId="0" applyFont="1"/>
    <xf numFmtId="0" fontId="0" fillId="0" borderId="0" xfId="0" applyAlignment="1">
      <alignment horizontal="center" wrapText="1"/>
    </xf>
    <xf numFmtId="49" fontId="59" fillId="6" borderId="70" xfId="7" applyNumberFormat="1" applyFont="1" applyFill="1" applyBorder="1" applyAlignment="1">
      <alignment horizontal="center" vertical="center" wrapText="1"/>
    </xf>
    <xf numFmtId="0" fontId="58" fillId="0" borderId="0" xfId="0" applyFont="1" applyAlignment="1">
      <alignment wrapText="1"/>
    </xf>
    <xf numFmtId="0" fontId="101" fillId="0" borderId="0" xfId="0" applyFont="1"/>
    <xf numFmtId="0" fontId="102" fillId="21" borderId="20" xfId="0" applyFont="1" applyFill="1" applyBorder="1" applyAlignment="1">
      <alignment horizontal="center" vertical="center" wrapText="1"/>
    </xf>
    <xf numFmtId="0" fontId="102" fillId="21" borderId="28" xfId="0" applyFont="1" applyFill="1" applyBorder="1" applyAlignment="1">
      <alignment horizontal="center" vertical="center" wrapText="1"/>
    </xf>
    <xf numFmtId="0" fontId="103" fillId="22" borderId="29" xfId="0" applyFont="1" applyFill="1" applyBorder="1" applyAlignment="1">
      <alignment horizontal="center" vertical="center" wrapText="1"/>
    </xf>
    <xf numFmtId="0" fontId="104" fillId="22" borderId="17" xfId="0" applyFont="1" applyFill="1" applyBorder="1" applyAlignment="1">
      <alignment horizontal="center" vertical="center" wrapText="1"/>
    </xf>
    <xf numFmtId="6" fontId="104" fillId="22" borderId="17" xfId="0" applyNumberFormat="1" applyFont="1" applyFill="1" applyBorder="1" applyAlignment="1">
      <alignment horizontal="center" vertical="center" wrapText="1"/>
    </xf>
    <xf numFmtId="3" fontId="104" fillId="22" borderId="17" xfId="0" applyNumberFormat="1" applyFont="1" applyFill="1" applyBorder="1" applyAlignment="1">
      <alignment horizontal="center" vertical="center" wrapText="1"/>
    </xf>
    <xf numFmtId="170" fontId="104" fillId="22" borderId="17" xfId="0" applyNumberFormat="1" applyFont="1" applyFill="1" applyBorder="1" applyAlignment="1">
      <alignment horizontal="center" vertical="center" wrapText="1"/>
    </xf>
    <xf numFmtId="10" fontId="104" fillId="22" borderId="17" xfId="0" applyNumberFormat="1" applyFont="1" applyFill="1" applyBorder="1" applyAlignment="1">
      <alignment horizontal="center" vertical="center" wrapText="1"/>
    </xf>
    <xf numFmtId="0" fontId="103" fillId="11" borderId="29" xfId="0" applyFont="1" applyFill="1" applyBorder="1" applyAlignment="1">
      <alignment horizontal="center" vertical="center" wrapText="1"/>
    </xf>
    <xf numFmtId="0" fontId="104" fillId="11" borderId="17" xfId="0" applyFont="1" applyFill="1" applyBorder="1" applyAlignment="1">
      <alignment horizontal="center" vertical="center" wrapText="1"/>
    </xf>
    <xf numFmtId="6" fontId="104" fillId="11" borderId="17" xfId="0" applyNumberFormat="1" applyFont="1" applyFill="1" applyBorder="1" applyAlignment="1">
      <alignment horizontal="center" vertical="center" wrapText="1"/>
    </xf>
    <xf numFmtId="3" fontId="104" fillId="11" borderId="17" xfId="0" applyNumberFormat="1" applyFont="1" applyFill="1" applyBorder="1" applyAlignment="1">
      <alignment horizontal="center" vertical="center" wrapText="1"/>
    </xf>
    <xf numFmtId="170" fontId="104" fillId="11" borderId="17" xfId="0" applyNumberFormat="1" applyFont="1" applyFill="1" applyBorder="1" applyAlignment="1">
      <alignment horizontal="center" vertical="center" wrapText="1"/>
    </xf>
    <xf numFmtId="10" fontId="104" fillId="11" borderId="17" xfId="0" applyNumberFormat="1" applyFont="1" applyFill="1" applyBorder="1" applyAlignment="1">
      <alignment horizontal="center" vertical="center" wrapText="1"/>
    </xf>
    <xf numFmtId="0" fontId="104" fillId="22" borderId="29" xfId="0" applyFont="1" applyFill="1" applyBorder="1" applyAlignment="1">
      <alignment horizontal="right" vertical="center" wrapText="1"/>
    </xf>
    <xf numFmtId="173" fontId="104" fillId="22" borderId="17" xfId="10" applyNumberFormat="1" applyFont="1" applyFill="1" applyBorder="1" applyAlignment="1">
      <alignment horizontal="center" vertical="center" wrapText="1"/>
    </xf>
    <xf numFmtId="0" fontId="104" fillId="11" borderId="29" xfId="0" applyFont="1" applyFill="1" applyBorder="1" applyAlignment="1">
      <alignment horizontal="right" vertical="center" wrapText="1"/>
    </xf>
    <xf numFmtId="173" fontId="104" fillId="11" borderId="17" xfId="10" applyNumberFormat="1" applyFont="1" applyFill="1" applyBorder="1" applyAlignment="1">
      <alignment horizontal="center" vertical="center" wrapText="1"/>
    </xf>
    <xf numFmtId="0" fontId="103" fillId="11" borderId="11" xfId="0" applyFont="1" applyFill="1" applyBorder="1" applyAlignment="1">
      <alignment horizontal="right" vertical="center" wrapText="1"/>
    </xf>
    <xf numFmtId="173" fontId="104" fillId="11" borderId="15" xfId="10" applyNumberFormat="1" applyFont="1" applyFill="1" applyBorder="1" applyAlignment="1">
      <alignment horizontal="center" vertical="center" wrapText="1"/>
    </xf>
    <xf numFmtId="0" fontId="103" fillId="11" borderId="11" xfId="0" applyFont="1" applyFill="1" applyBorder="1" applyAlignment="1">
      <alignment horizontal="center" vertical="center" wrapText="1"/>
    </xf>
    <xf numFmtId="0" fontId="104" fillId="11" borderId="15" xfId="0" applyFont="1" applyFill="1" applyBorder="1" applyAlignment="1">
      <alignment horizontal="center" vertical="center" wrapText="1"/>
    </xf>
    <xf numFmtId="6" fontId="104" fillId="11" borderId="15" xfId="0" applyNumberFormat="1" applyFont="1" applyFill="1" applyBorder="1" applyAlignment="1">
      <alignment horizontal="center" vertical="center" wrapText="1"/>
    </xf>
    <xf numFmtId="3" fontId="104" fillId="11" borderId="15" xfId="0" applyNumberFormat="1" applyFont="1" applyFill="1" applyBorder="1" applyAlignment="1">
      <alignment horizontal="center" vertical="center" wrapText="1"/>
    </xf>
    <xf numFmtId="170" fontId="104" fillId="11" borderId="15" xfId="0" applyNumberFormat="1" applyFont="1" applyFill="1" applyBorder="1" applyAlignment="1">
      <alignment horizontal="center" vertical="center" wrapText="1"/>
    </xf>
    <xf numFmtId="10" fontId="104" fillId="11" borderId="15" xfId="0" applyNumberFormat="1" applyFont="1" applyFill="1" applyBorder="1" applyAlignment="1">
      <alignment horizontal="center" vertical="center" wrapText="1"/>
    </xf>
    <xf numFmtId="49" fontId="104" fillId="22" borderId="17" xfId="0" applyNumberFormat="1" applyFont="1" applyFill="1" applyBorder="1" applyAlignment="1">
      <alignment horizontal="center" vertical="center" wrapText="1"/>
    </xf>
    <xf numFmtId="49" fontId="104" fillId="11" borderId="17" xfId="0" applyNumberFormat="1" applyFont="1" applyFill="1" applyBorder="1" applyAlignment="1">
      <alignment horizontal="center" vertical="center" wrapText="1"/>
    </xf>
    <xf numFmtId="49" fontId="104" fillId="11" borderId="15" xfId="0" applyNumberFormat="1" applyFont="1" applyFill="1" applyBorder="1" applyAlignment="1">
      <alignment horizontal="center" vertical="center" wrapText="1"/>
    </xf>
    <xf numFmtId="0" fontId="103" fillId="22" borderId="11" xfId="0" applyFont="1" applyFill="1" applyBorder="1" applyAlignment="1">
      <alignment horizontal="center" vertical="center" wrapText="1"/>
    </xf>
    <xf numFmtId="6" fontId="104" fillId="22" borderId="15" xfId="0" applyNumberFormat="1" applyFont="1" applyFill="1" applyBorder="1" applyAlignment="1">
      <alignment horizontal="center" vertical="center" wrapText="1"/>
    </xf>
    <xf numFmtId="3" fontId="104" fillId="22" borderId="15" xfId="0" applyNumberFormat="1" applyFont="1" applyFill="1" applyBorder="1" applyAlignment="1">
      <alignment horizontal="center" vertical="center" wrapText="1"/>
    </xf>
    <xf numFmtId="170" fontId="104" fillId="22" borderId="15" xfId="0" applyNumberFormat="1" applyFont="1" applyFill="1" applyBorder="1" applyAlignment="1">
      <alignment horizontal="center" vertical="center" wrapText="1"/>
    </xf>
    <xf numFmtId="10" fontId="104" fillId="22" borderId="15" xfId="0" applyNumberFormat="1" applyFont="1" applyFill="1" applyBorder="1" applyAlignment="1">
      <alignment horizontal="center" vertical="center" wrapText="1"/>
    </xf>
    <xf numFmtId="0" fontId="108" fillId="0" borderId="0" xfId="0" applyFont="1" applyAlignment="1">
      <alignment wrapText="1"/>
    </xf>
    <xf numFmtId="0" fontId="107" fillId="0" borderId="0" xfId="0" applyFont="1" applyAlignment="1">
      <alignment wrapText="1"/>
    </xf>
    <xf numFmtId="0" fontId="110" fillId="0" borderId="0" xfId="0" applyFont="1" applyAlignment="1">
      <alignment wrapText="1"/>
    </xf>
    <xf numFmtId="0" fontId="109" fillId="0" borderId="0" xfId="0" applyFont="1" applyAlignment="1">
      <alignment wrapText="1"/>
    </xf>
    <xf numFmtId="0" fontId="111" fillId="0" borderId="0" xfId="0" applyFont="1" applyAlignment="1">
      <alignment wrapText="1"/>
    </xf>
    <xf numFmtId="0" fontId="92" fillId="0" borderId="0" xfId="0" applyFont="1" applyAlignment="1">
      <alignment vertical="center" wrapText="1"/>
    </xf>
    <xf numFmtId="3" fontId="104" fillId="11" borderId="0" xfId="0" applyNumberFormat="1" applyFont="1" applyFill="1" applyAlignment="1">
      <alignment horizontal="center" vertical="center" wrapText="1"/>
    </xf>
    <xf numFmtId="1" fontId="104" fillId="22" borderId="17" xfId="0" applyNumberFormat="1" applyFont="1" applyFill="1" applyBorder="1" applyAlignment="1">
      <alignment horizontal="center" vertical="center" wrapText="1"/>
    </xf>
    <xf numFmtId="0" fontId="115" fillId="26" borderId="87" xfId="0" applyFont="1" applyFill="1" applyBorder="1" applyAlignment="1">
      <alignment horizontal="justify" vertical="center" wrapText="1"/>
    </xf>
    <xf numFmtId="0" fontId="116" fillId="0" borderId="87" xfId="0" applyFont="1" applyBorder="1" applyAlignment="1">
      <alignment horizontal="justify" vertical="center" wrapText="1"/>
    </xf>
    <xf numFmtId="0" fontId="112" fillId="25" borderId="84" xfId="0" applyFont="1" applyFill="1" applyBorder="1" applyAlignment="1">
      <alignment horizontal="center" wrapText="1"/>
    </xf>
    <xf numFmtId="0" fontId="112" fillId="25" borderId="0" xfId="0" applyFont="1" applyFill="1" applyAlignment="1">
      <alignment horizontal="center" wrapText="1"/>
    </xf>
    <xf numFmtId="0" fontId="112" fillId="25" borderId="85" xfId="0" applyFont="1" applyFill="1" applyBorder="1" applyAlignment="1">
      <alignment horizontal="center" wrapText="1"/>
    </xf>
    <xf numFmtId="0" fontId="112" fillId="25" borderId="86" xfId="0" applyFont="1" applyFill="1" applyBorder="1" applyAlignment="1">
      <alignment horizontal="center" wrapText="1"/>
    </xf>
    <xf numFmtId="0" fontId="122" fillId="0" borderId="0" xfId="0" applyFont="1"/>
    <xf numFmtId="0" fontId="122" fillId="0" borderId="0" xfId="0" applyFont="1" applyAlignment="1">
      <alignment horizontal="center"/>
    </xf>
    <xf numFmtId="0" fontId="112" fillId="18" borderId="0" xfId="0" applyFont="1" applyFill="1" applyAlignment="1">
      <alignment horizontal="center" wrapText="1"/>
    </xf>
    <xf numFmtId="0" fontId="115" fillId="27" borderId="96" xfId="0" applyFont="1" applyFill="1" applyBorder="1" applyAlignment="1">
      <alignment horizontal="justify" vertical="center" wrapText="1"/>
    </xf>
    <xf numFmtId="174" fontId="115" fillId="27" borderId="96" xfId="0" applyNumberFormat="1" applyFont="1" applyFill="1" applyBorder="1" applyAlignment="1">
      <alignment horizontal="center" vertical="center" wrapText="1"/>
    </xf>
    <xf numFmtId="179" fontId="115" fillId="27" borderId="96" xfId="1" applyNumberFormat="1" applyFont="1" applyFill="1" applyBorder="1" applyAlignment="1">
      <alignment horizontal="center" vertical="center" wrapText="1"/>
    </xf>
    <xf numFmtId="180" fontId="115" fillId="27" borderId="96" xfId="0" applyNumberFormat="1" applyFont="1" applyFill="1" applyBorder="1" applyAlignment="1">
      <alignment horizontal="center" vertical="center" wrapText="1"/>
    </xf>
    <xf numFmtId="170" fontId="115" fillId="27" borderId="96" xfId="0" applyNumberFormat="1" applyFont="1" applyFill="1" applyBorder="1" applyAlignment="1">
      <alignment horizontal="center" vertical="center" wrapText="1"/>
    </xf>
    <xf numFmtId="0" fontId="117" fillId="27" borderId="96" xfId="0" applyFont="1" applyFill="1" applyBorder="1" applyAlignment="1">
      <alignment horizontal="center" vertical="center" wrapText="1"/>
    </xf>
    <xf numFmtId="0" fontId="116" fillId="0" borderId="96" xfId="0" applyFont="1" applyBorder="1" applyAlignment="1">
      <alignment horizontal="justify" vertical="center" wrapText="1"/>
    </xf>
    <xf numFmtId="174" fontId="116" fillId="0" borderId="96" xfId="0" applyNumberFormat="1" applyFont="1" applyBorder="1" applyAlignment="1">
      <alignment horizontal="center" vertical="center" wrapText="1"/>
    </xf>
    <xf numFmtId="179" fontId="116" fillId="0" borderId="96" xfId="1" applyNumberFormat="1" applyFont="1" applyBorder="1" applyAlignment="1">
      <alignment horizontal="center" vertical="center" wrapText="1"/>
    </xf>
    <xf numFmtId="180" fontId="116" fillId="0" borderId="96" xfId="0" applyNumberFormat="1" applyFont="1" applyBorder="1" applyAlignment="1">
      <alignment horizontal="center" vertical="center" wrapText="1"/>
    </xf>
    <xf numFmtId="170" fontId="116" fillId="0" borderId="96" xfId="0" applyNumberFormat="1" applyFont="1" applyBorder="1" applyAlignment="1">
      <alignment horizontal="center" vertical="center" wrapText="1"/>
    </xf>
    <xf numFmtId="0" fontId="118" fillId="0" borderId="96" xfId="0" applyFont="1" applyBorder="1" applyAlignment="1">
      <alignment horizontal="center" vertical="center" wrapText="1"/>
    </xf>
    <xf numFmtId="174" fontId="116" fillId="0" borderId="96" xfId="11" applyNumberFormat="1" applyFont="1" applyBorder="1" applyAlignment="1">
      <alignment horizontal="center" vertical="center" wrapText="1"/>
    </xf>
    <xf numFmtId="180" fontId="116" fillId="0" borderId="96" xfId="1" applyNumberFormat="1" applyFont="1" applyBorder="1" applyAlignment="1">
      <alignment horizontal="center" vertical="center" wrapText="1"/>
    </xf>
    <xf numFmtId="0" fontId="116" fillId="0" borderId="96" xfId="0" applyFont="1" applyBorder="1" applyAlignment="1">
      <alignment horizontal="center" vertical="center" wrapText="1"/>
    </xf>
    <xf numFmtId="2" fontId="58" fillId="0" borderId="0" xfId="7" applyNumberFormat="1" applyFont="1" applyAlignment="1">
      <alignment horizontal="center" vertical="center"/>
    </xf>
    <xf numFmtId="0" fontId="0" fillId="0" borderId="26" xfId="1" applyNumberFormat="1" applyFont="1" applyBorder="1"/>
    <xf numFmtId="0" fontId="58" fillId="20" borderId="2" xfId="7" applyFont="1" applyFill="1" applyBorder="1" applyAlignment="1">
      <alignment vertical="top"/>
    </xf>
    <xf numFmtId="49" fontId="58" fillId="20" borderId="2" xfId="7" applyNumberFormat="1" applyFont="1" applyFill="1" applyBorder="1" applyAlignment="1">
      <alignment vertical="top" wrapText="1"/>
    </xf>
    <xf numFmtId="1" fontId="58" fillId="20" borderId="2" xfId="10" applyNumberFormat="1" applyFont="1" applyFill="1" applyBorder="1" applyAlignment="1">
      <alignment horizontal="center" vertical="center"/>
    </xf>
    <xf numFmtId="174" fontId="58" fillId="20" borderId="2" xfId="11" applyNumberFormat="1" applyFont="1" applyFill="1" applyBorder="1" applyAlignment="1">
      <alignment horizontal="center" vertical="center" wrapText="1"/>
    </xf>
    <xf numFmtId="49" fontId="58" fillId="20" borderId="2" xfId="7" applyNumberFormat="1" applyFont="1" applyFill="1" applyBorder="1" applyAlignment="1">
      <alignment horizontal="center" vertical="center"/>
    </xf>
    <xf numFmtId="2" fontId="58" fillId="20" borderId="2" xfId="10" applyNumberFormat="1" applyFont="1" applyFill="1" applyBorder="1" applyAlignment="1">
      <alignment horizontal="center" vertical="center"/>
    </xf>
    <xf numFmtId="10" fontId="58" fillId="20" borderId="2" xfId="10" applyNumberFormat="1" applyFont="1" applyFill="1" applyBorder="1" applyAlignment="1">
      <alignment horizontal="center" vertical="center"/>
    </xf>
    <xf numFmtId="1" fontId="58" fillId="20" borderId="2" xfId="7" applyNumberFormat="1" applyFont="1" applyFill="1" applyBorder="1" applyAlignment="1">
      <alignment horizontal="center" vertical="center"/>
    </xf>
    <xf numFmtId="174" fontId="58" fillId="24" borderId="2" xfId="7" applyNumberFormat="1" applyFont="1" applyFill="1" applyBorder="1" applyAlignment="1">
      <alignment horizontal="center" vertical="center"/>
    </xf>
    <xf numFmtId="165" fontId="62" fillId="31" borderId="0" xfId="0" applyNumberFormat="1" applyFont="1" applyFill="1"/>
    <xf numFmtId="174" fontId="62" fillId="31" borderId="0" xfId="0" applyNumberFormat="1" applyFont="1" applyFill="1"/>
    <xf numFmtId="165" fontId="62" fillId="31" borderId="0" xfId="0" applyNumberFormat="1" applyFont="1" applyFill="1" applyProtection="1">
      <protection locked="0"/>
    </xf>
    <xf numFmtId="166" fontId="62" fillId="31" borderId="0" xfId="0" applyNumberFormat="1" applyFont="1" applyFill="1" applyAlignment="1" applyProtection="1">
      <alignment horizontal="right"/>
      <protection locked="0"/>
    </xf>
    <xf numFmtId="166" fontId="62" fillId="31" borderId="0" xfId="0" applyNumberFormat="1" applyFont="1" applyFill="1" applyAlignment="1">
      <alignment horizontal="right"/>
    </xf>
    <xf numFmtId="0" fontId="61" fillId="0" borderId="0" xfId="0" applyFont="1" applyAlignment="1">
      <alignment horizontal="right"/>
    </xf>
    <xf numFmtId="0" fontId="58" fillId="20" borderId="0" xfId="0" applyFont="1" applyFill="1" applyAlignment="1">
      <alignment horizontal="center"/>
    </xf>
    <xf numFmtId="0" fontId="58" fillId="24" borderId="27" xfId="0" applyFont="1" applyFill="1" applyBorder="1" applyAlignment="1">
      <alignment horizontal="right"/>
    </xf>
    <xf numFmtId="173" fontId="58" fillId="24" borderId="28" xfId="10" applyNumberFormat="1" applyFont="1" applyFill="1" applyBorder="1" applyAlignment="1">
      <alignment horizontal="center"/>
    </xf>
    <xf numFmtId="173" fontId="58" fillId="24" borderId="20" xfId="10" applyNumberFormat="1" applyFont="1" applyFill="1" applyBorder="1" applyAlignment="1">
      <alignment horizontal="center"/>
    </xf>
    <xf numFmtId="0" fontId="58" fillId="0" borderId="2" xfId="0" applyFont="1" applyBorder="1" applyAlignment="1">
      <alignment horizontal="center"/>
    </xf>
    <xf numFmtId="173" fontId="58" fillId="24" borderId="2" xfId="10" applyNumberFormat="1" applyFont="1" applyFill="1" applyBorder="1" applyAlignment="1">
      <alignment horizontal="center"/>
    </xf>
    <xf numFmtId="0" fontId="58" fillId="0" borderId="53" xfId="0" applyFont="1" applyBorder="1" applyAlignment="1">
      <alignment horizontal="center"/>
    </xf>
    <xf numFmtId="0" fontId="58" fillId="0" borderId="26" xfId="0" applyFont="1" applyBorder="1" applyAlignment="1">
      <alignment horizontal="center"/>
    </xf>
    <xf numFmtId="173" fontId="58" fillId="24" borderId="53" xfId="10" applyNumberFormat="1" applyFont="1" applyFill="1" applyBorder="1" applyAlignment="1">
      <alignment horizontal="center"/>
    </xf>
    <xf numFmtId="173" fontId="58" fillId="24" borderId="26" xfId="10" applyNumberFormat="1" applyFont="1" applyFill="1" applyBorder="1" applyAlignment="1">
      <alignment horizontal="center"/>
    </xf>
    <xf numFmtId="0" fontId="71" fillId="0" borderId="54" xfId="12" applyFont="1" applyBorder="1" applyAlignment="1">
      <alignment horizontal="right"/>
    </xf>
    <xf numFmtId="173" fontId="58" fillId="24" borderId="43" xfId="10" applyNumberFormat="1" applyFont="1" applyFill="1" applyBorder="1" applyAlignment="1">
      <alignment horizontal="center"/>
    </xf>
    <xf numFmtId="173" fontId="58" fillId="20" borderId="20" xfId="10" applyNumberFormat="1" applyFont="1" applyFill="1" applyBorder="1" applyAlignment="1">
      <alignment horizontal="center"/>
    </xf>
    <xf numFmtId="0" fontId="0" fillId="20" borderId="48" xfId="0" applyFill="1" applyBorder="1"/>
    <xf numFmtId="0" fontId="0" fillId="24" borderId="49" xfId="0" applyFill="1" applyBorder="1"/>
    <xf numFmtId="0" fontId="124" fillId="30" borderId="48" xfId="0" applyFont="1" applyFill="1" applyBorder="1"/>
    <xf numFmtId="0" fontId="0" fillId="28" borderId="48" xfId="0" applyFill="1" applyBorder="1"/>
    <xf numFmtId="0" fontId="0" fillId="29" borderId="48" xfId="0" applyFill="1" applyBorder="1"/>
    <xf numFmtId="0" fontId="0" fillId="9" borderId="49" xfId="0" applyFill="1" applyBorder="1"/>
    <xf numFmtId="0" fontId="9" fillId="0" borderId="47" xfId="0" applyFont="1" applyBorder="1" applyAlignment="1">
      <alignment horizontal="center"/>
    </xf>
    <xf numFmtId="0" fontId="9" fillId="0" borderId="47" xfId="0" applyFont="1" applyBorder="1" applyAlignment="1">
      <alignment horizontal="center" wrapText="1"/>
    </xf>
    <xf numFmtId="49" fontId="59" fillId="6" borderId="70" xfId="7" applyNumberFormat="1" applyFont="1" applyFill="1" applyBorder="1" applyAlignment="1">
      <alignment horizontal="center" vertical="center" wrapText="1"/>
    </xf>
    <xf numFmtId="173" fontId="107" fillId="0" borderId="97" xfId="7" applyNumberFormat="1" applyFont="1" applyBorder="1" applyAlignment="1">
      <alignment horizontal="center" vertical="top"/>
    </xf>
    <xf numFmtId="0" fontId="67" fillId="0" borderId="7" xfId="7" applyFont="1" applyBorder="1" applyAlignment="1">
      <alignment horizontal="center" wrapText="1"/>
    </xf>
    <xf numFmtId="0" fontId="67" fillId="0" borderId="11" xfId="7" applyFont="1" applyBorder="1" applyAlignment="1">
      <alignment horizontal="center" wrapText="1"/>
    </xf>
    <xf numFmtId="0" fontId="67" fillId="0" borderId="29" xfId="7" applyFont="1" applyBorder="1" applyAlignment="1">
      <alignment horizontal="center" wrapText="1"/>
    </xf>
    <xf numFmtId="0" fontId="67" fillId="0" borderId="7" xfId="7" applyFont="1" applyBorder="1" applyAlignment="1">
      <alignment horizontal="center"/>
    </xf>
    <xf numFmtId="0" fontId="67" fillId="0" borderId="11" xfId="7" applyFont="1" applyBorder="1" applyAlignment="1">
      <alignment horizontal="center"/>
    </xf>
    <xf numFmtId="0" fontId="67" fillId="0" borderId="29" xfId="7" applyFont="1" applyBorder="1" applyAlignment="1">
      <alignment horizontal="center"/>
    </xf>
    <xf numFmtId="0" fontId="64" fillId="2" borderId="13" xfId="0" applyFont="1" applyFill="1" applyBorder="1" applyAlignment="1">
      <alignment horizontal="center"/>
    </xf>
    <xf numFmtId="0" fontId="64" fillId="2" borderId="21" xfId="0" applyFont="1" applyFill="1" applyBorder="1" applyAlignment="1">
      <alignment horizontal="center"/>
    </xf>
    <xf numFmtId="0" fontId="60" fillId="0" borderId="0" xfId="7" applyFont="1" applyAlignment="1">
      <alignment horizontal="center"/>
    </xf>
    <xf numFmtId="0" fontId="57" fillId="0" borderId="7" xfId="7" applyFont="1" applyBorder="1" applyAlignment="1">
      <alignment horizontal="center" wrapText="1"/>
    </xf>
    <xf numFmtId="0" fontId="57" fillId="0" borderId="11" xfId="7" applyFont="1" applyBorder="1" applyAlignment="1">
      <alignment horizontal="center" wrapText="1"/>
    </xf>
    <xf numFmtId="0" fontId="57" fillId="0" borderId="29" xfId="7" applyFont="1" applyBorder="1" applyAlignment="1">
      <alignment horizontal="center" wrapText="1"/>
    </xf>
    <xf numFmtId="0" fontId="20" fillId="5" borderId="24" xfId="5" applyFont="1" applyFill="1" applyBorder="1" applyAlignment="1">
      <alignment horizontal="left"/>
    </xf>
    <xf numFmtId="0" fontId="20" fillId="5" borderId="28" xfId="5" applyFont="1" applyFill="1" applyBorder="1" applyAlignment="1">
      <alignment horizontal="left"/>
    </xf>
    <xf numFmtId="0" fontId="20" fillId="5" borderId="13" xfId="5" applyFont="1" applyFill="1" applyBorder="1" applyAlignment="1">
      <alignment horizontal="left"/>
    </xf>
    <xf numFmtId="0" fontId="61" fillId="0" borderId="12" xfId="0" applyFont="1" applyBorder="1" applyAlignment="1">
      <alignment horizontal="center"/>
    </xf>
    <xf numFmtId="0" fontId="61" fillId="0" borderId="13" xfId="0" applyFont="1" applyBorder="1" applyAlignment="1">
      <alignment horizontal="center"/>
    </xf>
    <xf numFmtId="0" fontId="61" fillId="0" borderId="21" xfId="0" applyFont="1" applyBorder="1" applyAlignment="1">
      <alignment horizontal="center"/>
    </xf>
    <xf numFmtId="0" fontId="69" fillId="0" borderId="27" xfId="0" applyFont="1" applyBorder="1" applyAlignment="1">
      <alignment horizontal="center"/>
    </xf>
    <xf numFmtId="0" fontId="69" fillId="0" borderId="24" xfId="0" applyFont="1" applyBorder="1" applyAlignment="1">
      <alignment horizontal="center"/>
    </xf>
    <xf numFmtId="0" fontId="69" fillId="0" borderId="28" xfId="0" applyFont="1" applyBorder="1" applyAlignment="1">
      <alignment horizontal="center"/>
    </xf>
    <xf numFmtId="0" fontId="106" fillId="17" borderId="27" xfId="0" applyFont="1" applyFill="1" applyBorder="1" applyAlignment="1">
      <alignment horizontal="left" wrapText="1"/>
    </xf>
    <xf numFmtId="0" fontId="106" fillId="17" borderId="24" xfId="0" applyFont="1" applyFill="1" applyBorder="1" applyAlignment="1">
      <alignment horizontal="left" wrapText="1"/>
    </xf>
    <xf numFmtId="0" fontId="106" fillId="17" borderId="28" xfId="0" applyFont="1" applyFill="1" applyBorder="1" applyAlignment="1">
      <alignment horizontal="left" wrapText="1"/>
    </xf>
    <xf numFmtId="0" fontId="103" fillId="17" borderId="27" xfId="0" applyFont="1" applyFill="1" applyBorder="1" applyAlignment="1">
      <alignment horizontal="left" vertical="center" wrapText="1"/>
    </xf>
    <xf numFmtId="0" fontId="103" fillId="17" borderId="24" xfId="0" applyFont="1" applyFill="1" applyBorder="1" applyAlignment="1">
      <alignment horizontal="left" vertical="center" wrapText="1"/>
    </xf>
    <xf numFmtId="0" fontId="103" fillId="17" borderId="28" xfId="0" applyFont="1" applyFill="1" applyBorder="1" applyAlignment="1">
      <alignment horizontal="left" vertical="center" wrapText="1"/>
    </xf>
    <xf numFmtId="0" fontId="107" fillId="0" borderId="0" xfId="0" applyFont="1" applyAlignment="1">
      <alignment horizontal="center" wrapText="1"/>
    </xf>
    <xf numFmtId="0" fontId="102" fillId="21" borderId="27" xfId="0" applyFont="1" applyFill="1" applyBorder="1" applyAlignment="1">
      <alignment horizontal="center" vertical="center" wrapText="1"/>
    </xf>
    <xf numFmtId="0" fontId="102" fillId="21" borderId="28" xfId="0" applyFont="1" applyFill="1" applyBorder="1" applyAlignment="1">
      <alignment horizontal="center" vertical="center" wrapText="1"/>
    </xf>
    <xf numFmtId="0" fontId="68" fillId="0" borderId="8" xfId="0" applyFont="1" applyBorder="1" applyAlignment="1">
      <alignment horizontal="center" vertical="top" wrapText="1"/>
    </xf>
    <xf numFmtId="0" fontId="68" fillId="0" borderId="10" xfId="0" applyFont="1" applyBorder="1" applyAlignment="1">
      <alignment horizontal="center" vertical="top" wrapText="1"/>
    </xf>
    <xf numFmtId="0" fontId="68" fillId="0" borderId="54" xfId="0" applyFont="1" applyBorder="1" applyAlignment="1">
      <alignment horizontal="center" vertical="top" wrapText="1"/>
    </xf>
    <xf numFmtId="0" fontId="68" fillId="0" borderId="50" xfId="0" applyFont="1" applyBorder="1" applyAlignment="1">
      <alignment horizontal="center" vertical="top" wrapText="1"/>
    </xf>
    <xf numFmtId="0" fontId="106" fillId="17" borderId="67" xfId="0" applyFont="1" applyFill="1" applyBorder="1" applyAlignment="1">
      <alignment horizontal="left" wrapText="1"/>
    </xf>
    <xf numFmtId="0" fontId="106" fillId="17" borderId="64" xfId="0" applyFont="1" applyFill="1" applyBorder="1" applyAlignment="1">
      <alignment horizontal="left" wrapText="1"/>
    </xf>
    <xf numFmtId="0" fontId="106" fillId="17" borderId="60" xfId="0" applyFont="1" applyFill="1" applyBorder="1" applyAlignment="1">
      <alignment horizontal="left" wrapText="1"/>
    </xf>
    <xf numFmtId="0" fontId="103" fillId="17" borderId="67" xfId="0" applyFont="1" applyFill="1" applyBorder="1" applyAlignment="1">
      <alignment horizontal="left" vertical="center" wrapText="1"/>
    </xf>
    <xf numFmtId="0" fontId="103" fillId="17" borderId="64" xfId="0" applyFont="1" applyFill="1" applyBorder="1" applyAlignment="1">
      <alignment horizontal="left" vertical="center" wrapText="1"/>
    </xf>
    <xf numFmtId="0" fontId="103" fillId="17" borderId="60" xfId="0" applyFont="1" applyFill="1" applyBorder="1" applyAlignment="1">
      <alignment horizontal="left" vertical="center" wrapText="1"/>
    </xf>
    <xf numFmtId="0" fontId="109" fillId="0" borderId="0" xfId="0" applyFont="1" applyAlignment="1">
      <alignment horizontal="center" wrapText="1"/>
    </xf>
    <xf numFmtId="0" fontId="119" fillId="26" borderId="91" xfId="0" applyFont="1" applyFill="1" applyBorder="1" applyAlignment="1">
      <alignment horizontal="justify" vertical="center" wrapText="1"/>
    </xf>
    <xf numFmtId="0" fontId="119" fillId="26" borderId="92" xfId="0" applyFont="1" applyFill="1" applyBorder="1" applyAlignment="1">
      <alignment horizontal="justify" vertical="center" wrapText="1"/>
    </xf>
    <xf numFmtId="0" fontId="119" fillId="26" borderId="88" xfId="0" applyFont="1" applyFill="1" applyBorder="1" applyAlignment="1">
      <alignment horizontal="justify" vertical="center" wrapText="1"/>
    </xf>
    <xf numFmtId="0" fontId="120" fillId="27" borderId="0" xfId="0" applyFont="1" applyFill="1" applyAlignment="1">
      <alignment horizontal="justify" vertical="center" wrapText="1"/>
    </xf>
    <xf numFmtId="0" fontId="119" fillId="27" borderId="0" xfId="0" applyFont="1" applyFill="1" applyAlignment="1">
      <alignment horizontal="justify" vertical="center" wrapText="1"/>
    </xf>
    <xf numFmtId="0" fontId="120" fillId="26" borderId="93" xfId="0" applyFont="1" applyFill="1" applyBorder="1" applyAlignment="1">
      <alignment horizontal="justify" vertical="center" wrapText="1"/>
    </xf>
    <xf numFmtId="0" fontId="120" fillId="26" borderId="94" xfId="0" applyFont="1" applyFill="1" applyBorder="1" applyAlignment="1">
      <alignment horizontal="justify" vertical="center" wrapText="1"/>
    </xf>
    <xf numFmtId="0" fontId="120" fillId="26" borderId="95" xfId="0" applyFont="1" applyFill="1" applyBorder="1" applyAlignment="1">
      <alignment horizontal="justify" vertical="center" wrapText="1"/>
    </xf>
    <xf numFmtId="0" fontId="119" fillId="26" borderId="89" xfId="0" applyFont="1" applyFill="1" applyBorder="1" applyAlignment="1">
      <alignment horizontal="justify" vertical="center" wrapText="1"/>
    </xf>
    <xf numFmtId="0" fontId="119" fillId="26" borderId="0" xfId="0" applyFont="1" applyFill="1" applyAlignment="1">
      <alignment horizontal="justify" vertical="center" wrapText="1"/>
    </xf>
    <xf numFmtId="0" fontId="119" fillId="26" borderId="90" xfId="0" applyFont="1" applyFill="1" applyBorder="1" applyAlignment="1">
      <alignment horizontal="justify" vertical="center" wrapText="1"/>
    </xf>
    <xf numFmtId="0" fontId="120" fillId="26" borderId="89" xfId="0" applyFont="1" applyFill="1" applyBorder="1" applyAlignment="1">
      <alignment horizontal="justify" vertical="center" wrapText="1"/>
    </xf>
    <xf numFmtId="0" fontId="120" fillId="26" borderId="0" xfId="0" applyFont="1" applyFill="1" applyAlignment="1">
      <alignment horizontal="justify" vertical="center" wrapText="1"/>
    </xf>
    <xf numFmtId="0" fontId="120" fillId="26" borderId="90" xfId="0" applyFont="1" applyFill="1" applyBorder="1" applyAlignment="1">
      <alignment horizontal="justify" vertical="center" wrapText="1"/>
    </xf>
    <xf numFmtId="0" fontId="64" fillId="12" borderId="13" xfId="0" applyFont="1" applyFill="1" applyBorder="1" applyAlignment="1">
      <alignment horizontal="center"/>
    </xf>
    <xf numFmtId="0" fontId="64" fillId="12" borderId="81" xfId="0" applyFont="1" applyFill="1" applyBorder="1" applyAlignment="1">
      <alignment horizontal="center"/>
    </xf>
    <xf numFmtId="0" fontId="64" fillId="12" borderId="82" xfId="0" applyFont="1" applyFill="1" applyBorder="1" applyAlignment="1">
      <alignment horizontal="center"/>
    </xf>
    <xf numFmtId="0" fontId="64" fillId="17" borderId="13" xfId="0" applyFont="1" applyFill="1" applyBorder="1" applyAlignment="1">
      <alignment horizontal="center"/>
    </xf>
    <xf numFmtId="0" fontId="64" fillId="12" borderId="21" xfId="0" applyFont="1" applyFill="1" applyBorder="1" applyAlignment="1">
      <alignment horizontal="center"/>
    </xf>
    <xf numFmtId="0" fontId="80" fillId="3" borderId="83" xfId="0" applyFont="1" applyFill="1" applyBorder="1" applyAlignment="1">
      <alignment horizontal="center" vertical="center" wrapText="1"/>
    </xf>
    <xf numFmtId="0" fontId="80" fillId="3" borderId="62" xfId="0" applyFont="1" applyFill="1" applyBorder="1" applyAlignment="1">
      <alignment horizontal="center" vertical="center" wrapText="1"/>
    </xf>
    <xf numFmtId="0" fontId="91" fillId="2" borderId="0" xfId="4" applyFont="1" applyFill="1" applyAlignment="1">
      <alignment horizontal="center" vertical="center"/>
    </xf>
    <xf numFmtId="167" fontId="65" fillId="3" borderId="0" xfId="0" applyNumberFormat="1" applyFont="1" applyFill="1" applyAlignment="1">
      <alignment horizontal="center"/>
    </xf>
    <xf numFmtId="167" fontId="65" fillId="3" borderId="15" xfId="0" applyNumberFormat="1" applyFont="1" applyFill="1" applyBorder="1" applyAlignment="1">
      <alignment horizontal="center"/>
    </xf>
    <xf numFmtId="0" fontId="80" fillId="3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/>
    </xf>
    <xf numFmtId="0" fontId="12" fillId="2" borderId="0" xfId="4" applyFont="1" applyFill="1" applyAlignment="1">
      <alignment horizontal="center" vertical="center"/>
    </xf>
    <xf numFmtId="0" fontId="6" fillId="3" borderId="61" xfId="0" applyFont="1" applyFill="1" applyBorder="1" applyAlignment="1">
      <alignment horizontal="center" vertical="center" wrapText="1"/>
    </xf>
    <xf numFmtId="0" fontId="6" fillId="3" borderId="62" xfId="0" applyFont="1" applyFill="1" applyBorder="1" applyAlignment="1">
      <alignment horizontal="center" vertical="center" wrapText="1"/>
    </xf>
    <xf numFmtId="0" fontId="6" fillId="3" borderId="6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/>
    </xf>
    <xf numFmtId="0" fontId="2" fillId="12" borderId="13" xfId="0" applyFont="1" applyFill="1" applyBorder="1" applyAlignment="1">
      <alignment horizontal="center"/>
    </xf>
    <xf numFmtId="0" fontId="2" fillId="12" borderId="21" xfId="0" applyFont="1" applyFill="1" applyBorder="1" applyAlignment="1">
      <alignment horizontal="center"/>
    </xf>
    <xf numFmtId="0" fontId="2" fillId="12" borderId="81" xfId="0" applyFont="1" applyFill="1" applyBorder="1" applyAlignment="1">
      <alignment horizontal="center"/>
    </xf>
    <xf numFmtId="0" fontId="2" fillId="12" borderId="82" xfId="0" applyFont="1" applyFill="1" applyBorder="1" applyAlignment="1">
      <alignment horizontal="center"/>
    </xf>
    <xf numFmtId="167" fontId="4" fillId="3" borderId="0" xfId="0" applyNumberFormat="1" applyFont="1" applyFill="1" applyAlignment="1">
      <alignment horizontal="center"/>
    </xf>
    <xf numFmtId="167" fontId="4" fillId="3" borderId="15" xfId="0" applyNumberFormat="1" applyFont="1" applyFill="1" applyBorder="1" applyAlignment="1">
      <alignment horizontal="center"/>
    </xf>
    <xf numFmtId="168" fontId="47" fillId="12" borderId="70" xfId="0" applyNumberFormat="1" applyFont="1" applyFill="1" applyBorder="1" applyAlignment="1">
      <alignment horizontal="center"/>
    </xf>
    <xf numFmtId="0" fontId="48" fillId="12" borderId="70" xfId="0" applyFont="1" applyFill="1" applyBorder="1" applyAlignment="1">
      <alignment horizontal="center"/>
    </xf>
    <xf numFmtId="164" fontId="46" fillId="0" borderId="73" xfId="0" applyNumberFormat="1" applyFont="1" applyBorder="1" applyAlignment="1">
      <alignment horizontal="center"/>
    </xf>
    <xf numFmtId="164" fontId="46" fillId="0" borderId="74" xfId="0" applyNumberFormat="1" applyFont="1" applyBorder="1" applyAlignment="1">
      <alignment horizontal="center"/>
    </xf>
  </cellXfs>
  <cellStyles count="13">
    <cellStyle name="Comma" xfId="1" builtinId="3"/>
    <cellStyle name="Comma 2" xfId="2" xr:uid="{00000000-0005-0000-0000-000001000000}"/>
    <cellStyle name="Currency" xfId="11" builtinId="4"/>
    <cellStyle name="Currency 2" xfId="3" xr:uid="{00000000-0005-0000-0000-000003000000}"/>
    <cellStyle name="Hyperlink" xfId="12" builtinId="8"/>
    <cellStyle name="Normal" xfId="0" builtinId="0"/>
    <cellStyle name="Normal 2" xfId="4" xr:uid="{00000000-0005-0000-0000-000005000000}"/>
    <cellStyle name="Normal 3" xfId="5" xr:uid="{00000000-0005-0000-0000-000006000000}"/>
    <cellStyle name="Normal 4" xfId="6" xr:uid="{00000000-0005-0000-0000-000007000000}"/>
    <cellStyle name="Normal 5" xfId="7" xr:uid="{00000000-0005-0000-0000-000008000000}"/>
    <cellStyle name="Percent" xfId="10" builtinId="5"/>
    <cellStyle name="Percent 2" xfId="8" xr:uid="{00000000-0005-0000-0000-00000A000000}"/>
    <cellStyle name="Style 1" xfId="9" xr:uid="{00000000-0005-0000-0000-00000B000000}"/>
  </cellStyles>
  <dxfs count="25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3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0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5" formatCode="#,##0_);\(#,##0\)"/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 Narrow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3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0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 Narrow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/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3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0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 Narrow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3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0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Narrow"/>
        <scheme val="none"/>
      </font>
      <numFmt numFmtId="174" formatCode="&quot;$&quot;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3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0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5" formatCode="#,##0_);\(#,##0\)"/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 Narrow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3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0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 Narrow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3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0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 Narrow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3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0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numFmt numFmtId="174" formatCode="&quot;$&quot;#,##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numFmt numFmtId="13" formatCode="0%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3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0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5" formatCode="#,##0_);\(#,##0\)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4" formatCode="&quot;$&quot;#,##0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3" formatCode="0%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3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0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  <scheme val="none"/>
      </font>
      <numFmt numFmtId="174" formatCode="&quot;$&quot;#,##0"/>
    </dxf>
    <dxf>
      <font>
        <strike val="0"/>
        <outline val="0"/>
        <shadow val="0"/>
        <vertAlign val="baseline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3" formatCode="0%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3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0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numFmt numFmtId="174" formatCode="&quot;$&quot;#,##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4" formatCode="&quot;$&quot;#,##0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4" formatCode="#,##0.00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3" formatCode="0%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3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0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74" formatCode="&quot;$&quot;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name val="Times New Roman"/>
        <family val="1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strike val="0"/>
        <outline val="0"/>
        <shadow val="0"/>
        <vertAlign val="baseline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0" formatCode="&quot;$&quot;#,##0_);[Red]\(&quot;$&quot;#,##0\)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3" formatCode="0.0%"/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0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5" formatCode="#,##0_);\(#,##0\)"/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3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0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4" formatCode="&quot;$&quot;#,##0"/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3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0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4" formatCode="&quot;$&quot;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4" formatCode="&quot;$&quot;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Times New Roman"/>
        <family val="1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0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3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0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ont>
        <strike val="0"/>
        <outline val="0"/>
        <shadow val="0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2383366</xdr:colOff>
      <xdr:row>2</xdr:row>
      <xdr:rowOff>88900</xdr:rowOff>
    </xdr:from>
    <xdr:to>
      <xdr:col>1</xdr:col>
      <xdr:colOff>698500</xdr:colOff>
      <xdr:row>2</xdr:row>
      <xdr:rowOff>88900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2DD820B-534A-43B4-B7DA-94CE43D270D3}"/>
            </a:ext>
          </a:extLst>
        </xdr:cNvPr>
        <xdr:cNvCxnSpPr/>
      </xdr:nvCxnSpPr>
      <xdr:spPr>
        <a:xfrm>
          <a:off x="2383366" y="732367"/>
          <a:ext cx="84666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2523067</xdr:colOff>
      <xdr:row>3</xdr:row>
      <xdr:rowOff>88900</xdr:rowOff>
    </xdr:from>
    <xdr:to>
      <xdr:col>0</xdr:col>
      <xdr:colOff>4593167</xdr:colOff>
      <xdr:row>4</xdr:row>
      <xdr:rowOff>67733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E31F97B-7F8B-4DED-A6C5-A15064094657}"/>
            </a:ext>
          </a:extLst>
        </xdr:cNvPr>
        <xdr:cNvCxnSpPr/>
      </xdr:nvCxnSpPr>
      <xdr:spPr>
        <a:xfrm>
          <a:off x="2523067" y="635000"/>
          <a:ext cx="2070100" cy="1439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3526366</xdr:colOff>
      <xdr:row>11</xdr:row>
      <xdr:rowOff>80433</xdr:rowOff>
    </xdr:from>
    <xdr:to>
      <xdr:col>1</xdr:col>
      <xdr:colOff>715432</xdr:colOff>
      <xdr:row>11</xdr:row>
      <xdr:rowOff>80433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D6EF415-AEF9-4D33-A3DD-A1479B487B9E}"/>
            </a:ext>
          </a:extLst>
        </xdr:cNvPr>
        <xdr:cNvCxnSpPr/>
      </xdr:nvCxnSpPr>
      <xdr:spPr>
        <a:xfrm>
          <a:off x="3526366" y="1926166"/>
          <a:ext cx="185843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4635499</xdr:colOff>
      <xdr:row>13</xdr:row>
      <xdr:rowOff>88901</xdr:rowOff>
    </xdr:from>
    <xdr:to>
      <xdr:col>1</xdr:col>
      <xdr:colOff>719666</xdr:colOff>
      <xdr:row>13</xdr:row>
      <xdr:rowOff>88901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5C01913-AD5F-4091-B31E-77E84A696961}"/>
            </a:ext>
          </a:extLst>
        </xdr:cNvPr>
        <xdr:cNvCxnSpPr/>
      </xdr:nvCxnSpPr>
      <xdr:spPr>
        <a:xfrm>
          <a:off x="4635499" y="2264834"/>
          <a:ext cx="75353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bgnh.sharepoint.com/sites/RBG/Articles_Tools/Financial%20Model%20Template/EEM%20Lifetime%20List.xlsx" TargetMode="External"/><Relationship Id="rId1" Type="http://schemas.openxmlformats.org/officeDocument/2006/relationships/externalLinkPath" Target="EEM%20Lifetime%20Li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ILIENT\rbg\Documents%20and%20Settings\Gary%20O'Connell\My%20Documents\GSE2\Project%20Folders\C%20&amp;%20I%20Projects\RMA\Level%20II%20Audits\Dorr%20Woolen\Financial%20Model%20Template%200628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ilding Lifespan"/>
      <sheetName val="EEM Lifetimes"/>
    </sheetNames>
    <sheetDataSet>
      <sheetData sheetId="0">
        <row r="2">
          <cell r="B2">
            <v>63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Key"/>
      <sheetName val="In-House Pricing"/>
      <sheetName val="Costing Summary"/>
      <sheetName val="Energy Use Breakdown"/>
      <sheetName val="Savings Summary"/>
      <sheetName val="Qualifying Test"/>
      <sheetName val="Energy Modeling Results"/>
      <sheetName val="Cost Modeling Results"/>
      <sheetName val="Itemized Savings"/>
      <sheetName val="summary for report"/>
      <sheetName val="Summary "/>
      <sheetName val="EEM Tables"/>
      <sheetName val="ENVELOPE UPGRADES"/>
      <sheetName val="MECH. UPGRADES"/>
      <sheetName val="ELEC. UPGRADES"/>
      <sheetName val="RENEWABLE UPGRADES"/>
      <sheetName val="Fuel Comp"/>
    </sheetNames>
    <sheetDataSet>
      <sheetData sheetId="0"/>
      <sheetData sheetId="1"/>
      <sheetData sheetId="2">
        <row r="58">
          <cell r="C58" t="str">
            <v xml:space="preserve">  </v>
          </cell>
        </row>
        <row r="59">
          <cell r="C59" t="str">
            <v>TOTAL ELECTRICAL SYSTEM UPGRADES</v>
          </cell>
        </row>
        <row r="60">
          <cell r="C60">
            <v>0</v>
          </cell>
        </row>
        <row r="77">
          <cell r="C77" t="str">
            <v xml:space="preserve">  </v>
          </cell>
        </row>
        <row r="78">
          <cell r="C78" t="str">
            <v>TOTAL RENEWABLE ENERGY SYSTEM UPGRADES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7:M31" totalsRowShown="0" headerRowDxfId="251" dataDxfId="250" tableBorderDxfId="249">
  <autoFilter ref="A7:M31" xr:uid="{00000000-0009-0000-0100-000006000000}"/>
  <tableColumns count="13">
    <tableColumn id="1" xr3:uid="{00000000-0010-0000-0000-000001000000}" name="EEM #" dataDxfId="248">
      <calculatedColumnFormula>'EEM Data Entry'!A85</calculatedColumnFormula>
    </tableColumn>
    <tableColumn id="2" xr3:uid="{00000000-0010-0000-0000-000002000000}" name="BUILDING ENVELOPE UPGRADES" dataDxfId="247">
      <calculatedColumnFormula>'EEM Data Entry'!B85</calculatedColumnFormula>
    </tableColumn>
    <tableColumn id="3" xr3:uid="{00000000-0010-0000-0000-000003000000}" name="CAPITAL INVESTMENT" dataDxfId="246">
      <calculatedColumnFormula>'EEM Data Entry'!F85</calculatedColumnFormula>
    </tableColumn>
    <tableColumn id="4" xr3:uid="{00000000-0010-0000-0000-000004000000}" name="END-OF-LIFE" dataDxfId="245"/>
    <tableColumn id="5" xr3:uid="{00000000-0010-0000-0000-000005000000}" name="ENERGY INVESTMENT" dataDxfId="244">
      <calculatedColumnFormula>C8-D8</calculatedColumnFormula>
    </tableColumn>
    <tableColumn id="6" xr3:uid="{00000000-0010-0000-0000-000006000000}" name="ANNUAL ENERGY COST SAVINGS" dataDxfId="243">
      <calculatedColumnFormula>('Savings Summary'!#REF!*'Savings Summary'!D$5)+('Savings Summary'!#REF!*'Savings Summary'!F$5)+('Savings Summary'!#REF!*'Savings Summary'!H$5)+('Savings Summary'!#REF!*'Savings Summary'!J$5)+('Savings Summary'!#REF!*'Savings Summary'!L$5)+('Savings Summary'!#REF!*'Savings Summary'!N$5)+('Savings Summary'!#REF!*'Savings Summary'!P$5)+('Savings Summary'!#REF!*'Savings Summary'!R$5)</calculatedColumnFormula>
    </tableColumn>
    <tableColumn id="7" xr3:uid="{00000000-0010-0000-0000-000007000000}" name="ANNUAL ENERGY  SAVINGS kBTU" dataDxfId="242">
      <calculatedColumnFormula>'Savings Summary'!#REF!</calculatedColumnFormula>
    </tableColumn>
    <tableColumn id="8" xr3:uid="{00000000-0010-0000-0000-000008000000}" name="SIMPLE PAYBACK " dataDxfId="241">
      <calculatedColumnFormula>IF(C8=0,"n/a",E8/F8)</calculatedColumnFormula>
    </tableColumn>
    <tableColumn id="9" xr3:uid="{00000000-0010-0000-0000-000009000000}" name="RECO-MMEND" dataDxfId="240">
      <calculatedColumnFormula>IF(H8=0, "n/a", IF(H8&gt;100, "no",IF(H8&lt;0, "no", "yes")))</calculatedColumnFormula>
    </tableColumn>
    <tableColumn id="10" xr3:uid="{00000000-0010-0000-0000-00000A000000}" name="IRR" dataDxfId="239">
      <calculatedColumnFormula>IRR(Q8:DM8,0.1)</calculatedColumnFormula>
    </tableColumn>
    <tableColumn id="11" xr3:uid="{00000000-0010-0000-0000-00000B000000}" name="NPV" dataDxfId="238">
      <calculatedColumnFormula>PV('Interest Rate'!$B$17,Table6[[#This Row],[LIFETIME]],-Table6[[#This Row],[ANNUAL ENERGY COST SAVINGS]],Table6[[#This Row],[END-OF-LIFE]],0)-Table6[[#This Row],[CAPITAL INVESTMENT]]</calculatedColumnFormula>
    </tableColumn>
    <tableColumn id="12" xr3:uid="{DEC0F0E8-77AA-4FCD-BCBB-2D605220FC8E}" name="LIFETIME" dataDxfId="237">
      <calculatedColumnFormula>'EEM Data Entry'!C85</calculatedColumnFormula>
    </tableColumn>
    <tableColumn id="13" xr3:uid="{566130BA-06AD-4BE9-B1BF-EBB5F236BE2D}" name="ROI" dataDxfId="236" dataCellStyle="Percent">
      <calculatedColumnFormula>Table6[[#This Row],[ANNUAL ENERGY COST SAVINGS]]/Table6[[#This Row],[CAPITAL INVESTMENT]]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7" displayName="Table7" ref="A32:M46" totalsRowShown="0" headerRowDxfId="235" dataDxfId="234" tableBorderDxfId="233">
  <autoFilter ref="A32:M46" xr:uid="{00000000-0009-0000-0100-000007000000}"/>
  <tableColumns count="13">
    <tableColumn id="1" xr3:uid="{00000000-0010-0000-0100-000001000000}" name="EEM #" dataDxfId="232">
      <calculatedColumnFormula>'EEM Data Entry'!A110</calculatedColumnFormula>
    </tableColumn>
    <tableColumn id="2" xr3:uid="{00000000-0010-0000-0100-000002000000}" name="MECHANICAL SYSTEM UPGRADES" dataDxfId="231">
      <calculatedColumnFormula>'EEM Data Entry'!B110</calculatedColumnFormula>
    </tableColumn>
    <tableColumn id="3" xr3:uid="{00000000-0010-0000-0100-000003000000}" name="CAPITAL INVESTMENT" dataDxfId="230">
      <calculatedColumnFormula>'EEM Data Entry'!F110</calculatedColumnFormula>
    </tableColumn>
    <tableColumn id="4" xr3:uid="{00000000-0010-0000-0100-000004000000}" name="END-OF-LIFE" dataDxfId="229"/>
    <tableColumn id="5" xr3:uid="{00000000-0010-0000-0100-000005000000}" name="ENERGY INVESTMENT" dataDxfId="228">
      <calculatedColumnFormula>C33-D33</calculatedColumnFormula>
    </tableColumn>
    <tableColumn id="6" xr3:uid="{00000000-0010-0000-0100-000006000000}" name="ANNUAL ENERGY COST SAVINGS" dataDxfId="227">
      <calculatedColumnFormula>('Savings Summary'!D34*'Savings Summary'!D$5)+('Savings Summary'!F34*'Savings Summary'!F$5)+('Savings Summary'!H34*'Savings Summary'!H$5)+('Savings Summary'!J34*'Savings Summary'!J$5)+('Savings Summary'!L34*'Savings Summary'!L$5)+('Savings Summary'!N34*'Savings Summary'!N$5)+('Savings Summary'!P34*'Savings Summary'!P$5)+('Savings Summary'!R34*'Savings Summary'!R$5)</calculatedColumnFormula>
    </tableColumn>
    <tableColumn id="7" xr3:uid="{00000000-0010-0000-0100-000007000000}" name="ANNUAL ENERGY SAVINGS kBTU" dataDxfId="226">
      <calculatedColumnFormula>'Savings Summary'!T34</calculatedColumnFormula>
    </tableColumn>
    <tableColumn id="8" xr3:uid="{00000000-0010-0000-0100-000008000000}" name="SIMPLE PAYBACK" dataDxfId="225">
      <calculatedColumnFormula>IF(C33=0,"n/a",E33/F33)</calculatedColumnFormula>
    </tableColumn>
    <tableColumn id="9" xr3:uid="{00000000-0010-0000-0100-000009000000}" name="Column9" dataDxfId="224">
      <calculatedColumnFormula>IF(H33=0, "n/a", IF(H33&gt;100, "no",IF(H33&lt;0, "no", "yes")))</calculatedColumnFormula>
    </tableColumn>
    <tableColumn id="10" xr3:uid="{00000000-0010-0000-0100-00000A000000}" name="IRR" dataDxfId="223">
      <calculatedColumnFormula>IRR(Q33:DM33,0.1)</calculatedColumnFormula>
    </tableColumn>
    <tableColumn id="11" xr3:uid="{00000000-0010-0000-0100-00000B000000}" name="NPV" dataDxfId="222">
      <calculatedColumnFormula>PV('Interest Rate'!$B$17,Table7[[#This Row],[LIFETIME]],-Table7[[#This Row],[ANNUAL ENERGY COST SAVINGS]],Table7[[#This Row],[END-OF-LIFE]],0)-Table7[[#This Row],[CAPITAL INVESTMENT]]</calculatedColumnFormula>
    </tableColumn>
    <tableColumn id="12" xr3:uid="{C14D922C-EA1B-495C-AB69-4171949AE4CF}" name="LIFETIME" dataDxfId="221">
      <calculatedColumnFormula>'EEM Data Entry'!C110</calculatedColumnFormula>
    </tableColumn>
    <tableColumn id="13" xr3:uid="{3A1AF1A4-2D49-4B18-AC61-DFA81147F1CB}" name="ROI" dataDxfId="220" dataCellStyle="Percent">
      <calculatedColumnFormula>Table6[[#This Row],[ANNUAL ENERGY COST SAVINGS]]/Table6[[#This Row],[CAPITAL INVESTMENT]]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8" displayName="Table8" ref="A48:M63" totalsRowShown="0" headerRowDxfId="219" dataDxfId="217" headerRowBorderDxfId="218" tableBorderDxfId="216">
  <autoFilter ref="A48:M63" xr:uid="{00000000-0009-0000-0100-000008000000}"/>
  <tableColumns count="13">
    <tableColumn id="1" xr3:uid="{00000000-0010-0000-0200-000001000000}" name="EEM #" dataDxfId="215">
      <calculatedColumnFormula>'EEM Data Entry'!A125</calculatedColumnFormula>
    </tableColumn>
    <tableColumn id="2" xr3:uid="{00000000-0010-0000-0200-000002000000}" name="APPLIANCES AND LIGHTING UPGRADES" dataDxfId="214">
      <calculatedColumnFormula>IF('EEM Data Entry'!B125="  ","  ", 'EEM Data Entry'!B125)</calculatedColumnFormula>
    </tableColumn>
    <tableColumn id="3" xr3:uid="{00000000-0010-0000-0200-000003000000}" name="CAPITAL INVESTMENT" dataDxfId="213">
      <calculatedColumnFormula>'EEM Data Entry'!F125</calculatedColumnFormula>
    </tableColumn>
    <tableColumn id="4" xr3:uid="{00000000-0010-0000-0200-000004000000}" name="END-OF-LIFE" dataDxfId="212"/>
    <tableColumn id="5" xr3:uid="{00000000-0010-0000-0200-000005000000}" name="ENERGY INVESTMENT" dataDxfId="211">
      <calculatedColumnFormula>C49-D49</calculatedColumnFormula>
    </tableColumn>
    <tableColumn id="6" xr3:uid="{00000000-0010-0000-0200-000006000000}" name="ANNUAL ENERGY COST SAVINGS" dataDxfId="210">
      <calculatedColumnFormula>'Savings Summary'!T51*3.412</calculatedColumnFormula>
    </tableColumn>
    <tableColumn id="7" xr3:uid="{00000000-0010-0000-0200-000007000000}" name="ANNUAL ENERGY SAVINGS kBTU" dataDxfId="209">
      <calculatedColumnFormula>'Savings Summary'!T50</calculatedColumnFormula>
    </tableColumn>
    <tableColumn id="8" xr3:uid="{00000000-0010-0000-0200-000008000000}" name="SIMPLE PAYBACK" dataDxfId="208">
      <calculatedColumnFormula>IF(C49=0,"n/a",E49/F49)</calculatedColumnFormula>
    </tableColumn>
    <tableColumn id="9" xr3:uid="{00000000-0010-0000-0200-000009000000}" name="(yes / no)" dataDxfId="207">
      <calculatedColumnFormula>IF(H49=0, "n/a", IF(H49&gt;100, "no",IF(H49&lt;0, "no", "yes")))</calculatedColumnFormula>
    </tableColumn>
    <tableColumn id="10" xr3:uid="{00000000-0010-0000-0200-00000A000000}" name="IRR" dataDxfId="206">
      <calculatedColumnFormula>IRR(Q49:DM49,0.1)</calculatedColumnFormula>
    </tableColumn>
    <tableColumn id="11" xr3:uid="{00000000-0010-0000-0200-00000B000000}" name="NPV" dataDxfId="205">
      <calculatedColumnFormula>PV('Interest Rate'!$B$17,Table8[[#This Row],[LIFETIME]],-Table8[[#This Row],[ANNUAL ENERGY COST SAVINGS]],Table8[[#This Row],[END-OF-LIFE]],0)-Table8[[#This Row],[CAPITAL INVESTMENT]]</calculatedColumnFormula>
    </tableColumn>
    <tableColumn id="12" xr3:uid="{8B0B3A09-F937-4E70-936D-796BE7F146E8}" name="LIFETIME" dataDxfId="204">
      <calculatedColumnFormula>'EEM Data Entry'!C125</calculatedColumnFormula>
    </tableColumn>
    <tableColumn id="13" xr3:uid="{D6B3E466-ABA8-4023-AE3E-927636581AE0}" name="ROI" dataDxfId="203">
      <calculatedColumnFormula>Table6[[#This Row],[ANNUAL ENERGY COST SAVINGS]]/Table6[[#This Row],[CAPITAL INVESTMENT]]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able9" displayName="Table9" ref="A65:M79" totalsRowShown="0" headerRowDxfId="202" dataDxfId="201" tableBorderDxfId="200">
  <autoFilter ref="A65:M79" xr:uid="{00000000-0009-0000-0100-000009000000}"/>
  <tableColumns count="13">
    <tableColumn id="1" xr3:uid="{00000000-0010-0000-0300-000001000000}" name="EEM #" dataDxfId="199">
      <calculatedColumnFormula>'EEM Data Entry'!A141</calculatedColumnFormula>
    </tableColumn>
    <tableColumn id="2" xr3:uid="{00000000-0010-0000-0300-000002000000}" name="RENEWABLE ENERGY SYSTEM UPGRADES " dataDxfId="198">
      <calculatedColumnFormula>IF('EEM Data Entry'!B141="  ","  ", 'EEM Data Entry'!B141)</calculatedColumnFormula>
    </tableColumn>
    <tableColumn id="3" xr3:uid="{00000000-0010-0000-0300-000003000000}" name=" CAPITAL INVESTMENT" dataDxfId="197">
      <calculatedColumnFormula>'EEM Data Entry'!#REF!</calculatedColumnFormula>
    </tableColumn>
    <tableColumn id="4" xr3:uid="{00000000-0010-0000-0300-000004000000}" name="END-OF-LIFE" dataDxfId="196"/>
    <tableColumn id="5" xr3:uid="{00000000-0010-0000-0300-000005000000}" name="ENERGY INVESTMENT " dataDxfId="195">
      <calculatedColumnFormula>C66-D66</calculatedColumnFormula>
    </tableColumn>
    <tableColumn id="6" xr3:uid="{00000000-0010-0000-0300-000006000000}" name="ANNUAL ENERGY COST SAVINGS" dataDxfId="194">
      <calculatedColumnFormula>('Savings Summary'!D69*'Savings Summary'!D$5)+('Savings Summary'!F69*'Savings Summary'!F$5)+('Savings Summary'!H69*'Savings Summary'!H$5)+('Savings Summary'!J69*'Savings Summary'!J$5)+('Savings Summary'!L69*'Savings Summary'!L$5)+('Savings Summary'!N69*'Savings Summary'!N$5)+('Savings Summary'!P69*'Savings Summary'!P$5)+('Savings Summary'!R69*'Savings Summary'!R$5)</calculatedColumnFormula>
    </tableColumn>
    <tableColumn id="7" xr3:uid="{00000000-0010-0000-0300-000007000000}" name="ANNUAL ENERGY SAVINGS kBTU" dataDxfId="193" dataCellStyle="Comma">
      <calculatedColumnFormula>'Savings Summary'!T69</calculatedColumnFormula>
    </tableColumn>
    <tableColumn id="8" xr3:uid="{00000000-0010-0000-0300-000008000000}" name="SIMPLE PAYBACK" dataDxfId="192">
      <calculatedColumnFormula>IF(C66=0,"n/a",E66/F66)</calculatedColumnFormula>
    </tableColumn>
    <tableColumn id="9" xr3:uid="{00000000-0010-0000-0300-000009000000}" name="(yes / no)" dataDxfId="191">
      <calculatedColumnFormula>IF(H66=0, "n/a", IF(H66&gt;100, "no",IF(H66&lt;0, "no", "yes")))</calculatedColumnFormula>
    </tableColumn>
    <tableColumn id="10" xr3:uid="{00000000-0010-0000-0300-00000A000000}" name="IRR" dataDxfId="190">
      <calculatedColumnFormula>IRR(Q66:DM66,0.1)</calculatedColumnFormula>
    </tableColumn>
    <tableColumn id="11" xr3:uid="{00000000-0010-0000-0300-00000B000000}" name="NPV" dataDxfId="189">
      <calculatedColumnFormula>PV('Interest Rate'!$B$17,Table9[[#This Row],[LIFETIME]],-Table9[[#This Row],[ANNUAL ENERGY COST SAVINGS]],Table9[[#This Row],[END-OF-LIFE]],0)-Table9[[#This Row],[ CAPITAL INVESTMENT]]</calculatedColumnFormula>
    </tableColumn>
    <tableColumn id="12" xr3:uid="{D03C8C9C-FCA3-4558-AEE4-BF3F1FED9E03}" name="LIFETIME" dataDxfId="188">
      <calculatedColumnFormula>'EEM Data Entry'!C141</calculatedColumnFormula>
    </tableColumn>
    <tableColumn id="13" xr3:uid="{2DC41CA0-0B15-476A-BD44-C3FA73374A93}" name="ROI" dataDxfId="187">
      <calculatedColumnFormula>Table6[[#This Row],[ANNUAL ENERGY COST SAVINGS]]/Table6[[#This Row],[CAPITAL INVESTMENT]]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le112" displayName="Table112" ref="A6:O30" totalsRowShown="0" headerRowDxfId="186" dataDxfId="185" tableBorderDxfId="184">
  <autoFilter ref="A6:O30" xr:uid="{00000000-0009-0000-0100-00000B000000}"/>
  <tableColumns count="15">
    <tableColumn id="1" xr3:uid="{00000000-0010-0000-0800-000001000000}" name="EEM #" dataDxfId="183">
      <calculatedColumnFormula>'EEM Data Entry'!A85</calculatedColumnFormula>
    </tableColumn>
    <tableColumn id="2" xr3:uid="{00000000-0010-0000-0800-000002000000}" name="BUILDING ENVELOPE UPGRADES" dataDxfId="182">
      <calculatedColumnFormula>'EEM Data Entry'!B85</calculatedColumnFormula>
    </tableColumn>
    <tableColumn id="3" xr3:uid="{00000000-0010-0000-0800-000003000000}" name="CAPITAL INVESTMENT" dataDxfId="181">
      <calculatedColumnFormula>'EEM Data Entry'!F85</calculatedColumnFormula>
    </tableColumn>
    <tableColumn id="4" xr3:uid="{00000000-0010-0000-0800-000004000000}" name="END-OF-LIFE" dataDxfId="180"/>
    <tableColumn id="5" xr3:uid="{00000000-0010-0000-0800-000005000000}" name="ENERGY INVESTMENT" dataDxfId="179">
      <calculatedColumnFormula>C7-D7</calculatedColumnFormula>
    </tableColumn>
    <tableColumn id="6" xr3:uid="{00000000-0010-0000-0800-000006000000}" name="ANNUAL ENERGY COST SAVINGS" dataDxfId="178" dataCellStyle="Currency">
      <calculatedColumnFormula>('Cascading Savings'!D6*'Cascading Savings'!D$4)+('Cascading Savings'!F6*'Cascading Savings'!F$4)+('Cascading Savings'!H6*'Cascading Savings'!H$4)+('Cascading Savings'!J6*'Cascading Savings'!J$4)+('Cascading Savings'!L6*'Cascading Savings'!L$4)+('Cascading Savings'!N6*'Cascading Savings'!N$4)+('Cascading Savings'!P6*'Cascading Savings'!P$4)+('Cascading Savings'!R6*'Cascading Savings'!R$4)</calculatedColumnFormula>
    </tableColumn>
    <tableColumn id="7" xr3:uid="{00000000-0010-0000-0800-000007000000}" name="ANNUAL ENERGY  SAVINGS kBTU" dataDxfId="177">
      <calculatedColumnFormula>'Cascading Savings'!T6</calculatedColumnFormula>
    </tableColumn>
    <tableColumn id="8" xr3:uid="{00000000-0010-0000-0800-000008000000}" name="SIMPLE PAYBACK " dataDxfId="176">
      <calculatedColumnFormula>IF(C7=0,"n/a",E7/F7)</calculatedColumnFormula>
    </tableColumn>
    <tableColumn id="9" xr3:uid="{00000000-0010-0000-0800-000009000000}" name="RECO-MMEND" dataDxfId="175">
      <calculatedColumnFormula>IF(H7=0, "n/a", IF(H7&gt;100, "no",IF(H7&lt;0, "no", "yes")))</calculatedColumnFormula>
    </tableColumn>
    <tableColumn id="10" xr3:uid="{00000000-0010-0000-0800-00000A000000}" name="IRR" dataDxfId="174">
      <calculatedColumnFormula>IRR(V7:DR7,0.1)</calculatedColumnFormula>
    </tableColumn>
    <tableColumn id="11" xr3:uid="{00000000-0010-0000-0800-00000B000000}" name="NPV" dataDxfId="173">
      <calculatedColumnFormula>PV('Interest Rate'!$B$17,Table112[[#This Row],[Lifetime]],-Table112[[#This Row],[ANNUAL ENERGY COST SAVINGS]],Table112[[#This Row],[END-OF-LIFE]],0)-Table112[[#This Row],[CAPITAL INVESTMENT]]</calculatedColumnFormula>
    </tableColumn>
    <tableColumn id="12" xr3:uid="{F21D9639-8772-4DE8-8A93-08B077C8961D}" name="Lifetime" dataDxfId="172">
      <calculatedColumnFormula>'EEM Data Entry'!C85</calculatedColumnFormula>
    </tableColumn>
    <tableColumn id="13" xr3:uid="{FC9AD935-B8D1-4354-8A85-D7397C0BB443}" name="ROI" dataDxfId="171" dataCellStyle="Percent">
      <calculatedColumnFormula>Table112[[#This Row],[ANNUAL ENERGY COST SAVINGS]]/Table112[[#This Row],[CAPITAL INVESTMENT]]</calculatedColumnFormula>
    </tableColumn>
    <tableColumn id="14" xr3:uid="{1976B191-1001-4688-8798-63E95463D6D7}" name="NPV Formatted" dataDxfId="170">
      <calculatedColumnFormula>IF(ISNUMBER(Table112[[#This Row],[NPV]])=TRUE,Table112[[#This Row],[NPV]],0)</calculatedColumnFormula>
    </tableColumn>
    <tableColumn id="15" xr3:uid="{22D5D93D-854E-4A43-97B9-CFC5C7617F71}" name="Net Value (for ROI)" dataDxfId="169">
      <calculatedColumnFormula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able213" displayName="Table213" ref="A32:O46" totalsRowShown="0" headerRowDxfId="168" dataDxfId="167" tableBorderDxfId="166">
  <autoFilter ref="A32:O46" xr:uid="{00000000-0009-0000-0100-00000C000000}"/>
  <tableColumns count="15">
    <tableColumn id="1" xr3:uid="{00000000-0010-0000-0900-000001000000}" name="EEM#" dataDxfId="165">
      <calculatedColumnFormula>'EEM Data Entry'!A110</calculatedColumnFormula>
    </tableColumn>
    <tableColumn id="2" xr3:uid="{00000000-0010-0000-0900-000002000000}" name="MECHANICAL SYSTEM UPGRADES" dataDxfId="164">
      <calculatedColumnFormula>IF('EEM Data Entry'!B110="  ","  ", 'EEM Data Entry'!B110)</calculatedColumnFormula>
    </tableColumn>
    <tableColumn id="3" xr3:uid="{00000000-0010-0000-0900-000003000000}" name="CAPITAL INVESTMENT" dataDxfId="163">
      <calculatedColumnFormula>'EEM Data Entry'!F110</calculatedColumnFormula>
    </tableColumn>
    <tableColumn id="4" xr3:uid="{00000000-0010-0000-0900-000004000000}" name="END-OF-LIFE" dataDxfId="162"/>
    <tableColumn id="5" xr3:uid="{00000000-0010-0000-0900-000005000000}" name="ENERGY INVESTMENT" dataDxfId="161">
      <calculatedColumnFormula>C33-D33</calculatedColumnFormula>
    </tableColumn>
    <tableColumn id="6" xr3:uid="{00000000-0010-0000-0900-000006000000}" name="ANNUAL ENERGY COST SAVINGS" dataDxfId="160">
      <calculatedColumnFormula>('Cascading Savings'!D33*'Cascading Savings'!D$4)+('Cascading Savings'!F33*'Cascading Savings'!F$4)+('Cascading Savings'!H33*'Cascading Savings'!H$4)+('Cascading Savings'!J33*'Cascading Savings'!J$4)+('Cascading Savings'!L33*'Cascading Savings'!L$4)+('Cascading Savings'!N33*'Cascading Savings'!N$4)+('Cascading Savings'!P33*'Cascading Savings'!P$4)+('Cascading Savings'!R33*'Cascading Savings'!R$4)</calculatedColumnFormula>
    </tableColumn>
    <tableColumn id="7" xr3:uid="{00000000-0010-0000-0900-000007000000}" name="ANNUAL ENERGY SAVINGS kBTU" dataDxfId="159">
      <calculatedColumnFormula>'Cascading Savings'!T32</calculatedColumnFormula>
    </tableColumn>
    <tableColumn id="8" xr3:uid="{00000000-0010-0000-0900-000008000000}" name="SIMPLE PAYBACK" dataDxfId="158">
      <calculatedColumnFormula>IF(C33=0,"n/a",E33/F33)</calculatedColumnFormula>
    </tableColumn>
    <tableColumn id="9" xr3:uid="{00000000-0010-0000-0900-000009000000}" name="(yes / no)" dataDxfId="157">
      <calculatedColumnFormula>IF(H33=0, "n/a", IF(H33&gt;100, "no",IF(H33&lt;0, "no", "yes")))</calculatedColumnFormula>
    </tableColumn>
    <tableColumn id="10" xr3:uid="{00000000-0010-0000-0900-00000A000000}" name="IRR" dataDxfId="156">
      <calculatedColumnFormula>IRR(V33:DR33,0.1)</calculatedColumnFormula>
    </tableColumn>
    <tableColumn id="11" xr3:uid="{00000000-0010-0000-0900-00000B000000}" name="NPV" dataDxfId="155">
      <calculatedColumnFormula>PV('Interest Rate'!$B$17,Table213[[#This Row],[Lifetime]],-Table213[[#This Row],[ANNUAL ENERGY COST SAVINGS]],Table213[[#This Row],[END-OF-LIFE]],0)-Table213[[#This Row],[CAPITAL INVESTMENT]]</calculatedColumnFormula>
    </tableColumn>
    <tableColumn id="12" xr3:uid="{F03150A1-B520-404A-8C90-643F989FC450}" name="Lifetime" dataDxfId="154">
      <calculatedColumnFormula>'EEM Data Entry'!C110</calculatedColumnFormula>
    </tableColumn>
    <tableColumn id="13" xr3:uid="{94E8054F-36C9-4175-9F19-30ACD3BEB3AE}" name="ROI" dataDxfId="153">
      <calculatedColumnFormula>Table213[[#This Row],[ANNUAL ENERGY COST SAVINGS]]/Table213[[#This Row],[CAPITAL INVESTMENT]]</calculatedColumnFormula>
    </tableColumn>
    <tableColumn id="14" xr3:uid="{5C08A4F5-DDEC-4083-8F9D-02F7EB18C93F}" name="NPV Formatted" dataDxfId="152">
      <calculatedColumnFormula>IF(ISNUMBER(Table213[[#This Row],[NPV]])=TRUE,Table213[[#This Row],[NPV]],0)</calculatedColumnFormula>
    </tableColumn>
    <tableColumn id="15" xr3:uid="{DD3CC452-244F-409C-A8E8-0B335A6BD6E9}" name="Net Value (for ROI)" dataDxfId="151">
      <calculatedColumnFormula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le314" displayName="Table314" ref="A49:O64" totalsRowShown="0" headerRowDxfId="150" dataDxfId="148" headerRowBorderDxfId="149" tableBorderDxfId="147">
  <autoFilter ref="A49:O64" xr:uid="{00000000-0009-0000-0100-00000D000000}"/>
  <tableColumns count="15">
    <tableColumn id="1" xr3:uid="{00000000-0010-0000-0A00-000001000000}" name="EEM#" dataDxfId="146">
      <calculatedColumnFormula>'EEM Data Entry'!A125</calculatedColumnFormula>
    </tableColumn>
    <tableColumn id="2" xr3:uid="{00000000-0010-0000-0A00-000002000000}" name="APPLIANCES AND LIGHTING UPGRADES" dataDxfId="145">
      <calculatedColumnFormula>IF('EEM Data Entry'!B125="  ","  ", 'EEM Data Entry'!B125)</calculatedColumnFormula>
    </tableColumn>
    <tableColumn id="3" xr3:uid="{00000000-0010-0000-0A00-000003000000}" name="CAPITAL INVESTMENT" dataDxfId="144">
      <calculatedColumnFormula>'EEM Data Entry'!F125</calculatedColumnFormula>
    </tableColumn>
    <tableColumn id="4" xr3:uid="{00000000-0010-0000-0A00-000004000000}" name="END-OF-LIFE" dataDxfId="143"/>
    <tableColumn id="5" xr3:uid="{00000000-0010-0000-0A00-000005000000}" name="ENERGY INVESTMENT" dataDxfId="142">
      <calculatedColumnFormula>C50-D50</calculatedColumnFormula>
    </tableColumn>
    <tableColumn id="6" xr3:uid="{00000000-0010-0000-0A00-000006000000}" name="ANNUAL ENERGY COST SAVINGS" dataDxfId="141" dataCellStyle="Currency">
      <calculatedColumnFormula>('Cascading Savings'!D50*'Cascading Savings'!D$4)+('Cascading Savings'!F50*'Cascading Savings'!F$4)+('Cascading Savings'!H50*'Cascading Savings'!H$4)+('Cascading Savings'!J50*'Cascading Savings'!J$4)+('Cascading Savings'!L50*'Cascading Savings'!L$4)+('Cascading Savings'!N50*'Cascading Savings'!N$4)+('Cascading Savings'!P50*'Cascading Savings'!P$4)+('Cascading Savings'!R50*'Cascading Savings'!R$4)</calculatedColumnFormula>
    </tableColumn>
    <tableColumn id="7" xr3:uid="{00000000-0010-0000-0A00-000007000000}" name="ANNUAL ENERGY SAVINGS kBTU" dataDxfId="140">
      <calculatedColumnFormula>'Cascading Savings'!T50</calculatedColumnFormula>
    </tableColumn>
    <tableColumn id="8" xr3:uid="{00000000-0010-0000-0A00-000008000000}" name="SIMPLE PAYBACK" dataDxfId="139">
      <calculatedColumnFormula>IF(C50=0,"n/a",E50/F50)</calculatedColumnFormula>
    </tableColumn>
    <tableColumn id="9" xr3:uid="{00000000-0010-0000-0A00-000009000000}" name="(yes / no)" dataDxfId="138">
      <calculatedColumnFormula>IF(H50=0, "n/a", IF(H50&gt;100, "no",IF(H50&lt;0, "no", "yes")))</calculatedColumnFormula>
    </tableColumn>
    <tableColumn id="10" xr3:uid="{00000000-0010-0000-0A00-00000A000000}" name="IRR" dataDxfId="137">
      <calculatedColumnFormula>IRR(V50:DR50,0.1)</calculatedColumnFormula>
    </tableColumn>
    <tableColumn id="11" xr3:uid="{00000000-0010-0000-0A00-00000B000000}" name="NPV" dataDxfId="136">
      <calculatedColumnFormula>PV('Interest Rate'!$B$17,Table314[[#This Row],[Lifetime]],-Table314[[#This Row],[ANNUAL ENERGY COST SAVINGS]],Table314[[#This Row],[END-OF-LIFE]],0)-Table314[[#This Row],[CAPITAL INVESTMENT]]</calculatedColumnFormula>
    </tableColumn>
    <tableColumn id="12" xr3:uid="{D5992EDA-9EFF-45D5-9605-04118F8D5417}" name="Lifetime" dataDxfId="135">
      <calculatedColumnFormula>'EEM Data Entry'!C125</calculatedColumnFormula>
    </tableColumn>
    <tableColumn id="13" xr3:uid="{8E1C0A38-A11F-44DE-9E9E-984A351658EA}" name="ROI" dataDxfId="134" dataCellStyle="Percent">
      <calculatedColumnFormula>Table314[[#This Row],[ANNUAL ENERGY COST SAVINGS]]/Table314[[#This Row],[CAPITAL INVESTMENT]]</calculatedColumnFormula>
    </tableColumn>
    <tableColumn id="14" xr3:uid="{805E1AA6-8301-4EDD-9AF4-9188C63A95A9}" name="NPV Formatted" dataDxfId="133">
      <calculatedColumnFormula>IF(ISNUMBER(Table314[[#This Row],[NPV]])=TRUE,Table314[[#This Row],[NPV]],0)</calculatedColumnFormula>
    </tableColumn>
    <tableColumn id="15" xr3:uid="{9193A2AE-F41D-4EBC-BA12-37D27C7473CD}" name="Net Value (for ROI)" dataDxfId="132">
      <calculatedColumnFormula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Table415" displayName="Table415" ref="A66:O80" totalsRowShown="0" headerRowDxfId="131" dataDxfId="129" headerRowBorderDxfId="130" tableBorderDxfId="128">
  <autoFilter ref="A66:O80" xr:uid="{00000000-0009-0000-0100-00000E000000}"/>
  <tableColumns count="15">
    <tableColumn id="1" xr3:uid="{00000000-0010-0000-0B00-000001000000}" name="EEM#" dataDxfId="127">
      <calculatedColumnFormula>'EEM Data Entry'!A141</calculatedColumnFormula>
    </tableColumn>
    <tableColumn id="2" xr3:uid="{00000000-0010-0000-0B00-000002000000}" name="RENEWABLE ENERGY SYSTEM UPGRADES" dataDxfId="126">
      <calculatedColumnFormula>IF('Packaged EEMs'!B57="  ","  ", 'EEM Data Entry'!B141)</calculatedColumnFormula>
    </tableColumn>
    <tableColumn id="3" xr3:uid="{00000000-0010-0000-0B00-000003000000}" name=" CAPITAL INVESTMENT" dataDxfId="125">
      <calculatedColumnFormula>'EEM Data Entry'!F141</calculatedColumnFormula>
    </tableColumn>
    <tableColumn id="4" xr3:uid="{00000000-0010-0000-0B00-000004000000}" name="END-OF-LIFE" dataDxfId="124"/>
    <tableColumn id="5" xr3:uid="{00000000-0010-0000-0B00-000005000000}" name="ENERGY INVESTMENT " dataDxfId="123">
      <calculatedColumnFormula>C67-D67</calculatedColumnFormula>
    </tableColumn>
    <tableColumn id="6" xr3:uid="{00000000-0010-0000-0B00-000006000000}" name="ANNUAL ENERGY COST SAVINGS" dataDxfId="122" dataCellStyle="Currency">
      <calculatedColumnFormula>('Cascading Savings'!D69*'Cascading Savings'!D$4)+('Cascading Savings'!F69*'Cascading Savings'!F$4)+('Cascading Savings'!H69*'Cascading Savings'!H$4)+('Cascading Savings'!J69*'Cascading Savings'!J$4)+('Cascading Savings'!L69*'Cascading Savings'!L$4)+('Cascading Savings'!N69*'Cascading Savings'!N$4)+('Cascading Savings'!P69*'Cascading Savings'!P$4)+('Cascading Savings'!R69*'Cascading Savings'!R$4)</calculatedColumnFormula>
    </tableColumn>
    <tableColumn id="7" xr3:uid="{00000000-0010-0000-0B00-000007000000}" name="ANNUAL ENERGY SAVINGS kBTU" dataDxfId="121" dataCellStyle="Comma">
      <calculatedColumnFormula>'Savings Summary'!T69</calculatedColumnFormula>
    </tableColumn>
    <tableColumn id="8" xr3:uid="{00000000-0010-0000-0B00-000008000000}" name="SIMPLE PAYBACK" dataDxfId="120">
      <calculatedColumnFormula>IF(C67=0,"n/a",E67/F67)</calculatedColumnFormula>
    </tableColumn>
    <tableColumn id="9" xr3:uid="{00000000-0010-0000-0B00-000009000000}" name="(yes / no)" dataDxfId="119">
      <calculatedColumnFormula>IF(H67=0, "n/a", IF(H67&gt;100, "no",IF(H67&lt;0, "no", "yes")))</calculatedColumnFormula>
    </tableColumn>
    <tableColumn id="10" xr3:uid="{00000000-0010-0000-0B00-00000A000000}" name="IRR" dataDxfId="118">
      <calculatedColumnFormula>IRR(V67:DR67,0.1)</calculatedColumnFormula>
    </tableColumn>
    <tableColumn id="11" xr3:uid="{00000000-0010-0000-0B00-00000B000000}" name="NPV" dataDxfId="117">
      <calculatedColumnFormula>PV('Interest Rate'!$B$17,Table415[[#This Row],[Lifetime]],-Table415[[#This Row],[ANNUAL ENERGY COST SAVINGS]],Table415[[#This Row],[END-OF-LIFE]],0)-Table415[[#This Row],[ CAPITAL INVESTMENT]]</calculatedColumnFormula>
    </tableColumn>
    <tableColumn id="12" xr3:uid="{836618DE-6CAE-4B4E-AC1C-353885BD6167}" name="Lifetime" dataDxfId="116">
      <calculatedColumnFormula>'EEM Data Entry'!C141</calculatedColumnFormula>
    </tableColumn>
    <tableColumn id="13" xr3:uid="{CE55E515-6081-4EF2-8362-05D123C030A2}" name="ROI" dataDxfId="115">
      <calculatedColumnFormula>Table415[[#This Row],[ANNUAL ENERGY COST SAVINGS]]/Table415[[#This Row],[ CAPITAL INVESTMENT]]</calculatedColumnFormula>
    </tableColumn>
    <tableColumn id="14" xr3:uid="{29F4797C-CC1B-4F4F-9E10-26AEA303E5ED}" name="NPV Formatted" dataDxfId="114">
      <calculatedColumnFormula>IF(ISNUMBER(Table415[[#This Row],[NPV]])=TRUE,Table415[[#This Row],[NPV]],0)</calculatedColumnFormula>
    </tableColumn>
    <tableColumn id="15" xr3:uid="{FE3C62AB-09E6-4B35-A316-8F68668755B4}" name="Net Value (for ROI)" dataDxfId="113">
      <calculatedColumnFormula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1" displayName="Table1" ref="A6:L30" totalsRowShown="0" headerRowDxfId="112" dataDxfId="111" tableBorderDxfId="110">
  <autoFilter ref="A6:L30" xr:uid="{00000000-0009-0000-0100-000001000000}"/>
  <tableColumns count="12">
    <tableColumn id="1" xr3:uid="{00000000-0010-0000-0400-000001000000}" name="EEM #" dataDxfId="109">
      <calculatedColumnFormula>'EEM Data Entry'!A85</calculatedColumnFormula>
    </tableColumn>
    <tableColumn id="2" xr3:uid="{00000000-0010-0000-0400-000002000000}" name="BUILDING ENVELOPE UPGRADES" dataDxfId="108">
      <calculatedColumnFormula>IF('Cascading Cap Cost &amp; Savings'!B45="  ","  ", 'Cascading Cap Cost &amp; Savings'!B3)</calculatedColumnFormula>
    </tableColumn>
    <tableColumn id="3" xr3:uid="{00000000-0010-0000-0400-000003000000}" name="CAPITAL INVESTMENT" dataDxfId="107">
      <calculatedColumnFormula>'Cascading Cap Cost &amp; Savings'!C3</calculatedColumnFormula>
    </tableColumn>
    <tableColumn id="4" xr3:uid="{00000000-0010-0000-0400-000004000000}" name="END-OF-LIFE" dataDxfId="106"/>
    <tableColumn id="5" xr3:uid="{00000000-0010-0000-0400-000005000000}" name="ENERGY INVESTMENT" dataDxfId="105">
      <calculatedColumnFormula>C7-D7</calculatedColumnFormula>
    </tableColumn>
    <tableColumn id="6" xr3:uid="{00000000-0010-0000-0400-000006000000}" name="ANNUAL ENERGY COST SAVINGS" dataDxfId="104" dataCellStyle="Currency">
      <calculatedColumnFormula>('Cascading Savings'!D6*'Cascading Savings'!D$4)+('Cascading Savings'!F6*'Cascading Savings'!F$4)+('Cascading Savings'!H6*'Cascading Savings'!H$4)+('Cascading Savings'!J6*'Cascading Savings'!J$4)+('Cascading Savings'!L6*'Cascading Savings'!L$4)+('Cascading Savings'!N6*'Cascading Savings'!N$4)+('Cascading Savings'!P6*'Cascading Savings'!P$4)+('Cascading Savings'!R6*'Cascading Savings'!R$4)</calculatedColumnFormula>
    </tableColumn>
    <tableColumn id="7" xr3:uid="{00000000-0010-0000-0400-000007000000}" name="ANNUAL ENERGY  SAVINGS kBTU" dataDxfId="103">
      <calculatedColumnFormula>'Cascading Savings'!T6</calculatedColumnFormula>
    </tableColumn>
    <tableColumn id="8" xr3:uid="{00000000-0010-0000-0400-000008000000}" name="SIMPLE PAYBACK " dataDxfId="102">
      <calculatedColumnFormula>IF(C7=0,"n/a",E7/F7)</calculatedColumnFormula>
    </tableColumn>
    <tableColumn id="9" xr3:uid="{00000000-0010-0000-0400-000009000000}" name="RECO-MMEND" dataDxfId="101">
      <calculatedColumnFormula>IF(H7=0, "n/a", IF(H7&gt;100, "no",IF(H7&lt;0, "no", "yes")))</calculatedColumnFormula>
    </tableColumn>
    <tableColumn id="10" xr3:uid="{00000000-0010-0000-0400-00000A000000}" name="IRR" dataDxfId="100">
      <calculatedColumnFormula>IRR(P7:AT7,0.1)</calculatedColumnFormula>
    </tableColumn>
    <tableColumn id="11" xr3:uid="{00000000-0010-0000-0400-00000B000000}" name="NPV" dataDxfId="99">
      <calculatedColumnFormula>NPV(0.05,P7:AT7)</calculatedColumnFormula>
    </tableColumn>
    <tableColumn id="12" xr3:uid="{40BD61C9-AACB-47D8-A402-4EB791055330}" name="Lifetime" dataDxfId="98">
      <calculatedColumnFormula>'Cascading Cap Cost &amp; Savings'!L3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2" displayName="Table2" ref="A32:L46" totalsRowShown="0" headerRowDxfId="97" tableBorderDxfId="96">
  <autoFilter ref="A32:L46" xr:uid="{00000000-0009-0000-0100-000002000000}"/>
  <tableColumns count="12">
    <tableColumn id="1" xr3:uid="{00000000-0010-0000-0500-000001000000}" name="EEM#" dataDxfId="95">
      <calculatedColumnFormula>'EEM Data Entry'!A109</calculatedColumnFormula>
    </tableColumn>
    <tableColumn id="2" xr3:uid="{00000000-0010-0000-0500-000002000000}" name="MECHANICAL SYSTEM UPGRADES" dataDxfId="94">
      <calculatedColumnFormula>IF('EEM Data Entry'!B109="  ","  ", 'EEM Data Entry'!B109)</calculatedColumnFormula>
    </tableColumn>
    <tableColumn id="3" xr3:uid="{00000000-0010-0000-0500-000003000000}" name="CAPITAL INVESTMENT" dataDxfId="93">
      <calculatedColumnFormula>'EEM Data Entry'!F109</calculatedColumnFormula>
    </tableColumn>
    <tableColumn id="4" xr3:uid="{00000000-0010-0000-0500-000004000000}" name="END-OF-LIFE" dataDxfId="92"/>
    <tableColumn id="5" xr3:uid="{00000000-0010-0000-0500-000005000000}" name="ENERGY INVESTMENT" dataDxfId="91">
      <calculatedColumnFormula>C33-D33</calculatedColumnFormula>
    </tableColumn>
    <tableColumn id="6" xr3:uid="{00000000-0010-0000-0500-000006000000}" name="ANNUAL ENERGY COST SAVINGS" dataDxfId="90">
      <calculatedColumnFormula>('Savings Summary'!D34*'Savings Summary'!D$5)+('Savings Summary'!F34*'Savings Summary'!F$5)+('Savings Summary'!H34*'Savings Summary'!H$5)+('Savings Summary'!J34*'Savings Summary'!J$5)+('Savings Summary'!L34*'Savings Summary'!L$5)+('Savings Summary'!N34*'Savings Summary'!N$5)+('Savings Summary'!P34*'Savings Summary'!P$5)+('Savings Summary'!R34*'Savings Summary'!R$5)</calculatedColumnFormula>
    </tableColumn>
    <tableColumn id="7" xr3:uid="{00000000-0010-0000-0500-000007000000}" name="ANNUAL ENERGY SAVINGS kBTU" dataDxfId="89">
      <calculatedColumnFormula>'Cascading Savings'!T32</calculatedColumnFormula>
    </tableColumn>
    <tableColumn id="8" xr3:uid="{00000000-0010-0000-0500-000008000000}" name="SIMPLE PAYBACK" dataDxfId="88"/>
    <tableColumn id="9" xr3:uid="{00000000-0010-0000-0500-000009000000}" name="(yes / no)" dataDxfId="87">
      <calculatedColumnFormula>IF(H33=0, "n/a", IF(H33&gt;100, "no",IF(H33&lt;0, "no", "yes")))</calculatedColumnFormula>
    </tableColumn>
    <tableColumn id="10" xr3:uid="{00000000-0010-0000-0500-00000A000000}" name="IRR" dataDxfId="86">
      <calculatedColumnFormula>IRR(P33:AT33,0.1)</calculatedColumnFormula>
    </tableColumn>
    <tableColumn id="11" xr3:uid="{00000000-0010-0000-0500-00000B000000}" name="NPV" dataDxfId="85">
      <calculatedColumnFormula>NPV(0.05,P33:AT33)</calculatedColumnFormula>
    </tableColumn>
    <tableColumn id="12" xr3:uid="{7DC82B7C-80F9-4E8B-AC40-360FDD0BB610}" name="Lifetime" dataDxfId="84">
      <calculatedColumnFormula>'Cascading Cap Cost &amp; Savings'!L28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able3" displayName="Table3" ref="A48:L63" totalsRowShown="0" headerRowDxfId="83" dataDxfId="81" headerRowBorderDxfId="82" tableBorderDxfId="80">
  <autoFilter ref="A48:L63" xr:uid="{00000000-0009-0000-0100-000003000000}"/>
  <tableColumns count="12">
    <tableColumn id="1" xr3:uid="{00000000-0010-0000-0600-000001000000}" name="EEM#" dataDxfId="79">
      <calculatedColumnFormula>'EEM Data Entry'!A125</calculatedColumnFormula>
    </tableColumn>
    <tableColumn id="2" xr3:uid="{00000000-0010-0000-0600-000002000000}" name="APPLIANCES AND LIGHTING UPGRADES" dataDxfId="78">
      <calculatedColumnFormula>IF('EEM Data Entry'!B125="  ","  ", 'EEM Data Entry'!B125)</calculatedColumnFormula>
    </tableColumn>
    <tableColumn id="3" xr3:uid="{00000000-0010-0000-0600-000003000000}" name="CAPITAL INVESTMENT" dataDxfId="77">
      <calculatedColumnFormula>'EEM Data Entry'!F125</calculatedColumnFormula>
    </tableColumn>
    <tableColumn id="4" xr3:uid="{00000000-0010-0000-0600-000004000000}" name="END-OF-LIFE" dataDxfId="76"/>
    <tableColumn id="5" xr3:uid="{00000000-0010-0000-0600-000005000000}" name="ENERGY INVESTMENT" dataDxfId="75">
      <calculatedColumnFormula>C49-D49</calculatedColumnFormula>
    </tableColumn>
    <tableColumn id="6" xr3:uid="{00000000-0010-0000-0600-000006000000}" name="ANNUAL ENERGY COST SAVINGS" dataDxfId="74" dataCellStyle="Currency">
      <calculatedColumnFormula>('Cascading Savings'!D50*'Cascading Savings'!D$4)+('Cascading Savings'!F50*'Cascading Savings'!F$4)+('Cascading Savings'!H50*'Cascading Savings'!H$4)+('Cascading Savings'!J50*'Cascading Savings'!J$4)+('Cascading Savings'!L50*'Cascading Savings'!L$4)+('Cascading Savings'!N50*'Cascading Savings'!N$4)+('Cascading Savings'!P50*'Cascading Savings'!P$4)+('Cascading Savings'!R50*'Cascading Savings'!R$4)</calculatedColumnFormula>
    </tableColumn>
    <tableColumn id="7" xr3:uid="{00000000-0010-0000-0600-000007000000}" name="ANNUAL ENERGY SAVINGS kBTU" dataDxfId="73">
      <calculatedColumnFormula>'Savings Summary'!T50</calculatedColumnFormula>
    </tableColumn>
    <tableColumn id="8" xr3:uid="{00000000-0010-0000-0600-000008000000}" name="SIMPLE PAYBACK" dataDxfId="72">
      <calculatedColumnFormula>IF(C49=0,"n/a",E49/F49)</calculatedColumnFormula>
    </tableColumn>
    <tableColumn id="9" xr3:uid="{00000000-0010-0000-0600-000009000000}" name="(yes / no)" dataDxfId="71">
      <calculatedColumnFormula>IF(H49=0, "n/a", IF(H49&gt;100, "no",IF(H49&lt;0, "no", "yes")))</calculatedColumnFormula>
    </tableColumn>
    <tableColumn id="10" xr3:uid="{00000000-0010-0000-0600-00000A000000}" name="IRR" dataDxfId="70">
      <calculatedColumnFormula>IRR(P49:AT49,0.1)</calculatedColumnFormula>
    </tableColumn>
    <tableColumn id="11" xr3:uid="{00000000-0010-0000-0600-00000B000000}" name="NPV" dataDxfId="69">
      <calculatedColumnFormula>NPV(0.05,P49:AT49)</calculatedColumnFormula>
    </tableColumn>
    <tableColumn id="12" xr3:uid="{2D9CBB73-299B-4B44-AC5E-5A5081527D41}" name="Lifetime" dataDxfId="68">
      <calculatedColumnFormula>'Cascading Cap Cost &amp; Savings'!L43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Table4" displayName="Table4" ref="A65:L79" totalsRowShown="0" headerRowDxfId="67" headerRowBorderDxfId="66" tableBorderDxfId="65">
  <autoFilter ref="A65:L79" xr:uid="{00000000-0009-0000-0100-000004000000}"/>
  <tableColumns count="12">
    <tableColumn id="1" xr3:uid="{00000000-0010-0000-0700-000001000000}" name="EEM#" dataDxfId="64">
      <calculatedColumnFormula>'EEM Data Entry'!#REF!</calculatedColumnFormula>
    </tableColumn>
    <tableColumn id="2" xr3:uid="{00000000-0010-0000-0700-000002000000}" name="RENEWABLE ENERGY SYSTEM UPGRADES" dataDxfId="63">
      <calculatedColumnFormula>IF('Cascading Qualifying Test'!B55="  ","  ", 'EEM Data Entry'!#REF!)</calculatedColumnFormula>
    </tableColumn>
    <tableColumn id="3" xr3:uid="{00000000-0010-0000-0700-000003000000}" name=" CAPITAL INVESTMENT" dataDxfId="62">
      <calculatedColumnFormula>'EEM Data Entry'!#REF!</calculatedColumnFormula>
    </tableColumn>
    <tableColumn id="4" xr3:uid="{00000000-0010-0000-0700-000004000000}" name="END-OF-LIFE" dataDxfId="61"/>
    <tableColumn id="5" xr3:uid="{00000000-0010-0000-0700-000005000000}" name="ENERGY INVESTMENT " dataDxfId="60">
      <calculatedColumnFormula>C66-D66</calculatedColumnFormula>
    </tableColumn>
    <tableColumn id="6" xr3:uid="{00000000-0010-0000-0700-000006000000}" name="ANNUAL ENERGY COST SAVINGS" dataDxfId="59" dataCellStyle="Currency">
      <calculatedColumnFormula>('Savings Summary'!#REF!*'Savings Summary'!D$5)+('Savings Summary'!#REF!*'Savings Summary'!F$5)+('Savings Summary'!#REF!*'Savings Summary'!H$5)+('Savings Summary'!#REF!*'Savings Summary'!J$5)+('Savings Summary'!#REF!*'Savings Summary'!L$5)+('Savings Summary'!#REF!*'Savings Summary'!N$5)+('Savings Summary'!#REF!*'Savings Summary'!P$5)+('Savings Summary'!#REF!*'Savings Summary'!R$5)</calculatedColumnFormula>
    </tableColumn>
    <tableColumn id="7" xr3:uid="{00000000-0010-0000-0700-000007000000}" name="ANNUAL ENERGY SAVINGS kBTU" dataDxfId="58" dataCellStyle="Comma">
      <calculatedColumnFormula>'Savings Summary'!#REF!</calculatedColumnFormula>
    </tableColumn>
    <tableColumn id="8" xr3:uid="{00000000-0010-0000-0700-000008000000}" name="SIMPLE PAYBACK" dataDxfId="57">
      <calculatedColumnFormula>IF(C66=0,"n/a",E66/F66)</calculatedColumnFormula>
    </tableColumn>
    <tableColumn id="9" xr3:uid="{00000000-0010-0000-0700-000009000000}" name="(yes / no)" dataDxfId="56">
      <calculatedColumnFormula>IF(H66=0, "n/a", IF(H66&gt;100, "no",IF(H66&lt;0, "no", "yes")))</calculatedColumnFormula>
    </tableColumn>
    <tableColumn id="10" xr3:uid="{00000000-0010-0000-0700-00000A000000}" name="IRR" dataDxfId="55">
      <calculatedColumnFormula>IRR(P66:AT66,0.1)</calculatedColumnFormula>
    </tableColumn>
    <tableColumn id="11" xr3:uid="{00000000-0010-0000-0700-00000B000000}" name="NPV" dataDxfId="54">
      <calculatedColumnFormula>NPV(0.05,P66:AT66)</calculatedColumnFormula>
    </tableColumn>
    <tableColumn id="12" xr3:uid="{EADE4BAD-4D22-4B68-8402-6205E10AF401}" name="Lifetime" dataDxfId="53">
      <calculatedColumnFormula>'Cascading Cap Cost &amp; Savings'!L59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C000000}" name="Table1126" displayName="Table1126" ref="A6:K24" totalsRowShown="0" headerRowDxfId="52" dataDxfId="51" tableBorderDxfId="50">
  <autoFilter ref="A6:K24" xr:uid="{00000000-0009-0000-0100-000005000000}"/>
  <tableColumns count="11">
    <tableColumn id="1" xr3:uid="{00000000-0010-0000-0C00-000001000000}" name="EEM #" dataDxfId="49">
      <calculatedColumnFormula>'EEM Data Entry'!A85</calculatedColumnFormula>
    </tableColumn>
    <tableColumn id="2" xr3:uid="{00000000-0010-0000-0C00-000002000000}" name="BUILDING ENVELOPE UPGRADES" dataDxfId="48">
      <calculatedColumnFormula>'EEM Data Entry'!B85</calculatedColumnFormula>
    </tableColumn>
    <tableColumn id="3" xr3:uid="{00000000-0010-0000-0C00-000003000000}" name="CAPITAL INVESTMENT" dataDxfId="47">
      <calculatedColumnFormula>'EEM Data Entry'!F85</calculatedColumnFormula>
    </tableColumn>
    <tableColumn id="4" xr3:uid="{00000000-0010-0000-0C00-000004000000}" name="END-OF-LIFE" dataDxfId="46"/>
    <tableColumn id="5" xr3:uid="{00000000-0010-0000-0C00-000005000000}" name="ENERGY INVESTMENT" dataDxfId="45">
      <calculatedColumnFormula>'EEM Data Entry'!I85</calculatedColumnFormula>
    </tableColumn>
    <tableColumn id="6" xr3:uid="{00000000-0010-0000-0C00-000006000000}" name="ANNUAL ENERGY COST SAVINGS" dataDxfId="44" dataCellStyle="Currency">
      <calculatedColumnFormula>('Cascading Savings'!D6*'Cascading Savings'!D$4)+('Cascading Savings'!F6*'Cascading Savings'!F$4)+('Cascading Savings'!H6*'Cascading Savings'!H$4)+('Cascading Savings'!J6*'Cascading Savings'!J$4)+('Cascading Savings'!L6*'Cascading Savings'!L$4)+('Cascading Savings'!N6*'Cascading Savings'!N$4)+('Cascading Savings'!P6*'Cascading Savings'!P$4)+('Cascading Savings'!R6*'Cascading Savings'!R$4)</calculatedColumnFormula>
    </tableColumn>
    <tableColumn id="7" xr3:uid="{00000000-0010-0000-0C00-000007000000}" name="ANNUAL ENERGY  SAVINGS kBTU" dataDxfId="43">
      <calculatedColumnFormula>'Cascading Savings'!T6</calculatedColumnFormula>
    </tableColumn>
    <tableColumn id="8" xr3:uid="{00000000-0010-0000-0C00-000008000000}" name="SIMPLE PAYBACK " dataDxfId="42">
      <calculatedColumnFormula>IF(C7=0,"n/a",E7/F7)</calculatedColumnFormula>
    </tableColumn>
    <tableColumn id="9" xr3:uid="{00000000-0010-0000-0C00-000009000000}" name="RECO-MMEND" dataDxfId="41">
      <calculatedColumnFormula>IF(H7=0, "n/a", IF(H7&gt;100, "no",IF(H7&lt;0, "no", "yes")))</calculatedColumnFormula>
    </tableColumn>
    <tableColumn id="10" xr3:uid="{00000000-0010-0000-0C00-00000A000000}" name="IRR" dataDxfId="40">
      <calculatedColumnFormula>IRR(P7:AT7,0.1)</calculatedColumnFormula>
    </tableColumn>
    <tableColumn id="11" xr3:uid="{00000000-0010-0000-0C00-00000B000000}" name="NPV" dataDxfId="39">
      <calculatedColumnFormula>NPV(0.05,P7:AT7)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D000000}" name="Table21311" displayName="Table21311" ref="A26:K41" totalsRowShown="0" headerRowDxfId="38" tableBorderDxfId="37">
  <autoFilter ref="A26:K41" xr:uid="{00000000-0009-0000-0100-00000A000000}"/>
  <tableColumns count="11">
    <tableColumn id="1" xr3:uid="{00000000-0010-0000-0D00-000001000000}" name="EEM#" dataDxfId="36">
      <calculatedColumnFormula>'EEM Data Entry'!A110</calculatedColumnFormula>
    </tableColumn>
    <tableColumn id="2" xr3:uid="{00000000-0010-0000-0D00-000002000000}" name="MECHANICAL SYSTEM UPGRADES" dataDxfId="35">
      <calculatedColumnFormula>IF('EEM Data Entry'!B110="  ","  ", 'EEM Data Entry'!B110)</calculatedColumnFormula>
    </tableColumn>
    <tableColumn id="3" xr3:uid="{00000000-0010-0000-0D00-000003000000}" name="CAPITAL INVESTMENT" dataDxfId="34">
      <calculatedColumnFormula>'EEM Data Entry'!F110</calculatedColumnFormula>
    </tableColumn>
    <tableColumn id="4" xr3:uid="{00000000-0010-0000-0D00-000004000000}" name="END-OF-LIFE"/>
    <tableColumn id="5" xr3:uid="{00000000-0010-0000-0D00-000005000000}" name="ENERGY INVESTMENT" dataDxfId="33">
      <calculatedColumnFormula>C27-D27</calculatedColumnFormula>
    </tableColumn>
    <tableColumn id="6" xr3:uid="{00000000-0010-0000-0D00-000006000000}" name="ANNUAL ENERGY COST SAVINGS"/>
    <tableColumn id="7" xr3:uid="{00000000-0010-0000-0D00-000007000000}" name="ANNUAL ENERGY SAVINGS kBTU">
      <calculatedColumnFormula>'Cascading Savings'!T32</calculatedColumnFormula>
    </tableColumn>
    <tableColumn id="8" xr3:uid="{00000000-0010-0000-0D00-000008000000}" name="SIMPLE PAYBACK" dataDxfId="32"/>
    <tableColumn id="9" xr3:uid="{00000000-0010-0000-0D00-000009000000}" name="(yes / no)" dataDxfId="31">
      <calculatedColumnFormula>IF(H27=0, "n/a", IF(H27&gt;100, "no",IF(H27&lt;0, "no", "yes")))</calculatedColumnFormula>
    </tableColumn>
    <tableColumn id="10" xr3:uid="{00000000-0010-0000-0D00-00000A000000}" name="IRR" dataDxfId="30"/>
    <tableColumn id="11" xr3:uid="{00000000-0010-0000-0D00-00000B000000}" name="NPV" dataDxfId="29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31416" displayName="Table31416" ref="A44:K59" totalsRowShown="0" headerRowDxfId="28" dataDxfId="26" headerRowBorderDxfId="27" tableBorderDxfId="25">
  <autoFilter ref="A44:K59" xr:uid="{00000000-0009-0000-0100-00000F000000}"/>
  <tableColumns count="11">
    <tableColumn id="1" xr3:uid="{00000000-0010-0000-0E00-000001000000}" name="EEM#" dataDxfId="24">
      <calculatedColumnFormula>'EEM Data Entry'!A125</calculatedColumnFormula>
    </tableColumn>
    <tableColumn id="2" xr3:uid="{00000000-0010-0000-0E00-000002000000}" name="APPLIANCES AND LIGHTING UPGRADES" dataDxfId="23">
      <calculatedColumnFormula>IF('EEM Data Entry'!B125="  ","  ", 'EEM Data Entry'!B125)</calculatedColumnFormula>
    </tableColumn>
    <tableColumn id="3" xr3:uid="{00000000-0010-0000-0E00-000003000000}" name="CAPITAL INVESTMENT" dataDxfId="22">
      <calculatedColumnFormula>'EEM Data Entry'!F125</calculatedColumnFormula>
    </tableColumn>
    <tableColumn id="4" xr3:uid="{00000000-0010-0000-0E00-000004000000}" name="END-OF-LIFE" dataDxfId="21"/>
    <tableColumn id="5" xr3:uid="{00000000-0010-0000-0E00-000005000000}" name="ENERGY INVESTMENT" dataDxfId="20">
      <calculatedColumnFormula>C45-D45</calculatedColumnFormula>
    </tableColumn>
    <tableColumn id="6" xr3:uid="{00000000-0010-0000-0E00-000006000000}" name="ANNUAL ENERGY COST SAVINGS" dataDxfId="19" dataCellStyle="Currency">
      <calculatedColumnFormula>('Cascading Savings'!D49*'Cascading Savings'!D$4)+('Cascading Savings'!F49*'Cascading Savings'!F$4)+('Cascading Savings'!H49*'Cascading Savings'!H$4)+('Cascading Savings'!J49*'Cascading Savings'!J$4)+('Cascading Savings'!L49*'Cascading Savings'!L$4)+('Cascading Savings'!N49*'Cascading Savings'!N$4)+('Cascading Savings'!P49*'Cascading Savings'!P$4)+('Cascading Savings'!R49*'Cascading Savings'!R$4)</calculatedColumnFormula>
    </tableColumn>
    <tableColumn id="7" xr3:uid="{00000000-0010-0000-0E00-000007000000}" name="ANNUAL ENERGY SAVINGS kBTU" dataDxfId="18">
      <calculatedColumnFormula>'Savings Summary'!T50</calculatedColumnFormula>
    </tableColumn>
    <tableColumn id="8" xr3:uid="{00000000-0010-0000-0E00-000008000000}" name="SIMPLE PAYBACK" dataDxfId="17">
      <calculatedColumnFormula>IF(C45=0,"n/a",E45/#REF!)</calculatedColumnFormula>
    </tableColumn>
    <tableColumn id="9" xr3:uid="{00000000-0010-0000-0E00-000009000000}" name="(yes / no)" dataDxfId="16">
      <calculatedColumnFormula>IF(H45=0, "n/a", IF(H45&gt;100, "no",IF(H45&lt;0, "no", "yes")))</calculatedColumnFormula>
    </tableColumn>
    <tableColumn id="10" xr3:uid="{00000000-0010-0000-0E00-00000A000000}" name="IRR" dataDxfId="15">
      <calculatedColumnFormula>IRR(P25:AT25,0.1)</calculatedColumnFormula>
    </tableColumn>
    <tableColumn id="11" xr3:uid="{00000000-0010-0000-0E00-00000B000000}" name="NPV" dataDxfId="14">
      <calculatedColumnFormula>NPV(0.05,P25:AT25)</calculatedColumnFormula>
    </tableColumn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41517" displayName="Table41517" ref="A61:K75" totalsRowShown="0" headerRowDxfId="13" headerRowBorderDxfId="12" tableBorderDxfId="11">
  <autoFilter ref="A61:K75" xr:uid="{00000000-0009-0000-0100-000010000000}"/>
  <tableColumns count="11">
    <tableColumn id="1" xr3:uid="{00000000-0010-0000-0F00-000001000000}" name="EEM#" dataDxfId="10">
      <calculatedColumnFormula>'EEM Data Entry'!A141</calculatedColumnFormula>
    </tableColumn>
    <tableColumn id="2" xr3:uid="{00000000-0010-0000-0F00-000002000000}" name="RENEWABLE ENERGY SYSTEM UPGRADES" dataDxfId="9">
      <calculatedColumnFormula>IF('Packaged EEMs'!B56="  ","  ", 'EEM Data Entry'!#REF!)</calculatedColumnFormula>
    </tableColumn>
    <tableColumn id="3" xr3:uid="{00000000-0010-0000-0F00-000003000000}" name=" CAPITAL INVESTMENT" dataDxfId="8">
      <calculatedColumnFormula>'EEM Data Entry'!F141</calculatedColumnFormula>
    </tableColumn>
    <tableColumn id="4" xr3:uid="{00000000-0010-0000-0F00-000004000000}" name="END-OF-LIFE" dataDxfId="7"/>
    <tableColumn id="5" xr3:uid="{00000000-0010-0000-0F00-000005000000}" name="ENERGY INVESTMENT " dataDxfId="6">
      <calculatedColumnFormula>C62-D62</calculatedColumnFormula>
    </tableColumn>
    <tableColumn id="6" xr3:uid="{00000000-0010-0000-0F00-000006000000}" name="ANNUAL ENERGY COST SAVINGS" dataDxfId="5" dataCellStyle="Currency">
      <calculatedColumnFormula>'Cascading  for package'!#REF!*'Cascading  for package'!J4</calculatedColumnFormula>
    </tableColumn>
    <tableColumn id="7" xr3:uid="{00000000-0010-0000-0F00-000007000000}" name="ANNUAL ENERGY SAVINGS kBTU" dataDxfId="4" dataCellStyle="Comma">
      <calculatedColumnFormula>'Savings Summary'!T69</calculatedColumnFormula>
    </tableColumn>
    <tableColumn id="8" xr3:uid="{00000000-0010-0000-0F00-000008000000}" name="SIMPLE PAYBACK" dataDxfId="3">
      <calculatedColumnFormula>IF(C62=0,"n/a",E62/F62)</calculatedColumnFormula>
    </tableColumn>
    <tableColumn id="9" xr3:uid="{00000000-0010-0000-0F00-000009000000}" name="(yes / no)" dataDxfId="2">
      <calculatedColumnFormula>IF(H62=0, "n/a", IF(H62&gt;100, "no",IF(H62&lt;0, "no", "yes")))</calculatedColumnFormula>
    </tableColumn>
    <tableColumn id="10" xr3:uid="{00000000-0010-0000-0F00-00000A000000}" name="IRR" dataDxfId="1">
      <calculatedColumnFormula>IRR(P62:AT62,0.1)</calculatedColumnFormula>
    </tableColumn>
    <tableColumn id="11" xr3:uid="{00000000-0010-0000-0F00-00000B000000}" name="NPV" dataDxfId="0">
      <calculatedColumnFormula>NPV(0.05,P62:AT62)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rchitecture.mit.edu/news/architectural-longevity-what-determines-buildings-lifespan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tatista.com/statistics/220020/average-life-expectancy-of-major-household-appliances/" TargetMode="External"/><Relationship Id="rId18" Type="http://schemas.openxmlformats.org/officeDocument/2006/relationships/hyperlink" Target="https://www.consumeraffairs.com/solar-energy/how-long-do-solar-batteries-last.html" TargetMode="External"/><Relationship Id="rId26" Type="http://schemas.openxmlformats.org/officeDocument/2006/relationships/hyperlink" Target="https://www.eia.gov/analysis/studies/buildings/equipcosts/pdf/appendix-a.pdf" TargetMode="External"/><Relationship Id="rId39" Type="http://schemas.openxmlformats.org/officeDocument/2006/relationships/hyperlink" Target="https://www.eia.gov/analysis/studies/buildings/equipcosts/pdf/appendix-a.pdf" TargetMode="External"/><Relationship Id="rId21" Type="http://schemas.openxmlformats.org/officeDocument/2006/relationships/hyperlink" Target="https://www.eia.gov/analysis/studies/buildings/equipcosts/pdf/appendix-a.pdf" TargetMode="External"/><Relationship Id="rId34" Type="http://schemas.openxmlformats.org/officeDocument/2006/relationships/hyperlink" Target="https://www.eia.gov/analysis/studies/buildings/equipcosts/pdf/appendix-a.pdf" TargetMode="External"/><Relationship Id="rId42" Type="http://schemas.openxmlformats.org/officeDocument/2006/relationships/hyperlink" Target="https://www.eia.gov/analysis/studies/buildings/equipcosts/pdf/appendix-a.pdf" TargetMode="External"/><Relationship Id="rId47" Type="http://schemas.openxmlformats.org/officeDocument/2006/relationships/hyperlink" Target="https://www.eia.gov/analysis/studies/buildings/equipcosts/pdf/appendix-a.pdf" TargetMode="External"/><Relationship Id="rId50" Type="http://schemas.openxmlformats.org/officeDocument/2006/relationships/hyperlink" Target="https://www.nachi.org/life-expectancy.htm" TargetMode="External"/><Relationship Id="rId7" Type="http://schemas.openxmlformats.org/officeDocument/2006/relationships/hyperlink" Target="https://energysaversair.com/2021/04/12/how-long-does-a-home-thermostat-last/index.html" TargetMode="External"/><Relationship Id="rId2" Type="http://schemas.openxmlformats.org/officeDocument/2006/relationships/hyperlink" Target="https://insulation-more.co.uk/blogs/the-pipe-duct-lagging-expert/the-experts-guide-to-foam-pipe-insulation" TargetMode="External"/><Relationship Id="rId16" Type="http://schemas.openxmlformats.org/officeDocument/2006/relationships/hyperlink" Target="https://www.statista.com/statistics/220020/average-life-expectancy-of-major-household-appliances/" TargetMode="External"/><Relationship Id="rId29" Type="http://schemas.openxmlformats.org/officeDocument/2006/relationships/hyperlink" Target="https://www.eia.gov/analysis/studies/buildings/equipcosts/pdf/appendix-a.pdf" TargetMode="External"/><Relationship Id="rId11" Type="http://schemas.openxmlformats.org/officeDocument/2006/relationships/hyperlink" Target="https://www.statista.com/statistics/220020/average-life-expectancy-of-major-household-appliances/" TargetMode="External"/><Relationship Id="rId24" Type="http://schemas.openxmlformats.org/officeDocument/2006/relationships/hyperlink" Target="https://www.eia.gov/analysis/studies/buildings/equipcosts/pdf/appendix-a.pdf" TargetMode="External"/><Relationship Id="rId32" Type="http://schemas.openxmlformats.org/officeDocument/2006/relationships/hyperlink" Target="https://www.eia.gov/analysis/studies/buildings/equipcosts/pdf/appendix-a.pdf" TargetMode="External"/><Relationship Id="rId37" Type="http://schemas.openxmlformats.org/officeDocument/2006/relationships/hyperlink" Target="https://www.eia.gov/analysis/studies/buildings/equipcosts/pdf/appendix-a.pdf" TargetMode="External"/><Relationship Id="rId40" Type="http://schemas.openxmlformats.org/officeDocument/2006/relationships/hyperlink" Target="https://www.eia.gov/analysis/studies/buildings/equipcosts/pdf/appendix-a.pdf" TargetMode="External"/><Relationship Id="rId45" Type="http://schemas.openxmlformats.org/officeDocument/2006/relationships/hyperlink" Target="https://www.eia.gov/analysis/studies/buildings/equipcosts/pdf/appendix-a.pdf" TargetMode="External"/><Relationship Id="rId5" Type="http://schemas.openxmlformats.org/officeDocument/2006/relationships/hyperlink" Target="https://sanbornsac.com/what-is-the-average-life-expectancy-of-a-heat-pump/" TargetMode="External"/><Relationship Id="rId15" Type="http://schemas.openxmlformats.org/officeDocument/2006/relationships/hyperlink" Target="https://www.statista.com/statistics/220020/average-life-expectancy-of-major-household-appliances/" TargetMode="External"/><Relationship Id="rId23" Type="http://schemas.openxmlformats.org/officeDocument/2006/relationships/hyperlink" Target="https://www.eia.gov/analysis/studies/buildings/equipcosts/pdf/appendix-a.pdf" TargetMode="External"/><Relationship Id="rId28" Type="http://schemas.openxmlformats.org/officeDocument/2006/relationships/hyperlink" Target="https://www.eia.gov/analysis/studies/buildings/equipcosts/pdf/appendix-a.pdf" TargetMode="External"/><Relationship Id="rId36" Type="http://schemas.openxmlformats.org/officeDocument/2006/relationships/hyperlink" Target="https://www.eia.gov/analysis/studies/buildings/equipcosts/pdf/appendix-a.pdf" TargetMode="External"/><Relationship Id="rId49" Type="http://schemas.openxmlformats.org/officeDocument/2006/relationships/hyperlink" Target="https://www.eia.gov/analysis/studies/buildings/equipcosts/pdf/appendix-a.pdf" TargetMode="External"/><Relationship Id="rId10" Type="http://schemas.openxmlformats.org/officeDocument/2006/relationships/hyperlink" Target="https://www.energystar.gov/ia/partners/manuf_res/downloads/PartnerResourceGuide-LowRes.pdf" TargetMode="External"/><Relationship Id="rId19" Type="http://schemas.openxmlformats.org/officeDocument/2006/relationships/hyperlink" Target="https://www.paradisesolarenergy.com/blog/how-long-do-solar-batteries-last" TargetMode="External"/><Relationship Id="rId31" Type="http://schemas.openxmlformats.org/officeDocument/2006/relationships/hyperlink" Target="https://www.eia.gov/analysis/studies/buildings/equipcosts/pdf/appendix-a.pdf" TargetMode="External"/><Relationship Id="rId44" Type="http://schemas.openxmlformats.org/officeDocument/2006/relationships/hyperlink" Target="https://www.eia.gov/analysis/studies/buildings/equipcosts/pdf/appendix-a.pdf" TargetMode="External"/><Relationship Id="rId4" Type="http://schemas.openxmlformats.org/officeDocument/2006/relationships/hyperlink" Target="https://www.energystar.gov/products/ask-the-experts/what-goes-into-the-cost-of-installing-a-heat-pump-water-heater" TargetMode="External"/><Relationship Id="rId9" Type="http://schemas.openxmlformats.org/officeDocument/2006/relationships/hyperlink" Target="https://www.energy.gov/sites/prod/files/guide_to_home_heating_cooling.pdf" TargetMode="External"/><Relationship Id="rId14" Type="http://schemas.openxmlformats.org/officeDocument/2006/relationships/hyperlink" Target="https://www.statista.com/statistics/220020/average-life-expectancy-of-major-household-appliances/" TargetMode="External"/><Relationship Id="rId22" Type="http://schemas.openxmlformats.org/officeDocument/2006/relationships/hyperlink" Target="https://www.eia.gov/analysis/studies/buildings/equipcosts/pdf/appendix-a.pdf" TargetMode="External"/><Relationship Id="rId27" Type="http://schemas.openxmlformats.org/officeDocument/2006/relationships/hyperlink" Target="https://www.eia.gov/analysis/studies/buildings/equipcosts/pdf/appendix-a.pdf" TargetMode="External"/><Relationship Id="rId30" Type="http://schemas.openxmlformats.org/officeDocument/2006/relationships/hyperlink" Target="https://www.eia.gov/analysis/studies/buildings/equipcosts/pdf/appendix-a.pdf" TargetMode="External"/><Relationship Id="rId35" Type="http://schemas.openxmlformats.org/officeDocument/2006/relationships/hyperlink" Target="https://www.eia.gov/analysis/studies/buildings/equipcosts/pdf/appendix-a.pdf" TargetMode="External"/><Relationship Id="rId43" Type="http://schemas.openxmlformats.org/officeDocument/2006/relationships/hyperlink" Target="https://www.eia.gov/analysis/studies/buildings/equipcosts/pdf/appendix-a.pdf" TargetMode="External"/><Relationship Id="rId48" Type="http://schemas.openxmlformats.org/officeDocument/2006/relationships/hyperlink" Target="https://www.eia.gov/analysis/studies/buildings/equipcosts/pdf/appendix-a.pdf" TargetMode="External"/><Relationship Id="rId8" Type="http://schemas.openxmlformats.org/officeDocument/2006/relationships/hyperlink" Target="https://www.energystar.gov/products/refrigerators" TargetMode="External"/><Relationship Id="rId51" Type="http://schemas.openxmlformats.org/officeDocument/2006/relationships/hyperlink" Target="https://architecture.mit.edu/news/architectural-longevity-what-determines-buildings-lifespan" TargetMode="External"/><Relationship Id="rId3" Type="http://schemas.openxmlformats.org/officeDocument/2006/relationships/hyperlink" Target="https://www.tempriteclimatesolutions.com/blog/heating-service/how-long-will-my-boiler-last/" TargetMode="External"/><Relationship Id="rId12" Type="http://schemas.openxmlformats.org/officeDocument/2006/relationships/hyperlink" Target="https://www.statista.com/statistics/220020/average-life-expectancy-of-major-household-appliances/" TargetMode="External"/><Relationship Id="rId17" Type="http://schemas.openxmlformats.org/officeDocument/2006/relationships/hyperlink" Target="https://www.thisoldhouse.com/21018361/how-long-things-last" TargetMode="External"/><Relationship Id="rId25" Type="http://schemas.openxmlformats.org/officeDocument/2006/relationships/hyperlink" Target="https://www.eia.gov/analysis/studies/buildings/equipcosts/pdf/appendix-a.pdf" TargetMode="External"/><Relationship Id="rId33" Type="http://schemas.openxmlformats.org/officeDocument/2006/relationships/hyperlink" Target="https://www.eia.gov/analysis/studies/buildings/equipcosts/pdf/appendix-a.pdf" TargetMode="External"/><Relationship Id="rId38" Type="http://schemas.openxmlformats.org/officeDocument/2006/relationships/hyperlink" Target="https://www.eia.gov/analysis/studies/buildings/equipcosts/pdf/appendix-a.pdf" TargetMode="External"/><Relationship Id="rId46" Type="http://schemas.openxmlformats.org/officeDocument/2006/relationships/hyperlink" Target="https://www.eia.gov/analysis/studies/buildings/equipcosts/pdf/appendix-a.pdf" TargetMode="External"/><Relationship Id="rId20" Type="http://schemas.openxmlformats.org/officeDocument/2006/relationships/hyperlink" Target="https://www.energy.gov/energysaver/central-air-conditioning" TargetMode="External"/><Relationship Id="rId41" Type="http://schemas.openxmlformats.org/officeDocument/2006/relationships/hyperlink" Target="https://www.eia.gov/analysis/studies/buildings/equipcosts/pdf/appendix-a.pdf" TargetMode="External"/><Relationship Id="rId1" Type="http://schemas.openxmlformats.org/officeDocument/2006/relationships/hyperlink" Target="https://happyhiller.com/blog/signs-you-need-air-duct-replacement/" TargetMode="External"/><Relationship Id="rId6" Type="http://schemas.openxmlformats.org/officeDocument/2006/relationships/hyperlink" Target="https://sanbornsac.com/what-is-the-average-life-expectancy-of-a-heat-pump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pages.nist.gov/eerc/" TargetMode="External"/><Relationship Id="rId2" Type="http://schemas.openxmlformats.org/officeDocument/2006/relationships/hyperlink" Target="https://www.sciotoanalysis.com/news/2023/1/24/which-discount-rate-should-i-use" TargetMode="External"/><Relationship Id="rId1" Type="http://schemas.openxmlformats.org/officeDocument/2006/relationships/hyperlink" Target="https://www.bls.gov/cpi/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1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B223-6D0D-44AF-A757-06B17544CC1C}">
  <sheetPr>
    <tabColor theme="1" tint="0.499984740745262"/>
  </sheetPr>
  <dimension ref="A1:B15"/>
  <sheetViews>
    <sheetView tabSelected="1" workbookViewId="0">
      <selection activeCell="A22" sqref="A22"/>
    </sheetView>
  </sheetViews>
  <sheetFormatPr defaultRowHeight="12.5" x14ac:dyDescent="0.25"/>
  <cols>
    <col min="1" max="1" width="65.6328125" customWidth="1"/>
    <col min="2" max="2" width="56.08984375" bestFit="1" customWidth="1"/>
  </cols>
  <sheetData>
    <row r="1" spans="1:2" ht="26" x14ac:dyDescent="0.6">
      <c r="A1" s="793" t="s">
        <v>224</v>
      </c>
      <c r="B1" s="793" t="s">
        <v>225</v>
      </c>
    </row>
    <row r="2" spans="1:2" ht="37.5" x14ac:dyDescent="0.25">
      <c r="A2" s="1" t="s">
        <v>421</v>
      </c>
      <c r="B2" s="1" t="s">
        <v>227</v>
      </c>
    </row>
    <row r="3" spans="1:2" ht="25" x14ac:dyDescent="0.25">
      <c r="A3" s="1" t="s">
        <v>422</v>
      </c>
      <c r="B3" s="1" t="s">
        <v>422</v>
      </c>
    </row>
    <row r="4" spans="1:2" x14ac:dyDescent="0.25">
      <c r="A4" s="1" t="s">
        <v>423</v>
      </c>
      <c r="B4" s="1" t="s">
        <v>226</v>
      </c>
    </row>
    <row r="5" spans="1:2" ht="13" thickBot="1" x14ac:dyDescent="0.3"/>
    <row r="6" spans="1:2" ht="13" x14ac:dyDescent="0.3">
      <c r="A6" s="930" t="s">
        <v>419</v>
      </c>
    </row>
    <row r="7" spans="1:2" x14ac:dyDescent="0.25">
      <c r="A7" s="923" t="s">
        <v>414</v>
      </c>
    </row>
    <row r="8" spans="1:2" ht="13.5" thickBot="1" x14ac:dyDescent="0.35">
      <c r="A8" s="924" t="s">
        <v>418</v>
      </c>
    </row>
    <row r="9" spans="1:2" ht="13" thickBot="1" x14ac:dyDescent="0.3"/>
    <row r="10" spans="1:2" ht="13" x14ac:dyDescent="0.3">
      <c r="A10" s="929" t="s">
        <v>420</v>
      </c>
    </row>
    <row r="11" spans="1:2" x14ac:dyDescent="0.25">
      <c r="A11" s="925" t="s">
        <v>413</v>
      </c>
    </row>
    <row r="12" spans="1:2" x14ac:dyDescent="0.25">
      <c r="A12" s="923" t="s">
        <v>414</v>
      </c>
    </row>
    <row r="13" spans="1:2" x14ac:dyDescent="0.25">
      <c r="A13" s="926" t="s">
        <v>415</v>
      </c>
    </row>
    <row r="14" spans="1:2" x14ac:dyDescent="0.25">
      <c r="A14" s="927" t="s">
        <v>416</v>
      </c>
    </row>
    <row r="15" spans="1:2" ht="13" thickBot="1" x14ac:dyDescent="0.3">
      <c r="A15" s="928" t="s">
        <v>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00"/>
    <pageSetUpPr fitToPage="1"/>
  </sheetPr>
  <dimension ref="A1:AJ160"/>
  <sheetViews>
    <sheetView zoomScale="85" zoomScaleNormal="85" workbookViewId="0">
      <pane ySplit="3" topLeftCell="A4" activePane="bottomLeft" state="frozen"/>
      <selection pane="bottomLeft" activeCell="Q33" sqref="Q33"/>
    </sheetView>
  </sheetViews>
  <sheetFormatPr defaultColWidth="12.6328125" defaultRowHeight="13" x14ac:dyDescent="0.3"/>
  <cols>
    <col min="1" max="1" width="9" style="522" customWidth="1"/>
    <col min="2" max="2" width="43.36328125" style="557" customWidth="1"/>
    <col min="3" max="3" width="13.26953125" style="513" customWidth="1"/>
    <col min="4" max="5" width="13.26953125" style="557" customWidth="1"/>
    <col min="6" max="7" width="13.26953125" style="566" customWidth="1"/>
    <col min="8" max="9" width="13.26953125" style="567" customWidth="1"/>
    <col min="10" max="15" width="13.26953125" style="513" customWidth="1"/>
    <col min="16" max="16" width="9.08984375" style="513" customWidth="1"/>
    <col min="17" max="17" width="47.6328125" style="513" customWidth="1"/>
    <col min="18" max="18" width="13.08984375" style="513" bestFit="1" customWidth="1"/>
    <col min="19" max="19" width="17" style="513" bestFit="1" customWidth="1"/>
    <col min="20" max="20" width="28.81640625" style="513" customWidth="1"/>
    <col min="21" max="28" width="12.6328125" style="513"/>
    <col min="29" max="29" width="15.36328125" style="513" customWidth="1"/>
    <col min="30" max="35" width="12.6328125" style="513"/>
    <col min="36" max="36" width="17.6328125" style="513" customWidth="1"/>
    <col min="37" max="16384" width="12.6328125" style="513"/>
  </cols>
  <sheetData>
    <row r="1" spans="1:36" ht="22.5" x14ac:dyDescent="0.3">
      <c r="H1" s="932" t="s">
        <v>403</v>
      </c>
      <c r="I1" s="932"/>
      <c r="J1" s="932"/>
      <c r="K1" s="932"/>
      <c r="L1" s="932"/>
      <c r="M1" s="932"/>
      <c r="N1" s="932"/>
      <c r="O1" s="932"/>
    </row>
    <row r="2" spans="1:36" ht="17" customHeight="1" x14ac:dyDescent="0.3">
      <c r="A2" s="931" t="s">
        <v>217</v>
      </c>
      <c r="B2" s="931"/>
      <c r="C2" s="931"/>
      <c r="D2" s="931" t="s">
        <v>200</v>
      </c>
      <c r="E2" s="931"/>
      <c r="F2" s="931"/>
      <c r="G2" s="824"/>
      <c r="H2" s="931" t="s">
        <v>395</v>
      </c>
      <c r="I2" s="931"/>
      <c r="J2" s="931"/>
      <c r="K2" s="931"/>
      <c r="L2" s="931"/>
      <c r="M2" s="931"/>
      <c r="N2" s="931"/>
      <c r="O2" s="931"/>
      <c r="S2" s="894">
        <v>3.4121419999999998</v>
      </c>
      <c r="U2" s="513">
        <v>137.381</v>
      </c>
      <c r="W2" s="513">
        <v>100</v>
      </c>
      <c r="Y2" s="513">
        <v>91.5</v>
      </c>
      <c r="AC2" s="513">
        <v>16400</v>
      </c>
      <c r="AE2" s="513">
        <v>9500</v>
      </c>
    </row>
    <row r="3" spans="1:36" s="521" customFormat="1" ht="40.5" thickBot="1" x14ac:dyDescent="0.45">
      <c r="A3" s="514" t="s">
        <v>144</v>
      </c>
      <c r="B3" s="515" t="s">
        <v>182</v>
      </c>
      <c r="C3" s="516" t="s">
        <v>160</v>
      </c>
      <c r="D3" s="517" t="s">
        <v>200</v>
      </c>
      <c r="E3" s="517" t="s">
        <v>228</v>
      </c>
      <c r="F3" s="518" t="s">
        <v>199</v>
      </c>
      <c r="G3" s="518" t="s">
        <v>377</v>
      </c>
      <c r="H3" s="519" t="s">
        <v>396</v>
      </c>
      <c r="I3" s="519" t="s">
        <v>397</v>
      </c>
      <c r="J3" s="520" t="s">
        <v>398</v>
      </c>
      <c r="K3" s="520" t="s">
        <v>399</v>
      </c>
      <c r="L3" s="516" t="s">
        <v>62</v>
      </c>
      <c r="M3" s="516" t="s">
        <v>400</v>
      </c>
      <c r="N3" s="516" t="s">
        <v>401</v>
      </c>
      <c r="O3" s="520" t="s">
        <v>133</v>
      </c>
      <c r="Q3" s="941" t="s">
        <v>172</v>
      </c>
      <c r="R3" s="941"/>
      <c r="S3" s="941"/>
      <c r="T3" s="941"/>
      <c r="U3" s="941"/>
      <c r="V3" s="941"/>
      <c r="W3" s="941"/>
      <c r="X3" s="941"/>
      <c r="Y3" s="941"/>
      <c r="Z3" s="941"/>
      <c r="AA3" s="941"/>
      <c r="AB3" s="941"/>
      <c r="AC3" s="941"/>
      <c r="AD3" s="941"/>
      <c r="AE3" s="941"/>
      <c r="AF3" s="941"/>
      <c r="AG3" s="941"/>
      <c r="AH3" s="941"/>
      <c r="AI3" s="941"/>
      <c r="AJ3" s="941"/>
    </row>
    <row r="4" spans="1:36" ht="20" x14ac:dyDescent="0.4">
      <c r="B4" s="523" t="s">
        <v>126</v>
      </c>
      <c r="D4" s="524"/>
      <c r="E4" s="524"/>
      <c r="F4" s="525"/>
      <c r="G4" s="525"/>
      <c r="H4" s="526"/>
      <c r="I4" s="526"/>
      <c r="J4" s="527"/>
      <c r="K4" s="527"/>
      <c r="L4" s="527"/>
      <c r="M4" s="527"/>
      <c r="N4" s="527"/>
      <c r="O4" s="527"/>
      <c r="Q4" s="528"/>
      <c r="R4" s="529" t="s">
        <v>18</v>
      </c>
      <c r="S4" s="939" t="s">
        <v>0</v>
      </c>
      <c r="T4" s="939"/>
      <c r="U4" s="939" t="s">
        <v>1</v>
      </c>
      <c r="V4" s="939"/>
      <c r="W4" s="939" t="s">
        <v>2</v>
      </c>
      <c r="X4" s="939"/>
      <c r="Y4" s="939" t="s">
        <v>3</v>
      </c>
      <c r="Z4" s="939"/>
      <c r="AA4" s="939" t="s">
        <v>62</v>
      </c>
      <c r="AB4" s="939"/>
      <c r="AC4" s="939" t="s">
        <v>23</v>
      </c>
      <c r="AD4" s="939"/>
      <c r="AE4" s="939" t="s">
        <v>26</v>
      </c>
      <c r="AF4" s="939"/>
      <c r="AG4" s="939" t="s">
        <v>19</v>
      </c>
      <c r="AH4" s="939"/>
      <c r="AI4" s="939" t="s">
        <v>4</v>
      </c>
      <c r="AJ4" s="940"/>
    </row>
    <row r="5" spans="1:36" ht="15.5" x14ac:dyDescent="0.35">
      <c r="A5" s="895"/>
      <c r="B5" s="896"/>
      <c r="C5" s="897"/>
      <c r="D5" s="898"/>
      <c r="E5" s="898"/>
      <c r="F5" s="903" t="str">
        <f t="shared" ref="F5" si="0">IF(AND(COUNT(D5)&gt;0,COUNT(E5)&gt;0),D5-E5,"")</f>
        <v/>
      </c>
      <c r="G5" s="899" t="s">
        <v>139</v>
      </c>
      <c r="H5" s="900"/>
      <c r="I5" s="900"/>
      <c r="J5" s="900"/>
      <c r="K5" s="900"/>
      <c r="L5" s="900"/>
      <c r="M5" s="900"/>
      <c r="N5" s="900"/>
      <c r="O5" s="901"/>
      <c r="Q5" s="532"/>
      <c r="R5" s="533" t="s">
        <v>213</v>
      </c>
      <c r="S5" s="904">
        <v>0</v>
      </c>
      <c r="T5" s="535" t="s">
        <v>6</v>
      </c>
      <c r="U5" s="904">
        <v>0</v>
      </c>
      <c r="V5" s="536" t="s">
        <v>7</v>
      </c>
      <c r="W5" s="906">
        <v>0</v>
      </c>
      <c r="X5" s="536" t="s">
        <v>165</v>
      </c>
      <c r="Y5" s="904">
        <v>0</v>
      </c>
      <c r="Z5" s="536" t="s">
        <v>89</v>
      </c>
      <c r="AA5" s="904">
        <v>0</v>
      </c>
      <c r="AB5" s="536" t="s">
        <v>69</v>
      </c>
      <c r="AC5" s="904">
        <v>0</v>
      </c>
      <c r="AD5" s="536" t="s">
        <v>24</v>
      </c>
      <c r="AE5" s="904">
        <v>0</v>
      </c>
      <c r="AF5" s="536" t="s">
        <v>24</v>
      </c>
      <c r="AG5" s="904">
        <v>0</v>
      </c>
      <c r="AH5" s="536" t="s">
        <v>37</v>
      </c>
      <c r="AI5" s="538">
        <f>SUM((S5*S2),(U2*U5),(W2*W5),(Y2*Y5),(AC2*AC5),(AE2*AE5))</f>
        <v>0</v>
      </c>
      <c r="AJ5" s="539" t="s">
        <v>21</v>
      </c>
    </row>
    <row r="6" spans="1:36" ht="20" x14ac:dyDescent="0.4">
      <c r="A6" s="895"/>
      <c r="B6" s="896"/>
      <c r="C6" s="897"/>
      <c r="D6" s="898"/>
      <c r="E6" s="898"/>
      <c r="F6" s="903" t="str">
        <f t="shared" ref="F6:F10" si="1">IF(AND(COUNT(D6)&gt;0,COUNT(E6)&gt;0),D6-E6,"")</f>
        <v/>
      </c>
      <c r="G6" s="899" t="s">
        <v>139</v>
      </c>
      <c r="H6" s="900"/>
      <c r="I6" s="900"/>
      <c r="J6" s="900"/>
      <c r="K6" s="900"/>
      <c r="L6" s="900"/>
      <c r="M6" s="900"/>
      <c r="N6" s="900"/>
      <c r="O6" s="901"/>
      <c r="Q6" s="540"/>
      <c r="R6" s="541" t="s">
        <v>9</v>
      </c>
      <c r="S6" s="905">
        <v>0</v>
      </c>
      <c r="T6" s="535" t="s">
        <v>166</v>
      </c>
      <c r="U6" s="905">
        <v>0</v>
      </c>
      <c r="V6" s="535" t="s">
        <v>166</v>
      </c>
      <c r="W6" s="907">
        <v>0</v>
      </c>
      <c r="X6" s="535" t="s">
        <v>166</v>
      </c>
      <c r="Y6" s="908">
        <v>0</v>
      </c>
      <c r="Z6" s="535" t="s">
        <v>166</v>
      </c>
      <c r="AA6" s="908">
        <v>0</v>
      </c>
      <c r="AB6" s="535" t="s">
        <v>166</v>
      </c>
      <c r="AC6" s="908">
        <v>0</v>
      </c>
      <c r="AD6" s="535" t="s">
        <v>166</v>
      </c>
      <c r="AE6" s="908">
        <v>0</v>
      </c>
      <c r="AF6" s="535" t="s">
        <v>166</v>
      </c>
      <c r="AG6" s="908">
        <v>0</v>
      </c>
      <c r="AH6" s="535" t="s">
        <v>166</v>
      </c>
      <c r="AI6" s="544">
        <f>S6+U6+W6+Y6+AA6+AE6+AG6+AC6</f>
        <v>0</v>
      </c>
      <c r="AJ6" s="545" t="s">
        <v>167</v>
      </c>
    </row>
    <row r="7" spans="1:36" ht="20.5" thickBot="1" x14ac:dyDescent="0.45">
      <c r="A7" s="895"/>
      <c r="B7" s="896"/>
      <c r="C7" s="897"/>
      <c r="D7" s="898"/>
      <c r="E7" s="898"/>
      <c r="F7" s="903" t="str">
        <f t="shared" si="1"/>
        <v/>
      </c>
      <c r="G7" s="899" t="s">
        <v>139</v>
      </c>
      <c r="H7" s="900"/>
      <c r="I7" s="900"/>
      <c r="J7" s="900"/>
      <c r="K7" s="900"/>
      <c r="L7" s="900"/>
      <c r="M7" s="900"/>
      <c r="N7" s="900"/>
      <c r="O7" s="901"/>
      <c r="Q7" s="546"/>
      <c r="R7" s="547" t="s">
        <v>11</v>
      </c>
      <c r="S7" s="548">
        <f>IF(S5=0,0,S6/S5)</f>
        <v>0</v>
      </c>
      <c r="T7" s="549" t="s">
        <v>12</v>
      </c>
      <c r="U7" s="548">
        <f>IF(U5=0,0,U6/U5)</f>
        <v>0</v>
      </c>
      <c r="V7" s="550" t="s">
        <v>13</v>
      </c>
      <c r="W7" s="548">
        <f>IF(W5=0,0,W6/W5)</f>
        <v>0</v>
      </c>
      <c r="X7" s="550" t="s">
        <v>14</v>
      </c>
      <c r="Y7" s="548">
        <f>IF(Y5=0,0,Y6/Y5)</f>
        <v>0</v>
      </c>
      <c r="Z7" s="550" t="s">
        <v>13</v>
      </c>
      <c r="AA7" s="548">
        <f>IF(AA5=0,0,AA6/AA5)</f>
        <v>0</v>
      </c>
      <c r="AB7" s="550" t="s">
        <v>70</v>
      </c>
      <c r="AC7" s="548">
        <f>IF(AC5=0,0,AC6/AC5)</f>
        <v>0</v>
      </c>
      <c r="AD7" s="550" t="s">
        <v>25</v>
      </c>
      <c r="AE7" s="548">
        <f>IF(AE5=0,0,AE6/AE5)</f>
        <v>0</v>
      </c>
      <c r="AF7" s="550" t="s">
        <v>25</v>
      </c>
      <c r="AG7" s="548">
        <f>IF(AG5=0,0,AG6/AG5)</f>
        <v>0</v>
      </c>
      <c r="AH7" s="550" t="s">
        <v>13</v>
      </c>
      <c r="AI7" s="551"/>
      <c r="AJ7" s="552"/>
    </row>
    <row r="8" spans="1:36" ht="16" thickBot="1" x14ac:dyDescent="0.4">
      <c r="A8" s="895"/>
      <c r="B8" s="896"/>
      <c r="C8" s="897"/>
      <c r="D8" s="898"/>
      <c r="E8" s="898"/>
      <c r="F8" s="903" t="str">
        <f t="shared" si="1"/>
        <v/>
      </c>
      <c r="G8" s="899" t="s">
        <v>139</v>
      </c>
      <c r="H8" s="900"/>
      <c r="I8" s="900"/>
      <c r="J8" s="900"/>
      <c r="K8" s="900"/>
      <c r="L8" s="900"/>
      <c r="M8" s="900"/>
      <c r="N8" s="900"/>
      <c r="O8" s="901"/>
      <c r="R8" s="547" t="s">
        <v>233</v>
      </c>
      <c r="S8" s="547">
        <f>S5*0.003412142</f>
        <v>0</v>
      </c>
      <c r="T8" s="805" t="s">
        <v>234</v>
      </c>
      <c r="U8" s="547">
        <f>U5*0.137381</f>
        <v>0</v>
      </c>
      <c r="V8" s="805" t="s">
        <v>234</v>
      </c>
      <c r="W8" s="547">
        <f>W5*0.1</f>
        <v>0</v>
      </c>
      <c r="X8" s="805" t="s">
        <v>234</v>
      </c>
      <c r="Y8" s="547">
        <f>Y5*0.0915</f>
        <v>0</v>
      </c>
      <c r="Z8" s="805" t="s">
        <v>234</v>
      </c>
      <c r="AA8" s="547">
        <f>AA5*1.194</f>
        <v>0</v>
      </c>
      <c r="AB8" s="805" t="s">
        <v>234</v>
      </c>
      <c r="AC8" s="547">
        <f>AC5*16.4</f>
        <v>0</v>
      </c>
      <c r="AD8" s="805" t="s">
        <v>234</v>
      </c>
      <c r="AE8" s="547">
        <f>AE5*9.5</f>
        <v>0</v>
      </c>
      <c r="AF8" s="805" t="s">
        <v>234</v>
      </c>
    </row>
    <row r="9" spans="1:36" ht="16" thickBot="1" x14ac:dyDescent="0.4">
      <c r="A9" s="895"/>
      <c r="B9" s="896"/>
      <c r="C9" s="897"/>
      <c r="D9" s="898"/>
      <c r="E9" s="898"/>
      <c r="F9" s="903" t="str">
        <f t="shared" si="1"/>
        <v/>
      </c>
      <c r="G9" s="899" t="s">
        <v>139</v>
      </c>
      <c r="H9" s="900"/>
      <c r="I9" s="900"/>
      <c r="J9" s="900"/>
      <c r="K9" s="900"/>
      <c r="L9" s="900"/>
      <c r="M9" s="900"/>
      <c r="N9" s="900"/>
      <c r="O9" s="901"/>
      <c r="Q9" s="936" t="s">
        <v>204</v>
      </c>
      <c r="R9" s="547" t="s">
        <v>235</v>
      </c>
      <c r="S9" s="548" t="e">
        <f>S6/S8</f>
        <v>#DIV/0!</v>
      </c>
      <c r="T9" s="805" t="s">
        <v>235</v>
      </c>
      <c r="U9" s="548" t="e">
        <f>U6/U8</f>
        <v>#DIV/0!</v>
      </c>
      <c r="V9" s="805" t="s">
        <v>235</v>
      </c>
      <c r="W9" s="548" t="e">
        <f>W6/W8</f>
        <v>#DIV/0!</v>
      </c>
      <c r="X9" s="805" t="s">
        <v>235</v>
      </c>
      <c r="Y9" s="548" t="e">
        <f>Y6/Y8</f>
        <v>#DIV/0!</v>
      </c>
      <c r="Z9" s="805" t="s">
        <v>235</v>
      </c>
      <c r="AA9" s="548" t="e">
        <f>AA6/AA8</f>
        <v>#DIV/0!</v>
      </c>
      <c r="AB9" s="805" t="s">
        <v>235</v>
      </c>
      <c r="AC9" s="548" t="e">
        <f>AC6/AC8</f>
        <v>#DIV/0!</v>
      </c>
      <c r="AD9" s="805" t="s">
        <v>235</v>
      </c>
      <c r="AE9" s="548" t="e">
        <f>AE6/AE8</f>
        <v>#DIV/0!</v>
      </c>
      <c r="AF9" s="805" t="s">
        <v>235</v>
      </c>
    </row>
    <row r="10" spans="1:36" x14ac:dyDescent="0.3">
      <c r="A10" s="895"/>
      <c r="B10" s="896"/>
      <c r="C10" s="897"/>
      <c r="D10" s="898"/>
      <c r="E10" s="898"/>
      <c r="F10" s="903" t="str">
        <f t="shared" si="1"/>
        <v/>
      </c>
      <c r="G10" s="899" t="s">
        <v>139</v>
      </c>
      <c r="H10" s="900"/>
      <c r="I10" s="900"/>
      <c r="J10" s="900"/>
      <c r="K10" s="900"/>
      <c r="L10" s="900"/>
      <c r="M10" s="900"/>
      <c r="N10" s="900"/>
      <c r="O10" s="901"/>
      <c r="Q10" s="937"/>
    </row>
    <row r="11" spans="1:36" ht="13.5" thickBot="1" x14ac:dyDescent="0.35">
      <c r="A11" s="895"/>
      <c r="B11" s="896"/>
      <c r="C11" s="897"/>
      <c r="D11" s="898"/>
      <c r="E11" s="898"/>
      <c r="F11" s="903" t="str">
        <f>IF(AND(COUNT(D11)&gt;0,COUNT(E11)&gt;0),D11-E11,"")</f>
        <v/>
      </c>
      <c r="G11" s="899" t="s">
        <v>139</v>
      </c>
      <c r="H11" s="900"/>
      <c r="I11" s="900"/>
      <c r="J11" s="900"/>
      <c r="K11" s="900"/>
      <c r="L11" s="900"/>
      <c r="M11" s="900"/>
      <c r="N11" s="900"/>
      <c r="O11" s="901"/>
      <c r="Q11" s="938"/>
    </row>
    <row r="12" spans="1:36" ht="13.5" thickBot="1" x14ac:dyDescent="0.35">
      <c r="A12" s="895"/>
      <c r="B12" s="896"/>
      <c r="C12" s="897"/>
      <c r="D12" s="898"/>
      <c r="E12" s="898"/>
      <c r="F12" s="903" t="str">
        <f t="shared" ref="F12:F28" si="2">IF(AND(COUNT(D12)&gt;0,COUNT(E12)&gt;0),D12-E12,"")</f>
        <v/>
      </c>
      <c r="G12" s="899" t="s">
        <v>139</v>
      </c>
      <c r="H12" s="900"/>
      <c r="I12" s="900"/>
      <c r="J12" s="900"/>
      <c r="K12" s="900"/>
      <c r="L12" s="900"/>
      <c r="M12" s="900"/>
      <c r="N12" s="900"/>
      <c r="O12" s="901"/>
    </row>
    <row r="13" spans="1:36" ht="12.5" customHeight="1" x14ac:dyDescent="0.3">
      <c r="A13" s="895"/>
      <c r="B13" s="896"/>
      <c r="C13" s="897"/>
      <c r="D13" s="898"/>
      <c r="E13" s="898"/>
      <c r="F13" s="903" t="str">
        <f t="shared" si="2"/>
        <v/>
      </c>
      <c r="G13" s="899" t="s">
        <v>139</v>
      </c>
      <c r="H13" s="900"/>
      <c r="I13" s="900"/>
      <c r="J13" s="900"/>
      <c r="K13" s="900"/>
      <c r="L13" s="900"/>
      <c r="M13" s="900"/>
      <c r="N13" s="900"/>
      <c r="O13" s="901"/>
      <c r="Q13" s="933" t="s">
        <v>205</v>
      </c>
    </row>
    <row r="14" spans="1:36" ht="12.5" customHeight="1" x14ac:dyDescent="0.3">
      <c r="A14" s="895"/>
      <c r="B14" s="896"/>
      <c r="C14" s="897"/>
      <c r="D14" s="898"/>
      <c r="E14" s="898"/>
      <c r="F14" s="903" t="str">
        <f t="shared" si="2"/>
        <v/>
      </c>
      <c r="G14" s="899" t="s">
        <v>139</v>
      </c>
      <c r="H14" s="900"/>
      <c r="I14" s="900"/>
      <c r="J14" s="900"/>
      <c r="K14" s="900"/>
      <c r="L14" s="900"/>
      <c r="M14" s="900"/>
      <c r="N14" s="900"/>
      <c r="O14" s="901"/>
      <c r="Q14" s="934"/>
    </row>
    <row r="15" spans="1:36" ht="12.5" customHeight="1" thickBot="1" x14ac:dyDescent="0.35">
      <c r="A15" s="895"/>
      <c r="B15" s="896"/>
      <c r="C15" s="897"/>
      <c r="D15" s="898"/>
      <c r="E15" s="898"/>
      <c r="F15" s="903" t="str">
        <f t="shared" si="2"/>
        <v/>
      </c>
      <c r="G15" s="899" t="s">
        <v>139</v>
      </c>
      <c r="H15" s="900"/>
      <c r="I15" s="900"/>
      <c r="J15" s="900"/>
      <c r="K15" s="900"/>
      <c r="L15" s="900"/>
      <c r="M15" s="900"/>
      <c r="N15" s="900"/>
      <c r="O15" s="901"/>
      <c r="Q15" s="935"/>
    </row>
    <row r="16" spans="1:36" ht="12.5" customHeight="1" thickBot="1" x14ac:dyDescent="0.4">
      <c r="A16" s="895"/>
      <c r="B16" s="896"/>
      <c r="C16" s="897"/>
      <c r="D16" s="898"/>
      <c r="E16" s="898"/>
      <c r="F16" s="903" t="str">
        <f t="shared" si="2"/>
        <v/>
      </c>
      <c r="G16" s="899" t="s">
        <v>139</v>
      </c>
      <c r="H16" s="900"/>
      <c r="I16" s="900"/>
      <c r="J16" s="900"/>
      <c r="K16" s="900"/>
      <c r="L16" s="900"/>
      <c r="M16" s="900"/>
      <c r="N16" s="900"/>
      <c r="O16" s="901"/>
      <c r="Q16" s="553"/>
    </row>
    <row r="17" spans="1:19" ht="12.5" customHeight="1" thickBot="1" x14ac:dyDescent="0.35">
      <c r="A17" s="895"/>
      <c r="B17" s="896"/>
      <c r="C17" s="897"/>
      <c r="D17" s="898"/>
      <c r="E17" s="898"/>
      <c r="F17" s="903" t="str">
        <f t="shared" si="2"/>
        <v/>
      </c>
      <c r="G17" s="899" t="s">
        <v>139</v>
      </c>
      <c r="H17" s="900"/>
      <c r="I17" s="900"/>
      <c r="J17" s="900"/>
      <c r="K17" s="900"/>
      <c r="L17" s="900"/>
      <c r="M17" s="900"/>
      <c r="N17" s="900"/>
      <c r="O17" s="901"/>
      <c r="Q17" s="554" t="s">
        <v>206</v>
      </c>
    </row>
    <row r="18" spans="1:19" ht="13.5" thickBot="1" x14ac:dyDescent="0.35">
      <c r="A18" s="895"/>
      <c r="B18" s="896"/>
      <c r="C18" s="897"/>
      <c r="D18" s="898"/>
      <c r="E18" s="898"/>
      <c r="F18" s="903" t="str">
        <f t="shared" si="2"/>
        <v/>
      </c>
      <c r="G18" s="899" t="s">
        <v>139</v>
      </c>
      <c r="H18" s="900"/>
      <c r="I18" s="900"/>
      <c r="J18" s="900"/>
      <c r="K18" s="900"/>
      <c r="L18" s="900"/>
      <c r="M18" s="900"/>
      <c r="N18" s="900"/>
      <c r="O18" s="901"/>
    </row>
    <row r="19" spans="1:19" x14ac:dyDescent="0.3">
      <c r="A19" s="895"/>
      <c r="B19" s="896"/>
      <c r="C19" s="897"/>
      <c r="D19" s="898"/>
      <c r="E19" s="898"/>
      <c r="F19" s="903" t="str">
        <f t="shared" si="2"/>
        <v/>
      </c>
      <c r="G19" s="899" t="s">
        <v>139</v>
      </c>
      <c r="H19" s="900"/>
      <c r="I19" s="900"/>
      <c r="J19" s="900"/>
      <c r="K19" s="900"/>
      <c r="L19" s="900"/>
      <c r="M19" s="900"/>
      <c r="N19" s="900"/>
      <c r="O19" s="901"/>
      <c r="Q19" s="933" t="s">
        <v>220</v>
      </c>
    </row>
    <row r="20" spans="1:19" x14ac:dyDescent="0.3">
      <c r="A20" s="895"/>
      <c r="B20" s="896"/>
      <c r="C20" s="897"/>
      <c r="D20" s="898"/>
      <c r="E20" s="898"/>
      <c r="F20" s="903" t="str">
        <f t="shared" si="2"/>
        <v/>
      </c>
      <c r="G20" s="899" t="s">
        <v>139</v>
      </c>
      <c r="H20" s="900"/>
      <c r="I20" s="900"/>
      <c r="J20" s="900"/>
      <c r="K20" s="900"/>
      <c r="L20" s="900"/>
      <c r="M20" s="900"/>
      <c r="N20" s="900"/>
      <c r="O20" s="901"/>
      <c r="Q20" s="934"/>
    </row>
    <row r="21" spans="1:19" ht="13.5" thickBot="1" x14ac:dyDescent="0.35">
      <c r="A21" s="895"/>
      <c r="B21" s="896"/>
      <c r="C21" s="897"/>
      <c r="D21" s="898"/>
      <c r="E21" s="898"/>
      <c r="F21" s="903" t="str">
        <f t="shared" si="2"/>
        <v/>
      </c>
      <c r="G21" s="899" t="s">
        <v>139</v>
      </c>
      <c r="H21" s="900"/>
      <c r="I21" s="900"/>
      <c r="J21" s="900"/>
      <c r="K21" s="900"/>
      <c r="L21" s="900"/>
      <c r="M21" s="900"/>
      <c r="N21" s="900"/>
      <c r="O21" s="901"/>
      <c r="Q21" s="935"/>
    </row>
    <row r="22" spans="1:19" x14ac:dyDescent="0.3">
      <c r="A22" s="895"/>
      <c r="B22" s="896"/>
      <c r="C22" s="897"/>
      <c r="D22" s="898"/>
      <c r="E22" s="898"/>
      <c r="F22" s="903" t="str">
        <f t="shared" si="2"/>
        <v/>
      </c>
      <c r="G22" s="899" t="s">
        <v>139</v>
      </c>
      <c r="H22" s="900"/>
      <c r="I22" s="900"/>
      <c r="J22" s="900"/>
      <c r="K22" s="900"/>
      <c r="L22" s="900"/>
      <c r="M22" s="900"/>
      <c r="N22" s="900"/>
      <c r="O22" s="901"/>
      <c r="Q22" s="909" t="s">
        <v>218</v>
      </c>
      <c r="R22" s="910">
        <v>63</v>
      </c>
      <c r="S22" s="770" t="s">
        <v>219</v>
      </c>
    </row>
    <row r="23" spans="1:19" x14ac:dyDescent="0.3">
      <c r="A23" s="895"/>
      <c r="B23" s="896"/>
      <c r="C23" s="897"/>
      <c r="D23" s="898"/>
      <c r="E23" s="898"/>
      <c r="F23" s="903" t="str">
        <f t="shared" si="2"/>
        <v/>
      </c>
      <c r="G23" s="899" t="s">
        <v>139</v>
      </c>
      <c r="H23" s="900"/>
      <c r="I23" s="900"/>
      <c r="J23" s="900"/>
      <c r="K23" s="900"/>
      <c r="L23" s="900"/>
      <c r="M23" s="900"/>
      <c r="N23" s="900"/>
      <c r="O23" s="901"/>
    </row>
    <row r="24" spans="1:19" x14ac:dyDescent="0.3">
      <c r="A24" s="895"/>
      <c r="B24" s="896"/>
      <c r="C24" s="897"/>
      <c r="D24" s="898"/>
      <c r="E24" s="898"/>
      <c r="F24" s="903" t="str">
        <f t="shared" si="2"/>
        <v/>
      </c>
      <c r="G24" s="899" t="s">
        <v>139</v>
      </c>
      <c r="H24" s="900"/>
      <c r="I24" s="900"/>
      <c r="J24" s="900"/>
      <c r="K24" s="900"/>
      <c r="L24" s="900"/>
      <c r="M24" s="900"/>
      <c r="N24" s="900"/>
      <c r="O24" s="901"/>
    </row>
    <row r="25" spans="1:19" x14ac:dyDescent="0.3">
      <c r="A25" s="895"/>
      <c r="B25" s="896"/>
      <c r="C25" s="897"/>
      <c r="D25" s="898"/>
      <c r="E25" s="898"/>
      <c r="F25" s="903" t="str">
        <f t="shared" si="2"/>
        <v/>
      </c>
      <c r="G25" s="899" t="s">
        <v>139</v>
      </c>
      <c r="H25" s="900"/>
      <c r="I25" s="900"/>
      <c r="J25" s="900"/>
      <c r="K25" s="900"/>
      <c r="L25" s="900"/>
      <c r="M25" s="900"/>
      <c r="N25" s="900"/>
      <c r="O25" s="901"/>
    </row>
    <row r="26" spans="1:19" x14ac:dyDescent="0.3">
      <c r="A26" s="895"/>
      <c r="B26" s="896"/>
      <c r="C26" s="897"/>
      <c r="D26" s="898"/>
      <c r="E26" s="898"/>
      <c r="F26" s="903" t="str">
        <f t="shared" si="2"/>
        <v/>
      </c>
      <c r="G26" s="899" t="s">
        <v>139</v>
      </c>
      <c r="H26" s="900"/>
      <c r="I26" s="900"/>
      <c r="J26" s="900"/>
      <c r="K26" s="900"/>
      <c r="L26" s="900"/>
      <c r="M26" s="900"/>
      <c r="N26" s="900"/>
      <c r="O26" s="901"/>
    </row>
    <row r="27" spans="1:19" x14ac:dyDescent="0.3">
      <c r="A27" s="895"/>
      <c r="B27" s="896"/>
      <c r="C27" s="897"/>
      <c r="D27" s="898"/>
      <c r="E27" s="898"/>
      <c r="F27" s="903" t="str">
        <f t="shared" si="2"/>
        <v/>
      </c>
      <c r="G27" s="899" t="s">
        <v>139</v>
      </c>
      <c r="H27" s="900"/>
      <c r="I27" s="900"/>
      <c r="J27" s="900"/>
      <c r="K27" s="900"/>
      <c r="L27" s="900"/>
      <c r="M27" s="900"/>
      <c r="N27" s="900"/>
      <c r="O27" s="901"/>
    </row>
    <row r="28" spans="1:19" x14ac:dyDescent="0.3">
      <c r="A28" s="895"/>
      <c r="B28" s="896"/>
      <c r="C28" s="897"/>
      <c r="D28" s="898"/>
      <c r="E28" s="898"/>
      <c r="F28" s="903" t="str">
        <f t="shared" si="2"/>
        <v/>
      </c>
      <c r="G28" s="899" t="s">
        <v>139</v>
      </c>
      <c r="H28" s="900"/>
      <c r="I28" s="900"/>
      <c r="J28" s="900"/>
      <c r="K28" s="900"/>
      <c r="L28" s="900"/>
      <c r="M28" s="900"/>
      <c r="N28" s="900"/>
      <c r="O28" s="901"/>
    </row>
    <row r="29" spans="1:19" x14ac:dyDescent="0.3">
      <c r="B29" s="523" t="s">
        <v>127</v>
      </c>
      <c r="C29" s="527"/>
      <c r="D29" s="527"/>
      <c r="E29" s="527"/>
      <c r="F29" s="525"/>
      <c r="G29" s="525"/>
      <c r="H29" s="893"/>
      <c r="I29" s="893"/>
      <c r="J29" s="893"/>
      <c r="K29" s="893"/>
      <c r="L29" s="893"/>
      <c r="M29" s="893"/>
      <c r="N29" s="893"/>
      <c r="O29" s="525"/>
    </row>
    <row r="30" spans="1:19" x14ac:dyDescent="0.3">
      <c r="A30" s="895"/>
      <c r="B30" s="896"/>
      <c r="C30" s="902"/>
      <c r="D30" s="898"/>
      <c r="E30" s="898"/>
      <c r="F30" s="903" t="str">
        <f t="shared" ref="F30:F43" si="3">IF(AND(COUNT(D30)&gt;0,COUNT(E30)&gt;0),D30-E30,"")</f>
        <v/>
      </c>
      <c r="G30" s="899" t="s">
        <v>139</v>
      </c>
      <c r="H30" s="900"/>
      <c r="I30" s="900"/>
      <c r="J30" s="900"/>
      <c r="K30" s="900"/>
      <c r="L30" s="900"/>
      <c r="M30" s="900"/>
      <c r="N30" s="900"/>
      <c r="O30" s="901"/>
    </row>
    <row r="31" spans="1:19" x14ac:dyDescent="0.3">
      <c r="A31" s="895"/>
      <c r="B31" s="896"/>
      <c r="C31" s="902"/>
      <c r="D31" s="898"/>
      <c r="E31" s="898"/>
      <c r="F31" s="903" t="str">
        <f t="shared" si="3"/>
        <v/>
      </c>
      <c r="G31" s="899" t="s">
        <v>139</v>
      </c>
      <c r="H31" s="900"/>
      <c r="I31" s="900"/>
      <c r="J31" s="900"/>
      <c r="K31" s="900"/>
      <c r="L31" s="900"/>
      <c r="M31" s="900"/>
      <c r="N31" s="900"/>
      <c r="O31" s="901"/>
    </row>
    <row r="32" spans="1:19" x14ac:dyDescent="0.3">
      <c r="A32" s="895"/>
      <c r="B32" s="896"/>
      <c r="C32" s="902"/>
      <c r="D32" s="898"/>
      <c r="E32" s="898"/>
      <c r="F32" s="903" t="str">
        <f t="shared" si="3"/>
        <v/>
      </c>
      <c r="G32" s="899" t="s">
        <v>139</v>
      </c>
      <c r="H32" s="900"/>
      <c r="I32" s="900"/>
      <c r="J32" s="900"/>
      <c r="K32" s="900"/>
      <c r="L32" s="900"/>
      <c r="M32" s="900"/>
      <c r="N32" s="900"/>
      <c r="O32" s="901"/>
    </row>
    <row r="33" spans="1:19" x14ac:dyDescent="0.3">
      <c r="A33" s="895"/>
      <c r="B33" s="896"/>
      <c r="C33" s="902"/>
      <c r="D33" s="898"/>
      <c r="E33" s="898"/>
      <c r="F33" s="903" t="str">
        <f t="shared" si="3"/>
        <v/>
      </c>
      <c r="G33" s="899" t="s">
        <v>139</v>
      </c>
      <c r="H33" s="900"/>
      <c r="I33" s="900"/>
      <c r="J33" s="900"/>
      <c r="K33" s="900"/>
      <c r="L33" s="900"/>
      <c r="M33" s="900"/>
      <c r="N33" s="900"/>
      <c r="O33" s="901"/>
    </row>
    <row r="34" spans="1:19" x14ac:dyDescent="0.3">
      <c r="A34" s="895"/>
      <c r="B34" s="896"/>
      <c r="C34" s="902"/>
      <c r="D34" s="898"/>
      <c r="E34" s="898"/>
      <c r="F34" s="903" t="str">
        <f t="shared" si="3"/>
        <v/>
      </c>
      <c r="G34" s="899" t="s">
        <v>139</v>
      </c>
      <c r="H34" s="900"/>
      <c r="I34" s="900"/>
      <c r="J34" s="900"/>
      <c r="K34" s="900"/>
      <c r="L34" s="900"/>
      <c r="M34" s="900"/>
      <c r="N34" s="900"/>
      <c r="O34" s="901"/>
    </row>
    <row r="35" spans="1:19" x14ac:dyDescent="0.3">
      <c r="A35" s="895"/>
      <c r="B35" s="896"/>
      <c r="C35" s="902"/>
      <c r="D35" s="898"/>
      <c r="E35" s="898"/>
      <c r="F35" s="903" t="str">
        <f t="shared" si="3"/>
        <v/>
      </c>
      <c r="G35" s="899" t="s">
        <v>139</v>
      </c>
      <c r="H35" s="900"/>
      <c r="I35" s="900"/>
      <c r="J35" s="900"/>
      <c r="K35" s="900"/>
      <c r="L35" s="900"/>
      <c r="M35" s="900"/>
      <c r="N35" s="900"/>
      <c r="O35" s="901"/>
    </row>
    <row r="36" spans="1:19" x14ac:dyDescent="0.3">
      <c r="A36" s="895"/>
      <c r="B36" s="896"/>
      <c r="C36" s="902"/>
      <c r="D36" s="898"/>
      <c r="E36" s="898"/>
      <c r="F36" s="903" t="str">
        <f t="shared" si="3"/>
        <v/>
      </c>
      <c r="G36" s="899" t="s">
        <v>139</v>
      </c>
      <c r="H36" s="900"/>
      <c r="I36" s="900"/>
      <c r="J36" s="900"/>
      <c r="K36" s="900"/>
      <c r="L36" s="900"/>
      <c r="M36" s="900"/>
      <c r="N36" s="900"/>
      <c r="O36" s="901"/>
    </row>
    <row r="37" spans="1:19" x14ac:dyDescent="0.3">
      <c r="A37" s="895"/>
      <c r="B37" s="896"/>
      <c r="C37" s="902"/>
      <c r="D37" s="898"/>
      <c r="E37" s="898"/>
      <c r="F37" s="903" t="str">
        <f t="shared" si="3"/>
        <v/>
      </c>
      <c r="G37" s="899" t="s">
        <v>139</v>
      </c>
      <c r="H37" s="900"/>
      <c r="I37" s="900"/>
      <c r="J37" s="900"/>
      <c r="K37" s="900"/>
      <c r="L37" s="900"/>
      <c r="M37" s="900"/>
      <c r="N37" s="900"/>
      <c r="O37" s="901"/>
    </row>
    <row r="38" spans="1:19" x14ac:dyDescent="0.3">
      <c r="A38" s="895"/>
      <c r="B38" s="896"/>
      <c r="C38" s="902"/>
      <c r="D38" s="898"/>
      <c r="E38" s="898"/>
      <c r="F38" s="903" t="str">
        <f t="shared" si="3"/>
        <v/>
      </c>
      <c r="G38" s="899" t="s">
        <v>139</v>
      </c>
      <c r="H38" s="900"/>
      <c r="I38" s="900"/>
      <c r="J38" s="900"/>
      <c r="K38" s="900"/>
      <c r="L38" s="900"/>
      <c r="M38" s="900"/>
      <c r="N38" s="900"/>
      <c r="O38" s="901"/>
    </row>
    <row r="39" spans="1:19" x14ac:dyDescent="0.3">
      <c r="A39" s="895"/>
      <c r="B39" s="896"/>
      <c r="C39" s="902"/>
      <c r="D39" s="898"/>
      <c r="E39" s="898"/>
      <c r="F39" s="903" t="str">
        <f t="shared" si="3"/>
        <v/>
      </c>
      <c r="G39" s="899" t="s">
        <v>139</v>
      </c>
      <c r="H39" s="900"/>
      <c r="I39" s="900"/>
      <c r="J39" s="900"/>
      <c r="K39" s="900"/>
      <c r="L39" s="900"/>
      <c r="M39" s="900"/>
      <c r="N39" s="900"/>
      <c r="O39" s="901"/>
      <c r="S39" s="555"/>
    </row>
    <row r="40" spans="1:19" x14ac:dyDescent="0.3">
      <c r="A40" s="895"/>
      <c r="B40" s="896"/>
      <c r="C40" s="902"/>
      <c r="D40" s="898"/>
      <c r="E40" s="898"/>
      <c r="F40" s="903" t="str">
        <f t="shared" si="3"/>
        <v/>
      </c>
      <c r="G40" s="899" t="s">
        <v>139</v>
      </c>
      <c r="H40" s="900"/>
      <c r="I40" s="900"/>
      <c r="J40" s="900"/>
      <c r="K40" s="900"/>
      <c r="L40" s="900"/>
      <c r="M40" s="900"/>
      <c r="N40" s="900"/>
      <c r="O40" s="901"/>
    </row>
    <row r="41" spans="1:19" x14ac:dyDescent="0.3">
      <c r="A41" s="895"/>
      <c r="B41" s="896"/>
      <c r="C41" s="902"/>
      <c r="D41" s="898"/>
      <c r="E41" s="898"/>
      <c r="F41" s="903" t="str">
        <f t="shared" si="3"/>
        <v/>
      </c>
      <c r="G41" s="899" t="s">
        <v>139</v>
      </c>
      <c r="H41" s="900"/>
      <c r="I41" s="900"/>
      <c r="J41" s="900"/>
      <c r="K41" s="900"/>
      <c r="L41" s="900"/>
      <c r="M41" s="900"/>
      <c r="N41" s="900"/>
      <c r="O41" s="901"/>
    </row>
    <row r="42" spans="1:19" x14ac:dyDescent="0.3">
      <c r="A42" s="895"/>
      <c r="B42" s="896"/>
      <c r="C42" s="902"/>
      <c r="D42" s="898"/>
      <c r="E42" s="898"/>
      <c r="F42" s="903" t="str">
        <f t="shared" si="3"/>
        <v/>
      </c>
      <c r="G42" s="899" t="s">
        <v>139</v>
      </c>
      <c r="H42" s="900"/>
      <c r="I42" s="900"/>
      <c r="J42" s="900"/>
      <c r="K42" s="900"/>
      <c r="L42" s="900"/>
      <c r="M42" s="900"/>
      <c r="N42" s="900"/>
      <c r="O42" s="901"/>
    </row>
    <row r="43" spans="1:19" x14ac:dyDescent="0.3">
      <c r="A43" s="895"/>
      <c r="B43" s="896"/>
      <c r="C43" s="902"/>
      <c r="D43" s="898"/>
      <c r="E43" s="898"/>
      <c r="F43" s="903" t="str">
        <f t="shared" si="3"/>
        <v/>
      </c>
      <c r="G43" s="899" t="s">
        <v>139</v>
      </c>
      <c r="H43" s="900"/>
      <c r="I43" s="900"/>
      <c r="J43" s="900"/>
      <c r="K43" s="900"/>
      <c r="L43" s="900"/>
      <c r="M43" s="900"/>
      <c r="N43" s="900"/>
      <c r="O43" s="901"/>
    </row>
    <row r="44" spans="1:19" x14ac:dyDescent="0.3">
      <c r="B44" s="523" t="s">
        <v>408</v>
      </c>
      <c r="C44" s="527"/>
      <c r="D44" s="527"/>
      <c r="E44" s="527"/>
      <c r="F44" s="525"/>
      <c r="G44" s="525"/>
      <c r="H44" s="893"/>
      <c r="I44" s="893"/>
      <c r="J44" s="893"/>
      <c r="K44" s="893"/>
      <c r="L44" s="893"/>
      <c r="M44" s="893"/>
      <c r="N44" s="893"/>
      <c r="O44" s="525"/>
    </row>
    <row r="45" spans="1:19" x14ac:dyDescent="0.3">
      <c r="A45" s="895"/>
      <c r="B45" s="896"/>
      <c r="C45" s="902"/>
      <c r="D45" s="898"/>
      <c r="E45" s="898"/>
      <c r="F45" s="903" t="str">
        <f t="shared" ref="F45:F59" si="4">IF(AND(COUNT(D45)&gt;0,COUNT(E45)&gt;0),D45-E45,"")</f>
        <v/>
      </c>
      <c r="G45" s="899" t="s">
        <v>139</v>
      </c>
      <c r="H45" s="900"/>
      <c r="I45" s="900"/>
      <c r="J45" s="900"/>
      <c r="K45" s="900"/>
      <c r="L45" s="900"/>
      <c r="M45" s="900"/>
      <c r="N45" s="900"/>
      <c r="O45" s="901"/>
    </row>
    <row r="46" spans="1:19" x14ac:dyDescent="0.3">
      <c r="A46" s="895"/>
      <c r="B46" s="896"/>
      <c r="C46" s="902"/>
      <c r="D46" s="898"/>
      <c r="E46" s="898"/>
      <c r="F46" s="903" t="str">
        <f t="shared" si="4"/>
        <v/>
      </c>
      <c r="G46" s="899" t="s">
        <v>139</v>
      </c>
      <c r="H46" s="900"/>
      <c r="I46" s="900"/>
      <c r="J46" s="900"/>
      <c r="K46" s="900"/>
      <c r="L46" s="900"/>
      <c r="M46" s="900"/>
      <c r="N46" s="900"/>
      <c r="O46" s="901"/>
    </row>
    <row r="47" spans="1:19" x14ac:dyDescent="0.3">
      <c r="A47" s="895"/>
      <c r="B47" s="896"/>
      <c r="C47" s="902"/>
      <c r="D47" s="898"/>
      <c r="E47" s="898"/>
      <c r="F47" s="903" t="str">
        <f t="shared" si="4"/>
        <v/>
      </c>
      <c r="G47" s="899" t="s">
        <v>139</v>
      </c>
      <c r="H47" s="900"/>
      <c r="I47" s="900"/>
      <c r="J47" s="900"/>
      <c r="K47" s="900"/>
      <c r="L47" s="900"/>
      <c r="M47" s="900"/>
      <c r="N47" s="900"/>
      <c r="O47" s="901"/>
    </row>
    <row r="48" spans="1:19" x14ac:dyDescent="0.3">
      <c r="A48" s="895"/>
      <c r="B48" s="896"/>
      <c r="C48" s="902"/>
      <c r="D48" s="898"/>
      <c r="E48" s="898"/>
      <c r="F48" s="903" t="str">
        <f t="shared" si="4"/>
        <v/>
      </c>
      <c r="G48" s="899" t="s">
        <v>139</v>
      </c>
      <c r="H48" s="900"/>
      <c r="I48" s="900"/>
      <c r="J48" s="900"/>
      <c r="K48" s="900"/>
      <c r="L48" s="900"/>
      <c r="M48" s="900"/>
      <c r="N48" s="900"/>
      <c r="O48" s="901"/>
    </row>
    <row r="49" spans="1:15" x14ac:dyDescent="0.3">
      <c r="A49" s="895"/>
      <c r="B49" s="896"/>
      <c r="C49" s="902"/>
      <c r="D49" s="898"/>
      <c r="E49" s="898"/>
      <c r="F49" s="903" t="str">
        <f t="shared" si="4"/>
        <v/>
      </c>
      <c r="G49" s="899" t="s">
        <v>139</v>
      </c>
      <c r="H49" s="900"/>
      <c r="I49" s="900"/>
      <c r="J49" s="900"/>
      <c r="K49" s="900"/>
      <c r="L49" s="900"/>
      <c r="M49" s="900"/>
      <c r="N49" s="900"/>
      <c r="O49" s="901"/>
    </row>
    <row r="50" spans="1:15" x14ac:dyDescent="0.3">
      <c r="A50" s="895"/>
      <c r="B50" s="896"/>
      <c r="C50" s="902"/>
      <c r="D50" s="898"/>
      <c r="E50" s="898"/>
      <c r="F50" s="903" t="str">
        <f t="shared" si="4"/>
        <v/>
      </c>
      <c r="G50" s="899" t="s">
        <v>139</v>
      </c>
      <c r="H50" s="900"/>
      <c r="I50" s="900"/>
      <c r="J50" s="900"/>
      <c r="K50" s="900"/>
      <c r="L50" s="900"/>
      <c r="M50" s="900"/>
      <c r="N50" s="900"/>
      <c r="O50" s="901"/>
    </row>
    <row r="51" spans="1:15" x14ac:dyDescent="0.3">
      <c r="A51" s="895"/>
      <c r="B51" s="896"/>
      <c r="C51" s="902"/>
      <c r="D51" s="898"/>
      <c r="E51" s="898"/>
      <c r="F51" s="903" t="str">
        <f t="shared" si="4"/>
        <v/>
      </c>
      <c r="G51" s="899" t="s">
        <v>139</v>
      </c>
      <c r="H51" s="900"/>
      <c r="I51" s="900"/>
      <c r="J51" s="900"/>
      <c r="K51" s="900"/>
      <c r="L51" s="900"/>
      <c r="M51" s="900"/>
      <c r="N51" s="900"/>
      <c r="O51" s="901"/>
    </row>
    <row r="52" spans="1:15" x14ac:dyDescent="0.3">
      <c r="A52" s="895"/>
      <c r="B52" s="896"/>
      <c r="C52" s="897"/>
      <c r="D52" s="898"/>
      <c r="E52" s="898"/>
      <c r="F52" s="903" t="str">
        <f t="shared" si="4"/>
        <v/>
      </c>
      <c r="G52" s="899" t="s">
        <v>139</v>
      </c>
      <c r="H52" s="900"/>
      <c r="I52" s="900"/>
      <c r="J52" s="900"/>
      <c r="K52" s="900"/>
      <c r="L52" s="900"/>
      <c r="M52" s="900"/>
      <c r="N52" s="900"/>
      <c r="O52" s="901"/>
    </row>
    <row r="53" spans="1:15" x14ac:dyDescent="0.3">
      <c r="A53" s="895"/>
      <c r="B53" s="896"/>
      <c r="C53" s="902"/>
      <c r="D53" s="898"/>
      <c r="E53" s="898"/>
      <c r="F53" s="903" t="str">
        <f t="shared" si="4"/>
        <v/>
      </c>
      <c r="G53" s="899" t="s">
        <v>139</v>
      </c>
      <c r="H53" s="900"/>
      <c r="I53" s="900"/>
      <c r="J53" s="900"/>
      <c r="K53" s="900"/>
      <c r="L53" s="900"/>
      <c r="M53" s="900"/>
      <c r="N53" s="900"/>
      <c r="O53" s="901"/>
    </row>
    <row r="54" spans="1:15" x14ac:dyDescent="0.3">
      <c r="A54" s="895"/>
      <c r="B54" s="896"/>
      <c r="C54" s="902"/>
      <c r="D54" s="898"/>
      <c r="E54" s="898"/>
      <c r="F54" s="903" t="str">
        <f t="shared" si="4"/>
        <v/>
      </c>
      <c r="G54" s="899" t="s">
        <v>139</v>
      </c>
      <c r="H54" s="900"/>
      <c r="I54" s="900"/>
      <c r="J54" s="900"/>
      <c r="K54" s="900"/>
      <c r="L54" s="900"/>
      <c r="M54" s="900"/>
      <c r="N54" s="900"/>
      <c r="O54" s="901"/>
    </row>
    <row r="55" spans="1:15" x14ac:dyDescent="0.3">
      <c r="A55" s="895"/>
      <c r="B55" s="896"/>
      <c r="C55" s="902"/>
      <c r="D55" s="898"/>
      <c r="E55" s="898"/>
      <c r="F55" s="903" t="str">
        <f t="shared" si="4"/>
        <v/>
      </c>
      <c r="G55" s="899" t="s">
        <v>139</v>
      </c>
      <c r="H55" s="900"/>
      <c r="I55" s="900"/>
      <c r="J55" s="900"/>
      <c r="K55" s="900"/>
      <c r="L55" s="900"/>
      <c r="M55" s="900"/>
      <c r="N55" s="900"/>
      <c r="O55" s="901"/>
    </row>
    <row r="56" spans="1:15" x14ac:dyDescent="0.3">
      <c r="A56" s="895"/>
      <c r="B56" s="896"/>
      <c r="C56" s="902"/>
      <c r="D56" s="898"/>
      <c r="E56" s="898"/>
      <c r="F56" s="903" t="str">
        <f t="shared" si="4"/>
        <v/>
      </c>
      <c r="G56" s="899" t="s">
        <v>139</v>
      </c>
      <c r="H56" s="900"/>
      <c r="I56" s="900"/>
      <c r="J56" s="900"/>
      <c r="K56" s="900"/>
      <c r="L56" s="900"/>
      <c r="M56" s="900"/>
      <c r="N56" s="900"/>
      <c r="O56" s="901"/>
    </row>
    <row r="57" spans="1:15" x14ac:dyDescent="0.3">
      <c r="A57" s="895"/>
      <c r="B57" s="896"/>
      <c r="C57" s="902"/>
      <c r="D57" s="898"/>
      <c r="E57" s="898"/>
      <c r="F57" s="903" t="str">
        <f t="shared" si="4"/>
        <v/>
      </c>
      <c r="G57" s="899" t="s">
        <v>139</v>
      </c>
      <c r="H57" s="900"/>
      <c r="I57" s="900"/>
      <c r="J57" s="900"/>
      <c r="K57" s="900"/>
      <c r="L57" s="900"/>
      <c r="M57" s="900"/>
      <c r="N57" s="900"/>
      <c r="O57" s="901"/>
    </row>
    <row r="58" spans="1:15" x14ac:dyDescent="0.3">
      <c r="A58" s="895"/>
      <c r="B58" s="896"/>
      <c r="C58" s="902"/>
      <c r="D58" s="898"/>
      <c r="E58" s="898"/>
      <c r="F58" s="903" t="str">
        <f t="shared" si="4"/>
        <v/>
      </c>
      <c r="G58" s="899" t="s">
        <v>139</v>
      </c>
      <c r="H58" s="900"/>
      <c r="I58" s="900"/>
      <c r="J58" s="900"/>
      <c r="K58" s="900"/>
      <c r="L58" s="900"/>
      <c r="M58" s="900"/>
      <c r="N58" s="900"/>
      <c r="O58" s="901"/>
    </row>
    <row r="59" spans="1:15" x14ac:dyDescent="0.3">
      <c r="A59" s="895"/>
      <c r="B59" s="896"/>
      <c r="C59" s="902"/>
      <c r="D59" s="898"/>
      <c r="E59" s="898"/>
      <c r="F59" s="903" t="str">
        <f t="shared" si="4"/>
        <v/>
      </c>
      <c r="G59" s="899" t="s">
        <v>139</v>
      </c>
      <c r="H59" s="900"/>
      <c r="I59" s="900"/>
      <c r="J59" s="900"/>
      <c r="K59" s="900"/>
      <c r="L59" s="900"/>
      <c r="M59" s="900"/>
      <c r="N59" s="900"/>
      <c r="O59" s="901"/>
    </row>
    <row r="60" spans="1:15" x14ac:dyDescent="0.3">
      <c r="B60" s="523" t="s">
        <v>136</v>
      </c>
      <c r="C60" s="527"/>
      <c r="D60" s="527"/>
      <c r="E60" s="527"/>
      <c r="F60" s="525"/>
      <c r="G60" s="525"/>
      <c r="H60" s="893"/>
      <c r="I60" s="893"/>
      <c r="J60" s="893"/>
      <c r="K60" s="893"/>
      <c r="L60" s="893"/>
      <c r="M60" s="893"/>
      <c r="N60" s="893"/>
      <c r="O60" s="525"/>
    </row>
    <row r="61" spans="1:15" x14ac:dyDescent="0.3">
      <c r="A61" s="895"/>
      <c r="B61" s="896"/>
      <c r="C61" s="902"/>
      <c r="D61" s="898"/>
      <c r="E61" s="898"/>
      <c r="F61" s="903" t="str">
        <f t="shared" ref="F61:F74" si="5">IF(AND(COUNT(D61)&gt;0,COUNT(E61)&gt;0),D61-E61,"")</f>
        <v/>
      </c>
      <c r="G61" s="899" t="s">
        <v>139</v>
      </c>
      <c r="H61" s="900"/>
      <c r="I61" s="900"/>
      <c r="J61" s="900"/>
      <c r="K61" s="900"/>
      <c r="L61" s="900"/>
      <c r="M61" s="900"/>
      <c r="N61" s="900"/>
      <c r="O61" s="901"/>
    </row>
    <row r="62" spans="1:15" x14ac:dyDescent="0.3">
      <c r="A62" s="895"/>
      <c r="B62" s="896"/>
      <c r="C62" s="902"/>
      <c r="D62" s="898"/>
      <c r="E62" s="898"/>
      <c r="F62" s="903" t="str">
        <f t="shared" si="5"/>
        <v/>
      </c>
      <c r="G62" s="899" t="s">
        <v>139</v>
      </c>
      <c r="H62" s="900"/>
      <c r="I62" s="900"/>
      <c r="J62" s="900"/>
      <c r="K62" s="900"/>
      <c r="L62" s="900"/>
      <c r="M62" s="900"/>
      <c r="N62" s="900"/>
      <c r="O62" s="901"/>
    </row>
    <row r="63" spans="1:15" x14ac:dyDescent="0.3">
      <c r="A63" s="895"/>
      <c r="B63" s="896"/>
      <c r="C63" s="902"/>
      <c r="D63" s="898"/>
      <c r="E63" s="898"/>
      <c r="F63" s="903" t="str">
        <f t="shared" si="5"/>
        <v/>
      </c>
      <c r="G63" s="899" t="s">
        <v>139</v>
      </c>
      <c r="H63" s="900"/>
      <c r="I63" s="900"/>
      <c r="J63" s="900"/>
      <c r="K63" s="900"/>
      <c r="L63" s="900"/>
      <c r="M63" s="900"/>
      <c r="N63" s="900"/>
      <c r="O63" s="901"/>
    </row>
    <row r="64" spans="1:15" s="556" customFormat="1" x14ac:dyDescent="0.3">
      <c r="A64" s="895"/>
      <c r="B64" s="896"/>
      <c r="C64" s="902"/>
      <c r="D64" s="898"/>
      <c r="E64" s="898"/>
      <c r="F64" s="903" t="str">
        <f t="shared" si="5"/>
        <v/>
      </c>
      <c r="G64" s="899" t="s">
        <v>139</v>
      </c>
      <c r="H64" s="900"/>
      <c r="I64" s="900"/>
      <c r="J64" s="900"/>
      <c r="K64" s="900"/>
      <c r="L64" s="900"/>
      <c r="M64" s="900"/>
      <c r="N64" s="900"/>
      <c r="O64" s="901"/>
    </row>
    <row r="65" spans="1:15" x14ac:dyDescent="0.3">
      <c r="A65" s="895"/>
      <c r="B65" s="896"/>
      <c r="C65" s="902"/>
      <c r="D65" s="898"/>
      <c r="E65" s="898"/>
      <c r="F65" s="903" t="str">
        <f t="shared" si="5"/>
        <v/>
      </c>
      <c r="G65" s="899" t="s">
        <v>139</v>
      </c>
      <c r="H65" s="900"/>
      <c r="I65" s="900"/>
      <c r="J65" s="900"/>
      <c r="K65" s="900"/>
      <c r="L65" s="900"/>
      <c r="M65" s="900"/>
      <c r="N65" s="900"/>
      <c r="O65" s="901"/>
    </row>
    <row r="66" spans="1:15" x14ac:dyDescent="0.3">
      <c r="A66" s="895"/>
      <c r="B66" s="896"/>
      <c r="C66" s="902"/>
      <c r="D66" s="898"/>
      <c r="E66" s="898"/>
      <c r="F66" s="903" t="str">
        <f t="shared" si="5"/>
        <v/>
      </c>
      <c r="G66" s="899" t="s">
        <v>139</v>
      </c>
      <c r="H66" s="900"/>
      <c r="I66" s="900"/>
      <c r="J66" s="900"/>
      <c r="K66" s="900"/>
      <c r="L66" s="900"/>
      <c r="M66" s="900"/>
      <c r="N66" s="900"/>
      <c r="O66" s="901"/>
    </row>
    <row r="67" spans="1:15" x14ac:dyDescent="0.3">
      <c r="A67" s="895"/>
      <c r="B67" s="896"/>
      <c r="C67" s="902"/>
      <c r="D67" s="898"/>
      <c r="E67" s="898"/>
      <c r="F67" s="903" t="str">
        <f t="shared" si="5"/>
        <v/>
      </c>
      <c r="G67" s="899" t="s">
        <v>139</v>
      </c>
      <c r="H67" s="900"/>
      <c r="I67" s="900"/>
      <c r="J67" s="900"/>
      <c r="K67" s="900"/>
      <c r="L67" s="900"/>
      <c r="M67" s="900"/>
      <c r="N67" s="900"/>
      <c r="O67" s="901"/>
    </row>
    <row r="68" spans="1:15" x14ac:dyDescent="0.3">
      <c r="A68" s="895"/>
      <c r="B68" s="896"/>
      <c r="C68" s="902"/>
      <c r="D68" s="898"/>
      <c r="E68" s="898"/>
      <c r="F68" s="903" t="str">
        <f t="shared" si="5"/>
        <v/>
      </c>
      <c r="G68" s="899" t="s">
        <v>139</v>
      </c>
      <c r="H68" s="900"/>
      <c r="I68" s="900"/>
      <c r="J68" s="900"/>
      <c r="K68" s="900"/>
      <c r="L68" s="900"/>
      <c r="M68" s="900"/>
      <c r="N68" s="900"/>
      <c r="O68" s="901"/>
    </row>
    <row r="69" spans="1:15" x14ac:dyDescent="0.3">
      <c r="A69" s="895"/>
      <c r="B69" s="896"/>
      <c r="C69" s="902"/>
      <c r="D69" s="898"/>
      <c r="E69" s="898"/>
      <c r="F69" s="903" t="str">
        <f t="shared" si="5"/>
        <v/>
      </c>
      <c r="G69" s="899" t="s">
        <v>139</v>
      </c>
      <c r="H69" s="900"/>
      <c r="I69" s="900"/>
      <c r="J69" s="900"/>
      <c r="K69" s="900"/>
      <c r="L69" s="900"/>
      <c r="M69" s="900"/>
      <c r="N69" s="900"/>
      <c r="O69" s="901"/>
    </row>
    <row r="70" spans="1:15" x14ac:dyDescent="0.3">
      <c r="A70" s="895"/>
      <c r="B70" s="896"/>
      <c r="C70" s="902"/>
      <c r="D70" s="898"/>
      <c r="E70" s="898"/>
      <c r="F70" s="903" t="str">
        <f t="shared" si="5"/>
        <v/>
      </c>
      <c r="G70" s="899" t="s">
        <v>139</v>
      </c>
      <c r="H70" s="900"/>
      <c r="I70" s="900"/>
      <c r="J70" s="900"/>
      <c r="K70" s="900"/>
      <c r="L70" s="900"/>
      <c r="M70" s="900"/>
      <c r="N70" s="900"/>
      <c r="O70" s="901"/>
    </row>
    <row r="71" spans="1:15" x14ac:dyDescent="0.3">
      <c r="A71" s="895"/>
      <c r="B71" s="896"/>
      <c r="C71" s="902"/>
      <c r="D71" s="898"/>
      <c r="E71" s="898"/>
      <c r="F71" s="903" t="str">
        <f t="shared" si="5"/>
        <v/>
      </c>
      <c r="G71" s="899" t="s">
        <v>139</v>
      </c>
      <c r="H71" s="900"/>
      <c r="I71" s="900"/>
      <c r="J71" s="900"/>
      <c r="K71" s="900"/>
      <c r="L71" s="900"/>
      <c r="M71" s="900"/>
      <c r="N71" s="900"/>
      <c r="O71" s="901"/>
    </row>
    <row r="72" spans="1:15" x14ac:dyDescent="0.3">
      <c r="A72" s="895"/>
      <c r="B72" s="896"/>
      <c r="C72" s="902"/>
      <c r="D72" s="898"/>
      <c r="E72" s="898"/>
      <c r="F72" s="903" t="str">
        <f t="shared" si="5"/>
        <v/>
      </c>
      <c r="G72" s="899" t="s">
        <v>139</v>
      </c>
      <c r="H72" s="900"/>
      <c r="I72" s="900"/>
      <c r="J72" s="900"/>
      <c r="K72" s="900"/>
      <c r="L72" s="900"/>
      <c r="M72" s="900"/>
      <c r="N72" s="900"/>
      <c r="O72" s="901"/>
    </row>
    <row r="73" spans="1:15" x14ac:dyDescent="0.3">
      <c r="A73" s="895"/>
      <c r="B73" s="896"/>
      <c r="C73" s="902"/>
      <c r="D73" s="898"/>
      <c r="E73" s="898"/>
      <c r="F73" s="903" t="str">
        <f t="shared" si="5"/>
        <v/>
      </c>
      <c r="G73" s="899" t="s">
        <v>139</v>
      </c>
      <c r="H73" s="900"/>
      <c r="I73" s="900"/>
      <c r="J73" s="900"/>
      <c r="K73" s="900"/>
      <c r="L73" s="900"/>
      <c r="M73" s="900"/>
      <c r="N73" s="900"/>
      <c r="O73" s="901"/>
    </row>
    <row r="74" spans="1:15" x14ac:dyDescent="0.3">
      <c r="A74" s="895"/>
      <c r="B74" s="896"/>
      <c r="C74" s="902"/>
      <c r="D74" s="898"/>
      <c r="E74" s="898"/>
      <c r="F74" s="903" t="str">
        <f t="shared" si="5"/>
        <v/>
      </c>
      <c r="G74" s="899" t="s">
        <v>139</v>
      </c>
      <c r="H74" s="900"/>
      <c r="I74" s="900"/>
      <c r="J74" s="900"/>
      <c r="K74" s="900"/>
      <c r="L74" s="900"/>
      <c r="M74" s="900"/>
      <c r="N74" s="900"/>
      <c r="O74" s="901"/>
    </row>
    <row r="82" spans="1:22" hidden="1" x14ac:dyDescent="0.3">
      <c r="A82" s="931" t="s">
        <v>217</v>
      </c>
      <c r="B82" s="931"/>
      <c r="C82" s="931"/>
      <c r="D82" s="931" t="s">
        <v>200</v>
      </c>
      <c r="E82" s="931"/>
      <c r="F82" s="931"/>
      <c r="G82" s="824"/>
      <c r="H82" s="931" t="s">
        <v>202</v>
      </c>
      <c r="I82" s="931"/>
      <c r="J82" s="931"/>
      <c r="K82" s="931"/>
      <c r="L82" s="931"/>
      <c r="M82" s="931"/>
      <c r="N82" s="931"/>
      <c r="O82" s="931"/>
    </row>
    <row r="83" spans="1:22" ht="39" hidden="1" x14ac:dyDescent="0.3">
      <c r="A83" s="514" t="s">
        <v>144</v>
      </c>
      <c r="B83" s="515" t="s">
        <v>182</v>
      </c>
      <c r="C83" s="516" t="s">
        <v>160</v>
      </c>
      <c r="D83" s="517" t="s">
        <v>200</v>
      </c>
      <c r="E83" s="517" t="s">
        <v>228</v>
      </c>
      <c r="F83" s="518" t="s">
        <v>199</v>
      </c>
      <c r="G83" s="518" t="s">
        <v>377</v>
      </c>
      <c r="H83" s="519" t="s">
        <v>16</v>
      </c>
      <c r="I83" s="519" t="s">
        <v>131</v>
      </c>
      <c r="J83" s="520" t="s">
        <v>132</v>
      </c>
      <c r="K83" s="520" t="s">
        <v>3</v>
      </c>
      <c r="L83" s="516" t="s">
        <v>62</v>
      </c>
      <c r="M83" s="516" t="s">
        <v>23</v>
      </c>
      <c r="N83" s="516" t="s">
        <v>26</v>
      </c>
      <c r="O83" s="520" t="s">
        <v>133</v>
      </c>
    </row>
    <row r="84" spans="1:22" hidden="1" x14ac:dyDescent="0.3">
      <c r="B84" s="523" t="s">
        <v>126</v>
      </c>
      <c r="D84" s="524"/>
      <c r="E84" s="524"/>
      <c r="F84" s="525"/>
      <c r="G84" s="525"/>
      <c r="H84" s="526"/>
      <c r="I84" s="526"/>
      <c r="J84" s="527"/>
      <c r="K84" s="527"/>
      <c r="L84" s="527"/>
      <c r="M84" s="527"/>
      <c r="N84" s="527"/>
      <c r="O84" s="527"/>
    </row>
    <row r="85" spans="1:22" hidden="1" x14ac:dyDescent="0.3">
      <c r="A85" s="530" t="str">
        <f>IF(ISTEXT(A5)=TRUE,A5,"")</f>
        <v/>
      </c>
      <c r="B85" s="530" t="str">
        <f>IF(ISTEXT(B5)=TRUE,B5,"")</f>
        <v/>
      </c>
      <c r="C85" s="530" t="str">
        <f>IF(ISNUMBER(C5)=TRUE,C5,"")</f>
        <v/>
      </c>
      <c r="D85" s="530" t="str">
        <f t="shared" ref="D85:F85" si="6">IF(ISNUMBER(D5)=TRUE,D5,"")</f>
        <v/>
      </c>
      <c r="E85" s="530" t="str">
        <f t="shared" si="6"/>
        <v/>
      </c>
      <c r="F85" s="530" t="str">
        <f t="shared" si="6"/>
        <v/>
      </c>
      <c r="G85" s="530" t="str">
        <f>IF(ISTEXT(G5)=TRUE,G5,"")</f>
        <v>N/A</v>
      </c>
      <c r="H85" s="531">
        <f t="shared" ref="H85:H108" si="7">IFERROR(H5/$S$5,0)</f>
        <v>0</v>
      </c>
      <c r="I85" s="531">
        <f t="shared" ref="I85:I108" si="8">IFERROR(I5/$U$8,0)</f>
        <v>0</v>
      </c>
      <c r="J85" s="531">
        <f t="shared" ref="J85:J108" si="9">IFERROR(J5/$W$8,0)</f>
        <v>0</v>
      </c>
      <c r="K85" s="531">
        <f t="shared" ref="K85:K108" si="10">IFERROR(K5/$Y$8,0)</f>
        <v>0</v>
      </c>
      <c r="L85" s="531">
        <f t="shared" ref="L85:L108" si="11">IFERROR(L5/$AA$8,0)</f>
        <v>0</v>
      </c>
      <c r="M85" s="531">
        <f t="shared" ref="M85:M108" si="12">IFERROR(M5/$AC$8,0)</f>
        <v>0</v>
      </c>
      <c r="N85" s="531">
        <f t="shared" ref="N85:N108" si="13">IFERROR(N5/$AE$8,0)</f>
        <v>0</v>
      </c>
      <c r="O85" s="531">
        <f t="shared" ref="O85:O108" si="14">IFERROR(O5/$AG$8,0)</f>
        <v>0</v>
      </c>
    </row>
    <row r="86" spans="1:22" hidden="1" x14ac:dyDescent="0.3">
      <c r="A86" s="530" t="str">
        <f t="shared" ref="A86:B86" si="15">IF(ISTEXT(A6)=TRUE,A6,"")</f>
        <v/>
      </c>
      <c r="B86" s="530" t="str">
        <f t="shared" si="15"/>
        <v/>
      </c>
      <c r="C86" s="530" t="str">
        <f t="shared" ref="C86:F86" si="16">IF(ISNUMBER(C6)=TRUE,C6,"")</f>
        <v/>
      </c>
      <c r="D86" s="530" t="str">
        <f t="shared" si="16"/>
        <v/>
      </c>
      <c r="E86" s="530" t="str">
        <f t="shared" si="16"/>
        <v/>
      </c>
      <c r="F86" s="530" t="str">
        <f t="shared" si="16"/>
        <v/>
      </c>
      <c r="G86" s="530" t="str">
        <f t="shared" ref="G86:G108" si="17">IF(ISTEXT(G6)=TRUE,G6,"")</f>
        <v>N/A</v>
      </c>
      <c r="H86" s="531">
        <f t="shared" si="7"/>
        <v>0</v>
      </c>
      <c r="I86" s="531">
        <f t="shared" si="8"/>
        <v>0</v>
      </c>
      <c r="J86" s="531">
        <f t="shared" si="9"/>
        <v>0</v>
      </c>
      <c r="K86" s="531">
        <f t="shared" si="10"/>
        <v>0</v>
      </c>
      <c r="L86" s="531">
        <f t="shared" si="11"/>
        <v>0</v>
      </c>
      <c r="M86" s="531">
        <f t="shared" si="12"/>
        <v>0</v>
      </c>
      <c r="N86" s="531">
        <f t="shared" si="13"/>
        <v>0</v>
      </c>
      <c r="O86" s="531">
        <f t="shared" si="14"/>
        <v>0</v>
      </c>
    </row>
    <row r="87" spans="1:22" hidden="1" x14ac:dyDescent="0.3">
      <c r="A87" s="530" t="str">
        <f t="shared" ref="A87:B87" si="18">IF(ISTEXT(A7)=TRUE,A7,"")</f>
        <v/>
      </c>
      <c r="B87" s="530" t="str">
        <f t="shared" si="18"/>
        <v/>
      </c>
      <c r="C87" s="530" t="str">
        <f t="shared" ref="C87:F87" si="19">IF(ISNUMBER(C7)=TRUE,C7,"")</f>
        <v/>
      </c>
      <c r="D87" s="530" t="str">
        <f t="shared" si="19"/>
        <v/>
      </c>
      <c r="E87" s="530" t="str">
        <f t="shared" si="19"/>
        <v/>
      </c>
      <c r="F87" s="530" t="str">
        <f t="shared" si="19"/>
        <v/>
      </c>
      <c r="G87" s="530" t="str">
        <f t="shared" si="17"/>
        <v>N/A</v>
      </c>
      <c r="H87" s="531">
        <f t="shared" si="7"/>
        <v>0</v>
      </c>
      <c r="I87" s="531">
        <f t="shared" si="8"/>
        <v>0</v>
      </c>
      <c r="J87" s="531">
        <f t="shared" si="9"/>
        <v>0</v>
      </c>
      <c r="K87" s="531">
        <f t="shared" si="10"/>
        <v>0</v>
      </c>
      <c r="L87" s="531">
        <f t="shared" si="11"/>
        <v>0</v>
      </c>
      <c r="M87" s="531">
        <f t="shared" si="12"/>
        <v>0</v>
      </c>
      <c r="N87" s="531">
        <f t="shared" si="13"/>
        <v>0</v>
      </c>
      <c r="O87" s="531">
        <f t="shared" si="14"/>
        <v>0</v>
      </c>
    </row>
    <row r="88" spans="1:22" hidden="1" x14ac:dyDescent="0.3">
      <c r="A88" s="530" t="str">
        <f t="shared" ref="A88:B88" si="20">IF(ISTEXT(A8)=TRUE,A8,"")</f>
        <v/>
      </c>
      <c r="B88" s="530" t="str">
        <f t="shared" si="20"/>
        <v/>
      </c>
      <c r="C88" s="530" t="str">
        <f t="shared" ref="C88:F88" si="21">IF(ISNUMBER(C8)=TRUE,C8,"")</f>
        <v/>
      </c>
      <c r="D88" s="530" t="str">
        <f t="shared" si="21"/>
        <v/>
      </c>
      <c r="E88" s="530" t="str">
        <f t="shared" si="21"/>
        <v/>
      </c>
      <c r="F88" s="530" t="str">
        <f t="shared" si="21"/>
        <v/>
      </c>
      <c r="G88" s="530" t="str">
        <f t="shared" si="17"/>
        <v>N/A</v>
      </c>
      <c r="H88" s="531">
        <f t="shared" si="7"/>
        <v>0</v>
      </c>
      <c r="I88" s="531">
        <f t="shared" si="8"/>
        <v>0</v>
      </c>
      <c r="J88" s="531">
        <f t="shared" si="9"/>
        <v>0</v>
      </c>
      <c r="K88" s="531">
        <f t="shared" si="10"/>
        <v>0</v>
      </c>
      <c r="L88" s="531">
        <f t="shared" si="11"/>
        <v>0</v>
      </c>
      <c r="M88" s="531">
        <f t="shared" si="12"/>
        <v>0</v>
      </c>
      <c r="N88" s="531">
        <f t="shared" si="13"/>
        <v>0</v>
      </c>
      <c r="O88" s="531">
        <f t="shared" si="14"/>
        <v>0</v>
      </c>
      <c r="P88" s="567"/>
      <c r="Q88" s="567"/>
      <c r="R88" s="567"/>
      <c r="S88" s="567"/>
      <c r="T88" s="567"/>
      <c r="U88" s="567"/>
      <c r="V88" s="567"/>
    </row>
    <row r="89" spans="1:22" hidden="1" x14ac:dyDescent="0.3">
      <c r="A89" s="530" t="str">
        <f t="shared" ref="A89:B89" si="22">IF(ISTEXT(A9)=TRUE,A9,"")</f>
        <v/>
      </c>
      <c r="B89" s="530" t="str">
        <f t="shared" si="22"/>
        <v/>
      </c>
      <c r="C89" s="530" t="str">
        <f t="shared" ref="C89:F89" si="23">IF(ISNUMBER(C9)=TRUE,C9,"")</f>
        <v/>
      </c>
      <c r="D89" s="530" t="str">
        <f t="shared" si="23"/>
        <v/>
      </c>
      <c r="E89" s="530" t="str">
        <f t="shared" si="23"/>
        <v/>
      </c>
      <c r="F89" s="530" t="str">
        <f t="shared" si="23"/>
        <v/>
      </c>
      <c r="G89" s="530" t="str">
        <f t="shared" si="17"/>
        <v>N/A</v>
      </c>
      <c r="H89" s="531">
        <f t="shared" si="7"/>
        <v>0</v>
      </c>
      <c r="I89" s="531">
        <f t="shared" si="8"/>
        <v>0</v>
      </c>
      <c r="J89" s="531">
        <f t="shared" si="9"/>
        <v>0</v>
      </c>
      <c r="K89" s="531">
        <f t="shared" si="10"/>
        <v>0</v>
      </c>
      <c r="L89" s="531">
        <f t="shared" si="11"/>
        <v>0</v>
      </c>
      <c r="M89" s="531">
        <f t="shared" si="12"/>
        <v>0</v>
      </c>
      <c r="N89" s="531">
        <f t="shared" si="13"/>
        <v>0</v>
      </c>
      <c r="O89" s="531">
        <f t="shared" si="14"/>
        <v>0</v>
      </c>
    </row>
    <row r="90" spans="1:22" hidden="1" x14ac:dyDescent="0.3">
      <c r="A90" s="530" t="str">
        <f t="shared" ref="A90:B90" si="24">IF(ISTEXT(A10)=TRUE,A10,"")</f>
        <v/>
      </c>
      <c r="B90" s="530" t="str">
        <f t="shared" si="24"/>
        <v/>
      </c>
      <c r="C90" s="530" t="str">
        <f t="shared" ref="C90:F90" si="25">IF(ISNUMBER(C10)=TRUE,C10,"")</f>
        <v/>
      </c>
      <c r="D90" s="530" t="str">
        <f t="shared" si="25"/>
        <v/>
      </c>
      <c r="E90" s="530" t="str">
        <f t="shared" si="25"/>
        <v/>
      </c>
      <c r="F90" s="530" t="str">
        <f t="shared" si="25"/>
        <v/>
      </c>
      <c r="G90" s="530" t="str">
        <f t="shared" si="17"/>
        <v>N/A</v>
      </c>
      <c r="H90" s="531">
        <f t="shared" si="7"/>
        <v>0</v>
      </c>
      <c r="I90" s="531">
        <f t="shared" si="8"/>
        <v>0</v>
      </c>
      <c r="J90" s="531">
        <f t="shared" si="9"/>
        <v>0</v>
      </c>
      <c r="K90" s="531">
        <f t="shared" si="10"/>
        <v>0</v>
      </c>
      <c r="L90" s="531">
        <f t="shared" si="11"/>
        <v>0</v>
      </c>
      <c r="M90" s="531">
        <f t="shared" si="12"/>
        <v>0</v>
      </c>
      <c r="N90" s="531">
        <f t="shared" si="13"/>
        <v>0</v>
      </c>
      <c r="O90" s="531">
        <f t="shared" si="14"/>
        <v>0</v>
      </c>
    </row>
    <row r="91" spans="1:22" hidden="1" x14ac:dyDescent="0.3">
      <c r="A91" s="530" t="str">
        <f t="shared" ref="A91:B91" si="26">IF(ISTEXT(A11)=TRUE,A11,"")</f>
        <v/>
      </c>
      <c r="B91" s="530" t="str">
        <f t="shared" si="26"/>
        <v/>
      </c>
      <c r="C91" s="530" t="str">
        <f t="shared" ref="C91:F91" si="27">IF(ISNUMBER(C11)=TRUE,C11,"")</f>
        <v/>
      </c>
      <c r="D91" s="530" t="str">
        <f t="shared" si="27"/>
        <v/>
      </c>
      <c r="E91" s="530" t="str">
        <f t="shared" si="27"/>
        <v/>
      </c>
      <c r="F91" s="530" t="str">
        <f t="shared" si="27"/>
        <v/>
      </c>
      <c r="G91" s="530" t="str">
        <f t="shared" si="17"/>
        <v>N/A</v>
      </c>
      <c r="H91" s="531">
        <f t="shared" si="7"/>
        <v>0</v>
      </c>
      <c r="I91" s="531">
        <f t="shared" si="8"/>
        <v>0</v>
      </c>
      <c r="J91" s="531">
        <f t="shared" si="9"/>
        <v>0</v>
      </c>
      <c r="K91" s="531">
        <f t="shared" si="10"/>
        <v>0</v>
      </c>
      <c r="L91" s="531">
        <f t="shared" si="11"/>
        <v>0</v>
      </c>
      <c r="M91" s="531">
        <f t="shared" si="12"/>
        <v>0</v>
      </c>
      <c r="N91" s="531">
        <f t="shared" si="13"/>
        <v>0</v>
      </c>
      <c r="O91" s="531">
        <f t="shared" si="14"/>
        <v>0</v>
      </c>
    </row>
    <row r="92" spans="1:22" hidden="1" x14ac:dyDescent="0.3">
      <c r="A92" s="530" t="str">
        <f t="shared" ref="A92:B92" si="28">IF(ISTEXT(A12)=TRUE,A12,"")</f>
        <v/>
      </c>
      <c r="B92" s="530" t="str">
        <f t="shared" si="28"/>
        <v/>
      </c>
      <c r="C92" s="530" t="str">
        <f t="shared" ref="C92:F92" si="29">IF(ISNUMBER(C12)=TRUE,C12,"")</f>
        <v/>
      </c>
      <c r="D92" s="530" t="str">
        <f t="shared" si="29"/>
        <v/>
      </c>
      <c r="E92" s="530" t="str">
        <f t="shared" si="29"/>
        <v/>
      </c>
      <c r="F92" s="530" t="str">
        <f t="shared" si="29"/>
        <v/>
      </c>
      <c r="G92" s="530" t="str">
        <f t="shared" si="17"/>
        <v>N/A</v>
      </c>
      <c r="H92" s="531">
        <f t="shared" si="7"/>
        <v>0</v>
      </c>
      <c r="I92" s="531">
        <f t="shared" si="8"/>
        <v>0</v>
      </c>
      <c r="J92" s="531">
        <f t="shared" si="9"/>
        <v>0</v>
      </c>
      <c r="K92" s="531">
        <f t="shared" si="10"/>
        <v>0</v>
      </c>
      <c r="L92" s="531">
        <f t="shared" si="11"/>
        <v>0</v>
      </c>
      <c r="M92" s="531">
        <f t="shared" si="12"/>
        <v>0</v>
      </c>
      <c r="N92" s="531">
        <f t="shared" si="13"/>
        <v>0</v>
      </c>
      <c r="O92" s="531">
        <f t="shared" si="14"/>
        <v>0</v>
      </c>
    </row>
    <row r="93" spans="1:22" hidden="1" x14ac:dyDescent="0.3">
      <c r="A93" s="530" t="str">
        <f t="shared" ref="A93:B93" si="30">IF(ISTEXT(A13)=TRUE,A13,"")</f>
        <v/>
      </c>
      <c r="B93" s="530" t="str">
        <f t="shared" si="30"/>
        <v/>
      </c>
      <c r="C93" s="530" t="str">
        <f t="shared" ref="C93:F93" si="31">IF(ISNUMBER(C13)=TRUE,C13,"")</f>
        <v/>
      </c>
      <c r="D93" s="530" t="str">
        <f t="shared" si="31"/>
        <v/>
      </c>
      <c r="E93" s="530" t="str">
        <f t="shared" si="31"/>
        <v/>
      </c>
      <c r="F93" s="530" t="str">
        <f t="shared" si="31"/>
        <v/>
      </c>
      <c r="G93" s="530" t="str">
        <f t="shared" si="17"/>
        <v>N/A</v>
      </c>
      <c r="H93" s="531">
        <f t="shared" si="7"/>
        <v>0</v>
      </c>
      <c r="I93" s="531">
        <f t="shared" si="8"/>
        <v>0</v>
      </c>
      <c r="J93" s="531">
        <f t="shared" si="9"/>
        <v>0</v>
      </c>
      <c r="K93" s="531">
        <f t="shared" si="10"/>
        <v>0</v>
      </c>
      <c r="L93" s="531">
        <f t="shared" si="11"/>
        <v>0</v>
      </c>
      <c r="M93" s="531">
        <f t="shared" si="12"/>
        <v>0</v>
      </c>
      <c r="N93" s="531">
        <f t="shared" si="13"/>
        <v>0</v>
      </c>
      <c r="O93" s="531">
        <f t="shared" si="14"/>
        <v>0</v>
      </c>
    </row>
    <row r="94" spans="1:22" hidden="1" x14ac:dyDescent="0.3">
      <c r="A94" s="530" t="str">
        <f t="shared" ref="A94:B94" si="32">IF(ISTEXT(A14)=TRUE,A14,"")</f>
        <v/>
      </c>
      <c r="B94" s="530" t="str">
        <f t="shared" si="32"/>
        <v/>
      </c>
      <c r="C94" s="530" t="str">
        <f t="shared" ref="C94:F94" si="33">IF(ISNUMBER(C14)=TRUE,C14,"")</f>
        <v/>
      </c>
      <c r="D94" s="530" t="str">
        <f t="shared" si="33"/>
        <v/>
      </c>
      <c r="E94" s="530" t="str">
        <f t="shared" si="33"/>
        <v/>
      </c>
      <c r="F94" s="530" t="str">
        <f t="shared" si="33"/>
        <v/>
      </c>
      <c r="G94" s="530" t="str">
        <f t="shared" si="17"/>
        <v>N/A</v>
      </c>
      <c r="H94" s="531">
        <f t="shared" si="7"/>
        <v>0</v>
      </c>
      <c r="I94" s="531">
        <f t="shared" si="8"/>
        <v>0</v>
      </c>
      <c r="J94" s="531">
        <f t="shared" si="9"/>
        <v>0</v>
      </c>
      <c r="K94" s="531">
        <f t="shared" si="10"/>
        <v>0</v>
      </c>
      <c r="L94" s="531">
        <f t="shared" si="11"/>
        <v>0</v>
      </c>
      <c r="M94" s="531">
        <f t="shared" si="12"/>
        <v>0</v>
      </c>
      <c r="N94" s="531">
        <f t="shared" si="13"/>
        <v>0</v>
      </c>
      <c r="O94" s="531">
        <f t="shared" si="14"/>
        <v>0</v>
      </c>
    </row>
    <row r="95" spans="1:22" hidden="1" x14ac:dyDescent="0.3">
      <c r="A95" s="530" t="str">
        <f t="shared" ref="A95:B95" si="34">IF(ISTEXT(A15)=TRUE,A15,"")</f>
        <v/>
      </c>
      <c r="B95" s="530" t="str">
        <f t="shared" si="34"/>
        <v/>
      </c>
      <c r="C95" s="530" t="str">
        <f t="shared" ref="C95:F95" si="35">IF(ISNUMBER(C15)=TRUE,C15,"")</f>
        <v/>
      </c>
      <c r="D95" s="530" t="str">
        <f t="shared" si="35"/>
        <v/>
      </c>
      <c r="E95" s="530" t="str">
        <f t="shared" si="35"/>
        <v/>
      </c>
      <c r="F95" s="530" t="str">
        <f t="shared" si="35"/>
        <v/>
      </c>
      <c r="G95" s="530" t="str">
        <f t="shared" si="17"/>
        <v>N/A</v>
      </c>
      <c r="H95" s="531">
        <f t="shared" si="7"/>
        <v>0</v>
      </c>
      <c r="I95" s="531">
        <f t="shared" si="8"/>
        <v>0</v>
      </c>
      <c r="J95" s="531">
        <f t="shared" si="9"/>
        <v>0</v>
      </c>
      <c r="K95" s="531">
        <f t="shared" si="10"/>
        <v>0</v>
      </c>
      <c r="L95" s="531">
        <f t="shared" si="11"/>
        <v>0</v>
      </c>
      <c r="M95" s="531">
        <f t="shared" si="12"/>
        <v>0</v>
      </c>
      <c r="N95" s="531">
        <f t="shared" si="13"/>
        <v>0</v>
      </c>
      <c r="O95" s="531">
        <f t="shared" si="14"/>
        <v>0</v>
      </c>
    </row>
    <row r="96" spans="1:22" hidden="1" x14ac:dyDescent="0.3">
      <c r="A96" s="530" t="str">
        <f t="shared" ref="A96:B96" si="36">IF(ISTEXT(A16)=TRUE,A16,"")</f>
        <v/>
      </c>
      <c r="B96" s="530" t="str">
        <f t="shared" si="36"/>
        <v/>
      </c>
      <c r="C96" s="530" t="str">
        <f t="shared" ref="C96:F96" si="37">IF(ISNUMBER(C16)=TRUE,C16,"")</f>
        <v/>
      </c>
      <c r="D96" s="530" t="str">
        <f t="shared" si="37"/>
        <v/>
      </c>
      <c r="E96" s="530" t="str">
        <f t="shared" si="37"/>
        <v/>
      </c>
      <c r="F96" s="530" t="str">
        <f t="shared" si="37"/>
        <v/>
      </c>
      <c r="G96" s="530" t="str">
        <f t="shared" si="17"/>
        <v>N/A</v>
      </c>
      <c r="H96" s="531">
        <f t="shared" si="7"/>
        <v>0</v>
      </c>
      <c r="I96" s="531">
        <f t="shared" si="8"/>
        <v>0</v>
      </c>
      <c r="J96" s="531">
        <f t="shared" si="9"/>
        <v>0</v>
      </c>
      <c r="K96" s="531">
        <f t="shared" si="10"/>
        <v>0</v>
      </c>
      <c r="L96" s="531">
        <f t="shared" si="11"/>
        <v>0</v>
      </c>
      <c r="M96" s="531">
        <f t="shared" si="12"/>
        <v>0</v>
      </c>
      <c r="N96" s="531">
        <f t="shared" si="13"/>
        <v>0</v>
      </c>
      <c r="O96" s="531">
        <f t="shared" si="14"/>
        <v>0</v>
      </c>
    </row>
    <row r="97" spans="1:15" hidden="1" x14ac:dyDescent="0.3">
      <c r="A97" s="530" t="str">
        <f t="shared" ref="A97:B97" si="38">IF(ISTEXT(A17)=TRUE,A17,"")</f>
        <v/>
      </c>
      <c r="B97" s="530" t="str">
        <f t="shared" si="38"/>
        <v/>
      </c>
      <c r="C97" s="530" t="str">
        <f t="shared" ref="C97:F97" si="39">IF(ISNUMBER(C17)=TRUE,C17,"")</f>
        <v/>
      </c>
      <c r="D97" s="530" t="str">
        <f t="shared" si="39"/>
        <v/>
      </c>
      <c r="E97" s="530" t="str">
        <f t="shared" si="39"/>
        <v/>
      </c>
      <c r="F97" s="530" t="str">
        <f t="shared" si="39"/>
        <v/>
      </c>
      <c r="G97" s="530" t="str">
        <f t="shared" si="17"/>
        <v>N/A</v>
      </c>
      <c r="H97" s="531">
        <f t="shared" si="7"/>
        <v>0</v>
      </c>
      <c r="I97" s="531">
        <f t="shared" si="8"/>
        <v>0</v>
      </c>
      <c r="J97" s="531">
        <f t="shared" si="9"/>
        <v>0</v>
      </c>
      <c r="K97" s="531">
        <f t="shared" si="10"/>
        <v>0</v>
      </c>
      <c r="L97" s="531">
        <f t="shared" si="11"/>
        <v>0</v>
      </c>
      <c r="M97" s="531">
        <f t="shared" si="12"/>
        <v>0</v>
      </c>
      <c r="N97" s="531">
        <f t="shared" si="13"/>
        <v>0</v>
      </c>
      <c r="O97" s="531">
        <f t="shared" si="14"/>
        <v>0</v>
      </c>
    </row>
    <row r="98" spans="1:15" hidden="1" x14ac:dyDescent="0.3">
      <c r="A98" s="530" t="str">
        <f t="shared" ref="A98:B98" si="40">IF(ISTEXT(A18)=TRUE,A18,"")</f>
        <v/>
      </c>
      <c r="B98" s="530" t="str">
        <f t="shared" si="40"/>
        <v/>
      </c>
      <c r="C98" s="530" t="str">
        <f t="shared" ref="C98:F98" si="41">IF(ISNUMBER(C18)=TRUE,C18,"")</f>
        <v/>
      </c>
      <c r="D98" s="530" t="str">
        <f t="shared" si="41"/>
        <v/>
      </c>
      <c r="E98" s="530" t="str">
        <f t="shared" si="41"/>
        <v/>
      </c>
      <c r="F98" s="530" t="str">
        <f t="shared" si="41"/>
        <v/>
      </c>
      <c r="G98" s="530" t="str">
        <f t="shared" si="17"/>
        <v>N/A</v>
      </c>
      <c r="H98" s="531">
        <f t="shared" si="7"/>
        <v>0</v>
      </c>
      <c r="I98" s="531">
        <f t="shared" si="8"/>
        <v>0</v>
      </c>
      <c r="J98" s="531">
        <f t="shared" si="9"/>
        <v>0</v>
      </c>
      <c r="K98" s="531">
        <f t="shared" si="10"/>
        <v>0</v>
      </c>
      <c r="L98" s="531">
        <f t="shared" si="11"/>
        <v>0</v>
      </c>
      <c r="M98" s="531">
        <f t="shared" si="12"/>
        <v>0</v>
      </c>
      <c r="N98" s="531">
        <f t="shared" si="13"/>
        <v>0</v>
      </c>
      <c r="O98" s="531">
        <f t="shared" si="14"/>
        <v>0</v>
      </c>
    </row>
    <row r="99" spans="1:15" hidden="1" x14ac:dyDescent="0.3">
      <c r="A99" s="530" t="str">
        <f t="shared" ref="A99:B99" si="42">IF(ISTEXT(A19)=TRUE,A19,"")</f>
        <v/>
      </c>
      <c r="B99" s="530" t="str">
        <f t="shared" si="42"/>
        <v/>
      </c>
      <c r="C99" s="530" t="str">
        <f t="shared" ref="C99:F99" si="43">IF(ISNUMBER(C19)=TRUE,C19,"")</f>
        <v/>
      </c>
      <c r="D99" s="530" t="str">
        <f t="shared" si="43"/>
        <v/>
      </c>
      <c r="E99" s="530" t="str">
        <f t="shared" si="43"/>
        <v/>
      </c>
      <c r="F99" s="530" t="str">
        <f t="shared" si="43"/>
        <v/>
      </c>
      <c r="G99" s="530" t="str">
        <f t="shared" si="17"/>
        <v>N/A</v>
      </c>
      <c r="H99" s="531">
        <f t="shared" si="7"/>
        <v>0</v>
      </c>
      <c r="I99" s="531">
        <f t="shared" si="8"/>
        <v>0</v>
      </c>
      <c r="J99" s="531">
        <f t="shared" si="9"/>
        <v>0</v>
      </c>
      <c r="K99" s="531">
        <f t="shared" si="10"/>
        <v>0</v>
      </c>
      <c r="L99" s="531">
        <f t="shared" si="11"/>
        <v>0</v>
      </c>
      <c r="M99" s="531">
        <f t="shared" si="12"/>
        <v>0</v>
      </c>
      <c r="N99" s="531">
        <f t="shared" si="13"/>
        <v>0</v>
      </c>
      <c r="O99" s="531">
        <f t="shared" si="14"/>
        <v>0</v>
      </c>
    </row>
    <row r="100" spans="1:15" hidden="1" x14ac:dyDescent="0.3">
      <c r="A100" s="530" t="str">
        <f t="shared" ref="A100:B100" si="44">IF(ISTEXT(A20)=TRUE,A20,"")</f>
        <v/>
      </c>
      <c r="B100" s="530" t="str">
        <f t="shared" si="44"/>
        <v/>
      </c>
      <c r="C100" s="530" t="str">
        <f t="shared" ref="C100:F100" si="45">IF(ISNUMBER(C20)=TRUE,C20,"")</f>
        <v/>
      </c>
      <c r="D100" s="530" t="str">
        <f t="shared" si="45"/>
        <v/>
      </c>
      <c r="E100" s="530" t="str">
        <f t="shared" si="45"/>
        <v/>
      </c>
      <c r="F100" s="530" t="str">
        <f t="shared" si="45"/>
        <v/>
      </c>
      <c r="G100" s="530" t="str">
        <f t="shared" si="17"/>
        <v>N/A</v>
      </c>
      <c r="H100" s="531">
        <f t="shared" si="7"/>
        <v>0</v>
      </c>
      <c r="I100" s="531">
        <f t="shared" si="8"/>
        <v>0</v>
      </c>
      <c r="J100" s="531">
        <f t="shared" si="9"/>
        <v>0</v>
      </c>
      <c r="K100" s="531">
        <f t="shared" si="10"/>
        <v>0</v>
      </c>
      <c r="L100" s="531">
        <f t="shared" si="11"/>
        <v>0</v>
      </c>
      <c r="M100" s="531">
        <f t="shared" si="12"/>
        <v>0</v>
      </c>
      <c r="N100" s="531">
        <f t="shared" si="13"/>
        <v>0</v>
      </c>
      <c r="O100" s="531">
        <f t="shared" si="14"/>
        <v>0</v>
      </c>
    </row>
    <row r="101" spans="1:15" hidden="1" x14ac:dyDescent="0.3">
      <c r="A101" s="530" t="str">
        <f t="shared" ref="A101:B101" si="46">IF(ISTEXT(A21)=TRUE,A21,"")</f>
        <v/>
      </c>
      <c r="B101" s="530" t="str">
        <f t="shared" si="46"/>
        <v/>
      </c>
      <c r="C101" s="530" t="str">
        <f t="shared" ref="C101:F101" si="47">IF(ISNUMBER(C21)=TRUE,C21,"")</f>
        <v/>
      </c>
      <c r="D101" s="530" t="str">
        <f t="shared" si="47"/>
        <v/>
      </c>
      <c r="E101" s="530" t="str">
        <f t="shared" si="47"/>
        <v/>
      </c>
      <c r="F101" s="530" t="str">
        <f t="shared" si="47"/>
        <v/>
      </c>
      <c r="G101" s="530" t="str">
        <f t="shared" si="17"/>
        <v>N/A</v>
      </c>
      <c r="H101" s="531">
        <f t="shared" si="7"/>
        <v>0</v>
      </c>
      <c r="I101" s="531">
        <f t="shared" si="8"/>
        <v>0</v>
      </c>
      <c r="J101" s="531">
        <f t="shared" si="9"/>
        <v>0</v>
      </c>
      <c r="K101" s="531">
        <f t="shared" si="10"/>
        <v>0</v>
      </c>
      <c r="L101" s="531">
        <f t="shared" si="11"/>
        <v>0</v>
      </c>
      <c r="M101" s="531">
        <f t="shared" si="12"/>
        <v>0</v>
      </c>
      <c r="N101" s="531">
        <f t="shared" si="13"/>
        <v>0</v>
      </c>
      <c r="O101" s="531">
        <f t="shared" si="14"/>
        <v>0</v>
      </c>
    </row>
    <row r="102" spans="1:15" hidden="1" x14ac:dyDescent="0.3">
      <c r="A102" s="530" t="str">
        <f t="shared" ref="A102:B102" si="48">IF(ISTEXT(A22)=TRUE,A22,"")</f>
        <v/>
      </c>
      <c r="B102" s="530" t="str">
        <f t="shared" si="48"/>
        <v/>
      </c>
      <c r="C102" s="530" t="str">
        <f t="shared" ref="C102:F102" si="49">IF(ISNUMBER(C22)=TRUE,C22,"")</f>
        <v/>
      </c>
      <c r="D102" s="530" t="str">
        <f t="shared" si="49"/>
        <v/>
      </c>
      <c r="E102" s="530" t="str">
        <f t="shared" si="49"/>
        <v/>
      </c>
      <c r="F102" s="530" t="str">
        <f t="shared" si="49"/>
        <v/>
      </c>
      <c r="G102" s="530" t="str">
        <f t="shared" si="17"/>
        <v>N/A</v>
      </c>
      <c r="H102" s="531">
        <f t="shared" si="7"/>
        <v>0</v>
      </c>
      <c r="I102" s="531">
        <f t="shared" si="8"/>
        <v>0</v>
      </c>
      <c r="J102" s="531">
        <f t="shared" si="9"/>
        <v>0</v>
      </c>
      <c r="K102" s="531">
        <f t="shared" si="10"/>
        <v>0</v>
      </c>
      <c r="L102" s="531">
        <f t="shared" si="11"/>
        <v>0</v>
      </c>
      <c r="M102" s="531">
        <f t="shared" si="12"/>
        <v>0</v>
      </c>
      <c r="N102" s="531">
        <f t="shared" si="13"/>
        <v>0</v>
      </c>
      <c r="O102" s="531">
        <f t="shared" si="14"/>
        <v>0</v>
      </c>
    </row>
    <row r="103" spans="1:15" hidden="1" x14ac:dyDescent="0.3">
      <c r="A103" s="530" t="str">
        <f t="shared" ref="A103:B103" si="50">IF(ISTEXT(A23)=TRUE,A23,"")</f>
        <v/>
      </c>
      <c r="B103" s="530" t="str">
        <f t="shared" si="50"/>
        <v/>
      </c>
      <c r="C103" s="530" t="str">
        <f t="shared" ref="C103:F103" si="51">IF(ISNUMBER(C23)=TRUE,C23,"")</f>
        <v/>
      </c>
      <c r="D103" s="530" t="str">
        <f t="shared" si="51"/>
        <v/>
      </c>
      <c r="E103" s="530" t="str">
        <f t="shared" si="51"/>
        <v/>
      </c>
      <c r="F103" s="530" t="str">
        <f t="shared" si="51"/>
        <v/>
      </c>
      <c r="G103" s="530" t="str">
        <f t="shared" si="17"/>
        <v>N/A</v>
      </c>
      <c r="H103" s="531">
        <f t="shared" si="7"/>
        <v>0</v>
      </c>
      <c r="I103" s="531">
        <f t="shared" si="8"/>
        <v>0</v>
      </c>
      <c r="J103" s="531">
        <f t="shared" si="9"/>
        <v>0</v>
      </c>
      <c r="K103" s="531">
        <f t="shared" si="10"/>
        <v>0</v>
      </c>
      <c r="L103" s="531">
        <f t="shared" si="11"/>
        <v>0</v>
      </c>
      <c r="M103" s="531">
        <f t="shared" si="12"/>
        <v>0</v>
      </c>
      <c r="N103" s="531">
        <f t="shared" si="13"/>
        <v>0</v>
      </c>
      <c r="O103" s="531">
        <f t="shared" si="14"/>
        <v>0</v>
      </c>
    </row>
    <row r="104" spans="1:15" hidden="1" x14ac:dyDescent="0.3">
      <c r="A104" s="530" t="str">
        <f t="shared" ref="A104:B104" si="52">IF(ISTEXT(A24)=TRUE,A24,"")</f>
        <v/>
      </c>
      <c r="B104" s="530" t="str">
        <f t="shared" si="52"/>
        <v/>
      </c>
      <c r="C104" s="530" t="str">
        <f t="shared" ref="C104:F104" si="53">IF(ISNUMBER(C24)=TRUE,C24,"")</f>
        <v/>
      </c>
      <c r="D104" s="530" t="str">
        <f t="shared" si="53"/>
        <v/>
      </c>
      <c r="E104" s="530" t="str">
        <f t="shared" si="53"/>
        <v/>
      </c>
      <c r="F104" s="530" t="str">
        <f t="shared" si="53"/>
        <v/>
      </c>
      <c r="G104" s="530" t="str">
        <f t="shared" si="17"/>
        <v>N/A</v>
      </c>
      <c r="H104" s="531">
        <f t="shared" si="7"/>
        <v>0</v>
      </c>
      <c r="I104" s="531">
        <f t="shared" si="8"/>
        <v>0</v>
      </c>
      <c r="J104" s="531">
        <f t="shared" si="9"/>
        <v>0</v>
      </c>
      <c r="K104" s="531">
        <f t="shared" si="10"/>
        <v>0</v>
      </c>
      <c r="L104" s="531">
        <f t="shared" si="11"/>
        <v>0</v>
      </c>
      <c r="M104" s="531">
        <f t="shared" si="12"/>
        <v>0</v>
      </c>
      <c r="N104" s="531">
        <f t="shared" si="13"/>
        <v>0</v>
      </c>
      <c r="O104" s="531">
        <f t="shared" si="14"/>
        <v>0</v>
      </c>
    </row>
    <row r="105" spans="1:15" hidden="1" x14ac:dyDescent="0.3">
      <c r="A105" s="530" t="str">
        <f t="shared" ref="A105:B105" si="54">IF(ISTEXT(A25)=TRUE,A25,"")</f>
        <v/>
      </c>
      <c r="B105" s="530" t="str">
        <f t="shared" si="54"/>
        <v/>
      </c>
      <c r="C105" s="530" t="str">
        <f t="shared" ref="C105:F105" si="55">IF(ISNUMBER(C25)=TRUE,C25,"")</f>
        <v/>
      </c>
      <c r="D105" s="530" t="str">
        <f t="shared" si="55"/>
        <v/>
      </c>
      <c r="E105" s="530" t="str">
        <f t="shared" si="55"/>
        <v/>
      </c>
      <c r="F105" s="530" t="str">
        <f t="shared" si="55"/>
        <v/>
      </c>
      <c r="G105" s="530" t="str">
        <f t="shared" si="17"/>
        <v>N/A</v>
      </c>
      <c r="H105" s="531">
        <f t="shared" si="7"/>
        <v>0</v>
      </c>
      <c r="I105" s="531">
        <f t="shared" si="8"/>
        <v>0</v>
      </c>
      <c r="J105" s="531">
        <f t="shared" si="9"/>
        <v>0</v>
      </c>
      <c r="K105" s="531">
        <f t="shared" si="10"/>
        <v>0</v>
      </c>
      <c r="L105" s="531">
        <f t="shared" si="11"/>
        <v>0</v>
      </c>
      <c r="M105" s="531">
        <f t="shared" si="12"/>
        <v>0</v>
      </c>
      <c r="N105" s="531">
        <f t="shared" si="13"/>
        <v>0</v>
      </c>
      <c r="O105" s="531">
        <f t="shared" si="14"/>
        <v>0</v>
      </c>
    </row>
    <row r="106" spans="1:15" hidden="1" x14ac:dyDescent="0.3">
      <c r="A106" s="530" t="str">
        <f t="shared" ref="A106:B106" si="56">IF(ISTEXT(A26)=TRUE,A26,"")</f>
        <v/>
      </c>
      <c r="B106" s="530" t="str">
        <f t="shared" si="56"/>
        <v/>
      </c>
      <c r="C106" s="530" t="str">
        <f t="shared" ref="C106:F106" si="57">IF(ISNUMBER(C26)=TRUE,C26,"")</f>
        <v/>
      </c>
      <c r="D106" s="530" t="str">
        <f t="shared" si="57"/>
        <v/>
      </c>
      <c r="E106" s="530" t="str">
        <f t="shared" si="57"/>
        <v/>
      </c>
      <c r="F106" s="530" t="str">
        <f t="shared" si="57"/>
        <v/>
      </c>
      <c r="G106" s="530" t="str">
        <f t="shared" si="17"/>
        <v>N/A</v>
      </c>
      <c r="H106" s="531">
        <f t="shared" si="7"/>
        <v>0</v>
      </c>
      <c r="I106" s="531">
        <f t="shared" si="8"/>
        <v>0</v>
      </c>
      <c r="J106" s="531">
        <f t="shared" si="9"/>
        <v>0</v>
      </c>
      <c r="K106" s="531">
        <f t="shared" si="10"/>
        <v>0</v>
      </c>
      <c r="L106" s="531">
        <f t="shared" si="11"/>
        <v>0</v>
      </c>
      <c r="M106" s="531">
        <f t="shared" si="12"/>
        <v>0</v>
      </c>
      <c r="N106" s="531">
        <f t="shared" si="13"/>
        <v>0</v>
      </c>
      <c r="O106" s="531">
        <f t="shared" si="14"/>
        <v>0</v>
      </c>
    </row>
    <row r="107" spans="1:15" hidden="1" x14ac:dyDescent="0.3">
      <c r="A107" s="530" t="str">
        <f t="shared" ref="A107:B107" si="58">IF(ISTEXT(A27)=TRUE,A27,"")</f>
        <v/>
      </c>
      <c r="B107" s="530" t="str">
        <f t="shared" si="58"/>
        <v/>
      </c>
      <c r="C107" s="530" t="str">
        <f t="shared" ref="C107:F107" si="59">IF(ISNUMBER(C27)=TRUE,C27,"")</f>
        <v/>
      </c>
      <c r="D107" s="530" t="str">
        <f t="shared" si="59"/>
        <v/>
      </c>
      <c r="E107" s="530" t="str">
        <f t="shared" si="59"/>
        <v/>
      </c>
      <c r="F107" s="530" t="str">
        <f t="shared" si="59"/>
        <v/>
      </c>
      <c r="G107" s="530" t="str">
        <f t="shared" si="17"/>
        <v>N/A</v>
      </c>
      <c r="H107" s="531">
        <f t="shared" si="7"/>
        <v>0</v>
      </c>
      <c r="I107" s="531">
        <f t="shared" si="8"/>
        <v>0</v>
      </c>
      <c r="J107" s="531">
        <f t="shared" si="9"/>
        <v>0</v>
      </c>
      <c r="K107" s="531">
        <f t="shared" si="10"/>
        <v>0</v>
      </c>
      <c r="L107" s="531">
        <f t="shared" si="11"/>
        <v>0</v>
      </c>
      <c r="M107" s="531">
        <f t="shared" si="12"/>
        <v>0</v>
      </c>
      <c r="N107" s="531">
        <f t="shared" si="13"/>
        <v>0</v>
      </c>
      <c r="O107" s="531">
        <f t="shared" si="14"/>
        <v>0</v>
      </c>
    </row>
    <row r="108" spans="1:15" hidden="1" x14ac:dyDescent="0.3">
      <c r="A108" s="530" t="str">
        <f t="shared" ref="A108:B108" si="60">IF(ISTEXT(A28)=TRUE,A28,"")</f>
        <v/>
      </c>
      <c r="B108" s="530" t="str">
        <f t="shared" si="60"/>
        <v/>
      </c>
      <c r="C108" s="530" t="str">
        <f t="shared" ref="C108:F108" si="61">IF(ISNUMBER(C28)=TRUE,C28,"")</f>
        <v/>
      </c>
      <c r="D108" s="530" t="str">
        <f t="shared" si="61"/>
        <v/>
      </c>
      <c r="E108" s="530" t="str">
        <f t="shared" si="61"/>
        <v/>
      </c>
      <c r="F108" s="530" t="str">
        <f t="shared" si="61"/>
        <v/>
      </c>
      <c r="G108" s="530" t="str">
        <f t="shared" si="17"/>
        <v>N/A</v>
      </c>
      <c r="H108" s="531">
        <f t="shared" si="7"/>
        <v>0</v>
      </c>
      <c r="I108" s="531">
        <f t="shared" si="8"/>
        <v>0</v>
      </c>
      <c r="J108" s="531">
        <f t="shared" si="9"/>
        <v>0</v>
      </c>
      <c r="K108" s="531">
        <f t="shared" si="10"/>
        <v>0</v>
      </c>
      <c r="L108" s="531">
        <f t="shared" si="11"/>
        <v>0</v>
      </c>
      <c r="M108" s="531">
        <f t="shared" si="12"/>
        <v>0</v>
      </c>
      <c r="N108" s="531">
        <f t="shared" si="13"/>
        <v>0</v>
      </c>
      <c r="O108" s="531">
        <f t="shared" si="14"/>
        <v>0</v>
      </c>
    </row>
    <row r="109" spans="1:15" hidden="1" x14ac:dyDescent="0.3">
      <c r="B109" s="523" t="s">
        <v>127</v>
      </c>
      <c r="C109" s="527"/>
      <c r="D109" s="527"/>
      <c r="E109" s="527"/>
      <c r="F109" s="525"/>
      <c r="G109" s="525"/>
      <c r="H109" s="525"/>
      <c r="I109" s="525"/>
      <c r="J109" s="525"/>
      <c r="K109" s="525"/>
      <c r="L109" s="525"/>
      <c r="M109" s="525"/>
      <c r="N109" s="525"/>
      <c r="O109" s="525"/>
    </row>
    <row r="110" spans="1:15" hidden="1" x14ac:dyDescent="0.3">
      <c r="A110" s="530" t="str">
        <f>IF(ISTEXT(A30)=TRUE,A30,"")</f>
        <v/>
      </c>
      <c r="B110" s="530" t="str">
        <f>IF(ISTEXT(B30)=TRUE,B30,"")</f>
        <v/>
      </c>
      <c r="C110" s="530" t="str">
        <f>IF(ISNUMBER(C30)=TRUE,C30,"")</f>
        <v/>
      </c>
      <c r="D110" s="530" t="str">
        <f t="shared" ref="D110:F110" si="62">IF(ISNUMBER(D30)=TRUE,D30,"")</f>
        <v/>
      </c>
      <c r="E110" s="530" t="str">
        <f t="shared" si="62"/>
        <v/>
      </c>
      <c r="F110" s="530" t="str">
        <f t="shared" si="62"/>
        <v/>
      </c>
      <c r="G110" s="530" t="str">
        <f>IF(ISTEXT(G30)=TRUE,G30,"")</f>
        <v>N/A</v>
      </c>
      <c r="H110" s="531">
        <f t="shared" ref="H110:H123" si="63">IFERROR(H30/$S$5,0)</f>
        <v>0</v>
      </c>
      <c r="I110" s="531">
        <f t="shared" ref="I110:I123" si="64">IFERROR(I30/$U$8,0)</f>
        <v>0</v>
      </c>
      <c r="J110" s="531">
        <f t="shared" ref="J110:J123" si="65">IFERROR(J30/$W$8,0)</f>
        <v>0</v>
      </c>
      <c r="K110" s="531">
        <f t="shared" ref="K110:K123" si="66">IFERROR(K30/$Y$8,0)</f>
        <v>0</v>
      </c>
      <c r="L110" s="531">
        <f t="shared" ref="L110:L123" si="67">IFERROR(L30/$AA$8,0)</f>
        <v>0</v>
      </c>
      <c r="M110" s="531">
        <f t="shared" ref="M110:M123" si="68">IFERROR(M30/$AC$8,0)</f>
        <v>0</v>
      </c>
      <c r="N110" s="531">
        <f t="shared" ref="N110:N123" si="69">IFERROR(N30/$AE$8,0)</f>
        <v>0</v>
      </c>
      <c r="O110" s="531">
        <f t="shared" ref="O110:O123" si="70">IFERROR(O30/$AG$8,0)</f>
        <v>0</v>
      </c>
    </row>
    <row r="111" spans="1:15" hidden="1" x14ac:dyDescent="0.3">
      <c r="A111" s="530" t="str">
        <f t="shared" ref="A111:B111" si="71">IF(ISTEXT(A31)=TRUE,A31,"")</f>
        <v/>
      </c>
      <c r="B111" s="530" t="str">
        <f t="shared" si="71"/>
        <v/>
      </c>
      <c r="C111" s="530" t="str">
        <f t="shared" ref="C111:F111" si="72">IF(ISNUMBER(C31)=TRUE,C31,"")</f>
        <v/>
      </c>
      <c r="D111" s="530" t="str">
        <f t="shared" si="72"/>
        <v/>
      </c>
      <c r="E111" s="530" t="str">
        <f t="shared" si="72"/>
        <v/>
      </c>
      <c r="F111" s="530" t="str">
        <f t="shared" si="72"/>
        <v/>
      </c>
      <c r="G111" s="530" t="str">
        <f t="shared" ref="G111:G123" si="73">IF(ISTEXT(G31)=TRUE,G31,"")</f>
        <v>N/A</v>
      </c>
      <c r="H111" s="531">
        <f t="shared" si="63"/>
        <v>0</v>
      </c>
      <c r="I111" s="531">
        <f t="shared" si="64"/>
        <v>0</v>
      </c>
      <c r="J111" s="531">
        <f t="shared" si="65"/>
        <v>0</v>
      </c>
      <c r="K111" s="531">
        <f t="shared" si="66"/>
        <v>0</v>
      </c>
      <c r="L111" s="531">
        <f t="shared" si="67"/>
        <v>0</v>
      </c>
      <c r="M111" s="531">
        <f t="shared" si="68"/>
        <v>0</v>
      </c>
      <c r="N111" s="531">
        <f t="shared" si="69"/>
        <v>0</v>
      </c>
      <c r="O111" s="531">
        <f t="shared" si="70"/>
        <v>0</v>
      </c>
    </row>
    <row r="112" spans="1:15" hidden="1" x14ac:dyDescent="0.3">
      <c r="A112" s="530" t="str">
        <f t="shared" ref="A112:B112" si="74">IF(ISTEXT(A32)=TRUE,A32,"")</f>
        <v/>
      </c>
      <c r="B112" s="530" t="str">
        <f t="shared" si="74"/>
        <v/>
      </c>
      <c r="C112" s="530" t="str">
        <f t="shared" ref="C112:F112" si="75">IF(ISNUMBER(C32)=TRUE,C32,"")</f>
        <v/>
      </c>
      <c r="D112" s="530" t="str">
        <f t="shared" si="75"/>
        <v/>
      </c>
      <c r="E112" s="530" t="str">
        <f t="shared" si="75"/>
        <v/>
      </c>
      <c r="F112" s="530" t="str">
        <f t="shared" si="75"/>
        <v/>
      </c>
      <c r="G112" s="530" t="str">
        <f t="shared" si="73"/>
        <v>N/A</v>
      </c>
      <c r="H112" s="531">
        <f t="shared" si="63"/>
        <v>0</v>
      </c>
      <c r="I112" s="531">
        <f t="shared" si="64"/>
        <v>0</v>
      </c>
      <c r="J112" s="531">
        <f t="shared" si="65"/>
        <v>0</v>
      </c>
      <c r="K112" s="531">
        <f t="shared" si="66"/>
        <v>0</v>
      </c>
      <c r="L112" s="531">
        <f t="shared" si="67"/>
        <v>0</v>
      </c>
      <c r="M112" s="531">
        <f t="shared" si="68"/>
        <v>0</v>
      </c>
      <c r="N112" s="531">
        <f t="shared" si="69"/>
        <v>0</v>
      </c>
      <c r="O112" s="531">
        <f t="shared" si="70"/>
        <v>0</v>
      </c>
    </row>
    <row r="113" spans="1:15" hidden="1" x14ac:dyDescent="0.3">
      <c r="A113" s="530" t="str">
        <f t="shared" ref="A113:B113" si="76">IF(ISTEXT(A33)=TRUE,A33,"")</f>
        <v/>
      </c>
      <c r="B113" s="530" t="str">
        <f t="shared" si="76"/>
        <v/>
      </c>
      <c r="C113" s="530" t="str">
        <f t="shared" ref="C113:F113" si="77">IF(ISNUMBER(C33)=TRUE,C33,"")</f>
        <v/>
      </c>
      <c r="D113" s="530" t="str">
        <f t="shared" si="77"/>
        <v/>
      </c>
      <c r="E113" s="530" t="str">
        <f t="shared" si="77"/>
        <v/>
      </c>
      <c r="F113" s="530" t="str">
        <f t="shared" si="77"/>
        <v/>
      </c>
      <c r="G113" s="530" t="str">
        <f t="shared" si="73"/>
        <v>N/A</v>
      </c>
      <c r="H113" s="531">
        <f t="shared" si="63"/>
        <v>0</v>
      </c>
      <c r="I113" s="531">
        <f t="shared" si="64"/>
        <v>0</v>
      </c>
      <c r="J113" s="531">
        <f t="shared" si="65"/>
        <v>0</v>
      </c>
      <c r="K113" s="531">
        <f t="shared" si="66"/>
        <v>0</v>
      </c>
      <c r="L113" s="531">
        <f t="shared" si="67"/>
        <v>0</v>
      </c>
      <c r="M113" s="531">
        <f t="shared" si="68"/>
        <v>0</v>
      </c>
      <c r="N113" s="531">
        <f t="shared" si="69"/>
        <v>0</v>
      </c>
      <c r="O113" s="531">
        <f t="shared" si="70"/>
        <v>0</v>
      </c>
    </row>
    <row r="114" spans="1:15" hidden="1" x14ac:dyDescent="0.3">
      <c r="A114" s="530" t="str">
        <f t="shared" ref="A114:B114" si="78">IF(ISTEXT(A34)=TRUE,A34,"")</f>
        <v/>
      </c>
      <c r="B114" s="530" t="str">
        <f t="shared" si="78"/>
        <v/>
      </c>
      <c r="C114" s="530" t="str">
        <f t="shared" ref="C114:F114" si="79">IF(ISNUMBER(C34)=TRUE,C34,"")</f>
        <v/>
      </c>
      <c r="D114" s="530" t="str">
        <f t="shared" si="79"/>
        <v/>
      </c>
      <c r="E114" s="530" t="str">
        <f t="shared" si="79"/>
        <v/>
      </c>
      <c r="F114" s="530" t="str">
        <f t="shared" si="79"/>
        <v/>
      </c>
      <c r="G114" s="530" t="str">
        <f t="shared" si="73"/>
        <v>N/A</v>
      </c>
      <c r="H114" s="531">
        <f t="shared" si="63"/>
        <v>0</v>
      </c>
      <c r="I114" s="531">
        <f t="shared" si="64"/>
        <v>0</v>
      </c>
      <c r="J114" s="531">
        <f t="shared" si="65"/>
        <v>0</v>
      </c>
      <c r="K114" s="531">
        <f t="shared" si="66"/>
        <v>0</v>
      </c>
      <c r="L114" s="531">
        <f t="shared" si="67"/>
        <v>0</v>
      </c>
      <c r="M114" s="531">
        <f t="shared" si="68"/>
        <v>0</v>
      </c>
      <c r="N114" s="531">
        <f t="shared" si="69"/>
        <v>0</v>
      </c>
      <c r="O114" s="531">
        <f t="shared" si="70"/>
        <v>0</v>
      </c>
    </row>
    <row r="115" spans="1:15" hidden="1" x14ac:dyDescent="0.3">
      <c r="A115" s="530" t="str">
        <f t="shared" ref="A115:B115" si="80">IF(ISTEXT(A35)=TRUE,A35,"")</f>
        <v/>
      </c>
      <c r="B115" s="530" t="str">
        <f t="shared" si="80"/>
        <v/>
      </c>
      <c r="C115" s="530" t="str">
        <f t="shared" ref="C115:F115" si="81">IF(ISNUMBER(C35)=TRUE,C35,"")</f>
        <v/>
      </c>
      <c r="D115" s="530" t="str">
        <f t="shared" si="81"/>
        <v/>
      </c>
      <c r="E115" s="530" t="str">
        <f t="shared" si="81"/>
        <v/>
      </c>
      <c r="F115" s="530" t="str">
        <f t="shared" si="81"/>
        <v/>
      </c>
      <c r="G115" s="530" t="str">
        <f t="shared" si="73"/>
        <v>N/A</v>
      </c>
      <c r="H115" s="531">
        <f t="shared" si="63"/>
        <v>0</v>
      </c>
      <c r="I115" s="531">
        <f t="shared" si="64"/>
        <v>0</v>
      </c>
      <c r="J115" s="531">
        <f t="shared" si="65"/>
        <v>0</v>
      </c>
      <c r="K115" s="531">
        <f t="shared" si="66"/>
        <v>0</v>
      </c>
      <c r="L115" s="531">
        <f t="shared" si="67"/>
        <v>0</v>
      </c>
      <c r="M115" s="531">
        <f t="shared" si="68"/>
        <v>0</v>
      </c>
      <c r="N115" s="531">
        <f t="shared" si="69"/>
        <v>0</v>
      </c>
      <c r="O115" s="531">
        <f t="shared" si="70"/>
        <v>0</v>
      </c>
    </row>
    <row r="116" spans="1:15" hidden="1" x14ac:dyDescent="0.3">
      <c r="A116" s="530" t="str">
        <f t="shared" ref="A116:B116" si="82">IF(ISTEXT(A36)=TRUE,A36,"")</f>
        <v/>
      </c>
      <c r="B116" s="530" t="str">
        <f t="shared" si="82"/>
        <v/>
      </c>
      <c r="C116" s="530" t="str">
        <f t="shared" ref="C116:F116" si="83">IF(ISNUMBER(C36)=TRUE,C36,"")</f>
        <v/>
      </c>
      <c r="D116" s="530" t="str">
        <f t="shared" si="83"/>
        <v/>
      </c>
      <c r="E116" s="530" t="str">
        <f t="shared" si="83"/>
        <v/>
      </c>
      <c r="F116" s="530" t="str">
        <f t="shared" si="83"/>
        <v/>
      </c>
      <c r="G116" s="530" t="str">
        <f t="shared" si="73"/>
        <v>N/A</v>
      </c>
      <c r="H116" s="531">
        <f t="shared" si="63"/>
        <v>0</v>
      </c>
      <c r="I116" s="531">
        <f t="shared" si="64"/>
        <v>0</v>
      </c>
      <c r="J116" s="531">
        <f t="shared" si="65"/>
        <v>0</v>
      </c>
      <c r="K116" s="531">
        <f t="shared" si="66"/>
        <v>0</v>
      </c>
      <c r="L116" s="531">
        <f t="shared" si="67"/>
        <v>0</v>
      </c>
      <c r="M116" s="531">
        <f t="shared" si="68"/>
        <v>0</v>
      </c>
      <c r="N116" s="531">
        <f t="shared" si="69"/>
        <v>0</v>
      </c>
      <c r="O116" s="531">
        <f t="shared" si="70"/>
        <v>0</v>
      </c>
    </row>
    <row r="117" spans="1:15" hidden="1" x14ac:dyDescent="0.3">
      <c r="A117" s="530" t="str">
        <f t="shared" ref="A117:B117" si="84">IF(ISTEXT(A37)=TRUE,A37,"")</f>
        <v/>
      </c>
      <c r="B117" s="530" t="str">
        <f t="shared" si="84"/>
        <v/>
      </c>
      <c r="C117" s="530" t="str">
        <f t="shared" ref="C117:F117" si="85">IF(ISNUMBER(C37)=TRUE,C37,"")</f>
        <v/>
      </c>
      <c r="D117" s="530" t="str">
        <f t="shared" si="85"/>
        <v/>
      </c>
      <c r="E117" s="530" t="str">
        <f t="shared" si="85"/>
        <v/>
      </c>
      <c r="F117" s="530" t="str">
        <f t="shared" si="85"/>
        <v/>
      </c>
      <c r="G117" s="530" t="str">
        <f t="shared" si="73"/>
        <v>N/A</v>
      </c>
      <c r="H117" s="531">
        <f t="shared" si="63"/>
        <v>0</v>
      </c>
      <c r="I117" s="531">
        <f t="shared" si="64"/>
        <v>0</v>
      </c>
      <c r="J117" s="531">
        <f t="shared" si="65"/>
        <v>0</v>
      </c>
      <c r="K117" s="531">
        <f t="shared" si="66"/>
        <v>0</v>
      </c>
      <c r="L117" s="531">
        <f t="shared" si="67"/>
        <v>0</v>
      </c>
      <c r="M117" s="531">
        <f t="shared" si="68"/>
        <v>0</v>
      </c>
      <c r="N117" s="531">
        <f t="shared" si="69"/>
        <v>0</v>
      </c>
      <c r="O117" s="531">
        <f t="shared" si="70"/>
        <v>0</v>
      </c>
    </row>
    <row r="118" spans="1:15" hidden="1" x14ac:dyDescent="0.3">
      <c r="A118" s="530" t="str">
        <f t="shared" ref="A118:B118" si="86">IF(ISTEXT(A38)=TRUE,A38,"")</f>
        <v/>
      </c>
      <c r="B118" s="530" t="str">
        <f t="shared" si="86"/>
        <v/>
      </c>
      <c r="C118" s="530" t="str">
        <f t="shared" ref="C118:F118" si="87">IF(ISNUMBER(C38)=TRUE,C38,"")</f>
        <v/>
      </c>
      <c r="D118" s="530" t="str">
        <f t="shared" si="87"/>
        <v/>
      </c>
      <c r="E118" s="530" t="str">
        <f t="shared" si="87"/>
        <v/>
      </c>
      <c r="F118" s="530" t="str">
        <f t="shared" si="87"/>
        <v/>
      </c>
      <c r="G118" s="530" t="str">
        <f t="shared" si="73"/>
        <v>N/A</v>
      </c>
      <c r="H118" s="531">
        <f t="shared" si="63"/>
        <v>0</v>
      </c>
      <c r="I118" s="531">
        <f t="shared" si="64"/>
        <v>0</v>
      </c>
      <c r="J118" s="531">
        <f t="shared" si="65"/>
        <v>0</v>
      </c>
      <c r="K118" s="531">
        <f t="shared" si="66"/>
        <v>0</v>
      </c>
      <c r="L118" s="531">
        <f t="shared" si="67"/>
        <v>0</v>
      </c>
      <c r="M118" s="531">
        <f t="shared" si="68"/>
        <v>0</v>
      </c>
      <c r="N118" s="531">
        <f t="shared" si="69"/>
        <v>0</v>
      </c>
      <c r="O118" s="531">
        <f t="shared" si="70"/>
        <v>0</v>
      </c>
    </row>
    <row r="119" spans="1:15" hidden="1" x14ac:dyDescent="0.3">
      <c r="A119" s="530" t="str">
        <f t="shared" ref="A119:B119" si="88">IF(ISTEXT(A39)=TRUE,A39,"")</f>
        <v/>
      </c>
      <c r="B119" s="530" t="str">
        <f t="shared" si="88"/>
        <v/>
      </c>
      <c r="C119" s="530" t="str">
        <f t="shared" ref="C119:F119" si="89">IF(ISNUMBER(C39)=TRUE,C39,"")</f>
        <v/>
      </c>
      <c r="D119" s="530" t="str">
        <f t="shared" si="89"/>
        <v/>
      </c>
      <c r="E119" s="530" t="str">
        <f t="shared" si="89"/>
        <v/>
      </c>
      <c r="F119" s="530" t="str">
        <f t="shared" si="89"/>
        <v/>
      </c>
      <c r="G119" s="530" t="str">
        <f t="shared" si="73"/>
        <v>N/A</v>
      </c>
      <c r="H119" s="531">
        <f t="shared" si="63"/>
        <v>0</v>
      </c>
      <c r="I119" s="531">
        <f t="shared" si="64"/>
        <v>0</v>
      </c>
      <c r="J119" s="531">
        <f t="shared" si="65"/>
        <v>0</v>
      </c>
      <c r="K119" s="531">
        <f t="shared" si="66"/>
        <v>0</v>
      </c>
      <c r="L119" s="531">
        <f t="shared" si="67"/>
        <v>0</v>
      </c>
      <c r="M119" s="531">
        <f t="shared" si="68"/>
        <v>0</v>
      </c>
      <c r="N119" s="531">
        <f t="shared" si="69"/>
        <v>0</v>
      </c>
      <c r="O119" s="531">
        <f t="shared" si="70"/>
        <v>0</v>
      </c>
    </row>
    <row r="120" spans="1:15" hidden="1" x14ac:dyDescent="0.3">
      <c r="A120" s="530" t="str">
        <f t="shared" ref="A120:B120" si="90">IF(ISTEXT(A40)=TRUE,A40,"")</f>
        <v/>
      </c>
      <c r="B120" s="530" t="str">
        <f t="shared" si="90"/>
        <v/>
      </c>
      <c r="C120" s="530" t="str">
        <f t="shared" ref="C120:F120" si="91">IF(ISNUMBER(C40)=TRUE,C40,"")</f>
        <v/>
      </c>
      <c r="D120" s="530" t="str">
        <f t="shared" si="91"/>
        <v/>
      </c>
      <c r="E120" s="530" t="str">
        <f t="shared" si="91"/>
        <v/>
      </c>
      <c r="F120" s="530" t="str">
        <f t="shared" si="91"/>
        <v/>
      </c>
      <c r="G120" s="530" t="str">
        <f t="shared" si="73"/>
        <v>N/A</v>
      </c>
      <c r="H120" s="531">
        <f t="shared" si="63"/>
        <v>0</v>
      </c>
      <c r="I120" s="531">
        <f t="shared" si="64"/>
        <v>0</v>
      </c>
      <c r="J120" s="531">
        <f t="shared" si="65"/>
        <v>0</v>
      </c>
      <c r="K120" s="531">
        <f t="shared" si="66"/>
        <v>0</v>
      </c>
      <c r="L120" s="531">
        <f t="shared" si="67"/>
        <v>0</v>
      </c>
      <c r="M120" s="531">
        <f t="shared" si="68"/>
        <v>0</v>
      </c>
      <c r="N120" s="531">
        <f t="shared" si="69"/>
        <v>0</v>
      </c>
      <c r="O120" s="531">
        <f t="shared" si="70"/>
        <v>0</v>
      </c>
    </row>
    <row r="121" spans="1:15" hidden="1" x14ac:dyDescent="0.3">
      <c r="A121" s="530" t="str">
        <f t="shared" ref="A121:B121" si="92">IF(ISTEXT(A41)=TRUE,A41,"")</f>
        <v/>
      </c>
      <c r="B121" s="530" t="str">
        <f t="shared" si="92"/>
        <v/>
      </c>
      <c r="C121" s="530" t="str">
        <f t="shared" ref="C121:F121" si="93">IF(ISNUMBER(C41)=TRUE,C41,"")</f>
        <v/>
      </c>
      <c r="D121" s="530" t="str">
        <f t="shared" si="93"/>
        <v/>
      </c>
      <c r="E121" s="530" t="str">
        <f t="shared" si="93"/>
        <v/>
      </c>
      <c r="F121" s="530" t="str">
        <f t="shared" si="93"/>
        <v/>
      </c>
      <c r="G121" s="530" t="str">
        <f t="shared" si="73"/>
        <v>N/A</v>
      </c>
      <c r="H121" s="531">
        <f t="shared" si="63"/>
        <v>0</v>
      </c>
      <c r="I121" s="531">
        <f t="shared" si="64"/>
        <v>0</v>
      </c>
      <c r="J121" s="531">
        <f t="shared" si="65"/>
        <v>0</v>
      </c>
      <c r="K121" s="531">
        <f t="shared" si="66"/>
        <v>0</v>
      </c>
      <c r="L121" s="531">
        <f t="shared" si="67"/>
        <v>0</v>
      </c>
      <c r="M121" s="531">
        <f t="shared" si="68"/>
        <v>0</v>
      </c>
      <c r="N121" s="531">
        <f t="shared" si="69"/>
        <v>0</v>
      </c>
      <c r="O121" s="531">
        <f t="shared" si="70"/>
        <v>0</v>
      </c>
    </row>
    <row r="122" spans="1:15" hidden="1" x14ac:dyDescent="0.3">
      <c r="A122" s="530" t="str">
        <f t="shared" ref="A122:B122" si="94">IF(ISTEXT(A42)=TRUE,A42,"")</f>
        <v/>
      </c>
      <c r="B122" s="530" t="str">
        <f t="shared" si="94"/>
        <v/>
      </c>
      <c r="C122" s="530" t="str">
        <f t="shared" ref="C122:F122" si="95">IF(ISNUMBER(C42)=TRUE,C42,"")</f>
        <v/>
      </c>
      <c r="D122" s="530" t="str">
        <f t="shared" si="95"/>
        <v/>
      </c>
      <c r="E122" s="530" t="str">
        <f t="shared" si="95"/>
        <v/>
      </c>
      <c r="F122" s="530" t="str">
        <f t="shared" si="95"/>
        <v/>
      </c>
      <c r="G122" s="530" t="str">
        <f t="shared" si="73"/>
        <v>N/A</v>
      </c>
      <c r="H122" s="531">
        <f t="shared" si="63"/>
        <v>0</v>
      </c>
      <c r="I122" s="531">
        <f t="shared" si="64"/>
        <v>0</v>
      </c>
      <c r="J122" s="531">
        <f t="shared" si="65"/>
        <v>0</v>
      </c>
      <c r="K122" s="531">
        <f t="shared" si="66"/>
        <v>0</v>
      </c>
      <c r="L122" s="531">
        <f t="shared" si="67"/>
        <v>0</v>
      </c>
      <c r="M122" s="531">
        <f t="shared" si="68"/>
        <v>0</v>
      </c>
      <c r="N122" s="531">
        <f t="shared" si="69"/>
        <v>0</v>
      </c>
      <c r="O122" s="531">
        <f t="shared" si="70"/>
        <v>0</v>
      </c>
    </row>
    <row r="123" spans="1:15" hidden="1" x14ac:dyDescent="0.3">
      <c r="A123" s="530" t="str">
        <f t="shared" ref="A123:B123" si="96">IF(ISTEXT(A43)=TRUE,A43,"")</f>
        <v/>
      </c>
      <c r="B123" s="530" t="str">
        <f t="shared" si="96"/>
        <v/>
      </c>
      <c r="C123" s="530" t="str">
        <f t="shared" ref="C123:F123" si="97">IF(ISNUMBER(C43)=TRUE,C43,"")</f>
        <v/>
      </c>
      <c r="D123" s="530" t="str">
        <f t="shared" si="97"/>
        <v/>
      </c>
      <c r="E123" s="530" t="str">
        <f t="shared" si="97"/>
        <v/>
      </c>
      <c r="F123" s="530" t="str">
        <f t="shared" si="97"/>
        <v/>
      </c>
      <c r="G123" s="530" t="str">
        <f t="shared" si="73"/>
        <v>N/A</v>
      </c>
      <c r="H123" s="531">
        <f t="shared" si="63"/>
        <v>0</v>
      </c>
      <c r="I123" s="531">
        <f t="shared" si="64"/>
        <v>0</v>
      </c>
      <c r="J123" s="531">
        <f t="shared" si="65"/>
        <v>0</v>
      </c>
      <c r="K123" s="531">
        <f t="shared" si="66"/>
        <v>0</v>
      </c>
      <c r="L123" s="531">
        <f t="shared" si="67"/>
        <v>0</v>
      </c>
      <c r="M123" s="531">
        <f t="shared" si="68"/>
        <v>0</v>
      </c>
      <c r="N123" s="531">
        <f t="shared" si="69"/>
        <v>0</v>
      </c>
      <c r="O123" s="531">
        <f t="shared" si="70"/>
        <v>0</v>
      </c>
    </row>
    <row r="124" spans="1:15" hidden="1" x14ac:dyDescent="0.3">
      <c r="B124" s="523" t="s">
        <v>128</v>
      </c>
      <c r="C124" s="527"/>
      <c r="D124" s="527"/>
      <c r="E124" s="527"/>
      <c r="F124" s="525"/>
      <c r="G124" s="525"/>
      <c r="H124" s="525"/>
      <c r="I124" s="525"/>
      <c r="J124" s="525"/>
      <c r="K124" s="525"/>
      <c r="L124" s="525"/>
      <c r="M124" s="525"/>
      <c r="N124" s="525"/>
      <c r="O124" s="525"/>
    </row>
    <row r="125" spans="1:15" hidden="1" x14ac:dyDescent="0.3">
      <c r="A125" s="530" t="str">
        <f>IF(ISTEXT(A45)=TRUE,A45,"")</f>
        <v/>
      </c>
      <c r="B125" s="530" t="str">
        <f>IF(ISTEXT(B45)=TRUE,B45,"")</f>
        <v/>
      </c>
      <c r="C125" s="530" t="str">
        <f>IF(ISNUMBER(C45)=TRUE,C45,"")</f>
        <v/>
      </c>
      <c r="D125" s="530" t="str">
        <f t="shared" ref="D125:F125" si="98">IF(ISNUMBER(D45)=TRUE,D45,"")</f>
        <v/>
      </c>
      <c r="E125" s="530" t="str">
        <f t="shared" si="98"/>
        <v/>
      </c>
      <c r="F125" s="530" t="str">
        <f t="shared" si="98"/>
        <v/>
      </c>
      <c r="G125" s="530" t="str">
        <f>IF(ISTEXT(G45)=TRUE,G45,"")</f>
        <v>N/A</v>
      </c>
      <c r="H125" s="531">
        <f t="shared" ref="H125:H139" si="99">IFERROR(H45/$S$5,0)</f>
        <v>0</v>
      </c>
      <c r="I125" s="531">
        <f t="shared" ref="I125:I139" si="100">IFERROR(I45/$U$8,0)</f>
        <v>0</v>
      </c>
      <c r="J125" s="531">
        <f t="shared" ref="J125:J139" si="101">IFERROR(J45/$W$8,0)</f>
        <v>0</v>
      </c>
      <c r="K125" s="531">
        <f t="shared" ref="K125:K139" si="102">IFERROR(K45/$Y$8,0)</f>
        <v>0</v>
      </c>
      <c r="L125" s="531">
        <f t="shared" ref="L125:L139" si="103">IFERROR(L45/$AA$8,0)</f>
        <v>0</v>
      </c>
      <c r="M125" s="531">
        <f t="shared" ref="M125:M139" si="104">IFERROR(M45/$AC$8,0)</f>
        <v>0</v>
      </c>
      <c r="N125" s="531">
        <f t="shared" ref="N125:N139" si="105">IFERROR(N45/$AE$8,0)</f>
        <v>0</v>
      </c>
      <c r="O125" s="531">
        <f t="shared" ref="O125:O139" si="106">IFERROR(O45/$AG$8,0)</f>
        <v>0</v>
      </c>
    </row>
    <row r="126" spans="1:15" hidden="1" x14ac:dyDescent="0.3">
      <c r="A126" s="530" t="str">
        <f t="shared" ref="A126:B126" si="107">IF(ISTEXT(A46)=TRUE,A46,"")</f>
        <v/>
      </c>
      <c r="B126" s="530" t="str">
        <f t="shared" si="107"/>
        <v/>
      </c>
      <c r="C126" s="530" t="str">
        <f t="shared" ref="C126:F126" si="108">IF(ISNUMBER(C46)=TRUE,C46,"")</f>
        <v/>
      </c>
      <c r="D126" s="530" t="str">
        <f t="shared" si="108"/>
        <v/>
      </c>
      <c r="E126" s="530" t="str">
        <f t="shared" si="108"/>
        <v/>
      </c>
      <c r="F126" s="530" t="str">
        <f t="shared" si="108"/>
        <v/>
      </c>
      <c r="G126" s="530" t="str">
        <f t="shared" ref="G126:G139" si="109">IF(ISTEXT(G46)=TRUE,G46,"")</f>
        <v>N/A</v>
      </c>
      <c r="H126" s="531">
        <f t="shared" si="99"/>
        <v>0</v>
      </c>
      <c r="I126" s="531">
        <f t="shared" si="100"/>
        <v>0</v>
      </c>
      <c r="J126" s="531">
        <f t="shared" si="101"/>
        <v>0</v>
      </c>
      <c r="K126" s="531">
        <f t="shared" si="102"/>
        <v>0</v>
      </c>
      <c r="L126" s="531">
        <f t="shared" si="103"/>
        <v>0</v>
      </c>
      <c r="M126" s="531">
        <f t="shared" si="104"/>
        <v>0</v>
      </c>
      <c r="N126" s="531">
        <f t="shared" si="105"/>
        <v>0</v>
      </c>
      <c r="O126" s="531">
        <f t="shared" si="106"/>
        <v>0</v>
      </c>
    </row>
    <row r="127" spans="1:15" hidden="1" x14ac:dyDescent="0.3">
      <c r="A127" s="530" t="str">
        <f t="shared" ref="A127:B127" si="110">IF(ISTEXT(A47)=TRUE,A47,"")</f>
        <v/>
      </c>
      <c r="B127" s="530" t="str">
        <f t="shared" si="110"/>
        <v/>
      </c>
      <c r="C127" s="530" t="str">
        <f t="shared" ref="C127:F127" si="111">IF(ISNUMBER(C47)=TRUE,C47,"")</f>
        <v/>
      </c>
      <c r="D127" s="530" t="str">
        <f t="shared" si="111"/>
        <v/>
      </c>
      <c r="E127" s="530" t="str">
        <f t="shared" si="111"/>
        <v/>
      </c>
      <c r="F127" s="530" t="str">
        <f t="shared" si="111"/>
        <v/>
      </c>
      <c r="G127" s="530" t="str">
        <f t="shared" si="109"/>
        <v>N/A</v>
      </c>
      <c r="H127" s="531">
        <f t="shared" si="99"/>
        <v>0</v>
      </c>
      <c r="I127" s="531">
        <f t="shared" si="100"/>
        <v>0</v>
      </c>
      <c r="J127" s="531">
        <f t="shared" si="101"/>
        <v>0</v>
      </c>
      <c r="K127" s="531">
        <f t="shared" si="102"/>
        <v>0</v>
      </c>
      <c r="L127" s="531">
        <f t="shared" si="103"/>
        <v>0</v>
      </c>
      <c r="M127" s="531">
        <f t="shared" si="104"/>
        <v>0</v>
      </c>
      <c r="N127" s="531">
        <f t="shared" si="105"/>
        <v>0</v>
      </c>
      <c r="O127" s="531">
        <f t="shared" si="106"/>
        <v>0</v>
      </c>
    </row>
    <row r="128" spans="1:15" hidden="1" x14ac:dyDescent="0.3">
      <c r="A128" s="530" t="str">
        <f t="shared" ref="A128:B128" si="112">IF(ISTEXT(A48)=TRUE,A48,"")</f>
        <v/>
      </c>
      <c r="B128" s="530" t="str">
        <f t="shared" si="112"/>
        <v/>
      </c>
      <c r="C128" s="530" t="str">
        <f t="shared" ref="C128:F128" si="113">IF(ISNUMBER(C48)=TRUE,C48,"")</f>
        <v/>
      </c>
      <c r="D128" s="530" t="str">
        <f t="shared" si="113"/>
        <v/>
      </c>
      <c r="E128" s="530" t="str">
        <f t="shared" si="113"/>
        <v/>
      </c>
      <c r="F128" s="530" t="str">
        <f t="shared" si="113"/>
        <v/>
      </c>
      <c r="G128" s="530" t="str">
        <f t="shared" si="109"/>
        <v>N/A</v>
      </c>
      <c r="H128" s="531">
        <f t="shared" si="99"/>
        <v>0</v>
      </c>
      <c r="I128" s="531">
        <f t="shared" si="100"/>
        <v>0</v>
      </c>
      <c r="J128" s="531">
        <f t="shared" si="101"/>
        <v>0</v>
      </c>
      <c r="K128" s="531">
        <f t="shared" si="102"/>
        <v>0</v>
      </c>
      <c r="L128" s="531">
        <f t="shared" si="103"/>
        <v>0</v>
      </c>
      <c r="M128" s="531">
        <f t="shared" si="104"/>
        <v>0</v>
      </c>
      <c r="N128" s="531">
        <f t="shared" si="105"/>
        <v>0</v>
      </c>
      <c r="O128" s="531">
        <f t="shared" si="106"/>
        <v>0</v>
      </c>
    </row>
    <row r="129" spans="1:15" hidden="1" x14ac:dyDescent="0.3">
      <c r="A129" s="530" t="str">
        <f t="shared" ref="A129:B129" si="114">IF(ISTEXT(A49)=TRUE,A49,"")</f>
        <v/>
      </c>
      <c r="B129" s="530" t="str">
        <f t="shared" si="114"/>
        <v/>
      </c>
      <c r="C129" s="530" t="str">
        <f t="shared" ref="C129:F129" si="115">IF(ISNUMBER(C49)=TRUE,C49,"")</f>
        <v/>
      </c>
      <c r="D129" s="530" t="str">
        <f t="shared" si="115"/>
        <v/>
      </c>
      <c r="E129" s="530" t="str">
        <f t="shared" si="115"/>
        <v/>
      </c>
      <c r="F129" s="530" t="str">
        <f t="shared" si="115"/>
        <v/>
      </c>
      <c r="G129" s="530" t="str">
        <f t="shared" si="109"/>
        <v>N/A</v>
      </c>
      <c r="H129" s="531">
        <f t="shared" si="99"/>
        <v>0</v>
      </c>
      <c r="I129" s="531">
        <f t="shared" si="100"/>
        <v>0</v>
      </c>
      <c r="J129" s="531">
        <f t="shared" si="101"/>
        <v>0</v>
      </c>
      <c r="K129" s="531">
        <f t="shared" si="102"/>
        <v>0</v>
      </c>
      <c r="L129" s="531">
        <f t="shared" si="103"/>
        <v>0</v>
      </c>
      <c r="M129" s="531">
        <f t="shared" si="104"/>
        <v>0</v>
      </c>
      <c r="N129" s="531">
        <f t="shared" si="105"/>
        <v>0</v>
      </c>
      <c r="O129" s="531">
        <f t="shared" si="106"/>
        <v>0</v>
      </c>
    </row>
    <row r="130" spans="1:15" hidden="1" x14ac:dyDescent="0.3">
      <c r="A130" s="530" t="str">
        <f t="shared" ref="A130:B130" si="116">IF(ISTEXT(A50)=TRUE,A50,"")</f>
        <v/>
      </c>
      <c r="B130" s="530" t="str">
        <f t="shared" si="116"/>
        <v/>
      </c>
      <c r="C130" s="530" t="str">
        <f t="shared" ref="C130:F130" si="117">IF(ISNUMBER(C50)=TRUE,C50,"")</f>
        <v/>
      </c>
      <c r="D130" s="530" t="str">
        <f t="shared" si="117"/>
        <v/>
      </c>
      <c r="E130" s="530" t="str">
        <f t="shared" si="117"/>
        <v/>
      </c>
      <c r="F130" s="530" t="str">
        <f t="shared" si="117"/>
        <v/>
      </c>
      <c r="G130" s="530" t="str">
        <f t="shared" si="109"/>
        <v>N/A</v>
      </c>
      <c r="H130" s="531">
        <f t="shared" si="99"/>
        <v>0</v>
      </c>
      <c r="I130" s="531">
        <f t="shared" si="100"/>
        <v>0</v>
      </c>
      <c r="J130" s="531">
        <f t="shared" si="101"/>
        <v>0</v>
      </c>
      <c r="K130" s="531">
        <f t="shared" si="102"/>
        <v>0</v>
      </c>
      <c r="L130" s="531">
        <f t="shared" si="103"/>
        <v>0</v>
      </c>
      <c r="M130" s="531">
        <f t="shared" si="104"/>
        <v>0</v>
      </c>
      <c r="N130" s="531">
        <f t="shared" si="105"/>
        <v>0</v>
      </c>
      <c r="O130" s="531">
        <f t="shared" si="106"/>
        <v>0</v>
      </c>
    </row>
    <row r="131" spans="1:15" hidden="1" x14ac:dyDescent="0.3">
      <c r="A131" s="530" t="str">
        <f t="shared" ref="A131:B131" si="118">IF(ISTEXT(A51)=TRUE,A51,"")</f>
        <v/>
      </c>
      <c r="B131" s="530" t="str">
        <f t="shared" si="118"/>
        <v/>
      </c>
      <c r="C131" s="530" t="str">
        <f t="shared" ref="C131:F131" si="119">IF(ISNUMBER(C51)=TRUE,C51,"")</f>
        <v/>
      </c>
      <c r="D131" s="530" t="str">
        <f t="shared" si="119"/>
        <v/>
      </c>
      <c r="E131" s="530" t="str">
        <f t="shared" si="119"/>
        <v/>
      </c>
      <c r="F131" s="530" t="str">
        <f t="shared" si="119"/>
        <v/>
      </c>
      <c r="G131" s="530" t="str">
        <f t="shared" si="109"/>
        <v>N/A</v>
      </c>
      <c r="H131" s="531">
        <f t="shared" si="99"/>
        <v>0</v>
      </c>
      <c r="I131" s="531">
        <f t="shared" si="100"/>
        <v>0</v>
      </c>
      <c r="J131" s="531">
        <f t="shared" si="101"/>
        <v>0</v>
      </c>
      <c r="K131" s="531">
        <f t="shared" si="102"/>
        <v>0</v>
      </c>
      <c r="L131" s="531">
        <f t="shared" si="103"/>
        <v>0</v>
      </c>
      <c r="M131" s="531">
        <f t="shared" si="104"/>
        <v>0</v>
      </c>
      <c r="N131" s="531">
        <f t="shared" si="105"/>
        <v>0</v>
      </c>
      <c r="O131" s="531">
        <f t="shared" si="106"/>
        <v>0</v>
      </c>
    </row>
    <row r="132" spans="1:15" hidden="1" x14ac:dyDescent="0.3">
      <c r="A132" s="530" t="str">
        <f t="shared" ref="A132:B132" si="120">IF(ISTEXT(A52)=TRUE,A52,"")</f>
        <v/>
      </c>
      <c r="B132" s="530" t="str">
        <f t="shared" si="120"/>
        <v/>
      </c>
      <c r="C132" s="530" t="str">
        <f t="shared" ref="C132:F132" si="121">IF(ISNUMBER(C52)=TRUE,C52,"")</f>
        <v/>
      </c>
      <c r="D132" s="530" t="str">
        <f t="shared" si="121"/>
        <v/>
      </c>
      <c r="E132" s="530" t="str">
        <f t="shared" si="121"/>
        <v/>
      </c>
      <c r="F132" s="530" t="str">
        <f t="shared" si="121"/>
        <v/>
      </c>
      <c r="G132" s="530" t="str">
        <f t="shared" si="109"/>
        <v>N/A</v>
      </c>
      <c r="H132" s="531">
        <f t="shared" si="99"/>
        <v>0</v>
      </c>
      <c r="I132" s="531">
        <f t="shared" si="100"/>
        <v>0</v>
      </c>
      <c r="J132" s="531">
        <f t="shared" si="101"/>
        <v>0</v>
      </c>
      <c r="K132" s="531">
        <f t="shared" si="102"/>
        <v>0</v>
      </c>
      <c r="L132" s="531">
        <f t="shared" si="103"/>
        <v>0</v>
      </c>
      <c r="M132" s="531">
        <f t="shared" si="104"/>
        <v>0</v>
      </c>
      <c r="N132" s="531">
        <f t="shared" si="105"/>
        <v>0</v>
      </c>
      <c r="O132" s="531">
        <f t="shared" si="106"/>
        <v>0</v>
      </c>
    </row>
    <row r="133" spans="1:15" hidden="1" x14ac:dyDescent="0.3">
      <c r="A133" s="530" t="str">
        <f t="shared" ref="A133:B133" si="122">IF(ISTEXT(A53)=TRUE,A53,"")</f>
        <v/>
      </c>
      <c r="B133" s="530" t="str">
        <f t="shared" si="122"/>
        <v/>
      </c>
      <c r="C133" s="530" t="str">
        <f t="shared" ref="C133:F133" si="123">IF(ISNUMBER(C53)=TRUE,C53,"")</f>
        <v/>
      </c>
      <c r="D133" s="530" t="str">
        <f t="shared" si="123"/>
        <v/>
      </c>
      <c r="E133" s="530" t="str">
        <f t="shared" si="123"/>
        <v/>
      </c>
      <c r="F133" s="530" t="str">
        <f t="shared" si="123"/>
        <v/>
      </c>
      <c r="G133" s="530" t="str">
        <f t="shared" si="109"/>
        <v>N/A</v>
      </c>
      <c r="H133" s="531">
        <f t="shared" si="99"/>
        <v>0</v>
      </c>
      <c r="I133" s="531">
        <f t="shared" si="100"/>
        <v>0</v>
      </c>
      <c r="J133" s="531">
        <f t="shared" si="101"/>
        <v>0</v>
      </c>
      <c r="K133" s="531">
        <f t="shared" si="102"/>
        <v>0</v>
      </c>
      <c r="L133" s="531">
        <f t="shared" si="103"/>
        <v>0</v>
      </c>
      <c r="M133" s="531">
        <f t="shared" si="104"/>
        <v>0</v>
      </c>
      <c r="N133" s="531">
        <f t="shared" si="105"/>
        <v>0</v>
      </c>
      <c r="O133" s="531">
        <f t="shared" si="106"/>
        <v>0</v>
      </c>
    </row>
    <row r="134" spans="1:15" hidden="1" x14ac:dyDescent="0.3">
      <c r="A134" s="530" t="str">
        <f t="shared" ref="A134:B134" si="124">IF(ISTEXT(A54)=TRUE,A54,"")</f>
        <v/>
      </c>
      <c r="B134" s="530" t="str">
        <f t="shared" si="124"/>
        <v/>
      </c>
      <c r="C134" s="530" t="str">
        <f t="shared" ref="C134:F134" si="125">IF(ISNUMBER(C54)=TRUE,C54,"")</f>
        <v/>
      </c>
      <c r="D134" s="530" t="str">
        <f t="shared" si="125"/>
        <v/>
      </c>
      <c r="E134" s="530" t="str">
        <f t="shared" si="125"/>
        <v/>
      </c>
      <c r="F134" s="530" t="str">
        <f t="shared" si="125"/>
        <v/>
      </c>
      <c r="G134" s="530" t="str">
        <f t="shared" si="109"/>
        <v>N/A</v>
      </c>
      <c r="H134" s="531">
        <f t="shared" si="99"/>
        <v>0</v>
      </c>
      <c r="I134" s="531">
        <f t="shared" si="100"/>
        <v>0</v>
      </c>
      <c r="J134" s="531">
        <f t="shared" si="101"/>
        <v>0</v>
      </c>
      <c r="K134" s="531">
        <f t="shared" si="102"/>
        <v>0</v>
      </c>
      <c r="L134" s="531">
        <f t="shared" si="103"/>
        <v>0</v>
      </c>
      <c r="M134" s="531">
        <f t="shared" si="104"/>
        <v>0</v>
      </c>
      <c r="N134" s="531">
        <f t="shared" si="105"/>
        <v>0</v>
      </c>
      <c r="O134" s="531">
        <f t="shared" si="106"/>
        <v>0</v>
      </c>
    </row>
    <row r="135" spans="1:15" hidden="1" x14ac:dyDescent="0.3">
      <c r="A135" s="530" t="str">
        <f t="shared" ref="A135:B135" si="126">IF(ISTEXT(A55)=TRUE,A55,"")</f>
        <v/>
      </c>
      <c r="B135" s="530" t="str">
        <f t="shared" si="126"/>
        <v/>
      </c>
      <c r="C135" s="530" t="str">
        <f t="shared" ref="C135:F135" si="127">IF(ISNUMBER(C55)=TRUE,C55,"")</f>
        <v/>
      </c>
      <c r="D135" s="530" t="str">
        <f t="shared" si="127"/>
        <v/>
      </c>
      <c r="E135" s="530" t="str">
        <f t="shared" si="127"/>
        <v/>
      </c>
      <c r="F135" s="530" t="str">
        <f t="shared" si="127"/>
        <v/>
      </c>
      <c r="G135" s="530" t="str">
        <f t="shared" si="109"/>
        <v>N/A</v>
      </c>
      <c r="H135" s="531">
        <f t="shared" si="99"/>
        <v>0</v>
      </c>
      <c r="I135" s="531">
        <f t="shared" si="100"/>
        <v>0</v>
      </c>
      <c r="J135" s="531">
        <f t="shared" si="101"/>
        <v>0</v>
      </c>
      <c r="K135" s="531">
        <f t="shared" si="102"/>
        <v>0</v>
      </c>
      <c r="L135" s="531">
        <f t="shared" si="103"/>
        <v>0</v>
      </c>
      <c r="M135" s="531">
        <f t="shared" si="104"/>
        <v>0</v>
      </c>
      <c r="N135" s="531">
        <f t="shared" si="105"/>
        <v>0</v>
      </c>
      <c r="O135" s="531">
        <f t="shared" si="106"/>
        <v>0</v>
      </c>
    </row>
    <row r="136" spans="1:15" hidden="1" x14ac:dyDescent="0.3">
      <c r="A136" s="530" t="str">
        <f t="shared" ref="A136:B136" si="128">IF(ISTEXT(A56)=TRUE,A56,"")</f>
        <v/>
      </c>
      <c r="B136" s="530" t="str">
        <f t="shared" si="128"/>
        <v/>
      </c>
      <c r="C136" s="530" t="str">
        <f t="shared" ref="C136:F136" si="129">IF(ISNUMBER(C56)=TRUE,C56,"")</f>
        <v/>
      </c>
      <c r="D136" s="530" t="str">
        <f t="shared" si="129"/>
        <v/>
      </c>
      <c r="E136" s="530" t="str">
        <f t="shared" si="129"/>
        <v/>
      </c>
      <c r="F136" s="530" t="str">
        <f t="shared" si="129"/>
        <v/>
      </c>
      <c r="G136" s="530" t="str">
        <f t="shared" si="109"/>
        <v>N/A</v>
      </c>
      <c r="H136" s="531">
        <f t="shared" si="99"/>
        <v>0</v>
      </c>
      <c r="I136" s="531">
        <f t="shared" si="100"/>
        <v>0</v>
      </c>
      <c r="J136" s="531">
        <f t="shared" si="101"/>
        <v>0</v>
      </c>
      <c r="K136" s="531">
        <f t="shared" si="102"/>
        <v>0</v>
      </c>
      <c r="L136" s="531">
        <f t="shared" si="103"/>
        <v>0</v>
      </c>
      <c r="M136" s="531">
        <f t="shared" si="104"/>
        <v>0</v>
      </c>
      <c r="N136" s="531">
        <f t="shared" si="105"/>
        <v>0</v>
      </c>
      <c r="O136" s="531">
        <f t="shared" si="106"/>
        <v>0</v>
      </c>
    </row>
    <row r="137" spans="1:15" hidden="1" x14ac:dyDescent="0.3">
      <c r="A137" s="530" t="str">
        <f t="shared" ref="A137:B139" si="130">IF(ISTEXT(A57)=TRUE,A57,"")</f>
        <v/>
      </c>
      <c r="B137" s="530" t="str">
        <f t="shared" si="130"/>
        <v/>
      </c>
      <c r="C137" s="530" t="str">
        <f t="shared" ref="C137:F139" si="131">IF(ISNUMBER(C57)=TRUE,C57,"")</f>
        <v/>
      </c>
      <c r="D137" s="530" t="str">
        <f t="shared" si="131"/>
        <v/>
      </c>
      <c r="E137" s="530" t="str">
        <f t="shared" si="131"/>
        <v/>
      </c>
      <c r="F137" s="530" t="str">
        <f t="shared" si="131"/>
        <v/>
      </c>
      <c r="G137" s="530" t="str">
        <f t="shared" si="109"/>
        <v>N/A</v>
      </c>
      <c r="H137" s="531">
        <f t="shared" si="99"/>
        <v>0</v>
      </c>
      <c r="I137" s="531">
        <f t="shared" si="100"/>
        <v>0</v>
      </c>
      <c r="J137" s="531">
        <f t="shared" si="101"/>
        <v>0</v>
      </c>
      <c r="K137" s="531">
        <f t="shared" si="102"/>
        <v>0</v>
      </c>
      <c r="L137" s="531">
        <f t="shared" si="103"/>
        <v>0</v>
      </c>
      <c r="M137" s="531">
        <f t="shared" si="104"/>
        <v>0</v>
      </c>
      <c r="N137" s="531">
        <f t="shared" si="105"/>
        <v>0</v>
      </c>
      <c r="O137" s="531">
        <f t="shared" si="106"/>
        <v>0</v>
      </c>
    </row>
    <row r="138" spans="1:15" hidden="1" x14ac:dyDescent="0.3">
      <c r="A138" s="530" t="str">
        <f t="shared" ref="A138:B138" si="132">IF(ISTEXT(A58)=TRUE,A58,"")</f>
        <v/>
      </c>
      <c r="B138" s="530" t="str">
        <f t="shared" si="132"/>
        <v/>
      </c>
      <c r="C138" s="530" t="str">
        <f t="shared" ref="C138:F138" si="133">IF(ISNUMBER(C58)=TRUE,C58,"")</f>
        <v/>
      </c>
      <c r="D138" s="530" t="str">
        <f t="shared" si="133"/>
        <v/>
      </c>
      <c r="E138" s="530" t="str">
        <f t="shared" si="133"/>
        <v/>
      </c>
      <c r="F138" s="530" t="str">
        <f t="shared" si="133"/>
        <v/>
      </c>
      <c r="G138" s="530" t="str">
        <f t="shared" si="109"/>
        <v>N/A</v>
      </c>
      <c r="H138" s="531">
        <f t="shared" si="99"/>
        <v>0</v>
      </c>
      <c r="I138" s="531">
        <f t="shared" si="100"/>
        <v>0</v>
      </c>
      <c r="J138" s="531">
        <f t="shared" si="101"/>
        <v>0</v>
      </c>
      <c r="K138" s="531">
        <f t="shared" si="102"/>
        <v>0</v>
      </c>
      <c r="L138" s="531">
        <f t="shared" si="103"/>
        <v>0</v>
      </c>
      <c r="M138" s="531">
        <f t="shared" si="104"/>
        <v>0</v>
      </c>
      <c r="N138" s="531">
        <f t="shared" si="105"/>
        <v>0</v>
      </c>
      <c r="O138" s="531">
        <f t="shared" si="106"/>
        <v>0</v>
      </c>
    </row>
    <row r="139" spans="1:15" hidden="1" x14ac:dyDescent="0.3">
      <c r="A139" s="530" t="str">
        <f t="shared" si="130"/>
        <v/>
      </c>
      <c r="B139" s="530" t="str">
        <f t="shared" si="130"/>
        <v/>
      </c>
      <c r="C139" s="530" t="str">
        <f t="shared" si="131"/>
        <v/>
      </c>
      <c r="D139" s="530" t="str">
        <f t="shared" si="131"/>
        <v/>
      </c>
      <c r="E139" s="530" t="str">
        <f t="shared" si="131"/>
        <v/>
      </c>
      <c r="F139" s="530" t="str">
        <f t="shared" si="131"/>
        <v/>
      </c>
      <c r="G139" s="530" t="str">
        <f t="shared" si="109"/>
        <v>N/A</v>
      </c>
      <c r="H139" s="531">
        <f t="shared" si="99"/>
        <v>0</v>
      </c>
      <c r="I139" s="531">
        <f t="shared" si="100"/>
        <v>0</v>
      </c>
      <c r="J139" s="531">
        <f t="shared" si="101"/>
        <v>0</v>
      </c>
      <c r="K139" s="531">
        <f t="shared" si="102"/>
        <v>0</v>
      </c>
      <c r="L139" s="531">
        <f t="shared" si="103"/>
        <v>0</v>
      </c>
      <c r="M139" s="531">
        <f t="shared" si="104"/>
        <v>0</v>
      </c>
      <c r="N139" s="531">
        <f t="shared" si="105"/>
        <v>0</v>
      </c>
      <c r="O139" s="531">
        <f t="shared" si="106"/>
        <v>0</v>
      </c>
    </row>
    <row r="140" spans="1:15" hidden="1" x14ac:dyDescent="0.3">
      <c r="B140" s="523" t="s">
        <v>136</v>
      </c>
      <c r="C140" s="527"/>
      <c r="D140" s="527"/>
      <c r="E140" s="527"/>
      <c r="F140" s="525"/>
      <c r="G140" s="525"/>
      <c r="H140" s="525"/>
      <c r="I140" s="525"/>
      <c r="J140" s="525"/>
      <c r="K140" s="525"/>
      <c r="L140" s="525"/>
      <c r="M140" s="525"/>
      <c r="N140" s="525"/>
      <c r="O140" s="525"/>
    </row>
    <row r="141" spans="1:15" hidden="1" x14ac:dyDescent="0.3">
      <c r="A141" s="530" t="str">
        <f>IF(ISTEXT(A61)=TRUE,A61,"")</f>
        <v/>
      </c>
      <c r="B141" s="530" t="str">
        <f>IF(ISTEXT(B61)=TRUE,B61,"")</f>
        <v/>
      </c>
      <c r="C141" s="530" t="str">
        <f>IF(ISNUMBER(C61)=TRUE,C61,"")</f>
        <v/>
      </c>
      <c r="D141" s="530" t="str">
        <f t="shared" ref="D141:F141" si="134">IF(ISNUMBER(D61)=TRUE,D61,"")</f>
        <v/>
      </c>
      <c r="E141" s="530" t="str">
        <f t="shared" si="134"/>
        <v/>
      </c>
      <c r="F141" s="530" t="str">
        <f t="shared" si="134"/>
        <v/>
      </c>
      <c r="G141" s="530" t="str">
        <f>IF(ISTEXT(G61)=TRUE,G61,"")</f>
        <v>N/A</v>
      </c>
      <c r="H141" s="531">
        <f t="shared" ref="H141:H149" si="135">IFERROR(H61/$S$5,0)</f>
        <v>0</v>
      </c>
      <c r="I141" s="531">
        <f t="shared" ref="I141:I149" si="136">IFERROR(I61/$U$8,0)</f>
        <v>0</v>
      </c>
      <c r="J141" s="531">
        <f t="shared" ref="J141:J149" si="137">IFERROR(J61/$W$8,0)</f>
        <v>0</v>
      </c>
      <c r="K141" s="531">
        <f t="shared" ref="K141:K149" si="138">IFERROR(K61/$Y$8,0)</f>
        <v>0</v>
      </c>
      <c r="L141" s="531">
        <f t="shared" ref="L141:L149" si="139">IFERROR(L61/$AA$8,0)</f>
        <v>0</v>
      </c>
      <c r="M141" s="531">
        <f t="shared" ref="M141:M149" si="140">IFERROR(M61/$AC$8,0)</f>
        <v>0</v>
      </c>
      <c r="N141" s="531">
        <f t="shared" ref="N141:N149" si="141">IFERROR(N61/$AE$8,0)</f>
        <v>0</v>
      </c>
      <c r="O141" s="531">
        <f t="shared" ref="O141:O149" si="142">IFERROR(O61/$AG$8,0)</f>
        <v>0</v>
      </c>
    </row>
    <row r="142" spans="1:15" hidden="1" x14ac:dyDescent="0.3">
      <c r="A142" s="530" t="str">
        <f t="shared" ref="A142:B142" si="143">IF(ISTEXT(A62)=TRUE,A62,"")</f>
        <v/>
      </c>
      <c r="B142" s="530" t="str">
        <f t="shared" si="143"/>
        <v/>
      </c>
      <c r="C142" s="530" t="str">
        <f t="shared" ref="C142:F142" si="144">IF(ISNUMBER(C62)=TRUE,C62,"")</f>
        <v/>
      </c>
      <c r="D142" s="530" t="str">
        <f t="shared" si="144"/>
        <v/>
      </c>
      <c r="E142" s="530" t="str">
        <f t="shared" si="144"/>
        <v/>
      </c>
      <c r="F142" s="530" t="str">
        <f t="shared" si="144"/>
        <v/>
      </c>
      <c r="G142" s="530" t="str">
        <f t="shared" ref="G142:G154" si="145">IF(ISTEXT(G62)=TRUE,G62,"")</f>
        <v>N/A</v>
      </c>
      <c r="H142" s="531">
        <f t="shared" si="135"/>
        <v>0</v>
      </c>
      <c r="I142" s="531">
        <f t="shared" si="136"/>
        <v>0</v>
      </c>
      <c r="J142" s="531">
        <f t="shared" si="137"/>
        <v>0</v>
      </c>
      <c r="K142" s="531">
        <f t="shared" si="138"/>
        <v>0</v>
      </c>
      <c r="L142" s="531">
        <f t="shared" si="139"/>
        <v>0</v>
      </c>
      <c r="M142" s="531">
        <f t="shared" si="140"/>
        <v>0</v>
      </c>
      <c r="N142" s="531">
        <f t="shared" si="141"/>
        <v>0</v>
      </c>
      <c r="O142" s="531">
        <f t="shared" si="142"/>
        <v>0</v>
      </c>
    </row>
    <row r="143" spans="1:15" hidden="1" x14ac:dyDescent="0.3">
      <c r="A143" s="530" t="str">
        <f t="shared" ref="A143:B143" si="146">IF(ISTEXT(A63)=TRUE,A63,"")</f>
        <v/>
      </c>
      <c r="B143" s="530" t="str">
        <f t="shared" si="146"/>
        <v/>
      </c>
      <c r="C143" s="530" t="str">
        <f t="shared" ref="C143:F143" si="147">IF(ISNUMBER(C63)=TRUE,C63,"")</f>
        <v/>
      </c>
      <c r="D143" s="530" t="str">
        <f t="shared" si="147"/>
        <v/>
      </c>
      <c r="E143" s="530" t="str">
        <f t="shared" si="147"/>
        <v/>
      </c>
      <c r="F143" s="530" t="str">
        <f t="shared" si="147"/>
        <v/>
      </c>
      <c r="G143" s="530" t="str">
        <f t="shared" si="145"/>
        <v>N/A</v>
      </c>
      <c r="H143" s="531">
        <f t="shared" si="135"/>
        <v>0</v>
      </c>
      <c r="I143" s="531">
        <f t="shared" si="136"/>
        <v>0</v>
      </c>
      <c r="J143" s="531">
        <f t="shared" si="137"/>
        <v>0</v>
      </c>
      <c r="K143" s="531">
        <f t="shared" si="138"/>
        <v>0</v>
      </c>
      <c r="L143" s="531">
        <f t="shared" si="139"/>
        <v>0</v>
      </c>
      <c r="M143" s="531">
        <f t="shared" si="140"/>
        <v>0</v>
      </c>
      <c r="N143" s="531">
        <f t="shared" si="141"/>
        <v>0</v>
      </c>
      <c r="O143" s="531">
        <f t="shared" si="142"/>
        <v>0</v>
      </c>
    </row>
    <row r="144" spans="1:15" hidden="1" x14ac:dyDescent="0.3">
      <c r="A144" s="530" t="str">
        <f t="shared" ref="A144:B144" si="148">IF(ISTEXT(A64)=TRUE,A64,"")</f>
        <v/>
      </c>
      <c r="B144" s="530" t="str">
        <f t="shared" si="148"/>
        <v/>
      </c>
      <c r="C144" s="530" t="str">
        <f t="shared" ref="C144:F144" si="149">IF(ISNUMBER(C64)=TRUE,C64,"")</f>
        <v/>
      </c>
      <c r="D144" s="530" t="str">
        <f t="shared" si="149"/>
        <v/>
      </c>
      <c r="E144" s="530" t="str">
        <f t="shared" si="149"/>
        <v/>
      </c>
      <c r="F144" s="530" t="str">
        <f t="shared" si="149"/>
        <v/>
      </c>
      <c r="G144" s="530" t="str">
        <f t="shared" si="145"/>
        <v>N/A</v>
      </c>
      <c r="H144" s="531">
        <f t="shared" si="135"/>
        <v>0</v>
      </c>
      <c r="I144" s="531">
        <f t="shared" si="136"/>
        <v>0</v>
      </c>
      <c r="J144" s="531">
        <f t="shared" si="137"/>
        <v>0</v>
      </c>
      <c r="K144" s="531">
        <f t="shared" si="138"/>
        <v>0</v>
      </c>
      <c r="L144" s="531">
        <f t="shared" si="139"/>
        <v>0</v>
      </c>
      <c r="M144" s="531">
        <f t="shared" si="140"/>
        <v>0</v>
      </c>
      <c r="N144" s="531">
        <f t="shared" si="141"/>
        <v>0</v>
      </c>
      <c r="O144" s="531">
        <f t="shared" si="142"/>
        <v>0</v>
      </c>
    </row>
    <row r="145" spans="1:15" hidden="1" x14ac:dyDescent="0.3">
      <c r="A145" s="530" t="str">
        <f t="shared" ref="A145:B145" si="150">IF(ISTEXT(A65)=TRUE,A65,"")</f>
        <v/>
      </c>
      <c r="B145" s="530" t="str">
        <f t="shared" si="150"/>
        <v/>
      </c>
      <c r="C145" s="530" t="str">
        <f t="shared" ref="C145:F145" si="151">IF(ISNUMBER(C65)=TRUE,C65,"")</f>
        <v/>
      </c>
      <c r="D145" s="530" t="str">
        <f t="shared" si="151"/>
        <v/>
      </c>
      <c r="E145" s="530" t="str">
        <f t="shared" si="151"/>
        <v/>
      </c>
      <c r="F145" s="530" t="str">
        <f t="shared" si="151"/>
        <v/>
      </c>
      <c r="G145" s="530" t="str">
        <f t="shared" si="145"/>
        <v>N/A</v>
      </c>
      <c r="H145" s="531">
        <f t="shared" si="135"/>
        <v>0</v>
      </c>
      <c r="I145" s="531">
        <f t="shared" si="136"/>
        <v>0</v>
      </c>
      <c r="J145" s="531">
        <f t="shared" si="137"/>
        <v>0</v>
      </c>
      <c r="K145" s="531">
        <f t="shared" si="138"/>
        <v>0</v>
      </c>
      <c r="L145" s="531">
        <f t="shared" si="139"/>
        <v>0</v>
      </c>
      <c r="M145" s="531">
        <f t="shared" si="140"/>
        <v>0</v>
      </c>
      <c r="N145" s="531">
        <f t="shared" si="141"/>
        <v>0</v>
      </c>
      <c r="O145" s="531">
        <f t="shared" si="142"/>
        <v>0</v>
      </c>
    </row>
    <row r="146" spans="1:15" hidden="1" x14ac:dyDescent="0.3">
      <c r="A146" s="530" t="str">
        <f t="shared" ref="A146:B146" si="152">IF(ISTEXT(A66)=TRUE,A66,"")</f>
        <v/>
      </c>
      <c r="B146" s="530" t="str">
        <f t="shared" si="152"/>
        <v/>
      </c>
      <c r="C146" s="530" t="str">
        <f t="shared" ref="C146:F146" si="153">IF(ISNUMBER(C66)=TRUE,C66,"")</f>
        <v/>
      </c>
      <c r="D146" s="530" t="str">
        <f t="shared" si="153"/>
        <v/>
      </c>
      <c r="E146" s="530" t="str">
        <f t="shared" si="153"/>
        <v/>
      </c>
      <c r="F146" s="530" t="str">
        <f t="shared" si="153"/>
        <v/>
      </c>
      <c r="G146" s="530" t="str">
        <f t="shared" si="145"/>
        <v>N/A</v>
      </c>
      <c r="H146" s="531">
        <f t="shared" si="135"/>
        <v>0</v>
      </c>
      <c r="I146" s="531">
        <f t="shared" si="136"/>
        <v>0</v>
      </c>
      <c r="J146" s="531">
        <f t="shared" si="137"/>
        <v>0</v>
      </c>
      <c r="K146" s="531">
        <f t="shared" si="138"/>
        <v>0</v>
      </c>
      <c r="L146" s="531">
        <f t="shared" si="139"/>
        <v>0</v>
      </c>
      <c r="M146" s="531">
        <f t="shared" si="140"/>
        <v>0</v>
      </c>
      <c r="N146" s="531">
        <f t="shared" si="141"/>
        <v>0</v>
      </c>
      <c r="O146" s="531">
        <f t="shared" si="142"/>
        <v>0</v>
      </c>
    </row>
    <row r="147" spans="1:15" hidden="1" x14ac:dyDescent="0.3">
      <c r="A147" s="530" t="str">
        <f t="shared" ref="A147:B147" si="154">IF(ISTEXT(A67)=TRUE,A67,"")</f>
        <v/>
      </c>
      <c r="B147" s="530" t="str">
        <f t="shared" si="154"/>
        <v/>
      </c>
      <c r="C147" s="530" t="str">
        <f t="shared" ref="C147:F147" si="155">IF(ISNUMBER(C67)=TRUE,C67,"")</f>
        <v/>
      </c>
      <c r="D147" s="530" t="str">
        <f t="shared" si="155"/>
        <v/>
      </c>
      <c r="E147" s="530" t="str">
        <f t="shared" si="155"/>
        <v/>
      </c>
      <c r="F147" s="530" t="str">
        <f t="shared" si="155"/>
        <v/>
      </c>
      <c r="G147" s="530" t="str">
        <f t="shared" si="145"/>
        <v>N/A</v>
      </c>
      <c r="H147" s="531">
        <f t="shared" si="135"/>
        <v>0</v>
      </c>
      <c r="I147" s="531">
        <f t="shared" si="136"/>
        <v>0</v>
      </c>
      <c r="J147" s="531">
        <f t="shared" si="137"/>
        <v>0</v>
      </c>
      <c r="K147" s="531">
        <f t="shared" si="138"/>
        <v>0</v>
      </c>
      <c r="L147" s="531">
        <f t="shared" si="139"/>
        <v>0</v>
      </c>
      <c r="M147" s="531">
        <f t="shared" si="140"/>
        <v>0</v>
      </c>
      <c r="N147" s="531">
        <f t="shared" si="141"/>
        <v>0</v>
      </c>
      <c r="O147" s="531">
        <f t="shared" si="142"/>
        <v>0</v>
      </c>
    </row>
    <row r="148" spans="1:15" hidden="1" x14ac:dyDescent="0.3">
      <c r="A148" s="530" t="str">
        <f t="shared" ref="A148:B148" si="156">IF(ISTEXT(A68)=TRUE,A68,"")</f>
        <v/>
      </c>
      <c r="B148" s="530" t="str">
        <f t="shared" si="156"/>
        <v/>
      </c>
      <c r="C148" s="530" t="str">
        <f t="shared" ref="C148:F148" si="157">IF(ISNUMBER(C68)=TRUE,C68,"")</f>
        <v/>
      </c>
      <c r="D148" s="530" t="str">
        <f t="shared" si="157"/>
        <v/>
      </c>
      <c r="E148" s="530" t="str">
        <f t="shared" si="157"/>
        <v/>
      </c>
      <c r="F148" s="530" t="str">
        <f t="shared" si="157"/>
        <v/>
      </c>
      <c r="G148" s="530" t="str">
        <f t="shared" si="145"/>
        <v>N/A</v>
      </c>
      <c r="H148" s="531">
        <f t="shared" si="135"/>
        <v>0</v>
      </c>
      <c r="I148" s="531">
        <f t="shared" si="136"/>
        <v>0</v>
      </c>
      <c r="J148" s="531">
        <f t="shared" si="137"/>
        <v>0</v>
      </c>
      <c r="K148" s="531">
        <f t="shared" si="138"/>
        <v>0</v>
      </c>
      <c r="L148" s="531">
        <f t="shared" si="139"/>
        <v>0</v>
      </c>
      <c r="M148" s="531">
        <f t="shared" si="140"/>
        <v>0</v>
      </c>
      <c r="N148" s="531">
        <f t="shared" si="141"/>
        <v>0</v>
      </c>
      <c r="O148" s="531">
        <f t="shared" si="142"/>
        <v>0</v>
      </c>
    </row>
    <row r="149" spans="1:15" hidden="1" x14ac:dyDescent="0.3">
      <c r="A149" s="530" t="str">
        <f t="shared" ref="A149:B149" si="158">IF(ISTEXT(A69)=TRUE,A69,"")</f>
        <v/>
      </c>
      <c r="B149" s="530" t="str">
        <f t="shared" si="158"/>
        <v/>
      </c>
      <c r="C149" s="530" t="str">
        <f t="shared" ref="C149:F149" si="159">IF(ISNUMBER(C69)=TRUE,C69,"")</f>
        <v/>
      </c>
      <c r="D149" s="530" t="str">
        <f t="shared" si="159"/>
        <v/>
      </c>
      <c r="E149" s="530" t="str">
        <f t="shared" si="159"/>
        <v/>
      </c>
      <c r="F149" s="530" t="str">
        <f t="shared" si="159"/>
        <v/>
      </c>
      <c r="G149" s="530" t="str">
        <f t="shared" si="145"/>
        <v>N/A</v>
      </c>
      <c r="H149" s="531">
        <f t="shared" si="135"/>
        <v>0</v>
      </c>
      <c r="I149" s="531">
        <f t="shared" si="136"/>
        <v>0</v>
      </c>
      <c r="J149" s="531">
        <f t="shared" si="137"/>
        <v>0</v>
      </c>
      <c r="K149" s="531">
        <f t="shared" si="138"/>
        <v>0</v>
      </c>
      <c r="L149" s="531">
        <f t="shared" si="139"/>
        <v>0</v>
      </c>
      <c r="M149" s="531">
        <f t="shared" si="140"/>
        <v>0</v>
      </c>
      <c r="N149" s="531">
        <f t="shared" si="141"/>
        <v>0</v>
      </c>
      <c r="O149" s="531">
        <f t="shared" si="142"/>
        <v>0</v>
      </c>
    </row>
    <row r="150" spans="1:15" hidden="1" x14ac:dyDescent="0.3">
      <c r="A150" s="530" t="str">
        <f t="shared" ref="A150:B150" si="160">IF(ISTEXT(A70)=TRUE,A70,"")</f>
        <v/>
      </c>
      <c r="B150" s="530" t="str">
        <f t="shared" si="160"/>
        <v/>
      </c>
      <c r="C150" s="530" t="str">
        <f t="shared" ref="C150:F150" si="161">IF(ISNUMBER(C70)=TRUE,C70,"")</f>
        <v/>
      </c>
      <c r="D150" s="530" t="str">
        <f t="shared" si="161"/>
        <v/>
      </c>
      <c r="E150" s="530" t="str">
        <f t="shared" si="161"/>
        <v/>
      </c>
      <c r="F150" s="530" t="str">
        <f t="shared" si="161"/>
        <v/>
      </c>
      <c r="G150" s="530" t="str">
        <f t="shared" si="145"/>
        <v>N/A</v>
      </c>
      <c r="H150" s="531">
        <f t="shared" ref="H150:H154" si="162">IFERROR(H70/$S$5,0)</f>
        <v>0</v>
      </c>
      <c r="I150" s="531">
        <f t="shared" ref="I150:I154" si="163">IFERROR(I70/$U$8,0)</f>
        <v>0</v>
      </c>
      <c r="J150" s="531">
        <f t="shared" ref="J150:J154" si="164">IFERROR(J70/$W$8,0)</f>
        <v>0</v>
      </c>
      <c r="K150" s="531">
        <f t="shared" ref="K150:K154" si="165">IFERROR(K70/$Y$8,0)</f>
        <v>0</v>
      </c>
      <c r="L150" s="531">
        <f t="shared" ref="L150:L154" si="166">IFERROR(L70/$AA$8,0)</f>
        <v>0</v>
      </c>
      <c r="M150" s="531">
        <f t="shared" ref="M150:M154" si="167">IFERROR(M70/$AC$8,0)</f>
        <v>0</v>
      </c>
      <c r="N150" s="531">
        <f t="shared" ref="N150:N154" si="168">IFERROR(N70/$AE$8,0)</f>
        <v>0</v>
      </c>
      <c r="O150" s="531">
        <f t="shared" ref="O150:O154" si="169">IFERROR(O70/$AG$8,0)</f>
        <v>0</v>
      </c>
    </row>
    <row r="151" spans="1:15" hidden="1" x14ac:dyDescent="0.3">
      <c r="A151" s="530" t="str">
        <f t="shared" ref="A151:B151" si="170">IF(ISTEXT(A71)=TRUE,A71,"")</f>
        <v/>
      </c>
      <c r="B151" s="530" t="str">
        <f t="shared" si="170"/>
        <v/>
      </c>
      <c r="C151" s="530" t="str">
        <f t="shared" ref="C151:F151" si="171">IF(ISNUMBER(C71)=TRUE,C71,"")</f>
        <v/>
      </c>
      <c r="D151" s="530" t="str">
        <f t="shared" si="171"/>
        <v/>
      </c>
      <c r="E151" s="530" t="str">
        <f t="shared" si="171"/>
        <v/>
      </c>
      <c r="F151" s="530" t="str">
        <f t="shared" si="171"/>
        <v/>
      </c>
      <c r="G151" s="530" t="str">
        <f t="shared" si="145"/>
        <v>N/A</v>
      </c>
      <c r="H151" s="531">
        <f t="shared" si="162"/>
        <v>0</v>
      </c>
      <c r="I151" s="531">
        <f t="shared" si="163"/>
        <v>0</v>
      </c>
      <c r="J151" s="531">
        <f t="shared" si="164"/>
        <v>0</v>
      </c>
      <c r="K151" s="531">
        <f t="shared" si="165"/>
        <v>0</v>
      </c>
      <c r="L151" s="531">
        <f t="shared" si="166"/>
        <v>0</v>
      </c>
      <c r="M151" s="531">
        <f t="shared" si="167"/>
        <v>0</v>
      </c>
      <c r="N151" s="531">
        <f t="shared" si="168"/>
        <v>0</v>
      </c>
      <c r="O151" s="531">
        <f t="shared" si="169"/>
        <v>0</v>
      </c>
    </row>
    <row r="152" spans="1:15" hidden="1" x14ac:dyDescent="0.3">
      <c r="A152" s="530" t="str">
        <f t="shared" ref="A152:B152" si="172">IF(ISTEXT(A72)=TRUE,A72,"")</f>
        <v/>
      </c>
      <c r="B152" s="530" t="str">
        <f t="shared" si="172"/>
        <v/>
      </c>
      <c r="C152" s="530" t="str">
        <f t="shared" ref="C152:F152" si="173">IF(ISNUMBER(C72)=TRUE,C72,"")</f>
        <v/>
      </c>
      <c r="D152" s="530" t="str">
        <f t="shared" si="173"/>
        <v/>
      </c>
      <c r="E152" s="530" t="str">
        <f t="shared" si="173"/>
        <v/>
      </c>
      <c r="F152" s="530" t="str">
        <f t="shared" si="173"/>
        <v/>
      </c>
      <c r="G152" s="530" t="str">
        <f t="shared" si="145"/>
        <v>N/A</v>
      </c>
      <c r="H152" s="531">
        <f t="shared" si="162"/>
        <v>0</v>
      </c>
      <c r="I152" s="531">
        <f t="shared" si="163"/>
        <v>0</v>
      </c>
      <c r="J152" s="531">
        <f t="shared" si="164"/>
        <v>0</v>
      </c>
      <c r="K152" s="531">
        <f t="shared" si="165"/>
        <v>0</v>
      </c>
      <c r="L152" s="531">
        <f t="shared" si="166"/>
        <v>0</v>
      </c>
      <c r="M152" s="531">
        <f t="shared" si="167"/>
        <v>0</v>
      </c>
      <c r="N152" s="531">
        <f t="shared" si="168"/>
        <v>0</v>
      </c>
      <c r="O152" s="531">
        <f t="shared" si="169"/>
        <v>0</v>
      </c>
    </row>
    <row r="153" spans="1:15" hidden="1" x14ac:dyDescent="0.3">
      <c r="A153" s="530" t="str">
        <f t="shared" ref="A153:B153" si="174">IF(ISTEXT(A73)=TRUE,A73,"")</f>
        <v/>
      </c>
      <c r="B153" s="530" t="str">
        <f t="shared" si="174"/>
        <v/>
      </c>
      <c r="C153" s="530" t="str">
        <f t="shared" ref="C153:F153" si="175">IF(ISNUMBER(C73)=TRUE,C73,"")</f>
        <v/>
      </c>
      <c r="D153" s="530" t="str">
        <f t="shared" si="175"/>
        <v/>
      </c>
      <c r="E153" s="530" t="str">
        <f t="shared" si="175"/>
        <v/>
      </c>
      <c r="F153" s="530" t="str">
        <f t="shared" si="175"/>
        <v/>
      </c>
      <c r="G153" s="530" t="str">
        <f t="shared" si="145"/>
        <v>N/A</v>
      </c>
      <c r="H153" s="531">
        <f t="shared" si="162"/>
        <v>0</v>
      </c>
      <c r="I153" s="531">
        <f t="shared" si="163"/>
        <v>0</v>
      </c>
      <c r="J153" s="531">
        <f t="shared" si="164"/>
        <v>0</v>
      </c>
      <c r="K153" s="531">
        <f t="shared" si="165"/>
        <v>0</v>
      </c>
      <c r="L153" s="531">
        <f t="shared" si="166"/>
        <v>0</v>
      </c>
      <c r="M153" s="531">
        <f t="shared" si="167"/>
        <v>0</v>
      </c>
      <c r="N153" s="531">
        <f t="shared" si="168"/>
        <v>0</v>
      </c>
      <c r="O153" s="531">
        <f t="shared" si="169"/>
        <v>0</v>
      </c>
    </row>
    <row r="154" spans="1:15" hidden="1" x14ac:dyDescent="0.3">
      <c r="A154" s="530" t="str">
        <f t="shared" ref="A154:B154" si="176">IF(ISTEXT(A74)=TRUE,A74,"")</f>
        <v/>
      </c>
      <c r="B154" s="530" t="str">
        <f t="shared" si="176"/>
        <v/>
      </c>
      <c r="C154" s="530" t="str">
        <f t="shared" ref="C154:F154" si="177">IF(ISNUMBER(C74)=TRUE,C74,"")</f>
        <v/>
      </c>
      <c r="D154" s="530" t="str">
        <f t="shared" si="177"/>
        <v/>
      </c>
      <c r="E154" s="530" t="str">
        <f t="shared" si="177"/>
        <v/>
      </c>
      <c r="F154" s="530" t="str">
        <f t="shared" si="177"/>
        <v/>
      </c>
      <c r="G154" s="530" t="str">
        <f t="shared" si="145"/>
        <v>N/A</v>
      </c>
      <c r="H154" s="531">
        <f t="shared" si="162"/>
        <v>0</v>
      </c>
      <c r="I154" s="531">
        <f t="shared" si="163"/>
        <v>0</v>
      </c>
      <c r="J154" s="531">
        <f t="shared" si="164"/>
        <v>0</v>
      </c>
      <c r="K154" s="531">
        <f t="shared" si="165"/>
        <v>0</v>
      </c>
      <c r="L154" s="531">
        <f t="shared" si="166"/>
        <v>0</v>
      </c>
      <c r="M154" s="531">
        <f t="shared" si="167"/>
        <v>0</v>
      </c>
      <c r="N154" s="531">
        <f t="shared" si="168"/>
        <v>0</v>
      </c>
      <c r="O154" s="531">
        <f t="shared" si="169"/>
        <v>0</v>
      </c>
    </row>
    <row r="155" spans="1:15" hidden="1" x14ac:dyDescent="0.3">
      <c r="E155" s="513"/>
      <c r="F155" s="558" t="s">
        <v>203</v>
      </c>
      <c r="G155" s="558"/>
      <c r="H155" s="559" t="s">
        <v>16</v>
      </c>
      <c r="I155" s="559" t="s">
        <v>131</v>
      </c>
      <c r="J155" s="560" t="s">
        <v>132</v>
      </c>
      <c r="K155" s="560" t="s">
        <v>3</v>
      </c>
      <c r="L155" s="560" t="s">
        <v>62</v>
      </c>
      <c r="M155" s="560" t="s">
        <v>23</v>
      </c>
      <c r="N155" s="560" t="s">
        <v>26</v>
      </c>
      <c r="O155" s="560" t="s">
        <v>133</v>
      </c>
    </row>
    <row r="156" spans="1:15" hidden="1" x14ac:dyDescent="0.3">
      <c r="F156" s="561" t="s">
        <v>80</v>
      </c>
      <c r="G156" s="561"/>
      <c r="H156" s="562">
        <f>'Cascading Savings'!D86</f>
        <v>0</v>
      </c>
      <c r="I156" s="562">
        <f>'Cascading Savings'!F86</f>
        <v>0</v>
      </c>
      <c r="J156" s="562">
        <f>'Cascading Savings'!H86</f>
        <v>0</v>
      </c>
      <c r="K156" s="562">
        <f>'Cascading Savings'!J86</f>
        <v>0</v>
      </c>
      <c r="L156" s="562">
        <f>'Cascading Savings'!L86</f>
        <v>0</v>
      </c>
      <c r="M156" s="562">
        <f>'Cascading Savings'!N86</f>
        <v>0</v>
      </c>
      <c r="N156" s="562">
        <f>'Cascading Savings'!P86</f>
        <v>0</v>
      </c>
      <c r="O156" s="562">
        <f>'Cascading Savings'!R86</f>
        <v>0</v>
      </c>
    </row>
    <row r="157" spans="1:15" hidden="1" x14ac:dyDescent="0.3">
      <c r="F157" s="561" t="s">
        <v>189</v>
      </c>
      <c r="G157" s="561"/>
      <c r="H157" s="563">
        <f>H156*S6</f>
        <v>0</v>
      </c>
      <c r="I157" s="563">
        <f>I156*U6</f>
        <v>0</v>
      </c>
      <c r="J157" s="564">
        <f>J156*W6</f>
        <v>0</v>
      </c>
      <c r="K157" s="564">
        <f>K156*Y6</f>
        <v>0</v>
      </c>
      <c r="L157" s="564">
        <f>L156*AA6</f>
        <v>0</v>
      </c>
      <c r="M157" s="564">
        <f>M156*AC6</f>
        <v>0</v>
      </c>
      <c r="N157" s="564">
        <f>N156*AE6</f>
        <v>0</v>
      </c>
      <c r="O157" s="564">
        <f>O156*AG6</f>
        <v>0</v>
      </c>
    </row>
    <row r="158" spans="1:15" hidden="1" x14ac:dyDescent="0.3">
      <c r="F158" s="561" t="s">
        <v>221</v>
      </c>
      <c r="G158" s="561"/>
      <c r="H158" s="563">
        <f>IF(H157&gt;0,H157,0)</f>
        <v>0</v>
      </c>
      <c r="I158" s="563">
        <f t="shared" ref="I158:O158" si="178">IF(I157&gt;0,I157,0)</f>
        <v>0</v>
      </c>
      <c r="J158" s="563">
        <f t="shared" si="178"/>
        <v>0</v>
      </c>
      <c r="K158" s="563">
        <f t="shared" si="178"/>
        <v>0</v>
      </c>
      <c r="L158" s="563">
        <f t="shared" si="178"/>
        <v>0</v>
      </c>
      <c r="M158" s="563">
        <f t="shared" si="178"/>
        <v>0</v>
      </c>
      <c r="N158" s="563">
        <f t="shared" si="178"/>
        <v>0</v>
      </c>
      <c r="O158" s="563">
        <f t="shared" si="178"/>
        <v>0</v>
      </c>
    </row>
    <row r="159" spans="1:15" hidden="1" x14ac:dyDescent="0.3">
      <c r="F159" s="561" t="s">
        <v>201</v>
      </c>
      <c r="G159" s="561"/>
      <c r="H159" s="563">
        <f>SUM(H158:O158)</f>
        <v>0</v>
      </c>
      <c r="I159" s="565"/>
      <c r="J159" s="565"/>
      <c r="K159" s="565"/>
      <c r="L159" s="565"/>
      <c r="M159" s="565"/>
      <c r="N159" s="565"/>
      <c r="O159" s="565"/>
    </row>
    <row r="160" spans="1:15" hidden="1" x14ac:dyDescent="0.3">
      <c r="F160" s="561" t="s">
        <v>186</v>
      </c>
      <c r="G160" s="561"/>
      <c r="H160" s="562" t="e">
        <f t="shared" ref="H160:O160" si="179">H158/$H$159</f>
        <v>#DIV/0!</v>
      </c>
      <c r="I160" s="562" t="e">
        <f t="shared" si="179"/>
        <v>#DIV/0!</v>
      </c>
      <c r="J160" s="562" t="e">
        <f t="shared" si="179"/>
        <v>#DIV/0!</v>
      </c>
      <c r="K160" s="562" t="e">
        <f t="shared" si="179"/>
        <v>#DIV/0!</v>
      </c>
      <c r="L160" s="562" t="e">
        <f t="shared" si="179"/>
        <v>#DIV/0!</v>
      </c>
      <c r="M160" s="562" t="e">
        <f t="shared" si="179"/>
        <v>#DIV/0!</v>
      </c>
      <c r="N160" s="562" t="e">
        <f t="shared" si="179"/>
        <v>#DIV/0!</v>
      </c>
      <c r="O160" s="562" t="e">
        <f t="shared" si="179"/>
        <v>#DIV/0!</v>
      </c>
    </row>
  </sheetData>
  <mergeCells count="20">
    <mergeCell ref="AI4:AJ4"/>
    <mergeCell ref="Q3:AJ3"/>
    <mergeCell ref="S4:T4"/>
    <mergeCell ref="U4:V4"/>
    <mergeCell ref="W4:X4"/>
    <mergeCell ref="Y4:Z4"/>
    <mergeCell ref="AA4:AB4"/>
    <mergeCell ref="AC4:AD4"/>
    <mergeCell ref="D82:F82"/>
    <mergeCell ref="H82:O82"/>
    <mergeCell ref="AE4:AF4"/>
    <mergeCell ref="A82:C82"/>
    <mergeCell ref="AG4:AH4"/>
    <mergeCell ref="A2:C2"/>
    <mergeCell ref="D2:F2"/>
    <mergeCell ref="H2:O2"/>
    <mergeCell ref="H1:O1"/>
    <mergeCell ref="Q19:Q21"/>
    <mergeCell ref="Q9:Q11"/>
    <mergeCell ref="Q13:Q15"/>
  </mergeCells>
  <phoneticPr fontId="11" type="noConversion"/>
  <hyperlinks>
    <hyperlink ref="S22" r:id="rId1" location=":~:text=The%20average%20lifespan%20of%20a,across%20multiple%20disciplines%20and%20media." xr:uid="{4749D7B4-2987-470D-8528-A130682050BB}"/>
  </hyperlinks>
  <printOptions gridLines="1"/>
  <pageMargins left="0.75" right="0.75" top="1" bottom="1" header="0.5" footer="0.5"/>
  <pageSetup scale="93" fitToHeight="5" orientation="portrait" horizontalDpi="2400" verticalDpi="24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6AD0-5A06-46C9-8E4F-BB5D672D771F}">
  <sheetPr>
    <tabColor theme="0" tint="-0.499984740745262"/>
  </sheetPr>
  <dimension ref="A1:N89"/>
  <sheetViews>
    <sheetView workbookViewId="0">
      <pane ySplit="5" topLeftCell="A6" activePane="bottomLeft" state="frozen"/>
      <selection pane="bottomLeft" activeCell="I12" sqref="I12"/>
    </sheetView>
  </sheetViews>
  <sheetFormatPr defaultColWidth="9.1796875" defaultRowHeight="14.5" x14ac:dyDescent="0.35"/>
  <cols>
    <col min="1" max="1" width="31.6328125" bestFit="1" customWidth="1"/>
    <col min="2" max="2" width="45.1796875" bestFit="1" customWidth="1"/>
    <col min="3" max="3" width="9.81640625" customWidth="1"/>
    <col min="4" max="4" width="9.1796875" style="822"/>
    <col min="5" max="6" width="12.36328125" style="823" customWidth="1"/>
    <col min="7" max="7" width="12.36328125" style="1" customWidth="1"/>
    <col min="12" max="12" width="27.90625" customWidth="1"/>
  </cols>
  <sheetData>
    <row r="1" spans="1:14" ht="38.5" x14ac:dyDescent="0.35">
      <c r="A1" s="806" t="s">
        <v>236</v>
      </c>
      <c r="B1" s="807" t="s">
        <v>237</v>
      </c>
      <c r="C1" s="808" t="s">
        <v>238</v>
      </c>
      <c r="D1" s="809" t="s">
        <v>239</v>
      </c>
      <c r="E1" s="810" t="s">
        <v>240</v>
      </c>
      <c r="F1" s="810" t="s">
        <v>241</v>
      </c>
      <c r="G1" s="810" t="s">
        <v>242</v>
      </c>
      <c r="L1" s="811" t="s">
        <v>243</v>
      </c>
    </row>
    <row r="2" spans="1:14" ht="15" thickBot="1" x14ac:dyDescent="0.3">
      <c r="A2" s="813" t="s">
        <v>283</v>
      </c>
      <c r="B2" s="812" t="s">
        <v>350</v>
      </c>
      <c r="C2" s="813">
        <v>10</v>
      </c>
      <c r="D2" s="814">
        <v>10</v>
      </c>
      <c r="E2" s="815"/>
      <c r="F2" s="815"/>
      <c r="G2" s="815"/>
    </row>
    <row r="3" spans="1:14" x14ac:dyDescent="0.3">
      <c r="A3" s="813" t="s">
        <v>283</v>
      </c>
      <c r="B3" s="812" t="s">
        <v>284</v>
      </c>
      <c r="C3" s="813" t="s">
        <v>285</v>
      </c>
      <c r="D3" s="814">
        <v>20</v>
      </c>
      <c r="E3" s="815"/>
      <c r="F3" s="815"/>
      <c r="G3" s="815"/>
      <c r="L3" s="942" t="s">
        <v>220</v>
      </c>
      <c r="M3" s="513"/>
      <c r="N3" s="513"/>
    </row>
    <row r="4" spans="1:14" x14ac:dyDescent="0.3">
      <c r="A4" s="813" t="s">
        <v>283</v>
      </c>
      <c r="B4" s="812" t="s">
        <v>302</v>
      </c>
      <c r="C4" s="813" t="s">
        <v>303</v>
      </c>
      <c r="D4" s="814">
        <v>15</v>
      </c>
      <c r="E4" s="815"/>
      <c r="F4" s="815"/>
      <c r="G4" s="815"/>
      <c r="L4" s="943"/>
      <c r="M4" s="513"/>
      <c r="N4" s="513"/>
    </row>
    <row r="5" spans="1:14" ht="15" thickBot="1" x14ac:dyDescent="0.35">
      <c r="A5" s="813" t="s">
        <v>283</v>
      </c>
      <c r="B5" s="812" t="s">
        <v>364</v>
      </c>
      <c r="C5" s="813">
        <v>8</v>
      </c>
      <c r="D5" s="814">
        <v>8</v>
      </c>
      <c r="E5" s="815"/>
      <c r="F5" s="815"/>
      <c r="G5" s="815"/>
      <c r="L5" s="944"/>
      <c r="M5" s="513"/>
      <c r="N5" s="513"/>
    </row>
    <row r="6" spans="1:14" x14ac:dyDescent="0.3">
      <c r="A6" s="813" t="s">
        <v>304</v>
      </c>
      <c r="B6" s="812" t="s">
        <v>351</v>
      </c>
      <c r="C6" s="813" t="s">
        <v>352</v>
      </c>
      <c r="D6" s="814">
        <v>10</v>
      </c>
      <c r="E6" s="816" t="s">
        <v>353</v>
      </c>
      <c r="F6" s="816" t="s">
        <v>354</v>
      </c>
      <c r="G6" s="815"/>
      <c r="L6" s="568" t="s">
        <v>218</v>
      </c>
      <c r="M6" s="769">
        <v>63</v>
      </c>
      <c r="N6" s="770" t="s">
        <v>219</v>
      </c>
    </row>
    <row r="7" spans="1:14" x14ac:dyDescent="0.25">
      <c r="A7" s="813" t="s">
        <v>304</v>
      </c>
      <c r="B7" s="812" t="s">
        <v>294</v>
      </c>
      <c r="C7" s="813">
        <v>8</v>
      </c>
      <c r="D7" s="814">
        <v>8</v>
      </c>
      <c r="E7" s="815"/>
      <c r="F7" s="815"/>
      <c r="G7" s="815"/>
    </row>
    <row r="8" spans="1:14" x14ac:dyDescent="0.25">
      <c r="A8" s="813" t="s">
        <v>304</v>
      </c>
      <c r="B8" s="812" t="s">
        <v>343</v>
      </c>
      <c r="C8" s="813">
        <v>9</v>
      </c>
      <c r="D8" s="814">
        <v>12</v>
      </c>
      <c r="E8" s="816" t="s">
        <v>344</v>
      </c>
      <c r="F8" s="816">
        <v>15</v>
      </c>
      <c r="G8" s="815"/>
    </row>
    <row r="9" spans="1:14" x14ac:dyDescent="0.25">
      <c r="A9" s="813" t="s">
        <v>304</v>
      </c>
      <c r="B9" s="812" t="s">
        <v>336</v>
      </c>
      <c r="C9" s="813">
        <v>13</v>
      </c>
      <c r="D9" s="814">
        <v>13</v>
      </c>
      <c r="E9" s="816" t="s">
        <v>337</v>
      </c>
      <c r="F9" s="816" t="s">
        <v>338</v>
      </c>
      <c r="G9" s="815"/>
    </row>
    <row r="10" spans="1:14" ht="25" x14ac:dyDescent="0.25">
      <c r="A10" s="813" t="s">
        <v>304</v>
      </c>
      <c r="B10" s="812" t="s">
        <v>323</v>
      </c>
      <c r="C10" s="813" t="s">
        <v>324</v>
      </c>
      <c r="D10" s="814">
        <v>14</v>
      </c>
      <c r="E10" s="816" t="s">
        <v>325</v>
      </c>
      <c r="F10" s="816">
        <v>17</v>
      </c>
      <c r="G10" s="816" t="s">
        <v>310</v>
      </c>
    </row>
    <row r="11" spans="1:14" x14ac:dyDescent="0.25">
      <c r="A11" s="813" t="s">
        <v>304</v>
      </c>
      <c r="B11" s="812" t="s">
        <v>305</v>
      </c>
      <c r="C11" s="813" t="s">
        <v>306</v>
      </c>
      <c r="D11" s="814">
        <v>15</v>
      </c>
      <c r="E11" s="816">
        <v>15</v>
      </c>
      <c r="F11" s="815"/>
      <c r="G11" s="815"/>
    </row>
    <row r="12" spans="1:14" x14ac:dyDescent="0.25">
      <c r="A12" s="813" t="s">
        <v>304</v>
      </c>
      <c r="B12" s="812" t="s">
        <v>320</v>
      </c>
      <c r="C12" s="813" t="s">
        <v>321</v>
      </c>
      <c r="D12" s="814">
        <v>14</v>
      </c>
      <c r="E12" s="815"/>
      <c r="F12" s="815"/>
      <c r="G12" s="815"/>
    </row>
    <row r="13" spans="1:14" ht="25" x14ac:dyDescent="0.25">
      <c r="A13" s="813" t="s">
        <v>304</v>
      </c>
      <c r="B13" s="812" t="s">
        <v>307</v>
      </c>
      <c r="C13" s="813" t="s">
        <v>308</v>
      </c>
      <c r="D13" s="814">
        <v>15</v>
      </c>
      <c r="E13" s="816" t="s">
        <v>309</v>
      </c>
      <c r="F13" s="816">
        <v>15</v>
      </c>
      <c r="G13" s="816" t="s">
        <v>310</v>
      </c>
    </row>
    <row r="14" spans="1:14" x14ac:dyDescent="0.25">
      <c r="A14" s="813" t="s">
        <v>304</v>
      </c>
      <c r="B14" s="812" t="s">
        <v>348</v>
      </c>
      <c r="C14" s="813" t="s">
        <v>349</v>
      </c>
      <c r="D14" s="814">
        <v>11</v>
      </c>
      <c r="E14" s="815"/>
      <c r="F14" s="815"/>
      <c r="G14" s="815"/>
    </row>
    <row r="15" spans="1:14" x14ac:dyDescent="0.25">
      <c r="A15" s="813" t="s">
        <v>304</v>
      </c>
      <c r="B15" s="812" t="s">
        <v>365</v>
      </c>
      <c r="C15" s="813">
        <v>8</v>
      </c>
      <c r="D15" s="814">
        <v>8</v>
      </c>
      <c r="E15" s="815"/>
      <c r="F15" s="815"/>
      <c r="G15" s="815"/>
    </row>
    <row r="16" spans="1:14" x14ac:dyDescent="0.25">
      <c r="A16" s="813" t="s">
        <v>304</v>
      </c>
      <c r="B16" s="812" t="s">
        <v>359</v>
      </c>
      <c r="C16" s="813">
        <v>9</v>
      </c>
      <c r="D16" s="814">
        <v>9</v>
      </c>
      <c r="E16" s="821" t="s">
        <v>360</v>
      </c>
      <c r="F16" s="815"/>
      <c r="G16" s="815"/>
    </row>
    <row r="17" spans="1:7" x14ac:dyDescent="0.25">
      <c r="A17" s="813" t="s">
        <v>304</v>
      </c>
      <c r="B17" s="812" t="s">
        <v>322</v>
      </c>
      <c r="C17" s="813">
        <v>14</v>
      </c>
      <c r="D17" s="814">
        <v>14</v>
      </c>
      <c r="E17" s="815"/>
      <c r="F17" s="815"/>
      <c r="G17" s="815"/>
    </row>
    <row r="18" spans="1:7" x14ac:dyDescent="0.25">
      <c r="A18" s="813" t="s">
        <v>304</v>
      </c>
      <c r="B18" s="812" t="s">
        <v>329</v>
      </c>
      <c r="C18" s="813">
        <v>12</v>
      </c>
      <c r="D18" s="814">
        <v>14</v>
      </c>
      <c r="E18" s="816" t="s">
        <v>219</v>
      </c>
      <c r="F18" s="816">
        <v>15</v>
      </c>
      <c r="G18" s="815"/>
    </row>
    <row r="19" spans="1:7" x14ac:dyDescent="0.25">
      <c r="A19" s="813" t="s">
        <v>304</v>
      </c>
      <c r="B19" s="812" t="s">
        <v>355</v>
      </c>
      <c r="C19" s="813" t="s">
        <v>327</v>
      </c>
      <c r="D19" s="814">
        <v>10</v>
      </c>
      <c r="E19" s="816" t="s">
        <v>349</v>
      </c>
      <c r="F19" s="815"/>
      <c r="G19" s="815"/>
    </row>
    <row r="20" spans="1:7" x14ac:dyDescent="0.25">
      <c r="A20" s="813" t="s">
        <v>304</v>
      </c>
      <c r="B20" s="812" t="s">
        <v>326</v>
      </c>
      <c r="C20" s="813" t="s">
        <v>327</v>
      </c>
      <c r="D20" s="814">
        <v>14</v>
      </c>
      <c r="E20" s="816">
        <v>11</v>
      </c>
      <c r="F20" s="816" t="s">
        <v>328</v>
      </c>
      <c r="G20" s="815"/>
    </row>
    <row r="21" spans="1:7" x14ac:dyDescent="0.25">
      <c r="A21" s="812" t="s">
        <v>244</v>
      </c>
      <c r="B21" s="812" t="s">
        <v>247</v>
      </c>
      <c r="C21" s="813">
        <f>'[1]Building Lifespan'!$B$2</f>
        <v>63</v>
      </c>
      <c r="D21" s="814">
        <f>$M$6</f>
        <v>63</v>
      </c>
      <c r="E21" s="815"/>
      <c r="F21" s="815"/>
      <c r="G21" s="815"/>
    </row>
    <row r="22" spans="1:7" x14ac:dyDescent="0.25">
      <c r="A22" s="812" t="s">
        <v>244</v>
      </c>
      <c r="B22" s="812" t="s">
        <v>245</v>
      </c>
      <c r="C22" s="813" t="s">
        <v>246</v>
      </c>
      <c r="D22" s="814">
        <f>$M$6</f>
        <v>63</v>
      </c>
      <c r="E22" s="815"/>
      <c r="F22" s="815"/>
      <c r="G22" s="815"/>
    </row>
    <row r="23" spans="1:7" x14ac:dyDescent="0.25">
      <c r="A23" s="812" t="s">
        <v>244</v>
      </c>
      <c r="B23" s="812" t="s">
        <v>271</v>
      </c>
      <c r="C23" s="813">
        <v>30</v>
      </c>
      <c r="D23" s="814">
        <v>30</v>
      </c>
      <c r="E23" s="815"/>
      <c r="F23" s="815"/>
      <c r="G23" s="815"/>
    </row>
    <row r="24" spans="1:7" x14ac:dyDescent="0.25">
      <c r="A24" s="812" t="s">
        <v>244</v>
      </c>
      <c r="B24" s="812" t="s">
        <v>286</v>
      </c>
      <c r="C24" s="813">
        <v>20</v>
      </c>
      <c r="D24" s="814">
        <v>20</v>
      </c>
      <c r="E24" s="815"/>
      <c r="F24" s="815"/>
      <c r="G24" s="815"/>
    </row>
    <row r="25" spans="1:7" x14ac:dyDescent="0.25">
      <c r="A25" s="812" t="s">
        <v>244</v>
      </c>
      <c r="B25" s="812" t="s">
        <v>287</v>
      </c>
      <c r="C25" s="813">
        <v>20</v>
      </c>
      <c r="D25" s="814">
        <v>20</v>
      </c>
      <c r="E25" s="815"/>
      <c r="F25" s="815"/>
      <c r="G25" s="815"/>
    </row>
    <row r="26" spans="1:7" x14ac:dyDescent="0.25">
      <c r="A26" s="812" t="s">
        <v>244</v>
      </c>
      <c r="B26" s="812" t="s">
        <v>248</v>
      </c>
      <c r="C26" s="813">
        <f>'[1]Building Lifespan'!$B$2</f>
        <v>63</v>
      </c>
      <c r="D26" s="814">
        <f>$M$6</f>
        <v>63</v>
      </c>
      <c r="E26" s="815"/>
      <c r="F26" s="815"/>
      <c r="G26" s="815"/>
    </row>
    <row r="27" spans="1:7" x14ac:dyDescent="0.25">
      <c r="A27" s="812" t="s">
        <v>209</v>
      </c>
      <c r="B27" s="812" t="s">
        <v>264</v>
      </c>
      <c r="C27" s="813">
        <v>40</v>
      </c>
      <c r="D27" s="814">
        <v>40</v>
      </c>
      <c r="E27" s="815"/>
      <c r="F27" s="815"/>
      <c r="G27" s="815"/>
    </row>
    <row r="28" spans="1:7" x14ac:dyDescent="0.25">
      <c r="A28" s="812" t="s">
        <v>209</v>
      </c>
      <c r="B28" s="812" t="s">
        <v>268</v>
      </c>
      <c r="C28" s="813">
        <v>35</v>
      </c>
      <c r="D28" s="814">
        <v>35</v>
      </c>
      <c r="E28" s="815"/>
      <c r="F28" s="815"/>
      <c r="G28" s="815"/>
    </row>
    <row r="29" spans="1:7" x14ac:dyDescent="0.25">
      <c r="A29" s="812" t="s">
        <v>209</v>
      </c>
      <c r="B29" s="812" t="s">
        <v>345</v>
      </c>
      <c r="C29" s="813">
        <v>12</v>
      </c>
      <c r="D29" s="814">
        <v>12</v>
      </c>
      <c r="E29" s="815"/>
      <c r="F29" s="815"/>
      <c r="G29" s="815"/>
    </row>
    <row r="30" spans="1:7" x14ac:dyDescent="0.25">
      <c r="A30" s="812" t="s">
        <v>209</v>
      </c>
      <c r="B30" s="812" t="s">
        <v>274</v>
      </c>
      <c r="C30" s="813">
        <v>25</v>
      </c>
      <c r="D30" s="814">
        <v>25</v>
      </c>
      <c r="E30" s="815"/>
      <c r="F30" s="815"/>
      <c r="G30" s="815"/>
    </row>
    <row r="31" spans="1:7" x14ac:dyDescent="0.25">
      <c r="A31" s="812" t="s">
        <v>209</v>
      </c>
      <c r="B31" s="812" t="s">
        <v>361</v>
      </c>
      <c r="C31" s="813" t="s">
        <v>362</v>
      </c>
      <c r="D31" s="814">
        <v>9</v>
      </c>
      <c r="E31" s="816" t="s">
        <v>363</v>
      </c>
      <c r="F31" s="816" t="s">
        <v>327</v>
      </c>
      <c r="G31" s="815"/>
    </row>
    <row r="32" spans="1:7" x14ac:dyDescent="0.25">
      <c r="A32" s="812" t="s">
        <v>209</v>
      </c>
      <c r="B32" s="812" t="s">
        <v>288</v>
      </c>
      <c r="C32" s="813">
        <v>20</v>
      </c>
      <c r="D32" s="814">
        <v>20</v>
      </c>
      <c r="E32" s="815"/>
      <c r="F32" s="815"/>
      <c r="G32" s="815"/>
    </row>
    <row r="33" spans="1:7" x14ac:dyDescent="0.25">
      <c r="A33" s="812" t="s">
        <v>249</v>
      </c>
      <c r="B33" s="812" t="s">
        <v>250</v>
      </c>
      <c r="C33" s="813" t="s">
        <v>251</v>
      </c>
      <c r="D33" s="814">
        <v>14</v>
      </c>
      <c r="E33" s="816" t="s">
        <v>252</v>
      </c>
      <c r="F33" s="816" t="s">
        <v>253</v>
      </c>
      <c r="G33" s="816">
        <v>21</v>
      </c>
    </row>
    <row r="34" spans="1:7" x14ac:dyDescent="0.25">
      <c r="A34" s="812" t="s">
        <v>249</v>
      </c>
      <c r="B34" s="812" t="s">
        <v>265</v>
      </c>
      <c r="C34" s="813">
        <v>15</v>
      </c>
      <c r="D34" s="814">
        <v>15</v>
      </c>
      <c r="E34" s="815"/>
      <c r="F34" s="815"/>
      <c r="G34" s="815"/>
    </row>
    <row r="35" spans="1:7" x14ac:dyDescent="0.25">
      <c r="A35" s="812" t="s">
        <v>249</v>
      </c>
      <c r="B35" s="812" t="s">
        <v>266</v>
      </c>
      <c r="C35" s="813">
        <v>15</v>
      </c>
      <c r="D35" s="814">
        <v>15</v>
      </c>
      <c r="E35" s="816" t="s">
        <v>219</v>
      </c>
      <c r="F35" s="815"/>
      <c r="G35" s="815"/>
    </row>
    <row r="36" spans="1:7" x14ac:dyDescent="0.25">
      <c r="A36" s="812" t="s">
        <v>249</v>
      </c>
      <c r="B36" s="812" t="s">
        <v>267</v>
      </c>
      <c r="C36" s="813">
        <v>20</v>
      </c>
      <c r="D36" s="814">
        <v>20</v>
      </c>
      <c r="E36" s="815"/>
      <c r="F36" s="815"/>
      <c r="G36" s="815"/>
    </row>
    <row r="37" spans="1:7" x14ac:dyDescent="0.25">
      <c r="A37" s="812" t="s">
        <v>249</v>
      </c>
      <c r="B37" s="812" t="s">
        <v>269</v>
      </c>
      <c r="C37" s="813">
        <v>40</v>
      </c>
      <c r="D37" s="814">
        <v>40</v>
      </c>
      <c r="E37" s="815"/>
      <c r="F37" s="815"/>
      <c r="G37" s="815"/>
    </row>
    <row r="38" spans="1:7" x14ac:dyDescent="0.25">
      <c r="A38" s="812" t="s">
        <v>249</v>
      </c>
      <c r="B38" s="812" t="s">
        <v>270</v>
      </c>
      <c r="C38" s="817">
        <v>15</v>
      </c>
      <c r="D38" s="814">
        <v>15</v>
      </c>
      <c r="E38" s="815"/>
      <c r="F38" s="815"/>
      <c r="G38" s="815"/>
    </row>
    <row r="39" spans="1:7" x14ac:dyDescent="0.25">
      <c r="A39" s="812" t="s">
        <v>249</v>
      </c>
      <c r="B39" s="812" t="s">
        <v>275</v>
      </c>
      <c r="C39" s="813">
        <v>40</v>
      </c>
      <c r="D39" s="814">
        <v>33</v>
      </c>
      <c r="E39" s="816" t="s">
        <v>276</v>
      </c>
      <c r="F39" s="815"/>
      <c r="G39" s="815"/>
    </row>
    <row r="40" spans="1:7" x14ac:dyDescent="0.25">
      <c r="A40" s="812" t="s">
        <v>249</v>
      </c>
      <c r="B40" s="812" t="s">
        <v>277</v>
      </c>
      <c r="C40" s="813" t="s">
        <v>278</v>
      </c>
      <c r="D40" s="814">
        <v>10</v>
      </c>
      <c r="E40" s="815"/>
      <c r="F40" s="815"/>
      <c r="G40" s="815"/>
    </row>
    <row r="41" spans="1:7" x14ac:dyDescent="0.25">
      <c r="A41" s="812" t="s">
        <v>249</v>
      </c>
      <c r="B41" s="812" t="s">
        <v>279</v>
      </c>
      <c r="C41" s="818">
        <v>25</v>
      </c>
      <c r="D41" s="814">
        <v>25</v>
      </c>
      <c r="E41" s="815"/>
      <c r="F41" s="815"/>
      <c r="G41" s="815"/>
    </row>
    <row r="42" spans="1:7" x14ac:dyDescent="0.25">
      <c r="A42" s="812" t="s">
        <v>249</v>
      </c>
      <c r="B42" s="819" t="s">
        <v>282</v>
      </c>
      <c r="C42" s="818">
        <v>12</v>
      </c>
      <c r="D42" s="814">
        <v>12</v>
      </c>
      <c r="E42" s="815"/>
      <c r="F42" s="815"/>
      <c r="G42" s="815"/>
    </row>
    <row r="43" spans="1:7" x14ac:dyDescent="0.25">
      <c r="A43" s="812" t="s">
        <v>249</v>
      </c>
      <c r="B43" s="819" t="s">
        <v>289</v>
      </c>
      <c r="C43" s="818">
        <v>13</v>
      </c>
      <c r="D43" s="814">
        <v>13</v>
      </c>
      <c r="E43" s="815"/>
      <c r="F43" s="815"/>
      <c r="G43" s="815"/>
    </row>
    <row r="44" spans="1:7" x14ac:dyDescent="0.25">
      <c r="A44" s="812" t="s">
        <v>249</v>
      </c>
      <c r="B44" s="819" t="s">
        <v>412</v>
      </c>
      <c r="C44" s="818">
        <v>5</v>
      </c>
      <c r="D44" s="814">
        <v>5</v>
      </c>
      <c r="E44" s="815" t="s">
        <v>411</v>
      </c>
      <c r="F44" s="815"/>
      <c r="G44" s="815"/>
    </row>
    <row r="45" spans="1:7" x14ac:dyDescent="0.25">
      <c r="A45" s="812" t="s">
        <v>249</v>
      </c>
      <c r="B45" s="812" t="s">
        <v>290</v>
      </c>
      <c r="C45" s="813" t="s">
        <v>291</v>
      </c>
      <c r="D45" s="814">
        <v>14</v>
      </c>
      <c r="E45" s="815"/>
      <c r="F45" s="815"/>
      <c r="G45" s="815"/>
    </row>
    <row r="46" spans="1:7" x14ac:dyDescent="0.25">
      <c r="A46" s="812" t="s">
        <v>249</v>
      </c>
      <c r="B46" s="812" t="s">
        <v>292</v>
      </c>
      <c r="C46" s="813">
        <v>17</v>
      </c>
      <c r="D46" s="814">
        <v>17</v>
      </c>
      <c r="E46" s="816" t="s">
        <v>219</v>
      </c>
      <c r="F46" s="816" t="s">
        <v>252</v>
      </c>
      <c r="G46" s="815"/>
    </row>
    <row r="47" spans="1:7" x14ac:dyDescent="0.25">
      <c r="A47" s="812" t="s">
        <v>249</v>
      </c>
      <c r="B47" s="812" t="s">
        <v>293</v>
      </c>
      <c r="C47" s="813" t="s">
        <v>285</v>
      </c>
      <c r="D47" s="814">
        <v>20</v>
      </c>
      <c r="E47" s="815"/>
      <c r="F47" s="815"/>
      <c r="G47" s="815"/>
    </row>
    <row r="48" spans="1:7" x14ac:dyDescent="0.25">
      <c r="A48" s="812" t="s">
        <v>249</v>
      </c>
      <c r="B48" s="812" t="s">
        <v>294</v>
      </c>
      <c r="C48" s="813">
        <v>8</v>
      </c>
      <c r="D48" s="814">
        <v>8</v>
      </c>
      <c r="E48" s="815"/>
      <c r="F48" s="815"/>
      <c r="G48" s="815"/>
    </row>
    <row r="49" spans="1:7" x14ac:dyDescent="0.25">
      <c r="A49" s="812" t="s">
        <v>249</v>
      </c>
      <c r="B49" s="812" t="s">
        <v>295</v>
      </c>
      <c r="C49" s="813">
        <v>25</v>
      </c>
      <c r="D49" s="814">
        <v>25</v>
      </c>
      <c r="E49" s="815"/>
      <c r="F49" s="815"/>
      <c r="G49" s="815"/>
    </row>
    <row r="50" spans="1:7" x14ac:dyDescent="0.25">
      <c r="A50" s="812" t="s">
        <v>249</v>
      </c>
      <c r="B50" s="812" t="s">
        <v>296</v>
      </c>
      <c r="C50" s="813">
        <f>'[1]Building Lifespan'!$B$2</f>
        <v>63</v>
      </c>
      <c r="D50" s="814">
        <f>$M$6</f>
        <v>63</v>
      </c>
      <c r="E50" s="815"/>
      <c r="F50" s="815"/>
      <c r="G50" s="815"/>
    </row>
    <row r="51" spans="1:7" x14ac:dyDescent="0.25">
      <c r="A51" s="812" t="s">
        <v>249</v>
      </c>
      <c r="B51" s="812" t="s">
        <v>300</v>
      </c>
      <c r="C51" s="813">
        <v>40</v>
      </c>
      <c r="D51" s="814">
        <v>40</v>
      </c>
      <c r="E51" s="815"/>
      <c r="F51" s="815"/>
      <c r="G51" s="815"/>
    </row>
    <row r="52" spans="1:7" x14ac:dyDescent="0.25">
      <c r="A52" s="812" t="s">
        <v>249</v>
      </c>
      <c r="B52" s="812" t="s">
        <v>301</v>
      </c>
      <c r="C52" s="818">
        <v>18</v>
      </c>
      <c r="D52" s="814">
        <v>18</v>
      </c>
      <c r="E52" s="815"/>
      <c r="F52" s="815"/>
      <c r="G52" s="815"/>
    </row>
    <row r="53" spans="1:7" x14ac:dyDescent="0.25">
      <c r="A53" s="812" t="s">
        <v>249</v>
      </c>
      <c r="B53" s="812" t="s">
        <v>311</v>
      </c>
      <c r="C53" s="813" t="s">
        <v>312</v>
      </c>
      <c r="D53" s="814">
        <v>20</v>
      </c>
      <c r="E53" s="815"/>
      <c r="F53" s="815"/>
      <c r="G53" s="815"/>
    </row>
    <row r="54" spans="1:7" x14ac:dyDescent="0.25">
      <c r="A54" s="812" t="s">
        <v>249</v>
      </c>
      <c r="B54" s="812" t="s">
        <v>313</v>
      </c>
      <c r="C54" s="813">
        <v>10</v>
      </c>
      <c r="D54" s="814">
        <v>10</v>
      </c>
      <c r="E54" s="815"/>
      <c r="F54" s="815"/>
      <c r="G54" s="815"/>
    </row>
    <row r="55" spans="1:7" x14ac:dyDescent="0.25">
      <c r="A55" s="812" t="s">
        <v>249</v>
      </c>
      <c r="B55" s="812" t="s">
        <v>314</v>
      </c>
      <c r="C55" s="818">
        <v>23</v>
      </c>
      <c r="D55" s="814">
        <v>23</v>
      </c>
      <c r="E55" s="815"/>
      <c r="F55" s="815"/>
      <c r="G55" s="815"/>
    </row>
    <row r="56" spans="1:7" x14ac:dyDescent="0.25">
      <c r="A56" s="812" t="s">
        <v>249</v>
      </c>
      <c r="B56" s="812" t="s">
        <v>315</v>
      </c>
      <c r="C56" s="813">
        <v>20</v>
      </c>
      <c r="D56" s="814">
        <v>20</v>
      </c>
      <c r="E56" s="816" t="s">
        <v>219</v>
      </c>
      <c r="F56" s="816" t="s">
        <v>316</v>
      </c>
      <c r="G56" s="815"/>
    </row>
    <row r="57" spans="1:7" x14ac:dyDescent="0.25">
      <c r="A57" s="812" t="s">
        <v>249</v>
      </c>
      <c r="B57" s="812" t="s">
        <v>330</v>
      </c>
      <c r="C57" s="813" t="s">
        <v>331</v>
      </c>
      <c r="D57" s="814">
        <v>13</v>
      </c>
      <c r="E57" s="815"/>
      <c r="F57" s="815"/>
      <c r="G57" s="815"/>
    </row>
    <row r="58" spans="1:7" x14ac:dyDescent="0.25">
      <c r="A58" s="812" t="s">
        <v>249</v>
      </c>
      <c r="B58" s="812" t="s">
        <v>332</v>
      </c>
      <c r="C58" s="813">
        <v>20</v>
      </c>
      <c r="D58" s="820">
        <v>20</v>
      </c>
      <c r="E58" s="815"/>
      <c r="F58" s="815"/>
      <c r="G58" s="815"/>
    </row>
    <row r="59" spans="1:7" x14ac:dyDescent="0.25">
      <c r="A59" s="812" t="s">
        <v>249</v>
      </c>
      <c r="B59" s="812" t="s">
        <v>333</v>
      </c>
      <c r="C59" s="813">
        <v>40</v>
      </c>
      <c r="D59" s="820">
        <v>40</v>
      </c>
      <c r="E59" s="815"/>
      <c r="F59" s="815"/>
      <c r="G59" s="815"/>
    </row>
    <row r="60" spans="1:7" x14ac:dyDescent="0.25">
      <c r="A60" s="812" t="s">
        <v>249</v>
      </c>
      <c r="B60" s="812" t="s">
        <v>339</v>
      </c>
      <c r="C60" s="818">
        <v>15</v>
      </c>
      <c r="D60" s="814">
        <v>15</v>
      </c>
      <c r="E60" s="816" t="s">
        <v>219</v>
      </c>
      <c r="F60" s="816" t="s">
        <v>340</v>
      </c>
      <c r="G60" s="815"/>
    </row>
    <row r="61" spans="1:7" x14ac:dyDescent="0.25">
      <c r="A61" s="812" t="s">
        <v>249</v>
      </c>
      <c r="B61" s="812" t="s">
        <v>341</v>
      </c>
      <c r="C61" s="813">
        <v>12</v>
      </c>
      <c r="D61" s="820">
        <v>12</v>
      </c>
      <c r="E61" s="815"/>
      <c r="F61" s="815"/>
      <c r="G61" s="815"/>
    </row>
    <row r="62" spans="1:7" x14ac:dyDescent="0.25">
      <c r="A62" s="812" t="s">
        <v>249</v>
      </c>
      <c r="B62" s="812" t="s">
        <v>342</v>
      </c>
      <c r="C62" s="813" t="s">
        <v>331</v>
      </c>
      <c r="D62" s="814">
        <v>13</v>
      </c>
      <c r="E62" s="815"/>
      <c r="F62" s="815"/>
      <c r="G62" s="815"/>
    </row>
    <row r="63" spans="1:7" x14ac:dyDescent="0.25">
      <c r="A63" s="812" t="s">
        <v>249</v>
      </c>
      <c r="B63" s="812" t="s">
        <v>410</v>
      </c>
      <c r="C63" s="813">
        <v>17</v>
      </c>
      <c r="D63" s="814">
        <v>17</v>
      </c>
      <c r="E63" s="815" t="s">
        <v>411</v>
      </c>
      <c r="F63" s="815"/>
      <c r="G63" s="815"/>
    </row>
    <row r="64" spans="1:7" x14ac:dyDescent="0.25">
      <c r="A64" s="812" t="s">
        <v>249</v>
      </c>
      <c r="B64" s="812" t="s">
        <v>346</v>
      </c>
      <c r="C64" s="818">
        <v>8</v>
      </c>
      <c r="D64" s="814">
        <v>8</v>
      </c>
      <c r="E64" s="816"/>
      <c r="F64" s="816"/>
      <c r="G64" s="816"/>
    </row>
    <row r="65" spans="1:7" x14ac:dyDescent="0.25">
      <c r="A65" s="812" t="s">
        <v>249</v>
      </c>
      <c r="B65" s="812" t="s">
        <v>347</v>
      </c>
      <c r="C65" s="818">
        <v>8</v>
      </c>
      <c r="D65" s="814">
        <v>8</v>
      </c>
      <c r="E65" s="815"/>
      <c r="F65" s="815"/>
      <c r="G65" s="815"/>
    </row>
    <row r="66" spans="1:7" x14ac:dyDescent="0.25">
      <c r="A66" s="812" t="s">
        <v>249</v>
      </c>
      <c r="B66" s="812" t="s">
        <v>356</v>
      </c>
      <c r="C66" s="813">
        <v>10</v>
      </c>
      <c r="D66" s="814">
        <v>10</v>
      </c>
      <c r="E66" s="816" t="s">
        <v>219</v>
      </c>
      <c r="F66" s="815"/>
      <c r="G66" s="815"/>
    </row>
    <row r="67" spans="1:7" x14ac:dyDescent="0.25">
      <c r="A67" s="812" t="s">
        <v>249</v>
      </c>
      <c r="B67" s="812" t="s">
        <v>357</v>
      </c>
      <c r="C67" s="818">
        <v>20</v>
      </c>
      <c r="D67" s="814">
        <v>20</v>
      </c>
      <c r="E67" s="815"/>
      <c r="F67" s="815"/>
      <c r="G67" s="815"/>
    </row>
    <row r="68" spans="1:7" x14ac:dyDescent="0.25">
      <c r="A68" s="812" t="s">
        <v>249</v>
      </c>
      <c r="B68" s="812" t="s">
        <v>358</v>
      </c>
      <c r="C68" s="818">
        <v>21</v>
      </c>
      <c r="D68" s="814">
        <v>21</v>
      </c>
      <c r="E68" s="815"/>
      <c r="F68" s="815"/>
      <c r="G68" s="815"/>
    </row>
    <row r="69" spans="1:7" x14ac:dyDescent="0.25">
      <c r="A69" s="812" t="s">
        <v>249</v>
      </c>
      <c r="B69" s="812" t="s">
        <v>366</v>
      </c>
      <c r="C69" s="818">
        <v>20</v>
      </c>
      <c r="D69" s="814">
        <v>20</v>
      </c>
      <c r="E69" s="815"/>
      <c r="F69" s="815"/>
      <c r="G69" s="815"/>
    </row>
    <row r="70" spans="1:7" x14ac:dyDescent="0.25">
      <c r="A70" s="812" t="s">
        <v>249</v>
      </c>
      <c r="B70" s="812" t="s">
        <v>367</v>
      </c>
      <c r="C70" s="813">
        <v>35</v>
      </c>
      <c r="D70" s="814">
        <v>35</v>
      </c>
      <c r="E70" s="815"/>
      <c r="F70" s="815"/>
      <c r="G70" s="815"/>
    </row>
    <row r="71" spans="1:7" x14ac:dyDescent="0.25">
      <c r="A71" s="812" t="s">
        <v>249</v>
      </c>
      <c r="B71" s="812" t="s">
        <v>368</v>
      </c>
      <c r="C71" s="813">
        <v>7</v>
      </c>
      <c r="D71" s="814">
        <v>7</v>
      </c>
      <c r="E71" s="815"/>
      <c r="F71" s="815"/>
      <c r="G71" s="815"/>
    </row>
    <row r="72" spans="1:7" x14ac:dyDescent="0.25">
      <c r="A72" s="812" t="s">
        <v>249</v>
      </c>
      <c r="B72" s="812" t="s">
        <v>369</v>
      </c>
      <c r="C72" s="813" t="s">
        <v>324</v>
      </c>
      <c r="D72" s="814">
        <v>14</v>
      </c>
      <c r="E72" s="816" t="s">
        <v>370</v>
      </c>
      <c r="F72" s="815"/>
      <c r="G72" s="815"/>
    </row>
    <row r="73" spans="1:7" x14ac:dyDescent="0.25">
      <c r="A73" s="812" t="s">
        <v>254</v>
      </c>
      <c r="B73" s="812" t="s">
        <v>255</v>
      </c>
      <c r="C73" s="813">
        <f>'[1]Building Lifespan'!$B$2</f>
        <v>63</v>
      </c>
      <c r="D73" s="814">
        <f>$M$6</f>
        <v>63</v>
      </c>
      <c r="E73" s="815"/>
      <c r="F73" s="815"/>
      <c r="G73" s="815"/>
    </row>
    <row r="74" spans="1:7" x14ac:dyDescent="0.25">
      <c r="A74" s="812" t="s">
        <v>254</v>
      </c>
      <c r="B74" s="812" t="s">
        <v>280</v>
      </c>
      <c r="C74" s="813" t="s">
        <v>281</v>
      </c>
      <c r="D74" s="814">
        <v>23</v>
      </c>
      <c r="E74" s="815"/>
      <c r="F74" s="815"/>
      <c r="G74" s="815"/>
    </row>
    <row r="75" spans="1:7" x14ac:dyDescent="0.25">
      <c r="A75" s="812" t="s">
        <v>254</v>
      </c>
      <c r="B75" s="812" t="s">
        <v>256</v>
      </c>
      <c r="C75" s="813">
        <f>'[1]Building Lifespan'!$B$2</f>
        <v>63</v>
      </c>
      <c r="D75" s="814">
        <f>$M$6</f>
        <v>63</v>
      </c>
      <c r="E75" s="815"/>
      <c r="F75" s="815"/>
      <c r="G75" s="815"/>
    </row>
    <row r="76" spans="1:7" x14ac:dyDescent="0.25">
      <c r="A76" s="812" t="s">
        <v>254</v>
      </c>
      <c r="B76" s="812" t="s">
        <v>318</v>
      </c>
      <c r="C76" s="813">
        <v>15</v>
      </c>
      <c r="D76" s="814">
        <v>15</v>
      </c>
      <c r="E76" s="816" t="s">
        <v>219</v>
      </c>
      <c r="F76" s="815"/>
      <c r="G76" s="815"/>
    </row>
    <row r="77" spans="1:7" x14ac:dyDescent="0.25">
      <c r="A77" s="812" t="s">
        <v>254</v>
      </c>
      <c r="B77" s="812" t="s">
        <v>257</v>
      </c>
      <c r="C77" s="813">
        <f>'[1]Building Lifespan'!$B$2</f>
        <v>63</v>
      </c>
      <c r="D77" s="814">
        <f>$M$6</f>
        <v>63</v>
      </c>
      <c r="E77" s="815"/>
      <c r="F77" s="815"/>
      <c r="G77" s="815"/>
    </row>
    <row r="78" spans="1:7" x14ac:dyDescent="0.25">
      <c r="A78" s="812" t="s">
        <v>254</v>
      </c>
      <c r="B78" s="812" t="s">
        <v>258</v>
      </c>
      <c r="C78" s="813">
        <f>'[1]Building Lifespan'!$B$2</f>
        <v>63</v>
      </c>
      <c r="D78" s="814">
        <f>$M$6</f>
        <v>63</v>
      </c>
      <c r="E78" s="815"/>
      <c r="F78" s="815"/>
      <c r="G78" s="815"/>
    </row>
    <row r="79" spans="1:7" x14ac:dyDescent="0.25">
      <c r="A79" s="812" t="s">
        <v>254</v>
      </c>
      <c r="B79" s="812" t="s">
        <v>259</v>
      </c>
      <c r="C79" s="813">
        <f>'[1]Building Lifespan'!$B$2</f>
        <v>63</v>
      </c>
      <c r="D79" s="814">
        <f>$M$6</f>
        <v>63</v>
      </c>
      <c r="E79" s="815"/>
      <c r="F79" s="815"/>
      <c r="G79" s="815"/>
    </row>
    <row r="80" spans="1:7" x14ac:dyDescent="0.25">
      <c r="A80" s="812" t="s">
        <v>254</v>
      </c>
      <c r="B80" s="812" t="s">
        <v>263</v>
      </c>
      <c r="C80" s="813">
        <v>50</v>
      </c>
      <c r="D80" s="814">
        <v>50</v>
      </c>
      <c r="E80" s="815"/>
      <c r="F80" s="815"/>
      <c r="G80" s="815"/>
    </row>
    <row r="81" spans="1:7" x14ac:dyDescent="0.25">
      <c r="A81" s="812" t="s">
        <v>254</v>
      </c>
      <c r="B81" s="812" t="s">
        <v>260</v>
      </c>
      <c r="C81" s="813">
        <f>'[1]Building Lifespan'!$B$2</f>
        <v>63</v>
      </c>
      <c r="D81" s="814">
        <f>$M$6</f>
        <v>63</v>
      </c>
      <c r="E81" s="815"/>
      <c r="F81" s="815"/>
      <c r="G81" s="815"/>
    </row>
    <row r="82" spans="1:7" x14ac:dyDescent="0.25">
      <c r="A82" s="812" t="s">
        <v>254</v>
      </c>
      <c r="B82" s="812" t="s">
        <v>317</v>
      </c>
      <c r="C82" s="813">
        <v>15</v>
      </c>
      <c r="D82" s="814">
        <v>15</v>
      </c>
      <c r="E82" s="816" t="s">
        <v>219</v>
      </c>
      <c r="F82" s="815"/>
      <c r="G82" s="815"/>
    </row>
    <row r="83" spans="1:7" x14ac:dyDescent="0.25">
      <c r="A83" s="812" t="s">
        <v>254</v>
      </c>
      <c r="B83" s="812" t="s">
        <v>261</v>
      </c>
      <c r="C83" s="813">
        <f>'[1]Building Lifespan'!$B$2</f>
        <v>63</v>
      </c>
      <c r="D83" s="814">
        <f>$M$6</f>
        <v>63</v>
      </c>
      <c r="E83" s="815"/>
      <c r="F83" s="815"/>
      <c r="G83" s="815"/>
    </row>
    <row r="84" spans="1:7" x14ac:dyDescent="0.25">
      <c r="A84" s="812" t="s">
        <v>254</v>
      </c>
      <c r="B84" s="812" t="s">
        <v>262</v>
      </c>
      <c r="C84" s="813">
        <f>'[1]Building Lifespan'!$B$2</f>
        <v>63</v>
      </c>
      <c r="D84" s="814">
        <f>$M$6</f>
        <v>63</v>
      </c>
      <c r="E84" s="815"/>
      <c r="F84" s="815"/>
      <c r="G84" s="815"/>
    </row>
    <row r="85" spans="1:7" x14ac:dyDescent="0.25">
      <c r="A85" s="812" t="s">
        <v>297</v>
      </c>
      <c r="B85" s="812" t="s">
        <v>298</v>
      </c>
      <c r="C85" s="813">
        <v>20</v>
      </c>
      <c r="D85" s="814">
        <v>20</v>
      </c>
      <c r="E85" s="815"/>
      <c r="F85" s="815"/>
      <c r="G85" s="815"/>
    </row>
    <row r="86" spans="1:7" x14ac:dyDescent="0.25">
      <c r="A86" s="812" t="s">
        <v>272</v>
      </c>
      <c r="B86" s="812" t="s">
        <v>299</v>
      </c>
      <c r="C86" s="813">
        <v>20</v>
      </c>
      <c r="D86" s="814">
        <v>20</v>
      </c>
      <c r="E86" s="815"/>
      <c r="F86" s="815"/>
      <c r="G86" s="815"/>
    </row>
    <row r="87" spans="1:7" ht="25" x14ac:dyDescent="0.25">
      <c r="A87" s="812" t="s">
        <v>272</v>
      </c>
      <c r="B87" s="812" t="s">
        <v>334</v>
      </c>
      <c r="C87" s="813" t="s">
        <v>291</v>
      </c>
      <c r="D87" s="814">
        <v>14</v>
      </c>
      <c r="E87" s="815"/>
      <c r="F87" s="816" t="s">
        <v>335</v>
      </c>
      <c r="G87" s="815"/>
    </row>
    <row r="88" spans="1:7" x14ac:dyDescent="0.25">
      <c r="A88" s="812" t="s">
        <v>272</v>
      </c>
      <c r="B88" s="812" t="s">
        <v>319</v>
      </c>
      <c r="C88" s="813">
        <v>15</v>
      </c>
      <c r="D88" s="814">
        <v>15</v>
      </c>
      <c r="E88" s="815"/>
      <c r="F88" s="815"/>
      <c r="G88" s="815"/>
    </row>
    <row r="89" spans="1:7" x14ac:dyDescent="0.25">
      <c r="A89" s="812" t="s">
        <v>272</v>
      </c>
      <c r="B89" s="812" t="s">
        <v>273</v>
      </c>
      <c r="C89" s="813">
        <v>30</v>
      </c>
      <c r="D89" s="814">
        <v>30</v>
      </c>
      <c r="E89" s="815"/>
      <c r="F89" s="815"/>
      <c r="G89" s="815"/>
    </row>
  </sheetData>
  <autoFilter ref="A1:G89" xr:uid="{1A206AD0-5A06-46C9-8E4F-BB5D672D771F}">
    <sortState xmlns:xlrd2="http://schemas.microsoft.com/office/spreadsheetml/2017/richdata2" ref="A2:G89">
      <sortCondition ref="A2:A89"/>
      <sortCondition ref="B2:B89"/>
    </sortState>
  </autoFilter>
  <mergeCells count="1">
    <mergeCell ref="L3:L5"/>
  </mergeCells>
  <hyperlinks>
    <hyperlink ref="E76" r:id="rId1" location=":~:text=Ducts%20are%20designed%20to%20last,something%20about%20it%2C%20the%20better." xr:uid="{66992976-CD39-4453-8304-EB6D86654588}"/>
    <hyperlink ref="E82" r:id="rId2" xr:uid="{90A5C6B8-5965-4FA7-84B1-A6EADF64F3F2}"/>
    <hyperlink ref="E46" r:id="rId3" location=":~:text=High%2Defficiency%20boilers%2C%20such%20as,20%20if%20cared%20for%20right." xr:uid="{7DFE2D19-DC03-4B06-A9D1-6F591E776E00}"/>
    <hyperlink ref="E60" r:id="rId4" location=":~:text=In%20contrast%2C%20heat%20pump%20water,replace%20your%20existing%20water%20heater." xr:uid="{460DDB67-1730-41AF-9CF4-0F05B66367C3}"/>
    <hyperlink ref="E35" r:id="rId5" xr:uid="{B6DD1AE0-2E92-47BE-8C81-36B370E8F473}"/>
    <hyperlink ref="E56" r:id="rId6" xr:uid="{1321CAFE-787E-433A-A884-B519C2A4F601}"/>
    <hyperlink ref="E66" r:id="rId7" location=":~:text=They%20generally%20last%20about%2010,%2C%20wiring%20issues%2C%20and%20rusting." xr:uid="{185759B9-98AF-4D10-A132-F7E635E0C4DD}"/>
    <hyperlink ref="E18" r:id="rId8" location=":~:text=By%20properly%20recycling%20your%20old,year%20lifetime%20of%20the%20product." xr:uid="{5EC284DF-7982-4AA0-9714-E7D5B7AA0701}"/>
    <hyperlink ref="F6" r:id="rId9" xr:uid="{E39DDE0A-C9A1-43B5-B924-226C339391EF}"/>
    <hyperlink ref="F87" r:id="rId10" xr:uid="{7A595184-0D9D-4821-8FA1-F1C796A5C60A}"/>
    <hyperlink ref="E20" r:id="rId11" display="https://www.statista.com/statistics/220020/average-life-expectancy-of-major-household-appliances/" xr:uid="{7F988526-43ED-42E4-8DFF-AF7DA8A2F118}"/>
    <hyperlink ref="E16" r:id="rId12" display="9 or 10" xr:uid="{514C6FE2-0914-40F0-A1F9-73947D9AED1E}"/>
    <hyperlink ref="E8" r:id="rId13" xr:uid="{8549C011-EB19-4C3A-B667-BFAAE033E1EC}"/>
    <hyperlink ref="E9" r:id="rId14" display="12 or 13 " xr:uid="{D82CFBC4-A76C-47CB-9635-FCDB03B83510}"/>
    <hyperlink ref="E10" r:id="rId15" display="13 to 15" xr:uid="{E1C76734-394F-4DD1-A561-9C46958CC350}"/>
    <hyperlink ref="E13" r:id="rId16" xr:uid="{6845646E-6294-4AFB-A7A4-8E7B61B31F8B}"/>
    <hyperlink ref="F46" r:id="rId17" xr:uid="{685F11E5-A5C8-4C7E-9839-601C066F34AD}"/>
    <hyperlink ref="E31" r:id="rId18" xr:uid="{8414DBC2-05E8-4147-AF05-E4A4DE1BA948}"/>
    <hyperlink ref="F31" r:id="rId19" location=":~:text=How%20Long%20Will%20Solar%20Batteries,25%20to%2030%2B%20year%20lifespan.&amp;text=How%20Do%20Batteries%20for%20Solar%20Systems%20Work%3F" xr:uid="{416EBDCC-8BE3-4F11-91C1-15DD29B13FF7}"/>
    <hyperlink ref="E33" r:id="rId20" location=":~:text=The%20standards%20do%20not%20require,about%2015%20to%2020%20years." xr:uid="{88301B9F-66A8-46E3-B402-5CF12090E6BE}"/>
    <hyperlink ref="F33" r:id="rId21" xr:uid="{CCF3A65F-61E7-48F5-9918-18A365D8C815}"/>
    <hyperlink ref="E6" r:id="rId22" xr:uid="{82F28525-E357-4E66-A661-B273DE6BC647}"/>
    <hyperlink ref="E19" r:id="rId23" xr:uid="{42762A39-ACAF-49AA-B618-2BFB877D1CD6}"/>
    <hyperlink ref="F56" r:id="rId24" xr:uid="{F38523E0-A49E-4812-9E39-94F69F68AD22}"/>
    <hyperlink ref="E72" r:id="rId25" xr:uid="{6EC1B6A6-C8C9-4377-BDB8-ECF35398FBD4}"/>
    <hyperlink ref="F60" r:id="rId26" display="https://www.eia.gov/analysis/studies/buildings/equipcosts/pdf/appendix-a.pdf" xr:uid="{14CD2178-72C2-4BED-9183-2995BF7425FF}"/>
    <hyperlink ref="E11" r:id="rId27" display="https://www.eia.gov/analysis/studies/buildings/equipcosts/pdf/appendix-a.pdf" xr:uid="{C67B6AC2-D291-4D5C-979D-15E62C29A791}"/>
    <hyperlink ref="F18" r:id="rId28" display="https://www.eia.gov/analysis/studies/buildings/equipcosts/pdf/appendix-a.pdf" xr:uid="{9F6C94A2-4B78-4FE3-A3CF-5B7889911B1A}"/>
    <hyperlink ref="F13" r:id="rId29" display="https://www.eia.gov/analysis/studies/buildings/equipcosts/pdf/appendix-a.pdf" xr:uid="{EF0E64C1-92DC-4FDA-B558-C02A3DE884BC}"/>
    <hyperlink ref="F10" r:id="rId30" display="https://www.eia.gov/analysis/studies/buildings/equipcosts/pdf/appendix-a.pdf" xr:uid="{511D668D-36F7-4FC8-82EF-6B275CCEFE04}"/>
    <hyperlink ref="F9" r:id="rId31" xr:uid="{69892B29-3094-44F2-9E0C-A6D4C1F03F39}"/>
    <hyperlink ref="F20" r:id="rId32" xr:uid="{02EADAEF-EA07-4674-A4C7-4B2D18998CC8}"/>
    <hyperlink ref="F8" r:id="rId33" display="https://www.eia.gov/analysis/studies/buildings/equipcosts/pdf/appendix-a.pdf" xr:uid="{9284D2F4-FFA6-4CC9-AAD5-DBA55F7091F7}"/>
    <hyperlink ref="C55" r:id="rId34" display="https://www.eia.gov/analysis/studies/buildings/equipcosts/pdf/appendix-a.pdf" xr:uid="{5584B7FB-7989-47EF-8020-B6B5C89F4FC5}"/>
    <hyperlink ref="C52" r:id="rId35" display="https://www.eia.gov/analysis/studies/buildings/equipcosts/pdf/appendix-a.pdf" xr:uid="{13452A1B-AB6D-453C-BE29-99C9ACC62891}"/>
    <hyperlink ref="C38" r:id="rId36" display="https://www.eia.gov/analysis/studies/buildings/equipcosts/pdf/appendix-a.pdf" xr:uid="{0C3C253D-08B5-45C0-A422-EB7DD169C17F}"/>
    <hyperlink ref="E39" r:id="rId37" xr:uid="{CF857183-C6C2-4DC4-BF09-ADB1E15F6E29}"/>
    <hyperlink ref="C41" r:id="rId38" display="https://www.eia.gov/analysis/studies/buildings/equipcosts/pdf/appendix-a.pdf" xr:uid="{2253670B-1FB4-495F-A474-E1B0F1106492}"/>
    <hyperlink ref="C67" r:id="rId39" display="https://www.eia.gov/analysis/studies/buildings/equipcosts/pdf/appendix-a.pdf" xr:uid="{2C3C6723-D14A-4779-9825-D6915638A40C}"/>
    <hyperlink ref="C69" r:id="rId40" display="https://www.eia.gov/analysis/studies/buildings/equipcosts/pdf/appendix-a.pdf" xr:uid="{BF58D536-7FDB-48C3-BE48-A16F5CAB9F49}"/>
    <hyperlink ref="G33" r:id="rId41" display="https://www.eia.gov/analysis/studies/buildings/equipcosts/pdf/appendix-a.pdf" xr:uid="{3131759E-1D0B-4675-92D8-1CE1838E40BC}"/>
    <hyperlink ref="C68" r:id="rId42" display="https://www.eia.gov/analysis/studies/buildings/equipcosts/pdf/appendix-a.pdf" xr:uid="{FDF287B7-E8D9-4617-BAEE-927146B219E4}"/>
    <hyperlink ref="C64" r:id="rId43" display="https://www.eia.gov/analysis/studies/buildings/equipcosts/pdf/appendix-a.pdf" xr:uid="{FD4EA3A3-B14F-4DE8-B1C4-906281F4C525}"/>
    <hyperlink ref="C65" r:id="rId44" display="https://www.eia.gov/analysis/studies/buildings/equipcosts/pdf/appendix-a.pdf" xr:uid="{58355713-4B2E-4FC4-80F9-56F11EC265A4}"/>
    <hyperlink ref="C42" r:id="rId45" display="https://www.eia.gov/analysis/studies/buildings/equipcosts/pdf/appendix-a.pdf" xr:uid="{27FF9CC4-2428-40AA-9FA0-FB75C1CC3DB8}"/>
    <hyperlink ref="C60" r:id="rId46" display="https://www.eia.gov/analysis/studies/buildings/equipcosts/pdf/appendix-a.pdf" xr:uid="{962F9D00-6C8B-4A9C-A62A-A283955B8795}"/>
    <hyperlink ref="C43" r:id="rId47" display="https://www.eia.gov/analysis/studies/buildings/equipcosts/pdf/appendix-a.pdf" xr:uid="{7E14F8DB-46A9-4EAB-A126-659032F1D0DF}"/>
    <hyperlink ref="G13" r:id="rId48" xr:uid="{D30E8F11-6E71-49A8-A568-AB1E812F3324}"/>
    <hyperlink ref="G10" r:id="rId49" xr:uid="{71B02D51-576F-46CB-886D-C88510AA7DD3}"/>
    <hyperlink ref="L1" r:id="rId50" xr:uid="{7ADF3137-7C4F-4855-ADB7-9159FE875366}"/>
    <hyperlink ref="N6" r:id="rId51" location=":~:text=The%20average%20lifespan%20of%20a,across%20multiple%20disciplines%20and%20media." xr:uid="{9A5918DE-8AE7-40B9-9A4C-81E7C8C75A2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indexed="22"/>
  </sheetPr>
  <dimension ref="A1:AQ145"/>
  <sheetViews>
    <sheetView workbookViewId="0"/>
  </sheetViews>
  <sheetFormatPr defaultColWidth="9.08984375" defaultRowHeight="10.5" x14ac:dyDescent="0.25"/>
  <cols>
    <col min="1" max="1" width="35.81640625" style="40" bestFit="1" customWidth="1"/>
    <col min="2" max="2" width="4.7265625" style="40" customWidth="1"/>
    <col min="3" max="3" width="4.81640625" style="40" bestFit="1" customWidth="1"/>
    <col min="4" max="4" width="4.81640625" style="40" customWidth="1"/>
    <col min="5" max="5" width="0.7265625" style="40" customWidth="1"/>
    <col min="6" max="7" width="6.08984375" style="40" customWidth="1"/>
    <col min="8" max="8" width="6.7265625" style="40" customWidth="1"/>
    <col min="9" max="9" width="6.81640625" style="40" bestFit="1" customWidth="1"/>
    <col min="10" max="10" width="9.08984375" style="40"/>
    <col min="11" max="11" width="2.26953125" style="40" customWidth="1"/>
    <col min="12" max="12" width="35.81640625" style="40" bestFit="1" customWidth="1"/>
    <col min="13" max="13" width="4.7265625" style="40" customWidth="1"/>
    <col min="14" max="14" width="4.81640625" style="40" bestFit="1" customWidth="1"/>
    <col min="15" max="15" width="4.81640625" style="40" customWidth="1"/>
    <col min="16" max="16" width="0.7265625" style="40" customWidth="1"/>
    <col min="17" max="18" width="6.08984375" style="40" customWidth="1"/>
    <col min="19" max="19" width="6.7265625" style="40" customWidth="1"/>
    <col min="20" max="20" width="5.81640625" style="40" bestFit="1" customWidth="1"/>
    <col min="21" max="21" width="9.08984375" style="40"/>
    <col min="22" max="22" width="2.26953125" style="40" customWidth="1"/>
    <col min="23" max="23" width="35.81640625" style="40" bestFit="1" customWidth="1"/>
    <col min="24" max="24" width="4.7265625" style="40" customWidth="1"/>
    <col min="25" max="25" width="4.81640625" style="40" bestFit="1" customWidth="1"/>
    <col min="26" max="26" width="4.81640625" style="40" customWidth="1"/>
    <col min="27" max="27" width="0.7265625" style="40" customWidth="1"/>
    <col min="28" max="29" width="6.08984375" style="40" customWidth="1"/>
    <col min="30" max="30" width="6.7265625" style="40" customWidth="1"/>
    <col min="31" max="31" width="5.81640625" style="40" bestFit="1" customWidth="1"/>
    <col min="32" max="32" width="9.08984375" style="40"/>
    <col min="33" max="33" width="2.26953125" style="40" customWidth="1"/>
    <col min="34" max="34" width="35.81640625" style="40" bestFit="1" customWidth="1"/>
    <col min="35" max="35" width="4.7265625" style="40" customWidth="1"/>
    <col min="36" max="36" width="4.81640625" style="40" bestFit="1" customWidth="1"/>
    <col min="37" max="37" width="4.81640625" style="40" customWidth="1"/>
    <col min="38" max="38" width="0.7265625" style="40" customWidth="1"/>
    <col min="39" max="40" width="6.08984375" style="40" customWidth="1"/>
    <col min="41" max="41" width="6.7265625" style="40" customWidth="1"/>
    <col min="42" max="42" width="5.81640625" style="40" bestFit="1" customWidth="1"/>
    <col min="43" max="16384" width="9.08984375" style="40"/>
  </cols>
  <sheetData>
    <row r="1" spans="1:43" ht="35.25" customHeight="1" x14ac:dyDescent="0.5">
      <c r="A1" s="71" t="s">
        <v>81</v>
      </c>
      <c r="J1" s="82"/>
      <c r="L1" s="71" t="s">
        <v>82</v>
      </c>
      <c r="W1" s="71" t="s">
        <v>88</v>
      </c>
      <c r="AH1" s="71" t="s">
        <v>91</v>
      </c>
    </row>
    <row r="2" spans="1:43" ht="11" thickBot="1" x14ac:dyDescent="0.3"/>
    <row r="3" spans="1:43" ht="11" thickBot="1" x14ac:dyDescent="0.3">
      <c r="A3" s="84"/>
      <c r="B3" s="69" t="s">
        <v>34</v>
      </c>
      <c r="C3" s="86" t="s">
        <v>44</v>
      </c>
      <c r="D3" s="945" t="e">
        <f>#REF!</f>
        <v>#REF!</v>
      </c>
      <c r="E3" s="947"/>
      <c r="F3" s="945"/>
      <c r="G3" s="945"/>
      <c r="H3" s="945"/>
      <c r="I3" s="945"/>
      <c r="J3" s="946"/>
      <c r="L3" s="84"/>
      <c r="M3" s="69" t="s">
        <v>34</v>
      </c>
      <c r="N3" s="86" t="s">
        <v>45</v>
      </c>
      <c r="O3" s="945" t="e">
        <f>#REF!</f>
        <v>#REF!</v>
      </c>
      <c r="P3" s="945"/>
      <c r="Q3" s="945"/>
      <c r="R3" s="945"/>
      <c r="S3" s="945"/>
      <c r="T3" s="945"/>
      <c r="U3" s="946"/>
      <c r="W3" s="68"/>
      <c r="X3" s="69" t="s">
        <v>34</v>
      </c>
      <c r="Y3" s="86" t="s">
        <v>54</v>
      </c>
      <c r="Z3" s="945" t="e">
        <f>#REF!</f>
        <v>#REF!</v>
      </c>
      <c r="AA3" s="945"/>
      <c r="AB3" s="945"/>
      <c r="AC3" s="945"/>
      <c r="AD3" s="945"/>
      <c r="AE3" s="945"/>
      <c r="AF3" s="946"/>
      <c r="AH3" s="68"/>
      <c r="AI3" s="69" t="s">
        <v>34</v>
      </c>
      <c r="AJ3" s="86" t="s">
        <v>83</v>
      </c>
      <c r="AK3" s="945" t="e">
        <f>#REF!</f>
        <v>#REF!</v>
      </c>
      <c r="AL3" s="945"/>
      <c r="AM3" s="945"/>
      <c r="AN3" s="945"/>
      <c r="AO3" s="945"/>
      <c r="AP3" s="945"/>
      <c r="AQ3" s="946"/>
    </row>
    <row r="4" spans="1:43" ht="11" thickBot="1" x14ac:dyDescent="0.3">
      <c r="A4" s="51" t="s">
        <v>75</v>
      </c>
      <c r="B4" s="52" t="s">
        <v>76</v>
      </c>
      <c r="C4" s="52" t="s">
        <v>77</v>
      </c>
      <c r="D4" s="53" t="s">
        <v>78</v>
      </c>
      <c r="E4" s="47"/>
      <c r="F4" s="54" t="s">
        <v>39</v>
      </c>
      <c r="G4" s="52" t="s">
        <v>40</v>
      </c>
      <c r="H4" s="52" t="s">
        <v>79</v>
      </c>
      <c r="I4" s="55" t="s">
        <v>41</v>
      </c>
      <c r="J4" s="50" t="s">
        <v>80</v>
      </c>
      <c r="L4" s="51" t="s">
        <v>75</v>
      </c>
      <c r="M4" s="52" t="s">
        <v>76</v>
      </c>
      <c r="N4" s="52" t="s">
        <v>77</v>
      </c>
      <c r="O4" s="53" t="s">
        <v>78</v>
      </c>
      <c r="P4" s="47"/>
      <c r="Q4" s="54" t="s">
        <v>39</v>
      </c>
      <c r="R4" s="52" t="s">
        <v>40</v>
      </c>
      <c r="S4" s="52" t="s">
        <v>79</v>
      </c>
      <c r="T4" s="55" t="s">
        <v>41</v>
      </c>
      <c r="U4" s="50" t="s">
        <v>80</v>
      </c>
      <c r="W4" s="51" t="s">
        <v>75</v>
      </c>
      <c r="X4" s="52" t="s">
        <v>76</v>
      </c>
      <c r="Y4" s="52" t="s">
        <v>77</v>
      </c>
      <c r="Z4" s="53" t="s">
        <v>78</v>
      </c>
      <c r="AA4" s="47"/>
      <c r="AB4" s="54" t="s">
        <v>39</v>
      </c>
      <c r="AC4" s="52" t="s">
        <v>40</v>
      </c>
      <c r="AD4" s="52" t="s">
        <v>79</v>
      </c>
      <c r="AE4" s="55" t="s">
        <v>41</v>
      </c>
      <c r="AF4" s="50" t="s">
        <v>80</v>
      </c>
      <c r="AH4" s="51" t="s">
        <v>75</v>
      </c>
      <c r="AI4" s="52" t="s">
        <v>76</v>
      </c>
      <c r="AJ4" s="52" t="s">
        <v>77</v>
      </c>
      <c r="AK4" s="53" t="s">
        <v>78</v>
      </c>
      <c r="AL4" s="47"/>
      <c r="AM4" s="54" t="s">
        <v>39</v>
      </c>
      <c r="AN4" s="52" t="s">
        <v>40</v>
      </c>
      <c r="AO4" s="52" t="s">
        <v>79</v>
      </c>
      <c r="AP4" s="55" t="s">
        <v>41</v>
      </c>
      <c r="AQ4" s="50" t="s">
        <v>80</v>
      </c>
    </row>
    <row r="5" spans="1:43" x14ac:dyDescent="0.25">
      <c r="A5" s="56" t="s">
        <v>92</v>
      </c>
      <c r="B5" s="57" t="s">
        <v>99</v>
      </c>
      <c r="C5" s="58" t="s">
        <v>100</v>
      </c>
      <c r="D5" s="72">
        <v>288</v>
      </c>
      <c r="E5" s="59"/>
      <c r="F5" s="60">
        <v>1800</v>
      </c>
      <c r="G5" s="60" t="s">
        <v>97</v>
      </c>
      <c r="H5" s="61"/>
      <c r="I5" s="76">
        <v>0.35</v>
      </c>
      <c r="J5" s="78">
        <f t="shared" ref="J5:J12" si="0">F5*(H5+I5)</f>
        <v>630</v>
      </c>
      <c r="L5" s="56" t="s">
        <v>98</v>
      </c>
      <c r="M5" s="57" t="s">
        <v>99</v>
      </c>
      <c r="N5" s="58" t="s">
        <v>100</v>
      </c>
      <c r="O5" s="72">
        <v>288</v>
      </c>
      <c r="P5" s="59"/>
      <c r="Q5" s="60">
        <v>80</v>
      </c>
      <c r="R5" s="60" t="s">
        <v>97</v>
      </c>
      <c r="S5" s="61"/>
      <c r="T5" s="76">
        <v>0.35</v>
      </c>
      <c r="U5" s="78">
        <f>Q5*(S5+T5)</f>
        <v>28</v>
      </c>
      <c r="W5" s="56"/>
      <c r="X5" s="57"/>
      <c r="Y5" s="58"/>
      <c r="Z5" s="72"/>
      <c r="AA5" s="59"/>
      <c r="AB5" s="119"/>
      <c r="AC5" s="60"/>
      <c r="AD5" s="61"/>
      <c r="AE5" s="120"/>
      <c r="AF5" s="78">
        <f>AB5*(AD5+AE5)</f>
        <v>0</v>
      </c>
      <c r="AH5" s="56"/>
      <c r="AI5" s="57"/>
      <c r="AJ5" s="58"/>
      <c r="AK5" s="72"/>
      <c r="AL5" s="59"/>
      <c r="AM5" s="119"/>
      <c r="AN5" s="60"/>
      <c r="AO5" s="121"/>
      <c r="AP5" s="122"/>
      <c r="AQ5" s="78">
        <f>AM5*(AO5+AP5)</f>
        <v>0</v>
      </c>
    </row>
    <row r="6" spans="1:43" x14ac:dyDescent="0.25">
      <c r="A6" s="107" t="s">
        <v>93</v>
      </c>
      <c r="B6" s="41"/>
      <c r="C6" s="42"/>
      <c r="D6" s="113"/>
      <c r="E6" s="130"/>
      <c r="F6" s="108">
        <v>1</v>
      </c>
      <c r="G6" s="108" t="s">
        <v>116</v>
      </c>
      <c r="H6" s="109">
        <v>2800</v>
      </c>
      <c r="I6" s="131">
        <v>2200</v>
      </c>
      <c r="J6" s="111">
        <f t="shared" si="0"/>
        <v>5000</v>
      </c>
      <c r="L6" s="62" t="s">
        <v>114</v>
      </c>
      <c r="M6" s="41" t="s">
        <v>104</v>
      </c>
      <c r="N6" s="42" t="s">
        <v>100</v>
      </c>
      <c r="O6" s="74">
        <v>482</v>
      </c>
      <c r="P6" s="48"/>
      <c r="Q6" s="43">
        <f>(4+4)*20</f>
        <v>160</v>
      </c>
      <c r="R6" s="43" t="s">
        <v>108</v>
      </c>
      <c r="S6" s="44"/>
      <c r="T6" s="77">
        <v>2.12</v>
      </c>
      <c r="U6" s="79">
        <f t="shared" ref="U6:U11" si="1">Q6*(S6+T6)</f>
        <v>339.20000000000005</v>
      </c>
      <c r="W6" s="73"/>
      <c r="X6" s="41"/>
      <c r="Y6" s="42"/>
      <c r="Z6" s="74"/>
      <c r="AA6" s="48"/>
      <c r="AB6" s="108"/>
      <c r="AC6" s="108"/>
      <c r="AD6" s="109"/>
      <c r="AE6" s="110"/>
      <c r="AF6" s="79">
        <f t="shared" ref="AF6:AF11" si="2">AB6*(AD6+AE6)</f>
        <v>0</v>
      </c>
      <c r="AH6" s="73"/>
      <c r="AI6" s="41"/>
      <c r="AJ6" s="42"/>
      <c r="AK6" s="74"/>
      <c r="AL6" s="48"/>
      <c r="AM6" s="108"/>
      <c r="AN6" s="108"/>
      <c r="AO6" s="123"/>
      <c r="AP6" s="124"/>
      <c r="AQ6" s="79">
        <f t="shared" ref="AQ6:AQ11" si="3">AM6*(AO6+AP6)</f>
        <v>0</v>
      </c>
    </row>
    <row r="7" spans="1:43" x14ac:dyDescent="0.25">
      <c r="A7" s="94" t="s">
        <v>94</v>
      </c>
      <c r="B7" s="41" t="s">
        <v>99</v>
      </c>
      <c r="C7" s="42" t="s">
        <v>100</v>
      </c>
      <c r="D7" s="74">
        <v>288</v>
      </c>
      <c r="E7" s="48"/>
      <c r="F7" s="108">
        <v>1800</v>
      </c>
      <c r="G7" s="108" t="s">
        <v>97</v>
      </c>
      <c r="H7" s="109"/>
      <c r="I7" s="110">
        <v>0.35</v>
      </c>
      <c r="J7" s="79">
        <f t="shared" si="0"/>
        <v>630</v>
      </c>
      <c r="L7" s="62" t="s">
        <v>102</v>
      </c>
      <c r="M7" s="41" t="s">
        <v>104</v>
      </c>
      <c r="N7" s="42" t="s">
        <v>107</v>
      </c>
      <c r="O7" s="74">
        <v>493</v>
      </c>
      <c r="P7" s="48"/>
      <c r="Q7" s="43">
        <f>(3*4)*20</f>
        <v>240</v>
      </c>
      <c r="R7" s="43" t="s">
        <v>108</v>
      </c>
      <c r="S7" s="44">
        <v>3.17</v>
      </c>
      <c r="T7" s="77">
        <v>5.9</v>
      </c>
      <c r="U7" s="79">
        <f t="shared" si="1"/>
        <v>2176.8000000000002</v>
      </c>
      <c r="W7" s="62"/>
      <c r="X7" s="41"/>
      <c r="Y7" s="42"/>
      <c r="Z7" s="74"/>
      <c r="AA7" s="48"/>
      <c r="AB7" s="43"/>
      <c r="AC7" s="43"/>
      <c r="AD7" s="44"/>
      <c r="AE7" s="77"/>
      <c r="AF7" s="79">
        <f t="shared" si="2"/>
        <v>0</v>
      </c>
      <c r="AH7" s="62"/>
      <c r="AI7" s="41"/>
      <c r="AJ7" s="42"/>
      <c r="AK7" s="74"/>
      <c r="AL7" s="48"/>
      <c r="AM7" s="43"/>
      <c r="AN7" s="43"/>
      <c r="AO7" s="44"/>
      <c r="AP7" s="77"/>
      <c r="AQ7" s="79">
        <f t="shared" si="3"/>
        <v>0</v>
      </c>
    </row>
    <row r="8" spans="1:43" x14ac:dyDescent="0.25">
      <c r="A8" s="73"/>
      <c r="B8" s="41"/>
      <c r="C8" s="42"/>
      <c r="D8" s="113"/>
      <c r="E8" s="48"/>
      <c r="F8" s="101"/>
      <c r="G8" s="43"/>
      <c r="H8" s="44"/>
      <c r="I8" s="102"/>
      <c r="J8" s="79">
        <f t="shared" si="0"/>
        <v>0</v>
      </c>
      <c r="L8" s="62" t="s">
        <v>112</v>
      </c>
      <c r="M8" s="41" t="s">
        <v>104</v>
      </c>
      <c r="N8" s="42" t="s">
        <v>113</v>
      </c>
      <c r="O8" s="74">
        <v>499</v>
      </c>
      <c r="P8" s="130"/>
      <c r="Q8" s="43">
        <f>3*4</f>
        <v>12</v>
      </c>
      <c r="R8" s="43" t="s">
        <v>101</v>
      </c>
      <c r="S8" s="44">
        <v>92</v>
      </c>
      <c r="T8" s="102">
        <v>35.5</v>
      </c>
      <c r="U8" s="79">
        <f t="shared" si="1"/>
        <v>1530</v>
      </c>
      <c r="W8" s="62"/>
      <c r="X8" s="41"/>
      <c r="Y8" s="42"/>
      <c r="Z8" s="74"/>
      <c r="AA8" s="48"/>
      <c r="AB8" s="43"/>
      <c r="AC8" s="43"/>
      <c r="AD8" s="44"/>
      <c r="AE8" s="77"/>
      <c r="AF8" s="79">
        <f t="shared" si="2"/>
        <v>0</v>
      </c>
      <c r="AH8" s="62"/>
      <c r="AI8" s="41"/>
      <c r="AJ8" s="42"/>
      <c r="AK8" s="74"/>
      <c r="AL8" s="48"/>
      <c r="AM8" s="43"/>
      <c r="AN8" s="43"/>
      <c r="AO8" s="44"/>
      <c r="AP8" s="77"/>
      <c r="AQ8" s="79">
        <f t="shared" si="3"/>
        <v>0</v>
      </c>
    </row>
    <row r="9" spans="1:43" x14ac:dyDescent="0.25">
      <c r="A9" s="62"/>
      <c r="B9" s="41"/>
      <c r="C9" s="42"/>
      <c r="D9" s="113"/>
      <c r="E9" s="48"/>
      <c r="F9" s="108"/>
      <c r="G9" s="108"/>
      <c r="H9" s="109"/>
      <c r="I9" s="110"/>
      <c r="J9" s="79">
        <f t="shared" si="0"/>
        <v>0</v>
      </c>
      <c r="L9" s="107" t="s">
        <v>115</v>
      </c>
      <c r="M9" s="41" t="s">
        <v>99</v>
      </c>
      <c r="N9" s="42" t="s">
        <v>100</v>
      </c>
      <c r="O9" s="74">
        <v>288</v>
      </c>
      <c r="P9" s="48"/>
      <c r="Q9" s="108">
        <v>80</v>
      </c>
      <c r="R9" s="108" t="s">
        <v>97</v>
      </c>
      <c r="S9" s="109"/>
      <c r="T9" s="110">
        <v>0.35</v>
      </c>
      <c r="U9" s="79">
        <f t="shared" si="1"/>
        <v>28</v>
      </c>
      <c r="W9" s="62"/>
      <c r="X9" s="41"/>
      <c r="Y9" s="42"/>
      <c r="Z9" s="74"/>
      <c r="AA9" s="48"/>
      <c r="AB9" s="43"/>
      <c r="AC9" s="43"/>
      <c r="AD9" s="44"/>
      <c r="AE9" s="77"/>
      <c r="AF9" s="79">
        <f t="shared" si="2"/>
        <v>0</v>
      </c>
      <c r="AH9" s="62"/>
      <c r="AI9" s="41"/>
      <c r="AJ9" s="42"/>
      <c r="AK9" s="74"/>
      <c r="AL9" s="48"/>
      <c r="AM9" s="43"/>
      <c r="AN9" s="43"/>
      <c r="AO9" s="44"/>
      <c r="AP9" s="77"/>
      <c r="AQ9" s="79">
        <f t="shared" si="3"/>
        <v>0</v>
      </c>
    </row>
    <row r="10" spans="1:43" x14ac:dyDescent="0.25">
      <c r="A10" s="62"/>
      <c r="B10" s="41"/>
      <c r="C10" s="42"/>
      <c r="D10" s="113"/>
      <c r="E10" s="48"/>
      <c r="F10" s="43"/>
      <c r="G10" s="43"/>
      <c r="H10" s="44"/>
      <c r="I10" s="77"/>
      <c r="J10" s="79">
        <f t="shared" si="0"/>
        <v>0</v>
      </c>
      <c r="L10" s="62"/>
      <c r="M10" s="41"/>
      <c r="N10" s="42"/>
      <c r="O10" s="74"/>
      <c r="P10" s="48"/>
      <c r="Q10" s="43"/>
      <c r="R10" s="43"/>
      <c r="S10" s="44"/>
      <c r="T10" s="77"/>
      <c r="U10" s="79">
        <f t="shared" si="1"/>
        <v>0</v>
      </c>
      <c r="W10" s="62"/>
      <c r="X10" s="41"/>
      <c r="Y10" s="42"/>
      <c r="Z10" s="74"/>
      <c r="AA10" s="48"/>
      <c r="AB10" s="43"/>
      <c r="AC10" s="43"/>
      <c r="AD10" s="44"/>
      <c r="AE10" s="77"/>
      <c r="AF10" s="79">
        <f t="shared" si="2"/>
        <v>0</v>
      </c>
      <c r="AH10" s="62"/>
      <c r="AI10" s="41"/>
      <c r="AJ10" s="42"/>
      <c r="AK10" s="74"/>
      <c r="AL10" s="48"/>
      <c r="AM10" s="43"/>
      <c r="AN10" s="43"/>
      <c r="AO10" s="44"/>
      <c r="AP10" s="77"/>
      <c r="AQ10" s="79">
        <f t="shared" si="3"/>
        <v>0</v>
      </c>
    </row>
    <row r="11" spans="1:43" x14ac:dyDescent="0.25">
      <c r="A11" s="62"/>
      <c r="B11" s="41"/>
      <c r="C11" s="42"/>
      <c r="D11" s="113"/>
      <c r="E11" s="48"/>
      <c r="F11" s="43"/>
      <c r="G11" s="43"/>
      <c r="H11" s="115"/>
      <c r="I11" s="116"/>
      <c r="J11" s="79">
        <f t="shared" si="0"/>
        <v>0</v>
      </c>
      <c r="L11" s="62"/>
      <c r="M11" s="41"/>
      <c r="N11" s="42"/>
      <c r="O11" s="74"/>
      <c r="P11" s="48"/>
      <c r="Q11" s="43"/>
      <c r="R11" s="43"/>
      <c r="S11" s="44"/>
      <c r="T11" s="77"/>
      <c r="U11" s="79">
        <f t="shared" si="1"/>
        <v>0</v>
      </c>
      <c r="W11" s="62"/>
      <c r="X11" s="41"/>
      <c r="Y11" s="42"/>
      <c r="Z11" s="74"/>
      <c r="AA11" s="48"/>
      <c r="AB11" s="43"/>
      <c r="AC11" s="43"/>
      <c r="AD11" s="44"/>
      <c r="AE11" s="77"/>
      <c r="AF11" s="79">
        <f t="shared" si="2"/>
        <v>0</v>
      </c>
      <c r="AH11" s="62"/>
      <c r="AI11" s="41"/>
      <c r="AJ11" s="42"/>
      <c r="AK11" s="74"/>
      <c r="AL11" s="48"/>
      <c r="AM11" s="43"/>
      <c r="AN11" s="43"/>
      <c r="AO11" s="44"/>
      <c r="AP11" s="77"/>
      <c r="AQ11" s="79">
        <f t="shared" si="3"/>
        <v>0</v>
      </c>
    </row>
    <row r="12" spans="1:43" ht="11" thickBot="1" x14ac:dyDescent="0.3">
      <c r="A12" s="63"/>
      <c r="B12" s="64"/>
      <c r="C12" s="65"/>
      <c r="D12" s="114"/>
      <c r="E12" s="49"/>
      <c r="F12" s="66"/>
      <c r="G12" s="66"/>
      <c r="H12" s="67"/>
      <c r="I12" s="83"/>
      <c r="J12" s="80">
        <f t="shared" si="0"/>
        <v>0</v>
      </c>
      <c r="L12" s="63"/>
      <c r="M12" s="64"/>
      <c r="N12" s="65"/>
      <c r="O12" s="75"/>
      <c r="P12" s="49"/>
      <c r="Q12" s="66"/>
      <c r="R12" s="66"/>
      <c r="S12" s="67"/>
      <c r="T12" s="83"/>
      <c r="U12" s="80">
        <f>Q12*(S12+T12)</f>
        <v>0</v>
      </c>
      <c r="W12" s="63"/>
      <c r="X12" s="64"/>
      <c r="Y12" s="65"/>
      <c r="Z12" s="75"/>
      <c r="AA12" s="49"/>
      <c r="AB12" s="66"/>
      <c r="AC12" s="66"/>
      <c r="AD12" s="67"/>
      <c r="AE12" s="83"/>
      <c r="AF12" s="80">
        <f>AB12*(AD12+AE12)</f>
        <v>0</v>
      </c>
      <c r="AH12" s="63"/>
      <c r="AI12" s="64"/>
      <c r="AJ12" s="65"/>
      <c r="AK12" s="75"/>
      <c r="AL12" s="49"/>
      <c r="AM12" s="66"/>
      <c r="AN12" s="66"/>
      <c r="AO12" s="67"/>
      <c r="AP12" s="83"/>
      <c r="AQ12" s="80">
        <f>AM12*(AO12+AP12)</f>
        <v>0</v>
      </c>
    </row>
    <row r="13" spans="1:43" ht="11" thickBot="1" x14ac:dyDescent="0.3">
      <c r="E13" s="45"/>
      <c r="F13" s="45"/>
      <c r="G13" s="45"/>
      <c r="H13" s="82"/>
      <c r="I13" s="45" t="s">
        <v>80</v>
      </c>
      <c r="J13" s="81">
        <f>SUM(J5:J12)</f>
        <v>6260</v>
      </c>
      <c r="O13" s="45"/>
      <c r="P13" s="45"/>
      <c r="Q13" s="45"/>
      <c r="R13" s="45"/>
      <c r="S13" s="82"/>
      <c r="T13" s="45" t="s">
        <v>80</v>
      </c>
      <c r="U13" s="81">
        <f>SUM(U5:U12)</f>
        <v>4102</v>
      </c>
      <c r="Z13" s="45"/>
      <c r="AA13" s="45"/>
      <c r="AB13" s="45"/>
      <c r="AC13" s="45"/>
      <c r="AD13" s="82"/>
      <c r="AE13" s="45" t="s">
        <v>80</v>
      </c>
      <c r="AF13" s="81">
        <f>SUM(AF5:AF12)</f>
        <v>0</v>
      </c>
      <c r="AK13" s="45"/>
      <c r="AL13" s="45"/>
      <c r="AM13" s="45"/>
      <c r="AN13" s="45"/>
      <c r="AO13" s="82"/>
      <c r="AP13" s="45" t="s">
        <v>80</v>
      </c>
      <c r="AQ13" s="81">
        <f>SUM(AQ5:AQ12)</f>
        <v>0</v>
      </c>
    </row>
    <row r="14" spans="1:43" ht="11" thickBot="1" x14ac:dyDescent="0.3"/>
    <row r="15" spans="1:43" ht="15.75" customHeight="1" thickBot="1" x14ac:dyDescent="0.3">
      <c r="A15" s="68"/>
      <c r="B15" s="69" t="s">
        <v>34</v>
      </c>
      <c r="C15" s="86" t="s">
        <v>46</v>
      </c>
      <c r="D15" s="945" t="e">
        <f>#REF!</f>
        <v>#REF!</v>
      </c>
      <c r="E15" s="947"/>
      <c r="F15" s="945"/>
      <c r="G15" s="945"/>
      <c r="H15" s="945"/>
      <c r="I15" s="945"/>
      <c r="J15" s="946"/>
      <c r="L15" s="68"/>
      <c r="M15" s="69" t="s">
        <v>34</v>
      </c>
      <c r="N15" s="86" t="s">
        <v>50</v>
      </c>
      <c r="O15" s="945" t="e">
        <f>#REF!</f>
        <v>#REF!</v>
      </c>
      <c r="P15" s="945"/>
      <c r="Q15" s="945"/>
      <c r="R15" s="945"/>
      <c r="S15" s="945"/>
      <c r="T15" s="945"/>
      <c r="U15" s="946"/>
      <c r="W15" s="68"/>
      <c r="X15" s="69" t="s">
        <v>34</v>
      </c>
      <c r="Y15" s="86" t="s">
        <v>55</v>
      </c>
      <c r="Z15" s="945" t="e">
        <f>#REF!</f>
        <v>#REF!</v>
      </c>
      <c r="AA15" s="945"/>
      <c r="AB15" s="945"/>
      <c r="AC15" s="945"/>
      <c r="AD15" s="945"/>
      <c r="AE15" s="945"/>
      <c r="AF15" s="946"/>
      <c r="AH15" s="68"/>
      <c r="AI15" s="69" t="s">
        <v>34</v>
      </c>
      <c r="AJ15" s="86" t="s">
        <v>55</v>
      </c>
      <c r="AK15" s="945" t="e">
        <f>#REF!</f>
        <v>#REF!</v>
      </c>
      <c r="AL15" s="945"/>
      <c r="AM15" s="945"/>
      <c r="AN15" s="945"/>
      <c r="AO15" s="945"/>
      <c r="AP15" s="945"/>
      <c r="AQ15" s="946"/>
    </row>
    <row r="16" spans="1:43" ht="11" thickBot="1" x14ac:dyDescent="0.3">
      <c r="A16" s="51" t="s">
        <v>75</v>
      </c>
      <c r="B16" s="52" t="s">
        <v>76</v>
      </c>
      <c r="C16" s="52" t="s">
        <v>77</v>
      </c>
      <c r="D16" s="53" t="s">
        <v>78</v>
      </c>
      <c r="E16" s="47"/>
      <c r="F16" s="54" t="s">
        <v>39</v>
      </c>
      <c r="G16" s="52" t="s">
        <v>40</v>
      </c>
      <c r="H16" s="52" t="s">
        <v>79</v>
      </c>
      <c r="I16" s="55" t="s">
        <v>41</v>
      </c>
      <c r="J16" s="50" t="s">
        <v>80</v>
      </c>
      <c r="L16" s="51" t="s">
        <v>75</v>
      </c>
      <c r="M16" s="52" t="s">
        <v>76</v>
      </c>
      <c r="N16" s="52" t="s">
        <v>77</v>
      </c>
      <c r="O16" s="53" t="s">
        <v>78</v>
      </c>
      <c r="P16" s="47"/>
      <c r="Q16" s="54" t="s">
        <v>39</v>
      </c>
      <c r="R16" s="52" t="s">
        <v>40</v>
      </c>
      <c r="S16" s="52" t="s">
        <v>79</v>
      </c>
      <c r="T16" s="55" t="s">
        <v>41</v>
      </c>
      <c r="U16" s="50" t="s">
        <v>80</v>
      </c>
      <c r="W16" s="51" t="s">
        <v>75</v>
      </c>
      <c r="X16" s="52" t="s">
        <v>76</v>
      </c>
      <c r="Y16" s="52" t="s">
        <v>77</v>
      </c>
      <c r="Z16" s="53" t="s">
        <v>78</v>
      </c>
      <c r="AA16" s="47"/>
      <c r="AB16" s="54" t="s">
        <v>39</v>
      </c>
      <c r="AC16" s="52" t="s">
        <v>40</v>
      </c>
      <c r="AD16" s="52" t="s">
        <v>79</v>
      </c>
      <c r="AE16" s="55" t="s">
        <v>41</v>
      </c>
      <c r="AF16" s="50" t="s">
        <v>80</v>
      </c>
      <c r="AH16" s="51" t="s">
        <v>75</v>
      </c>
      <c r="AI16" s="52" t="s">
        <v>76</v>
      </c>
      <c r="AJ16" s="52" t="s">
        <v>77</v>
      </c>
      <c r="AK16" s="53" t="s">
        <v>78</v>
      </c>
      <c r="AL16" s="47"/>
      <c r="AM16" s="54" t="s">
        <v>39</v>
      </c>
      <c r="AN16" s="52" t="s">
        <v>40</v>
      </c>
      <c r="AO16" s="52" t="s">
        <v>79</v>
      </c>
      <c r="AP16" s="55" t="s">
        <v>41</v>
      </c>
      <c r="AQ16" s="50" t="s">
        <v>80</v>
      </c>
    </row>
    <row r="17" spans="1:43" x14ac:dyDescent="0.25">
      <c r="A17" s="56" t="s">
        <v>95</v>
      </c>
      <c r="B17" s="57"/>
      <c r="C17" s="58"/>
      <c r="D17" s="112"/>
      <c r="E17" s="48"/>
      <c r="F17" s="126">
        <v>785.4</v>
      </c>
      <c r="G17" s="60" t="s">
        <v>97</v>
      </c>
      <c r="H17" s="61"/>
      <c r="I17" s="76">
        <v>0.86</v>
      </c>
      <c r="J17" s="78">
        <f t="shared" ref="J17:J24" si="4">F17*(H17+I17)</f>
        <v>675.44399999999996</v>
      </c>
      <c r="L17" s="56" t="s">
        <v>98</v>
      </c>
      <c r="M17" s="57" t="s">
        <v>99</v>
      </c>
      <c r="N17" s="58" t="s">
        <v>100</v>
      </c>
      <c r="O17" s="72">
        <v>288</v>
      </c>
      <c r="P17" s="59"/>
      <c r="Q17" s="60">
        <v>40</v>
      </c>
      <c r="R17" s="60" t="s">
        <v>97</v>
      </c>
      <c r="S17" s="61"/>
      <c r="T17" s="76">
        <v>0.35</v>
      </c>
      <c r="U17" s="78">
        <f t="shared" ref="U17:U24" si="5">Q17*(S17+T17)</f>
        <v>14</v>
      </c>
      <c r="W17" s="56"/>
      <c r="X17" s="57"/>
      <c r="Y17" s="58"/>
      <c r="Z17" s="72"/>
      <c r="AA17" s="59"/>
      <c r="AB17" s="60"/>
      <c r="AC17" s="60"/>
      <c r="AD17" s="61"/>
      <c r="AE17" s="76"/>
      <c r="AF17" s="78">
        <f>AB17*(AD17+AE17)</f>
        <v>0</v>
      </c>
      <c r="AH17" s="56"/>
      <c r="AI17" s="57"/>
      <c r="AJ17" s="58"/>
      <c r="AK17" s="72"/>
      <c r="AL17" s="59"/>
      <c r="AM17" s="60"/>
      <c r="AN17" s="60"/>
      <c r="AO17" s="61"/>
      <c r="AP17" s="76"/>
      <c r="AQ17" s="78">
        <f>AM17*(AO17+AP17)</f>
        <v>0</v>
      </c>
    </row>
    <row r="18" spans="1:43" x14ac:dyDescent="0.25">
      <c r="A18" s="107" t="s">
        <v>96</v>
      </c>
      <c r="B18" s="41"/>
      <c r="C18" s="42"/>
      <c r="D18" s="113"/>
      <c r="E18" s="48"/>
      <c r="F18" s="125">
        <f>(3.1416*25)*10</f>
        <v>785.39999999999986</v>
      </c>
      <c r="G18" s="108" t="s">
        <v>97</v>
      </c>
      <c r="H18" s="109">
        <v>7.5</v>
      </c>
      <c r="I18" s="110">
        <v>0.86</v>
      </c>
      <c r="J18" s="111">
        <f t="shared" si="4"/>
        <v>6565.9439999999986</v>
      </c>
      <c r="L18" s="62" t="s">
        <v>102</v>
      </c>
      <c r="M18" s="41" t="s">
        <v>104</v>
      </c>
      <c r="N18" s="42" t="s">
        <v>107</v>
      </c>
      <c r="O18" s="74">
        <v>493</v>
      </c>
      <c r="P18" s="48"/>
      <c r="Q18" s="43">
        <f>35*4</f>
        <v>140</v>
      </c>
      <c r="R18" s="43" t="s">
        <v>108</v>
      </c>
      <c r="S18" s="44">
        <v>3.17</v>
      </c>
      <c r="T18" s="77">
        <v>5.9</v>
      </c>
      <c r="U18" s="79">
        <f t="shared" si="5"/>
        <v>1269.8</v>
      </c>
      <c r="W18" s="73"/>
      <c r="X18" s="41"/>
      <c r="Y18" s="42"/>
      <c r="Z18" s="74"/>
      <c r="AA18" s="48"/>
      <c r="AB18" s="43"/>
      <c r="AC18" s="43"/>
      <c r="AD18" s="44"/>
      <c r="AE18" s="77"/>
      <c r="AF18" s="79">
        <f t="shared" ref="AF18:AF23" si="6">AB18*(AD18+AE18)</f>
        <v>0</v>
      </c>
      <c r="AH18" s="73"/>
      <c r="AI18" s="41"/>
      <c r="AJ18" s="42"/>
      <c r="AK18" s="74"/>
      <c r="AL18" s="48"/>
      <c r="AM18" s="43"/>
      <c r="AN18" s="43"/>
      <c r="AO18" s="44"/>
      <c r="AP18" s="77"/>
      <c r="AQ18" s="79">
        <f t="shared" ref="AQ18:AQ23" si="7">AM18*(AO18+AP18)</f>
        <v>0</v>
      </c>
    </row>
    <row r="19" spans="1:43" x14ac:dyDescent="0.25">
      <c r="A19" s="94"/>
      <c r="B19" s="41"/>
      <c r="C19" s="42"/>
      <c r="D19" s="113"/>
      <c r="E19" s="48"/>
      <c r="F19" s="127"/>
      <c r="G19" s="43"/>
      <c r="H19" s="44"/>
      <c r="I19" s="77"/>
      <c r="J19" s="79">
        <f t="shared" si="4"/>
        <v>0</v>
      </c>
      <c r="L19" s="62" t="s">
        <v>112</v>
      </c>
      <c r="M19" s="41" t="s">
        <v>104</v>
      </c>
      <c r="N19" s="42" t="s">
        <v>113</v>
      </c>
      <c r="O19" s="74">
        <v>499</v>
      </c>
      <c r="P19" s="48"/>
      <c r="Q19" s="43">
        <f>3*4</f>
        <v>12</v>
      </c>
      <c r="R19" s="43" t="s">
        <v>101</v>
      </c>
      <c r="S19" s="44">
        <v>92</v>
      </c>
      <c r="T19" s="77">
        <v>35.5</v>
      </c>
      <c r="U19" s="79">
        <f t="shared" si="5"/>
        <v>1530</v>
      </c>
      <c r="W19" s="62"/>
      <c r="X19" s="41"/>
      <c r="Y19" s="42"/>
      <c r="Z19" s="74"/>
      <c r="AA19" s="48"/>
      <c r="AB19" s="43"/>
      <c r="AC19" s="43"/>
      <c r="AD19" s="44"/>
      <c r="AE19" s="77"/>
      <c r="AF19" s="79">
        <f t="shared" si="6"/>
        <v>0</v>
      </c>
      <c r="AH19" s="62"/>
      <c r="AI19" s="41"/>
      <c r="AJ19" s="42"/>
      <c r="AK19" s="74"/>
      <c r="AL19" s="48"/>
      <c r="AM19" s="43"/>
      <c r="AN19" s="43"/>
      <c r="AO19" s="44"/>
      <c r="AP19" s="77"/>
      <c r="AQ19" s="79">
        <f t="shared" si="7"/>
        <v>0</v>
      </c>
    </row>
    <row r="20" spans="1:43" x14ac:dyDescent="0.25">
      <c r="A20" s="73"/>
      <c r="B20" s="41"/>
      <c r="C20" s="42"/>
      <c r="D20" s="113"/>
      <c r="E20" s="48"/>
      <c r="F20" s="128"/>
      <c r="G20" s="43"/>
      <c r="H20" s="44"/>
      <c r="I20" s="102"/>
      <c r="J20" s="79">
        <f t="shared" si="4"/>
        <v>0</v>
      </c>
      <c r="L20" s="107" t="s">
        <v>115</v>
      </c>
      <c r="M20" s="41" t="s">
        <v>99</v>
      </c>
      <c r="N20" s="42" t="s">
        <v>100</v>
      </c>
      <c r="O20" s="74">
        <v>288</v>
      </c>
      <c r="P20" s="48"/>
      <c r="Q20" s="108">
        <v>40</v>
      </c>
      <c r="R20" s="108" t="s">
        <v>97</v>
      </c>
      <c r="S20" s="109"/>
      <c r="T20" s="110">
        <v>0.35</v>
      </c>
      <c r="U20" s="79">
        <f t="shared" si="5"/>
        <v>14</v>
      </c>
      <c r="W20" s="62"/>
      <c r="X20" s="41"/>
      <c r="Y20" s="42"/>
      <c r="Z20" s="74"/>
      <c r="AA20" s="48"/>
      <c r="AB20" s="43"/>
      <c r="AC20" s="43"/>
      <c r="AD20" s="44"/>
      <c r="AE20" s="77"/>
      <c r="AF20" s="79">
        <f t="shared" si="6"/>
        <v>0</v>
      </c>
      <c r="AH20" s="62"/>
      <c r="AI20" s="41"/>
      <c r="AJ20" s="42"/>
      <c r="AK20" s="74"/>
      <c r="AL20" s="48"/>
      <c r="AM20" s="43"/>
      <c r="AN20" s="43"/>
      <c r="AO20" s="44"/>
      <c r="AP20" s="77"/>
      <c r="AQ20" s="79">
        <f t="shared" si="7"/>
        <v>0</v>
      </c>
    </row>
    <row r="21" spans="1:43" x14ac:dyDescent="0.25">
      <c r="A21" s="62"/>
      <c r="B21" s="41"/>
      <c r="C21" s="42"/>
      <c r="D21" s="113"/>
      <c r="E21" s="48"/>
      <c r="F21" s="127"/>
      <c r="G21" s="43"/>
      <c r="H21" s="44"/>
      <c r="I21" s="77"/>
      <c r="J21" s="79">
        <f t="shared" si="4"/>
        <v>0</v>
      </c>
      <c r="L21" s="62" t="s">
        <v>105</v>
      </c>
      <c r="M21" s="41" t="s">
        <v>104</v>
      </c>
      <c r="N21" s="42" t="s">
        <v>110</v>
      </c>
      <c r="O21" s="74">
        <v>495</v>
      </c>
      <c r="P21" s="48"/>
      <c r="Q21" s="43">
        <v>4</v>
      </c>
      <c r="R21" s="43" t="s">
        <v>101</v>
      </c>
      <c r="S21" s="44">
        <v>1125</v>
      </c>
      <c r="T21" s="77">
        <v>188</v>
      </c>
      <c r="U21" s="79">
        <f t="shared" si="5"/>
        <v>5252</v>
      </c>
      <c r="W21" s="62"/>
      <c r="X21" s="41"/>
      <c r="Y21" s="42"/>
      <c r="Z21" s="74"/>
      <c r="AA21" s="48"/>
      <c r="AB21" s="43"/>
      <c r="AC21" s="43"/>
      <c r="AD21" s="44"/>
      <c r="AE21" s="77"/>
      <c r="AF21" s="79">
        <f t="shared" si="6"/>
        <v>0</v>
      </c>
      <c r="AH21" s="62"/>
      <c r="AI21" s="41"/>
      <c r="AJ21" s="42"/>
      <c r="AK21" s="74"/>
      <c r="AL21" s="48"/>
      <c r="AM21" s="43"/>
      <c r="AN21" s="43"/>
      <c r="AO21" s="44"/>
      <c r="AP21" s="77"/>
      <c r="AQ21" s="79">
        <f t="shared" si="7"/>
        <v>0</v>
      </c>
    </row>
    <row r="22" spans="1:43" x14ac:dyDescent="0.25">
      <c r="A22" s="62"/>
      <c r="B22" s="41"/>
      <c r="C22" s="42"/>
      <c r="D22" s="113"/>
      <c r="E22" s="48"/>
      <c r="F22" s="127"/>
      <c r="G22" s="43"/>
      <c r="H22" s="44"/>
      <c r="I22" s="77"/>
      <c r="J22" s="79">
        <f t="shared" si="4"/>
        <v>0</v>
      </c>
      <c r="L22" s="62" t="s">
        <v>103</v>
      </c>
      <c r="M22" s="41" t="s">
        <v>104</v>
      </c>
      <c r="N22" s="42" t="s">
        <v>109</v>
      </c>
      <c r="O22" s="74">
        <v>492</v>
      </c>
      <c r="P22" s="48"/>
      <c r="Q22" s="43">
        <v>4</v>
      </c>
      <c r="R22" s="43" t="s">
        <v>101</v>
      </c>
      <c r="S22" s="44">
        <v>36.5</v>
      </c>
      <c r="T22" s="77">
        <v>22</v>
      </c>
      <c r="U22" s="79">
        <f t="shared" si="5"/>
        <v>234</v>
      </c>
      <c r="W22" s="62"/>
      <c r="X22" s="41"/>
      <c r="Y22" s="42"/>
      <c r="Z22" s="74"/>
      <c r="AA22" s="48"/>
      <c r="AB22" s="43"/>
      <c r="AC22" s="43"/>
      <c r="AD22" s="44"/>
      <c r="AE22" s="77"/>
      <c r="AF22" s="79">
        <f t="shared" si="6"/>
        <v>0</v>
      </c>
      <c r="AH22" s="62"/>
      <c r="AI22" s="41"/>
      <c r="AJ22" s="42"/>
      <c r="AK22" s="74"/>
      <c r="AL22" s="48"/>
      <c r="AM22" s="43"/>
      <c r="AN22" s="43"/>
      <c r="AO22" s="44"/>
      <c r="AP22" s="77"/>
      <c r="AQ22" s="79">
        <f t="shared" si="7"/>
        <v>0</v>
      </c>
    </row>
    <row r="23" spans="1:43" x14ac:dyDescent="0.25">
      <c r="A23" s="62"/>
      <c r="B23" s="41"/>
      <c r="C23" s="42"/>
      <c r="D23" s="113"/>
      <c r="E23" s="48"/>
      <c r="F23" s="127"/>
      <c r="G23" s="43"/>
      <c r="H23" s="44"/>
      <c r="I23" s="77"/>
      <c r="J23" s="79">
        <f t="shared" si="4"/>
        <v>0</v>
      </c>
      <c r="L23" s="62" t="s">
        <v>106</v>
      </c>
      <c r="M23" s="41" t="s">
        <v>104</v>
      </c>
      <c r="N23" s="42" t="s">
        <v>111</v>
      </c>
      <c r="O23" s="74">
        <v>499</v>
      </c>
      <c r="P23" s="48"/>
      <c r="Q23" s="43">
        <v>4</v>
      </c>
      <c r="R23" s="43" t="s">
        <v>101</v>
      </c>
      <c r="S23" s="44">
        <v>41.5</v>
      </c>
      <c r="T23" s="77">
        <v>14.05</v>
      </c>
      <c r="U23" s="79">
        <f t="shared" si="5"/>
        <v>222.2</v>
      </c>
      <c r="W23" s="62"/>
      <c r="X23" s="41"/>
      <c r="Y23" s="42"/>
      <c r="Z23" s="74"/>
      <c r="AA23" s="48"/>
      <c r="AB23" s="43"/>
      <c r="AC23" s="43"/>
      <c r="AD23" s="44"/>
      <c r="AE23" s="77"/>
      <c r="AF23" s="79">
        <f t="shared" si="6"/>
        <v>0</v>
      </c>
      <c r="AH23" s="62"/>
      <c r="AI23" s="41"/>
      <c r="AJ23" s="42"/>
      <c r="AK23" s="74"/>
      <c r="AL23" s="48"/>
      <c r="AM23" s="43"/>
      <c r="AN23" s="43"/>
      <c r="AO23" s="44"/>
      <c r="AP23" s="77"/>
      <c r="AQ23" s="79">
        <f t="shared" si="7"/>
        <v>0</v>
      </c>
    </row>
    <row r="24" spans="1:43" ht="11" thickBot="1" x14ac:dyDescent="0.3">
      <c r="A24" s="63"/>
      <c r="B24" s="64"/>
      <c r="C24" s="65"/>
      <c r="D24" s="114"/>
      <c r="E24" s="49"/>
      <c r="F24" s="129"/>
      <c r="G24" s="66"/>
      <c r="H24" s="67"/>
      <c r="I24" s="83"/>
      <c r="J24" s="80">
        <f t="shared" si="4"/>
        <v>0</v>
      </c>
      <c r="L24" s="63"/>
      <c r="M24" s="64"/>
      <c r="N24" s="65"/>
      <c r="O24" s="75"/>
      <c r="P24" s="49"/>
      <c r="Q24" s="66"/>
      <c r="R24" s="66"/>
      <c r="S24" s="67"/>
      <c r="T24" s="83"/>
      <c r="U24" s="80">
        <f t="shared" si="5"/>
        <v>0</v>
      </c>
      <c r="W24" s="63"/>
      <c r="X24" s="64"/>
      <c r="Y24" s="65"/>
      <c r="Z24" s="75"/>
      <c r="AA24" s="49"/>
      <c r="AB24" s="66"/>
      <c r="AC24" s="66"/>
      <c r="AD24" s="67"/>
      <c r="AE24" s="83"/>
      <c r="AF24" s="80">
        <f>AB24*(AD24+AE24)</f>
        <v>0</v>
      </c>
      <c r="AH24" s="63"/>
      <c r="AI24" s="64"/>
      <c r="AJ24" s="65"/>
      <c r="AK24" s="75"/>
      <c r="AL24" s="49"/>
      <c r="AM24" s="66"/>
      <c r="AN24" s="66"/>
      <c r="AO24" s="67"/>
      <c r="AP24" s="83"/>
      <c r="AQ24" s="80">
        <f>AM24*(AO24+AP24)</f>
        <v>0</v>
      </c>
    </row>
    <row r="25" spans="1:43" ht="11" thickBot="1" x14ac:dyDescent="0.3">
      <c r="D25" s="45"/>
      <c r="E25" s="45"/>
      <c r="F25" s="45"/>
      <c r="G25" s="45"/>
      <c r="H25" s="82"/>
      <c r="I25" s="45" t="s">
        <v>80</v>
      </c>
      <c r="J25" s="81">
        <f>SUM(J17:J24)</f>
        <v>7241.387999999999</v>
      </c>
      <c r="O25" s="45"/>
      <c r="P25" s="45"/>
      <c r="Q25" s="45"/>
      <c r="R25" s="45"/>
      <c r="S25" s="82"/>
      <c r="T25" s="45" t="s">
        <v>80</v>
      </c>
      <c r="U25" s="81">
        <f>SUM(U17:U24)</f>
        <v>8536</v>
      </c>
      <c r="Z25" s="45"/>
      <c r="AA25" s="45"/>
      <c r="AB25" s="45"/>
      <c r="AC25" s="45"/>
      <c r="AD25" s="82"/>
      <c r="AE25" s="45" t="s">
        <v>80</v>
      </c>
      <c r="AF25" s="81">
        <f>SUM(AF17:AF24)</f>
        <v>0</v>
      </c>
      <c r="AK25" s="45"/>
      <c r="AL25" s="45"/>
      <c r="AM25" s="45"/>
      <c r="AN25" s="45"/>
      <c r="AO25" s="82"/>
      <c r="AP25" s="45" t="s">
        <v>80</v>
      </c>
      <c r="AQ25" s="81">
        <f>SUM(AQ17:AQ24)</f>
        <v>0</v>
      </c>
    </row>
    <row r="26" spans="1:43" ht="11" thickBot="1" x14ac:dyDescent="0.3"/>
    <row r="27" spans="1:43" ht="11" thickBot="1" x14ac:dyDescent="0.3">
      <c r="A27" s="68"/>
      <c r="B27" s="69" t="s">
        <v>34</v>
      </c>
      <c r="C27" s="86" t="s">
        <v>47</v>
      </c>
      <c r="D27" s="945" t="e">
        <f>#REF!</f>
        <v>#REF!</v>
      </c>
      <c r="E27" s="945"/>
      <c r="F27" s="945"/>
      <c r="G27" s="945"/>
      <c r="H27" s="945"/>
      <c r="I27" s="945"/>
      <c r="J27" s="946"/>
      <c r="L27" s="68"/>
      <c r="M27" s="69" t="s">
        <v>34</v>
      </c>
      <c r="N27" s="86" t="s">
        <v>51</v>
      </c>
      <c r="O27" s="945" t="e">
        <f>#REF!</f>
        <v>#REF!</v>
      </c>
      <c r="P27" s="945"/>
      <c r="Q27" s="945"/>
      <c r="R27" s="945"/>
      <c r="S27" s="945"/>
      <c r="T27" s="945"/>
      <c r="U27" s="946"/>
      <c r="W27" s="68"/>
      <c r="X27" s="69" t="s">
        <v>34</v>
      </c>
      <c r="Y27" s="86" t="s">
        <v>56</v>
      </c>
      <c r="Z27" s="945" t="e">
        <f>#REF!</f>
        <v>#REF!</v>
      </c>
      <c r="AA27" s="945"/>
      <c r="AB27" s="945"/>
      <c r="AC27" s="945"/>
      <c r="AD27" s="945"/>
      <c r="AE27" s="945"/>
      <c r="AF27" s="946"/>
      <c r="AH27" s="68"/>
      <c r="AI27" s="69" t="s">
        <v>34</v>
      </c>
      <c r="AJ27" s="86" t="s">
        <v>56</v>
      </c>
      <c r="AK27" s="945" t="e">
        <f>#REF!</f>
        <v>#REF!</v>
      </c>
      <c r="AL27" s="945"/>
      <c r="AM27" s="945"/>
      <c r="AN27" s="945"/>
      <c r="AO27" s="945"/>
      <c r="AP27" s="945"/>
      <c r="AQ27" s="946"/>
    </row>
    <row r="28" spans="1:43" ht="11" thickBot="1" x14ac:dyDescent="0.3">
      <c r="A28" s="51" t="s">
        <v>75</v>
      </c>
      <c r="B28" s="52" t="s">
        <v>76</v>
      </c>
      <c r="C28" s="52" t="s">
        <v>77</v>
      </c>
      <c r="D28" s="53" t="s">
        <v>78</v>
      </c>
      <c r="E28" s="47"/>
      <c r="F28" s="54" t="s">
        <v>39</v>
      </c>
      <c r="G28" s="52" t="s">
        <v>40</v>
      </c>
      <c r="H28" s="52" t="s">
        <v>79</v>
      </c>
      <c r="I28" s="55" t="s">
        <v>41</v>
      </c>
      <c r="J28" s="50" t="s">
        <v>80</v>
      </c>
      <c r="L28" s="51" t="s">
        <v>75</v>
      </c>
      <c r="M28" s="52" t="s">
        <v>76</v>
      </c>
      <c r="N28" s="52" t="s">
        <v>77</v>
      </c>
      <c r="O28" s="53" t="s">
        <v>78</v>
      </c>
      <c r="P28" s="47"/>
      <c r="Q28" s="54" t="s">
        <v>39</v>
      </c>
      <c r="R28" s="52" t="s">
        <v>40</v>
      </c>
      <c r="S28" s="52" t="s">
        <v>79</v>
      </c>
      <c r="T28" s="55" t="s">
        <v>41</v>
      </c>
      <c r="U28" s="50" t="s">
        <v>80</v>
      </c>
      <c r="W28" s="51" t="s">
        <v>75</v>
      </c>
      <c r="X28" s="52" t="s">
        <v>76</v>
      </c>
      <c r="Y28" s="52" t="s">
        <v>77</v>
      </c>
      <c r="Z28" s="53" t="s">
        <v>78</v>
      </c>
      <c r="AA28" s="47"/>
      <c r="AB28" s="54" t="s">
        <v>39</v>
      </c>
      <c r="AC28" s="52" t="s">
        <v>40</v>
      </c>
      <c r="AD28" s="52" t="s">
        <v>79</v>
      </c>
      <c r="AE28" s="55" t="s">
        <v>41</v>
      </c>
      <c r="AF28" s="50" t="s">
        <v>80</v>
      </c>
      <c r="AH28" s="51" t="s">
        <v>75</v>
      </c>
      <c r="AI28" s="52" t="s">
        <v>76</v>
      </c>
      <c r="AJ28" s="52" t="s">
        <v>77</v>
      </c>
      <c r="AK28" s="53" t="s">
        <v>78</v>
      </c>
      <c r="AL28" s="47"/>
      <c r="AM28" s="54" t="s">
        <v>39</v>
      </c>
      <c r="AN28" s="52" t="s">
        <v>40</v>
      </c>
      <c r="AO28" s="52" t="s">
        <v>79</v>
      </c>
      <c r="AP28" s="55" t="s">
        <v>41</v>
      </c>
      <c r="AQ28" s="50" t="s">
        <v>80</v>
      </c>
    </row>
    <row r="29" spans="1:43" x14ac:dyDescent="0.25">
      <c r="A29" s="85"/>
      <c r="B29" s="57"/>
      <c r="C29" s="58"/>
      <c r="D29" s="72"/>
      <c r="E29" s="59"/>
      <c r="F29" s="60"/>
      <c r="G29" s="60"/>
      <c r="H29" s="61"/>
      <c r="I29" s="76"/>
      <c r="J29" s="78">
        <f>F29*(H29+I29)</f>
        <v>0</v>
      </c>
      <c r="L29" s="56"/>
      <c r="M29" s="57"/>
      <c r="N29" s="58"/>
      <c r="O29" s="72"/>
      <c r="P29" s="59"/>
      <c r="Q29" s="60"/>
      <c r="R29" s="60"/>
      <c r="S29" s="61"/>
      <c r="T29" s="76"/>
      <c r="U29" s="78">
        <f>Q29*(S29+T29)</f>
        <v>0</v>
      </c>
      <c r="W29" s="56"/>
      <c r="X29" s="57"/>
      <c r="Y29" s="58"/>
      <c r="Z29" s="72"/>
      <c r="AA29" s="59"/>
      <c r="AB29" s="60"/>
      <c r="AC29" s="60"/>
      <c r="AD29" s="61"/>
      <c r="AE29" s="76"/>
      <c r="AF29" s="78">
        <f>AB29*(AD29+AE29)</f>
        <v>0</v>
      </c>
      <c r="AH29" s="56"/>
      <c r="AI29" s="57"/>
      <c r="AJ29" s="58"/>
      <c r="AK29" s="72"/>
      <c r="AL29" s="59"/>
      <c r="AM29" s="60"/>
      <c r="AN29" s="60"/>
      <c r="AO29" s="61"/>
      <c r="AP29" s="76"/>
      <c r="AQ29" s="78">
        <f>AM29*(AO29+AP29)</f>
        <v>0</v>
      </c>
    </row>
    <row r="30" spans="1:43" x14ac:dyDescent="0.25">
      <c r="A30" s="117"/>
      <c r="B30" s="41"/>
      <c r="C30" s="42"/>
      <c r="D30" s="74"/>
      <c r="E30" s="48"/>
      <c r="F30" s="43"/>
      <c r="G30" s="43"/>
      <c r="H30" s="44"/>
      <c r="I30" s="77"/>
      <c r="J30" s="79">
        <f t="shared" ref="J30:J35" si="8">F30*(H30+I30)</f>
        <v>0</v>
      </c>
      <c r="L30" s="73"/>
      <c r="M30" s="41"/>
      <c r="N30" s="42"/>
      <c r="O30" s="74"/>
      <c r="P30" s="48"/>
      <c r="Q30" s="43"/>
      <c r="R30" s="43"/>
      <c r="S30" s="44"/>
      <c r="T30" s="77"/>
      <c r="U30" s="79">
        <f t="shared" ref="U30:U35" si="9">Q30*(S30+T30)</f>
        <v>0</v>
      </c>
      <c r="W30" s="73"/>
      <c r="X30" s="41"/>
      <c r="Y30" s="42"/>
      <c r="Z30" s="74"/>
      <c r="AA30" s="48"/>
      <c r="AB30" s="43"/>
      <c r="AC30" s="43"/>
      <c r="AD30" s="44"/>
      <c r="AE30" s="77"/>
      <c r="AF30" s="79">
        <f t="shared" ref="AF30:AF35" si="10">AB30*(AD30+AE30)</f>
        <v>0</v>
      </c>
      <c r="AH30" s="73"/>
      <c r="AI30" s="41"/>
      <c r="AJ30" s="42"/>
      <c r="AK30" s="74"/>
      <c r="AL30" s="48"/>
      <c r="AM30" s="43"/>
      <c r="AN30" s="43"/>
      <c r="AO30" s="44"/>
      <c r="AP30" s="77"/>
      <c r="AQ30" s="79">
        <f t="shared" ref="AQ30:AQ35" si="11">AM30*(AO30+AP30)</f>
        <v>0</v>
      </c>
    </row>
    <row r="31" spans="1:43" x14ac:dyDescent="0.25">
      <c r="A31" s="62"/>
      <c r="B31" s="41"/>
      <c r="C31" s="42"/>
      <c r="D31" s="74"/>
      <c r="E31" s="48"/>
      <c r="F31" s="43"/>
      <c r="G31" s="43"/>
      <c r="H31" s="44"/>
      <c r="I31" s="77"/>
      <c r="J31" s="79">
        <f t="shared" si="8"/>
        <v>0</v>
      </c>
      <c r="L31" s="62"/>
      <c r="M31" s="41"/>
      <c r="N31" s="42"/>
      <c r="O31" s="74"/>
      <c r="P31" s="48"/>
      <c r="Q31" s="43"/>
      <c r="R31" s="43"/>
      <c r="S31" s="44"/>
      <c r="T31" s="77"/>
      <c r="U31" s="79">
        <f t="shared" si="9"/>
        <v>0</v>
      </c>
      <c r="W31" s="62"/>
      <c r="X31" s="41"/>
      <c r="Y31" s="42"/>
      <c r="Z31" s="74"/>
      <c r="AA31" s="48"/>
      <c r="AB31" s="43"/>
      <c r="AC31" s="43"/>
      <c r="AD31" s="44"/>
      <c r="AE31" s="77"/>
      <c r="AF31" s="79">
        <f t="shared" si="10"/>
        <v>0</v>
      </c>
      <c r="AH31" s="62"/>
      <c r="AI31" s="41"/>
      <c r="AJ31" s="42"/>
      <c r="AK31" s="74"/>
      <c r="AL31" s="48"/>
      <c r="AM31" s="43"/>
      <c r="AN31" s="43"/>
      <c r="AO31" s="44"/>
      <c r="AP31" s="77"/>
      <c r="AQ31" s="79">
        <f t="shared" si="11"/>
        <v>0</v>
      </c>
    </row>
    <row r="32" spans="1:43" x14ac:dyDescent="0.25">
      <c r="A32" s="62"/>
      <c r="B32" s="41"/>
      <c r="C32" s="42"/>
      <c r="D32" s="74"/>
      <c r="E32" s="48"/>
      <c r="F32" s="43"/>
      <c r="G32" s="43"/>
      <c r="H32" s="44"/>
      <c r="I32" s="77"/>
      <c r="J32" s="79">
        <f t="shared" si="8"/>
        <v>0</v>
      </c>
      <c r="L32" s="62"/>
      <c r="M32" s="41"/>
      <c r="N32" s="42"/>
      <c r="O32" s="74"/>
      <c r="P32" s="48"/>
      <c r="Q32" s="43"/>
      <c r="R32" s="43"/>
      <c r="S32" s="44"/>
      <c r="T32" s="77"/>
      <c r="U32" s="79">
        <f t="shared" si="9"/>
        <v>0</v>
      </c>
      <c r="W32" s="62"/>
      <c r="X32" s="41"/>
      <c r="Y32" s="42"/>
      <c r="Z32" s="74"/>
      <c r="AA32" s="48"/>
      <c r="AB32" s="43"/>
      <c r="AC32" s="43"/>
      <c r="AD32" s="44"/>
      <c r="AE32" s="77"/>
      <c r="AF32" s="79">
        <f t="shared" si="10"/>
        <v>0</v>
      </c>
      <c r="AH32" s="62"/>
      <c r="AI32" s="41"/>
      <c r="AJ32" s="42"/>
      <c r="AK32" s="74"/>
      <c r="AL32" s="48"/>
      <c r="AM32" s="43"/>
      <c r="AN32" s="43"/>
      <c r="AO32" s="44"/>
      <c r="AP32" s="77"/>
      <c r="AQ32" s="79">
        <f t="shared" si="11"/>
        <v>0</v>
      </c>
    </row>
    <row r="33" spans="1:43" x14ac:dyDescent="0.25">
      <c r="A33" s="62"/>
      <c r="B33" s="41"/>
      <c r="C33" s="42"/>
      <c r="D33" s="74"/>
      <c r="E33" s="48"/>
      <c r="F33" s="43"/>
      <c r="G33" s="43"/>
      <c r="H33" s="44"/>
      <c r="I33" s="77"/>
      <c r="J33" s="79">
        <f t="shared" si="8"/>
        <v>0</v>
      </c>
      <c r="L33" s="62"/>
      <c r="M33" s="41"/>
      <c r="N33" s="42"/>
      <c r="O33" s="74"/>
      <c r="P33" s="48"/>
      <c r="Q33" s="43"/>
      <c r="R33" s="43"/>
      <c r="S33" s="44"/>
      <c r="T33" s="77"/>
      <c r="U33" s="79">
        <f t="shared" si="9"/>
        <v>0</v>
      </c>
      <c r="W33" s="62"/>
      <c r="X33" s="41"/>
      <c r="Y33" s="42"/>
      <c r="Z33" s="74"/>
      <c r="AA33" s="48"/>
      <c r="AB33" s="43"/>
      <c r="AC33" s="43"/>
      <c r="AD33" s="44"/>
      <c r="AE33" s="77"/>
      <c r="AF33" s="79">
        <f t="shared" si="10"/>
        <v>0</v>
      </c>
      <c r="AH33" s="62"/>
      <c r="AI33" s="41"/>
      <c r="AJ33" s="42"/>
      <c r="AK33" s="74"/>
      <c r="AL33" s="48"/>
      <c r="AM33" s="43"/>
      <c r="AN33" s="43"/>
      <c r="AO33" s="44"/>
      <c r="AP33" s="77"/>
      <c r="AQ33" s="79">
        <f t="shared" si="11"/>
        <v>0</v>
      </c>
    </row>
    <row r="34" spans="1:43" x14ac:dyDescent="0.25">
      <c r="A34" s="62"/>
      <c r="B34" s="41"/>
      <c r="C34" s="42"/>
      <c r="D34" s="74"/>
      <c r="E34" s="48"/>
      <c r="F34" s="43"/>
      <c r="G34" s="43"/>
      <c r="H34" s="44"/>
      <c r="I34" s="77"/>
      <c r="J34" s="79">
        <f t="shared" si="8"/>
        <v>0</v>
      </c>
      <c r="L34" s="62"/>
      <c r="M34" s="41"/>
      <c r="N34" s="42"/>
      <c r="O34" s="74"/>
      <c r="P34" s="48"/>
      <c r="Q34" s="43"/>
      <c r="R34" s="43"/>
      <c r="S34" s="44"/>
      <c r="T34" s="77"/>
      <c r="U34" s="79">
        <f t="shared" si="9"/>
        <v>0</v>
      </c>
      <c r="W34" s="62"/>
      <c r="X34" s="41"/>
      <c r="Y34" s="42"/>
      <c r="Z34" s="74"/>
      <c r="AA34" s="48"/>
      <c r="AB34" s="43"/>
      <c r="AC34" s="43"/>
      <c r="AD34" s="44"/>
      <c r="AE34" s="77"/>
      <c r="AF34" s="79">
        <f t="shared" si="10"/>
        <v>0</v>
      </c>
      <c r="AH34" s="62"/>
      <c r="AI34" s="41"/>
      <c r="AJ34" s="42"/>
      <c r="AK34" s="74"/>
      <c r="AL34" s="48"/>
      <c r="AM34" s="43"/>
      <c r="AN34" s="43"/>
      <c r="AO34" s="44"/>
      <c r="AP34" s="77"/>
      <c r="AQ34" s="79">
        <f t="shared" si="11"/>
        <v>0</v>
      </c>
    </row>
    <row r="35" spans="1:43" x14ac:dyDescent="0.25">
      <c r="A35" s="62"/>
      <c r="B35" s="41"/>
      <c r="C35" s="42"/>
      <c r="D35" s="74"/>
      <c r="E35" s="48"/>
      <c r="F35" s="43"/>
      <c r="G35" s="43"/>
      <c r="H35" s="44"/>
      <c r="I35" s="77"/>
      <c r="J35" s="79">
        <f t="shared" si="8"/>
        <v>0</v>
      </c>
      <c r="L35" s="62"/>
      <c r="M35" s="41"/>
      <c r="N35" s="42"/>
      <c r="O35" s="74"/>
      <c r="P35" s="48"/>
      <c r="Q35" s="43"/>
      <c r="R35" s="43"/>
      <c r="S35" s="44"/>
      <c r="T35" s="77"/>
      <c r="U35" s="79">
        <f t="shared" si="9"/>
        <v>0</v>
      </c>
      <c r="W35" s="62"/>
      <c r="X35" s="41"/>
      <c r="Y35" s="42"/>
      <c r="Z35" s="74"/>
      <c r="AA35" s="48"/>
      <c r="AB35" s="43"/>
      <c r="AC35" s="43"/>
      <c r="AD35" s="44"/>
      <c r="AE35" s="77"/>
      <c r="AF35" s="79">
        <f t="shared" si="10"/>
        <v>0</v>
      </c>
      <c r="AH35" s="62"/>
      <c r="AI35" s="41"/>
      <c r="AJ35" s="42"/>
      <c r="AK35" s="74"/>
      <c r="AL35" s="48"/>
      <c r="AM35" s="43"/>
      <c r="AN35" s="43"/>
      <c r="AO35" s="44"/>
      <c r="AP35" s="77"/>
      <c r="AQ35" s="79">
        <f t="shared" si="11"/>
        <v>0</v>
      </c>
    </row>
    <row r="36" spans="1:43" ht="11" thickBot="1" x14ac:dyDescent="0.3">
      <c r="A36" s="63"/>
      <c r="B36" s="64"/>
      <c r="C36" s="65"/>
      <c r="D36" s="75"/>
      <c r="E36" s="49"/>
      <c r="F36" s="66"/>
      <c r="G36" s="66"/>
      <c r="H36" s="67"/>
      <c r="I36" s="83"/>
      <c r="J36" s="80">
        <f>F36*(H36+I36)</f>
        <v>0</v>
      </c>
      <c r="L36" s="63"/>
      <c r="M36" s="64"/>
      <c r="N36" s="65"/>
      <c r="O36" s="75"/>
      <c r="P36" s="49"/>
      <c r="Q36" s="66"/>
      <c r="R36" s="66"/>
      <c r="S36" s="67"/>
      <c r="T36" s="83"/>
      <c r="U36" s="80">
        <f>Q36*(S36+T36)</f>
        <v>0</v>
      </c>
      <c r="W36" s="63"/>
      <c r="X36" s="64"/>
      <c r="Y36" s="65"/>
      <c r="Z36" s="75"/>
      <c r="AA36" s="49"/>
      <c r="AB36" s="66"/>
      <c r="AC36" s="66"/>
      <c r="AD36" s="67"/>
      <c r="AE36" s="83"/>
      <c r="AF36" s="80">
        <f>AB36*(AD36+AE36)</f>
        <v>0</v>
      </c>
      <c r="AH36" s="63"/>
      <c r="AI36" s="64"/>
      <c r="AJ36" s="65"/>
      <c r="AK36" s="75"/>
      <c r="AL36" s="49"/>
      <c r="AM36" s="66"/>
      <c r="AN36" s="66"/>
      <c r="AO36" s="67"/>
      <c r="AP36" s="83"/>
      <c r="AQ36" s="80">
        <f>AM36*(AO36+AP36)</f>
        <v>0</v>
      </c>
    </row>
    <row r="37" spans="1:43" ht="11" thickBot="1" x14ac:dyDescent="0.3">
      <c r="D37" s="45"/>
      <c r="E37" s="45"/>
      <c r="F37" s="45"/>
      <c r="G37" s="45"/>
      <c r="H37" s="82"/>
      <c r="I37" s="45" t="s">
        <v>80</v>
      </c>
      <c r="J37" s="81">
        <f>SUM(J29:J36)</f>
        <v>0</v>
      </c>
      <c r="O37" s="45"/>
      <c r="P37" s="45"/>
      <c r="Q37" s="45"/>
      <c r="R37" s="45"/>
      <c r="S37" s="82"/>
      <c r="T37" s="45" t="s">
        <v>80</v>
      </c>
      <c r="U37" s="81">
        <f>SUM(U29:U36)</f>
        <v>0</v>
      </c>
      <c r="Z37" s="45"/>
      <c r="AA37" s="45"/>
      <c r="AB37" s="45"/>
      <c r="AC37" s="45"/>
      <c r="AD37" s="82"/>
      <c r="AE37" s="45" t="s">
        <v>80</v>
      </c>
      <c r="AF37" s="81">
        <f>SUM(AF29:AF36)</f>
        <v>0</v>
      </c>
      <c r="AK37" s="45"/>
      <c r="AL37" s="45"/>
      <c r="AM37" s="45"/>
      <c r="AN37" s="45"/>
      <c r="AO37" s="82"/>
      <c r="AP37" s="45" t="s">
        <v>80</v>
      </c>
      <c r="AQ37" s="81">
        <f>SUM(AQ29:AQ36)</f>
        <v>0</v>
      </c>
    </row>
    <row r="38" spans="1:43" ht="11" thickBot="1" x14ac:dyDescent="0.3"/>
    <row r="39" spans="1:43" ht="11" thickBot="1" x14ac:dyDescent="0.3">
      <c r="A39" s="68"/>
      <c r="B39" s="69" t="s">
        <v>34</v>
      </c>
      <c r="C39" s="86" t="s">
        <v>48</v>
      </c>
      <c r="D39" s="945" t="e">
        <f>#REF!</f>
        <v>#REF!</v>
      </c>
      <c r="E39" s="945"/>
      <c r="F39" s="945"/>
      <c r="G39" s="945"/>
      <c r="H39" s="945"/>
      <c r="I39" s="945"/>
      <c r="J39" s="946"/>
      <c r="L39" s="68"/>
      <c r="M39" s="69" t="s">
        <v>34</v>
      </c>
      <c r="N39" s="70" t="s">
        <v>52</v>
      </c>
      <c r="O39" s="945" t="e">
        <f>#REF!</f>
        <v>#REF!</v>
      </c>
      <c r="P39" s="945"/>
      <c r="Q39" s="945"/>
      <c r="R39" s="945"/>
      <c r="S39" s="945"/>
      <c r="T39" s="945"/>
      <c r="U39" s="946"/>
      <c r="W39" s="68"/>
      <c r="X39" s="69" t="s">
        <v>34</v>
      </c>
      <c r="Y39" s="70" t="s">
        <v>57</v>
      </c>
      <c r="Z39" s="945" t="e">
        <f>#REF!</f>
        <v>#REF!</v>
      </c>
      <c r="AA39" s="945"/>
      <c r="AB39" s="945"/>
      <c r="AC39" s="945"/>
      <c r="AD39" s="945"/>
      <c r="AE39" s="945"/>
      <c r="AF39" s="946"/>
      <c r="AH39" s="68"/>
      <c r="AI39" s="69" t="s">
        <v>34</v>
      </c>
      <c r="AJ39" s="70" t="s">
        <v>57</v>
      </c>
      <c r="AK39" s="945" t="e">
        <f>#REF!</f>
        <v>#REF!</v>
      </c>
      <c r="AL39" s="945"/>
      <c r="AM39" s="945"/>
      <c r="AN39" s="945"/>
      <c r="AO39" s="945"/>
      <c r="AP39" s="945"/>
      <c r="AQ39" s="946"/>
    </row>
    <row r="40" spans="1:43" ht="11" thickBot="1" x14ac:dyDescent="0.3">
      <c r="A40" s="51" t="s">
        <v>75</v>
      </c>
      <c r="B40" s="52" t="s">
        <v>76</v>
      </c>
      <c r="C40" s="52" t="s">
        <v>77</v>
      </c>
      <c r="D40" s="53" t="s">
        <v>78</v>
      </c>
      <c r="E40" s="47"/>
      <c r="F40" s="54" t="s">
        <v>39</v>
      </c>
      <c r="G40" s="52" t="s">
        <v>40</v>
      </c>
      <c r="H40" s="52" t="s">
        <v>79</v>
      </c>
      <c r="I40" s="55" t="s">
        <v>41</v>
      </c>
      <c r="J40" s="50" t="s">
        <v>80</v>
      </c>
      <c r="L40" s="51" t="s">
        <v>75</v>
      </c>
      <c r="M40" s="52" t="s">
        <v>76</v>
      </c>
      <c r="N40" s="52" t="s">
        <v>77</v>
      </c>
      <c r="O40" s="53" t="s">
        <v>78</v>
      </c>
      <c r="P40" s="47"/>
      <c r="Q40" s="54" t="s">
        <v>39</v>
      </c>
      <c r="R40" s="52" t="s">
        <v>40</v>
      </c>
      <c r="S40" s="52" t="s">
        <v>79</v>
      </c>
      <c r="T40" s="55" t="s">
        <v>41</v>
      </c>
      <c r="U40" s="50" t="s">
        <v>80</v>
      </c>
      <c r="W40" s="51" t="s">
        <v>75</v>
      </c>
      <c r="X40" s="52" t="s">
        <v>76</v>
      </c>
      <c r="Y40" s="52" t="s">
        <v>77</v>
      </c>
      <c r="Z40" s="53" t="s">
        <v>78</v>
      </c>
      <c r="AA40" s="47"/>
      <c r="AB40" s="54" t="s">
        <v>39</v>
      </c>
      <c r="AC40" s="52" t="s">
        <v>40</v>
      </c>
      <c r="AD40" s="52" t="s">
        <v>79</v>
      </c>
      <c r="AE40" s="55" t="s">
        <v>41</v>
      </c>
      <c r="AF40" s="50" t="s">
        <v>80</v>
      </c>
      <c r="AH40" s="51" t="s">
        <v>75</v>
      </c>
      <c r="AI40" s="52" t="s">
        <v>76</v>
      </c>
      <c r="AJ40" s="52" t="s">
        <v>77</v>
      </c>
      <c r="AK40" s="53" t="s">
        <v>78</v>
      </c>
      <c r="AL40" s="47"/>
      <c r="AM40" s="54" t="s">
        <v>39</v>
      </c>
      <c r="AN40" s="52" t="s">
        <v>40</v>
      </c>
      <c r="AO40" s="52" t="s">
        <v>79</v>
      </c>
      <c r="AP40" s="55" t="s">
        <v>41</v>
      </c>
      <c r="AQ40" s="50" t="s">
        <v>80</v>
      </c>
    </row>
    <row r="41" spans="1:43" x14ac:dyDescent="0.25">
      <c r="A41" s="56"/>
      <c r="B41" s="57"/>
      <c r="C41" s="58"/>
      <c r="D41" s="72"/>
      <c r="E41" s="59"/>
      <c r="F41" s="60"/>
      <c r="G41" s="60"/>
      <c r="H41" s="61"/>
      <c r="I41" s="76"/>
      <c r="J41" s="78">
        <f>F41*(H41+I41)</f>
        <v>0</v>
      </c>
      <c r="L41" s="56"/>
      <c r="M41" s="57"/>
      <c r="N41" s="58"/>
      <c r="O41" s="72"/>
      <c r="P41" s="59"/>
      <c r="Q41" s="60"/>
      <c r="R41" s="60"/>
      <c r="S41" s="61"/>
      <c r="T41" s="76"/>
      <c r="U41" s="78">
        <f>Q41*(S41+T41)</f>
        <v>0</v>
      </c>
      <c r="W41" s="56"/>
      <c r="X41" s="57"/>
      <c r="Y41" s="58"/>
      <c r="Z41" s="72"/>
      <c r="AA41" s="59"/>
      <c r="AB41" s="60"/>
      <c r="AC41" s="60"/>
      <c r="AD41" s="61"/>
      <c r="AE41" s="76"/>
      <c r="AF41" s="78">
        <f>AB41*(AD41+AE41)</f>
        <v>0</v>
      </c>
      <c r="AH41" s="56"/>
      <c r="AI41" s="57"/>
      <c r="AJ41" s="58"/>
      <c r="AK41" s="72"/>
      <c r="AL41" s="59"/>
      <c r="AM41" s="60"/>
      <c r="AN41" s="60"/>
      <c r="AO41" s="61"/>
      <c r="AP41" s="76"/>
      <c r="AQ41" s="78">
        <f>AM41*(AO41+AP41)</f>
        <v>0</v>
      </c>
    </row>
    <row r="42" spans="1:43" x14ac:dyDescent="0.25">
      <c r="A42" s="73"/>
      <c r="B42" s="41"/>
      <c r="C42" s="42"/>
      <c r="D42" s="74"/>
      <c r="E42" s="48"/>
      <c r="F42" s="43"/>
      <c r="G42" s="43"/>
      <c r="H42" s="87"/>
      <c r="I42" s="88"/>
      <c r="J42" s="79">
        <f t="shared" ref="J42:J47" si="12">F42*(H42+I42)</f>
        <v>0</v>
      </c>
      <c r="L42" s="73"/>
      <c r="M42" s="41"/>
      <c r="N42" s="42"/>
      <c r="O42" s="74"/>
      <c r="P42" s="48"/>
      <c r="Q42" s="43"/>
      <c r="R42" s="43"/>
      <c r="S42" s="44"/>
      <c r="T42" s="77"/>
      <c r="U42" s="79">
        <f t="shared" ref="U42:U47" si="13">Q42*(S42+T42)</f>
        <v>0</v>
      </c>
      <c r="W42" s="73"/>
      <c r="X42" s="41"/>
      <c r="Y42" s="42"/>
      <c r="Z42" s="74"/>
      <c r="AA42" s="48"/>
      <c r="AB42" s="43"/>
      <c r="AC42" s="43"/>
      <c r="AD42" s="44"/>
      <c r="AE42" s="77"/>
      <c r="AF42" s="79">
        <f t="shared" ref="AF42:AF47" si="14">AB42*(AD42+AE42)</f>
        <v>0</v>
      </c>
      <c r="AH42" s="73"/>
      <c r="AI42" s="41"/>
      <c r="AJ42" s="42"/>
      <c r="AK42" s="74"/>
      <c r="AL42" s="48"/>
      <c r="AM42" s="43"/>
      <c r="AN42" s="43"/>
      <c r="AO42" s="44"/>
      <c r="AP42" s="77"/>
      <c r="AQ42" s="79">
        <f t="shared" ref="AQ42:AQ47" si="15">AM42*(AO42+AP42)</f>
        <v>0</v>
      </c>
    </row>
    <row r="43" spans="1:43" x14ac:dyDescent="0.25">
      <c r="A43" s="62"/>
      <c r="B43" s="41"/>
      <c r="C43" s="42"/>
      <c r="D43" s="74"/>
      <c r="E43" s="48"/>
      <c r="F43" s="43"/>
      <c r="G43" s="43"/>
      <c r="H43" s="44"/>
      <c r="I43" s="77"/>
      <c r="J43" s="79">
        <f t="shared" si="12"/>
        <v>0</v>
      </c>
      <c r="L43" s="62"/>
      <c r="M43" s="41"/>
      <c r="N43" s="42"/>
      <c r="O43" s="74"/>
      <c r="P43" s="48"/>
      <c r="Q43" s="43"/>
      <c r="R43" s="43"/>
      <c r="S43" s="44"/>
      <c r="T43" s="77"/>
      <c r="U43" s="79">
        <f t="shared" si="13"/>
        <v>0</v>
      </c>
      <c r="W43" s="62"/>
      <c r="X43" s="41"/>
      <c r="Y43" s="42"/>
      <c r="Z43" s="74"/>
      <c r="AA43" s="48"/>
      <c r="AB43" s="43"/>
      <c r="AC43" s="43"/>
      <c r="AD43" s="44"/>
      <c r="AE43" s="77"/>
      <c r="AF43" s="79">
        <f t="shared" si="14"/>
        <v>0</v>
      </c>
      <c r="AH43" s="62"/>
      <c r="AI43" s="41"/>
      <c r="AJ43" s="42"/>
      <c r="AK43" s="74"/>
      <c r="AL43" s="48"/>
      <c r="AM43" s="43"/>
      <c r="AN43" s="43"/>
      <c r="AO43" s="44"/>
      <c r="AP43" s="77"/>
      <c r="AQ43" s="79">
        <f t="shared" si="15"/>
        <v>0</v>
      </c>
    </row>
    <row r="44" spans="1:43" x14ac:dyDescent="0.25">
      <c r="A44" s="62"/>
      <c r="B44" s="41"/>
      <c r="C44" s="42"/>
      <c r="D44" s="74"/>
      <c r="E44" s="48"/>
      <c r="F44" s="43"/>
      <c r="G44" s="43"/>
      <c r="H44" s="87"/>
      <c r="I44" s="88"/>
      <c r="J44" s="79">
        <f>F44*(H44+I44)</f>
        <v>0</v>
      </c>
      <c r="L44" s="62"/>
      <c r="M44" s="41"/>
      <c r="N44" s="42"/>
      <c r="O44" s="74"/>
      <c r="P44" s="48"/>
      <c r="Q44" s="43"/>
      <c r="R44" s="43"/>
      <c r="S44" s="44"/>
      <c r="T44" s="77"/>
      <c r="U44" s="79">
        <f t="shared" si="13"/>
        <v>0</v>
      </c>
      <c r="W44" s="62"/>
      <c r="X44" s="41"/>
      <c r="Y44" s="42"/>
      <c r="Z44" s="74"/>
      <c r="AA44" s="48"/>
      <c r="AB44" s="43"/>
      <c r="AC44" s="43"/>
      <c r="AD44" s="44"/>
      <c r="AE44" s="77"/>
      <c r="AF44" s="79">
        <f t="shared" si="14"/>
        <v>0</v>
      </c>
      <c r="AH44" s="62"/>
      <c r="AI44" s="41"/>
      <c r="AJ44" s="42"/>
      <c r="AK44" s="74"/>
      <c r="AL44" s="48"/>
      <c r="AM44" s="43"/>
      <c r="AN44" s="43"/>
      <c r="AO44" s="44"/>
      <c r="AP44" s="77"/>
      <c r="AQ44" s="79">
        <f t="shared" si="15"/>
        <v>0</v>
      </c>
    </row>
    <row r="45" spans="1:43" x14ac:dyDescent="0.25">
      <c r="A45" s="62"/>
      <c r="B45" s="41"/>
      <c r="C45" s="42"/>
      <c r="D45" s="74"/>
      <c r="E45" s="48"/>
      <c r="F45" s="43"/>
      <c r="G45" s="43"/>
      <c r="H45" s="44"/>
      <c r="I45" s="77"/>
      <c r="J45" s="79">
        <f t="shared" si="12"/>
        <v>0</v>
      </c>
      <c r="L45" s="62"/>
      <c r="M45" s="41"/>
      <c r="N45" s="42"/>
      <c r="O45" s="74"/>
      <c r="P45" s="48"/>
      <c r="Q45" s="43"/>
      <c r="R45" s="43"/>
      <c r="S45" s="44"/>
      <c r="T45" s="77"/>
      <c r="U45" s="79">
        <f t="shared" si="13"/>
        <v>0</v>
      </c>
      <c r="W45" s="62"/>
      <c r="X45" s="41"/>
      <c r="Y45" s="42"/>
      <c r="Z45" s="74"/>
      <c r="AA45" s="48"/>
      <c r="AB45" s="43"/>
      <c r="AC45" s="43"/>
      <c r="AD45" s="44"/>
      <c r="AE45" s="77"/>
      <c r="AF45" s="79">
        <f t="shared" si="14"/>
        <v>0</v>
      </c>
      <c r="AH45" s="62"/>
      <c r="AI45" s="41"/>
      <c r="AJ45" s="42"/>
      <c r="AK45" s="74"/>
      <c r="AL45" s="48"/>
      <c r="AM45" s="43"/>
      <c r="AN45" s="43"/>
      <c r="AO45" s="44"/>
      <c r="AP45" s="77"/>
      <c r="AQ45" s="79">
        <f t="shared" si="15"/>
        <v>0</v>
      </c>
    </row>
    <row r="46" spans="1:43" x14ac:dyDescent="0.25">
      <c r="A46" s="62"/>
      <c r="B46" s="41"/>
      <c r="C46" s="42"/>
      <c r="D46" s="74"/>
      <c r="E46" s="48"/>
      <c r="F46" s="43"/>
      <c r="G46" s="43"/>
      <c r="H46" s="44"/>
      <c r="I46" s="77"/>
      <c r="J46" s="79">
        <f t="shared" si="12"/>
        <v>0</v>
      </c>
      <c r="L46" s="62"/>
      <c r="M46" s="41"/>
      <c r="N46" s="42"/>
      <c r="O46" s="74"/>
      <c r="P46" s="48"/>
      <c r="Q46" s="43"/>
      <c r="R46" s="43"/>
      <c r="S46" s="44"/>
      <c r="T46" s="77"/>
      <c r="U46" s="79">
        <f t="shared" si="13"/>
        <v>0</v>
      </c>
      <c r="W46" s="62"/>
      <c r="X46" s="41"/>
      <c r="Y46" s="42"/>
      <c r="Z46" s="74"/>
      <c r="AA46" s="48"/>
      <c r="AB46" s="43"/>
      <c r="AC46" s="43"/>
      <c r="AD46" s="44"/>
      <c r="AE46" s="77"/>
      <c r="AF46" s="79">
        <f t="shared" si="14"/>
        <v>0</v>
      </c>
      <c r="AH46" s="62"/>
      <c r="AI46" s="41"/>
      <c r="AJ46" s="42"/>
      <c r="AK46" s="74"/>
      <c r="AL46" s="48"/>
      <c r="AM46" s="43"/>
      <c r="AN46" s="43"/>
      <c r="AO46" s="44"/>
      <c r="AP46" s="77"/>
      <c r="AQ46" s="79">
        <f t="shared" si="15"/>
        <v>0</v>
      </c>
    </row>
    <row r="47" spans="1:43" x14ac:dyDescent="0.25">
      <c r="A47" s="62"/>
      <c r="B47" s="41"/>
      <c r="C47" s="42"/>
      <c r="D47" s="74"/>
      <c r="E47" s="48"/>
      <c r="F47" s="43"/>
      <c r="G47" s="43"/>
      <c r="H47" s="44"/>
      <c r="I47" s="77"/>
      <c r="J47" s="79">
        <f t="shared" si="12"/>
        <v>0</v>
      </c>
      <c r="L47" s="62"/>
      <c r="M47" s="41"/>
      <c r="N47" s="42"/>
      <c r="O47" s="74"/>
      <c r="P47" s="48"/>
      <c r="Q47" s="43"/>
      <c r="R47" s="43"/>
      <c r="S47" s="44"/>
      <c r="T47" s="77"/>
      <c r="U47" s="79">
        <f t="shared" si="13"/>
        <v>0</v>
      </c>
      <c r="W47" s="62"/>
      <c r="X47" s="41"/>
      <c r="Y47" s="42"/>
      <c r="Z47" s="74"/>
      <c r="AA47" s="48"/>
      <c r="AB47" s="43"/>
      <c r="AC47" s="43"/>
      <c r="AD47" s="44"/>
      <c r="AE47" s="77"/>
      <c r="AF47" s="79">
        <f t="shared" si="14"/>
        <v>0</v>
      </c>
      <c r="AH47" s="62"/>
      <c r="AI47" s="41"/>
      <c r="AJ47" s="42"/>
      <c r="AK47" s="74"/>
      <c r="AL47" s="48"/>
      <c r="AM47" s="43"/>
      <c r="AN47" s="43"/>
      <c r="AO47" s="44"/>
      <c r="AP47" s="77"/>
      <c r="AQ47" s="79">
        <f t="shared" si="15"/>
        <v>0</v>
      </c>
    </row>
    <row r="48" spans="1:43" ht="11" thickBot="1" x14ac:dyDescent="0.3">
      <c r="A48" s="63"/>
      <c r="B48" s="64"/>
      <c r="C48" s="65"/>
      <c r="D48" s="75"/>
      <c r="E48" s="49"/>
      <c r="F48" s="66"/>
      <c r="G48" s="66"/>
      <c r="H48" s="67"/>
      <c r="I48" s="83"/>
      <c r="J48" s="80">
        <f>F48*(H48+I48)</f>
        <v>0</v>
      </c>
      <c r="L48" s="63"/>
      <c r="M48" s="64"/>
      <c r="N48" s="65"/>
      <c r="O48" s="75"/>
      <c r="P48" s="49"/>
      <c r="Q48" s="66"/>
      <c r="R48" s="66"/>
      <c r="S48" s="67"/>
      <c r="T48" s="83"/>
      <c r="U48" s="80">
        <f>Q48*(S48+T48)</f>
        <v>0</v>
      </c>
      <c r="W48" s="63"/>
      <c r="X48" s="64"/>
      <c r="Y48" s="65"/>
      <c r="Z48" s="75"/>
      <c r="AA48" s="49"/>
      <c r="AB48" s="66"/>
      <c r="AC48" s="66"/>
      <c r="AD48" s="67"/>
      <c r="AE48" s="83"/>
      <c r="AF48" s="80">
        <f>AB48*(AD48+AE48)</f>
        <v>0</v>
      </c>
      <c r="AH48" s="63"/>
      <c r="AI48" s="64"/>
      <c r="AJ48" s="65"/>
      <c r="AK48" s="75"/>
      <c r="AL48" s="49"/>
      <c r="AM48" s="66"/>
      <c r="AN48" s="66"/>
      <c r="AO48" s="67"/>
      <c r="AP48" s="83"/>
      <c r="AQ48" s="80">
        <f>AM48*(AO48+AP48)</f>
        <v>0</v>
      </c>
    </row>
    <row r="49" spans="1:43" ht="11" thickBot="1" x14ac:dyDescent="0.3">
      <c r="D49" s="45"/>
      <c r="E49" s="45"/>
      <c r="F49" s="45"/>
      <c r="G49" s="45"/>
      <c r="H49" s="82"/>
      <c r="I49" s="45" t="s">
        <v>80</v>
      </c>
      <c r="J49" s="81">
        <f>SUM(J41:J48)</f>
        <v>0</v>
      </c>
      <c r="O49" s="45"/>
      <c r="P49" s="45"/>
      <c r="Q49" s="45"/>
      <c r="R49" s="45"/>
      <c r="S49" s="82"/>
      <c r="T49" s="45" t="s">
        <v>80</v>
      </c>
      <c r="U49" s="81">
        <f>SUM(U41:U48)</f>
        <v>0</v>
      </c>
      <c r="Z49" s="45"/>
      <c r="AA49" s="45"/>
      <c r="AB49" s="45"/>
      <c r="AC49" s="45"/>
      <c r="AD49" s="82"/>
      <c r="AE49" s="45" t="s">
        <v>80</v>
      </c>
      <c r="AF49" s="81">
        <f>SUM(AF41:AF48)</f>
        <v>0</v>
      </c>
      <c r="AK49" s="45"/>
      <c r="AL49" s="45"/>
      <c r="AM49" s="45"/>
      <c r="AN49" s="45"/>
      <c r="AO49" s="82"/>
      <c r="AP49" s="45" t="s">
        <v>80</v>
      </c>
      <c r="AQ49" s="81">
        <f>SUM(AQ41:AQ48)</f>
        <v>0</v>
      </c>
    </row>
    <row r="50" spans="1:43" hidden="1" x14ac:dyDescent="0.25"/>
    <row r="51" spans="1:43" ht="11" hidden="1" thickBot="1" x14ac:dyDescent="0.3">
      <c r="A51" s="68"/>
      <c r="B51" s="69" t="s">
        <v>34</v>
      </c>
      <c r="C51" s="86" t="s">
        <v>49</v>
      </c>
      <c r="D51" s="945"/>
      <c r="E51" s="945"/>
      <c r="F51" s="945"/>
      <c r="G51" s="945"/>
      <c r="H51" s="945"/>
      <c r="I51" s="945"/>
      <c r="J51" s="946"/>
      <c r="L51" s="68"/>
      <c r="M51" s="69" t="s">
        <v>34</v>
      </c>
      <c r="N51" s="86" t="s">
        <v>53</v>
      </c>
      <c r="O51" s="945"/>
      <c r="P51" s="945"/>
      <c r="Q51" s="945"/>
      <c r="R51" s="945"/>
      <c r="S51" s="945"/>
      <c r="T51" s="945"/>
      <c r="U51" s="946"/>
      <c r="W51" s="68"/>
      <c r="X51" s="69" t="s">
        <v>34</v>
      </c>
      <c r="Y51" s="86" t="s">
        <v>58</v>
      </c>
      <c r="Z51" s="945"/>
      <c r="AA51" s="945"/>
      <c r="AB51" s="945"/>
      <c r="AC51" s="945"/>
      <c r="AD51" s="945"/>
      <c r="AE51" s="945"/>
      <c r="AF51" s="946"/>
      <c r="AH51" s="68"/>
      <c r="AI51" s="69" t="s">
        <v>34</v>
      </c>
      <c r="AJ51" s="86" t="s">
        <v>58</v>
      </c>
      <c r="AK51" s="945"/>
      <c r="AL51" s="945"/>
      <c r="AM51" s="945"/>
      <c r="AN51" s="945"/>
      <c r="AO51" s="945"/>
      <c r="AP51" s="945"/>
      <c r="AQ51" s="946"/>
    </row>
    <row r="52" spans="1:43" hidden="1" x14ac:dyDescent="0.25">
      <c r="A52" s="51" t="s">
        <v>75</v>
      </c>
      <c r="B52" s="52" t="s">
        <v>76</v>
      </c>
      <c r="C52" s="52" t="s">
        <v>77</v>
      </c>
      <c r="D52" s="53" t="s">
        <v>78</v>
      </c>
      <c r="E52" s="47"/>
      <c r="F52" s="54" t="s">
        <v>39</v>
      </c>
      <c r="G52" s="52" t="s">
        <v>40</v>
      </c>
      <c r="H52" s="52" t="s">
        <v>79</v>
      </c>
      <c r="I52" s="55" t="s">
        <v>41</v>
      </c>
      <c r="J52" s="50" t="s">
        <v>80</v>
      </c>
      <c r="L52" s="51" t="s">
        <v>75</v>
      </c>
      <c r="M52" s="52" t="s">
        <v>76</v>
      </c>
      <c r="N52" s="52" t="s">
        <v>77</v>
      </c>
      <c r="O52" s="53" t="s">
        <v>78</v>
      </c>
      <c r="P52" s="47"/>
      <c r="Q52" s="54" t="s">
        <v>39</v>
      </c>
      <c r="R52" s="52" t="s">
        <v>40</v>
      </c>
      <c r="S52" s="52" t="s">
        <v>79</v>
      </c>
      <c r="T52" s="55" t="s">
        <v>41</v>
      </c>
      <c r="U52" s="50" t="s">
        <v>80</v>
      </c>
      <c r="W52" s="51" t="s">
        <v>75</v>
      </c>
      <c r="X52" s="52" t="s">
        <v>76</v>
      </c>
      <c r="Y52" s="52" t="s">
        <v>77</v>
      </c>
      <c r="Z52" s="53" t="s">
        <v>78</v>
      </c>
      <c r="AA52" s="47"/>
      <c r="AB52" s="54" t="s">
        <v>39</v>
      </c>
      <c r="AC52" s="52" t="s">
        <v>40</v>
      </c>
      <c r="AD52" s="52" t="s">
        <v>79</v>
      </c>
      <c r="AE52" s="55" t="s">
        <v>41</v>
      </c>
      <c r="AF52" s="50" t="s">
        <v>80</v>
      </c>
      <c r="AH52" s="51" t="s">
        <v>75</v>
      </c>
      <c r="AI52" s="52" t="s">
        <v>76</v>
      </c>
      <c r="AJ52" s="52" t="s">
        <v>77</v>
      </c>
      <c r="AK52" s="53" t="s">
        <v>78</v>
      </c>
      <c r="AL52" s="47"/>
      <c r="AM52" s="54" t="s">
        <v>39</v>
      </c>
      <c r="AN52" s="52" t="s">
        <v>40</v>
      </c>
      <c r="AO52" s="52" t="s">
        <v>79</v>
      </c>
      <c r="AP52" s="55" t="s">
        <v>41</v>
      </c>
      <c r="AQ52" s="50" t="s">
        <v>80</v>
      </c>
    </row>
    <row r="53" spans="1:43" hidden="1" x14ac:dyDescent="0.25">
      <c r="A53" s="56"/>
      <c r="B53" s="57"/>
      <c r="C53" s="58"/>
      <c r="D53" s="72"/>
      <c r="E53" s="59"/>
      <c r="F53" s="60"/>
      <c r="G53" s="60"/>
      <c r="H53" s="61"/>
      <c r="I53" s="76"/>
      <c r="J53" s="78">
        <f>F53*(H53+I53)</f>
        <v>0</v>
      </c>
      <c r="L53" s="56"/>
      <c r="M53" s="57"/>
      <c r="N53" s="58"/>
      <c r="O53" s="72"/>
      <c r="P53" s="59"/>
      <c r="Q53" s="60"/>
      <c r="R53" s="60"/>
      <c r="S53" s="61"/>
      <c r="T53" s="76"/>
      <c r="U53" s="78">
        <f>Q53*(S53+T53)</f>
        <v>0</v>
      </c>
      <c r="W53" s="56"/>
      <c r="X53" s="57"/>
      <c r="Y53" s="58"/>
      <c r="Z53" s="72"/>
      <c r="AA53" s="59"/>
      <c r="AB53" s="60"/>
      <c r="AC53" s="60"/>
      <c r="AD53" s="61"/>
      <c r="AE53" s="76"/>
      <c r="AF53" s="78">
        <f>AB53*(AD53+AE53)</f>
        <v>0</v>
      </c>
      <c r="AH53" s="56"/>
      <c r="AI53" s="57"/>
      <c r="AJ53" s="58"/>
      <c r="AK53" s="72"/>
      <c r="AL53" s="59"/>
      <c r="AM53" s="60"/>
      <c r="AN53" s="60"/>
      <c r="AO53" s="61"/>
      <c r="AP53" s="76"/>
      <c r="AQ53" s="78">
        <f>AM53*(AO53+AP53)</f>
        <v>0</v>
      </c>
    </row>
    <row r="54" spans="1:43" hidden="1" x14ac:dyDescent="0.25">
      <c r="A54" s="73"/>
      <c r="B54" s="41"/>
      <c r="C54" s="42"/>
      <c r="D54" s="74"/>
      <c r="E54" s="48"/>
      <c r="F54" s="43"/>
      <c r="G54" s="43"/>
      <c r="H54" s="44"/>
      <c r="I54" s="77"/>
      <c r="J54" s="79">
        <f t="shared" ref="J54:J59" si="16">F54*(H54+I54)</f>
        <v>0</v>
      </c>
      <c r="L54" s="73"/>
      <c r="M54" s="41"/>
      <c r="N54" s="42"/>
      <c r="O54" s="74"/>
      <c r="P54" s="48"/>
      <c r="Q54" s="43"/>
      <c r="R54" s="43"/>
      <c r="S54" s="44"/>
      <c r="T54" s="77"/>
      <c r="U54" s="79">
        <f t="shared" ref="U54:U59" si="17">Q54*(S54+T54)</f>
        <v>0</v>
      </c>
      <c r="W54" s="73"/>
      <c r="X54" s="41"/>
      <c r="Y54" s="42"/>
      <c r="Z54" s="74"/>
      <c r="AA54" s="48"/>
      <c r="AB54" s="43"/>
      <c r="AC54" s="43"/>
      <c r="AD54" s="44"/>
      <c r="AE54" s="77"/>
      <c r="AF54" s="79">
        <f t="shared" ref="AF54:AF59" si="18">AB54*(AD54+AE54)</f>
        <v>0</v>
      </c>
      <c r="AH54" s="73"/>
      <c r="AI54" s="41"/>
      <c r="AJ54" s="42"/>
      <c r="AK54" s="74"/>
      <c r="AL54" s="48"/>
      <c r="AM54" s="43"/>
      <c r="AN54" s="43"/>
      <c r="AO54" s="44"/>
      <c r="AP54" s="77"/>
      <c r="AQ54" s="79">
        <f t="shared" ref="AQ54:AQ59" si="19">AM54*(AO54+AP54)</f>
        <v>0</v>
      </c>
    </row>
    <row r="55" spans="1:43" hidden="1" x14ac:dyDescent="0.25">
      <c r="A55" s="62"/>
      <c r="B55" s="41"/>
      <c r="C55" s="42"/>
      <c r="D55" s="74"/>
      <c r="E55" s="48"/>
      <c r="F55" s="43"/>
      <c r="G55" s="43"/>
      <c r="H55" s="44"/>
      <c r="I55" s="77"/>
      <c r="J55" s="79">
        <f t="shared" si="16"/>
        <v>0</v>
      </c>
      <c r="L55" s="62"/>
      <c r="M55" s="41"/>
      <c r="N55" s="42"/>
      <c r="O55" s="74"/>
      <c r="P55" s="48"/>
      <c r="Q55" s="43"/>
      <c r="R55" s="43"/>
      <c r="S55" s="44"/>
      <c r="T55" s="77"/>
      <c r="U55" s="79">
        <f t="shared" si="17"/>
        <v>0</v>
      </c>
      <c r="W55" s="62"/>
      <c r="X55" s="41"/>
      <c r="Y55" s="42"/>
      <c r="Z55" s="74"/>
      <c r="AA55" s="48"/>
      <c r="AB55" s="43"/>
      <c r="AC55" s="43"/>
      <c r="AD55" s="44"/>
      <c r="AE55" s="77"/>
      <c r="AF55" s="79">
        <f t="shared" si="18"/>
        <v>0</v>
      </c>
      <c r="AH55" s="62"/>
      <c r="AI55" s="41"/>
      <c r="AJ55" s="42"/>
      <c r="AK55" s="74"/>
      <c r="AL55" s="48"/>
      <c r="AM55" s="43"/>
      <c r="AN55" s="43"/>
      <c r="AO55" s="44"/>
      <c r="AP55" s="77"/>
      <c r="AQ55" s="79">
        <f t="shared" si="19"/>
        <v>0</v>
      </c>
    </row>
    <row r="56" spans="1:43" hidden="1" x14ac:dyDescent="0.25">
      <c r="A56" s="62"/>
      <c r="B56" s="41"/>
      <c r="C56" s="42"/>
      <c r="D56" s="74"/>
      <c r="E56" s="48"/>
      <c r="F56" s="43"/>
      <c r="G56" s="43"/>
      <c r="H56" s="44"/>
      <c r="I56" s="77"/>
      <c r="J56" s="79">
        <f t="shared" si="16"/>
        <v>0</v>
      </c>
      <c r="L56" s="62"/>
      <c r="M56" s="41"/>
      <c r="N56" s="42"/>
      <c r="O56" s="74"/>
      <c r="P56" s="48"/>
      <c r="Q56" s="43"/>
      <c r="R56" s="43"/>
      <c r="S56" s="44"/>
      <c r="T56" s="77"/>
      <c r="U56" s="79">
        <f t="shared" si="17"/>
        <v>0</v>
      </c>
      <c r="W56" s="62"/>
      <c r="X56" s="41"/>
      <c r="Y56" s="42"/>
      <c r="Z56" s="74"/>
      <c r="AA56" s="48"/>
      <c r="AB56" s="43"/>
      <c r="AC56" s="43"/>
      <c r="AD56" s="44"/>
      <c r="AE56" s="77"/>
      <c r="AF56" s="79">
        <f t="shared" si="18"/>
        <v>0</v>
      </c>
      <c r="AH56" s="62"/>
      <c r="AI56" s="41"/>
      <c r="AJ56" s="42"/>
      <c r="AK56" s="74"/>
      <c r="AL56" s="48"/>
      <c r="AM56" s="43"/>
      <c r="AN56" s="43"/>
      <c r="AO56" s="44"/>
      <c r="AP56" s="77"/>
      <c r="AQ56" s="79">
        <f t="shared" si="19"/>
        <v>0</v>
      </c>
    </row>
    <row r="57" spans="1:43" hidden="1" x14ac:dyDescent="0.25">
      <c r="A57" s="62"/>
      <c r="B57" s="41"/>
      <c r="C57" s="42"/>
      <c r="D57" s="74"/>
      <c r="E57" s="48"/>
      <c r="F57" s="43"/>
      <c r="G57" s="43"/>
      <c r="H57" s="44"/>
      <c r="I57" s="77"/>
      <c r="J57" s="79">
        <f t="shared" si="16"/>
        <v>0</v>
      </c>
      <c r="L57" s="62"/>
      <c r="M57" s="41"/>
      <c r="N57" s="42"/>
      <c r="O57" s="74"/>
      <c r="P57" s="48"/>
      <c r="Q57" s="43"/>
      <c r="R57" s="43"/>
      <c r="S57" s="44"/>
      <c r="T57" s="77"/>
      <c r="U57" s="79">
        <f t="shared" si="17"/>
        <v>0</v>
      </c>
      <c r="W57" s="62"/>
      <c r="X57" s="41"/>
      <c r="Y57" s="42"/>
      <c r="Z57" s="74"/>
      <c r="AA57" s="48"/>
      <c r="AB57" s="43"/>
      <c r="AC57" s="43"/>
      <c r="AD57" s="44"/>
      <c r="AE57" s="77"/>
      <c r="AF57" s="79">
        <f t="shared" si="18"/>
        <v>0</v>
      </c>
      <c r="AH57" s="62"/>
      <c r="AI57" s="41"/>
      <c r="AJ57" s="42"/>
      <c r="AK57" s="74"/>
      <c r="AL57" s="48"/>
      <c r="AM57" s="43"/>
      <c r="AN57" s="43"/>
      <c r="AO57" s="44"/>
      <c r="AP57" s="77"/>
      <c r="AQ57" s="79">
        <f t="shared" si="19"/>
        <v>0</v>
      </c>
    </row>
    <row r="58" spans="1:43" hidden="1" x14ac:dyDescent="0.25">
      <c r="A58" s="62"/>
      <c r="B58" s="41"/>
      <c r="C58" s="42"/>
      <c r="D58" s="74"/>
      <c r="E58" s="48"/>
      <c r="F58" s="43"/>
      <c r="G58" s="43"/>
      <c r="H58" s="44"/>
      <c r="I58" s="77"/>
      <c r="J58" s="79">
        <f t="shared" si="16"/>
        <v>0</v>
      </c>
      <c r="L58" s="62"/>
      <c r="M58" s="41"/>
      <c r="N58" s="42"/>
      <c r="O58" s="74"/>
      <c r="P58" s="48"/>
      <c r="Q58" s="43"/>
      <c r="R58" s="43"/>
      <c r="S58" s="44"/>
      <c r="T58" s="77"/>
      <c r="U58" s="79">
        <f t="shared" si="17"/>
        <v>0</v>
      </c>
      <c r="W58" s="62"/>
      <c r="X58" s="41"/>
      <c r="Y58" s="42"/>
      <c r="Z58" s="74"/>
      <c r="AA58" s="48"/>
      <c r="AB58" s="43"/>
      <c r="AC58" s="43"/>
      <c r="AD58" s="44"/>
      <c r="AE58" s="77"/>
      <c r="AF58" s="79">
        <f t="shared" si="18"/>
        <v>0</v>
      </c>
      <c r="AH58" s="62"/>
      <c r="AI58" s="41"/>
      <c r="AJ58" s="42"/>
      <c r="AK58" s="74"/>
      <c r="AL58" s="48"/>
      <c r="AM58" s="43"/>
      <c r="AN58" s="43"/>
      <c r="AO58" s="44"/>
      <c r="AP58" s="77"/>
      <c r="AQ58" s="79">
        <f t="shared" si="19"/>
        <v>0</v>
      </c>
    </row>
    <row r="59" spans="1:43" hidden="1" x14ac:dyDescent="0.25">
      <c r="A59" s="62"/>
      <c r="B59" s="41"/>
      <c r="C59" s="42"/>
      <c r="D59" s="74"/>
      <c r="E59" s="48"/>
      <c r="F59" s="43"/>
      <c r="G59" s="43"/>
      <c r="H59" s="44"/>
      <c r="I59" s="77"/>
      <c r="J59" s="79">
        <f t="shared" si="16"/>
        <v>0</v>
      </c>
      <c r="L59" s="62"/>
      <c r="M59" s="41"/>
      <c r="N59" s="42"/>
      <c r="O59" s="74"/>
      <c r="P59" s="48"/>
      <c r="Q59" s="43"/>
      <c r="R59" s="43"/>
      <c r="S59" s="44"/>
      <c r="T59" s="77"/>
      <c r="U59" s="79">
        <f t="shared" si="17"/>
        <v>0</v>
      </c>
      <c r="W59" s="62"/>
      <c r="X59" s="41"/>
      <c r="Y59" s="42"/>
      <c r="Z59" s="74"/>
      <c r="AA59" s="48"/>
      <c r="AB59" s="43"/>
      <c r="AC59" s="43"/>
      <c r="AD59" s="44"/>
      <c r="AE59" s="77"/>
      <c r="AF59" s="79">
        <f t="shared" si="18"/>
        <v>0</v>
      </c>
      <c r="AH59" s="62"/>
      <c r="AI59" s="41"/>
      <c r="AJ59" s="42"/>
      <c r="AK59" s="74"/>
      <c r="AL59" s="48"/>
      <c r="AM59" s="43"/>
      <c r="AN59" s="43"/>
      <c r="AO59" s="44"/>
      <c r="AP59" s="77"/>
      <c r="AQ59" s="79">
        <f t="shared" si="19"/>
        <v>0</v>
      </c>
    </row>
    <row r="60" spans="1:43" ht="11" hidden="1" thickBot="1" x14ac:dyDescent="0.3">
      <c r="A60" s="63"/>
      <c r="B60" s="64"/>
      <c r="C60" s="65"/>
      <c r="D60" s="75"/>
      <c r="E60" s="49"/>
      <c r="F60" s="66"/>
      <c r="G60" s="66"/>
      <c r="H60" s="67"/>
      <c r="I60" s="83"/>
      <c r="J60" s="80">
        <f>F60*(H60+I60)</f>
        <v>0</v>
      </c>
      <c r="L60" s="63"/>
      <c r="M60" s="64"/>
      <c r="N60" s="65"/>
      <c r="O60" s="75"/>
      <c r="P60" s="49"/>
      <c r="Q60" s="66"/>
      <c r="R60" s="66"/>
      <c r="S60" s="67"/>
      <c r="T60" s="83"/>
      <c r="U60" s="80">
        <f>Q60*(S60+T60)</f>
        <v>0</v>
      </c>
      <c r="W60" s="63"/>
      <c r="X60" s="64"/>
      <c r="Y60" s="65"/>
      <c r="Z60" s="75"/>
      <c r="AA60" s="49"/>
      <c r="AB60" s="66"/>
      <c r="AC60" s="66"/>
      <c r="AD60" s="67"/>
      <c r="AE60" s="83"/>
      <c r="AF60" s="80">
        <f>AB60*(AD60+AE60)</f>
        <v>0</v>
      </c>
      <c r="AH60" s="63"/>
      <c r="AI60" s="64"/>
      <c r="AJ60" s="65"/>
      <c r="AK60" s="75"/>
      <c r="AL60" s="49"/>
      <c r="AM60" s="66"/>
      <c r="AN60" s="66"/>
      <c r="AO60" s="67"/>
      <c r="AP60" s="83"/>
      <c r="AQ60" s="80">
        <f>AM60*(AO60+AP60)</f>
        <v>0</v>
      </c>
    </row>
    <row r="61" spans="1:43" ht="11" hidden="1" thickBot="1" x14ac:dyDescent="0.3">
      <c r="D61" s="45"/>
      <c r="E61" s="45"/>
      <c r="F61" s="45"/>
      <c r="G61" s="45"/>
      <c r="H61" s="82"/>
      <c r="I61" s="45" t="s">
        <v>80</v>
      </c>
      <c r="J61" s="81">
        <f>SUM(J53:J60)</f>
        <v>0</v>
      </c>
      <c r="O61" s="45"/>
      <c r="P61" s="45"/>
      <c r="Q61" s="45"/>
      <c r="R61" s="45"/>
      <c r="S61" s="82"/>
      <c r="T61" s="45" t="s">
        <v>80</v>
      </c>
      <c r="U61" s="81">
        <f>SUM(U53:U60)</f>
        <v>0</v>
      </c>
      <c r="Z61" s="45"/>
      <c r="AA61" s="45"/>
      <c r="AB61" s="45"/>
      <c r="AC61" s="45"/>
      <c r="AD61" s="82"/>
      <c r="AE61" s="45" t="s">
        <v>80</v>
      </c>
      <c r="AF61" s="81">
        <f>SUM(AF53:AF60)</f>
        <v>0</v>
      </c>
      <c r="AK61" s="45"/>
      <c r="AL61" s="45"/>
      <c r="AM61" s="45"/>
      <c r="AN61" s="45"/>
      <c r="AO61" s="82"/>
      <c r="AP61" s="45" t="s">
        <v>80</v>
      </c>
      <c r="AQ61" s="81">
        <f>SUM(AQ53:AQ60)</f>
        <v>0</v>
      </c>
    </row>
    <row r="62" spans="1:43" hidden="1" x14ac:dyDescent="0.25"/>
    <row r="63" spans="1:43" ht="11" hidden="1" thickBot="1" x14ac:dyDescent="0.3">
      <c r="A63" s="68"/>
      <c r="B63" s="69" t="s">
        <v>34</v>
      </c>
      <c r="C63" s="86" t="s">
        <v>59</v>
      </c>
      <c r="D63" s="945" t="s">
        <v>74</v>
      </c>
      <c r="E63" s="945"/>
      <c r="F63" s="945"/>
      <c r="G63" s="945"/>
      <c r="H63" s="945"/>
      <c r="I63" s="945"/>
      <c r="J63" s="946"/>
      <c r="L63" s="68"/>
      <c r="M63" s="69" t="s">
        <v>34</v>
      </c>
      <c r="N63" s="86" t="s">
        <v>60</v>
      </c>
      <c r="O63" s="945" t="s">
        <v>74</v>
      </c>
      <c r="P63" s="945"/>
      <c r="Q63" s="945"/>
      <c r="R63" s="945"/>
      <c r="S63" s="945"/>
      <c r="T63" s="945"/>
      <c r="U63" s="946"/>
      <c r="W63" s="68"/>
      <c r="X63" s="69" t="s">
        <v>34</v>
      </c>
      <c r="Y63" s="86" t="s">
        <v>61</v>
      </c>
      <c r="Z63" s="945" t="s">
        <v>74</v>
      </c>
      <c r="AA63" s="945"/>
      <c r="AB63" s="945"/>
      <c r="AC63" s="945"/>
      <c r="AD63" s="945"/>
      <c r="AE63" s="945"/>
      <c r="AF63" s="946"/>
      <c r="AH63" s="68"/>
      <c r="AI63" s="69" t="s">
        <v>34</v>
      </c>
      <c r="AJ63" s="86" t="s">
        <v>61</v>
      </c>
      <c r="AK63" s="945" t="s">
        <v>74</v>
      </c>
      <c r="AL63" s="945"/>
      <c r="AM63" s="945"/>
      <c r="AN63" s="945"/>
      <c r="AO63" s="945"/>
      <c r="AP63" s="945"/>
      <c r="AQ63" s="946"/>
    </row>
    <row r="64" spans="1:43" hidden="1" x14ac:dyDescent="0.25">
      <c r="A64" s="51" t="s">
        <v>75</v>
      </c>
      <c r="B64" s="52" t="s">
        <v>76</v>
      </c>
      <c r="C64" s="52" t="s">
        <v>77</v>
      </c>
      <c r="D64" s="53" t="s">
        <v>78</v>
      </c>
      <c r="E64" s="47"/>
      <c r="F64" s="54" t="s">
        <v>39</v>
      </c>
      <c r="G64" s="52" t="s">
        <v>40</v>
      </c>
      <c r="H64" s="52" t="s">
        <v>79</v>
      </c>
      <c r="I64" s="55" t="s">
        <v>41</v>
      </c>
      <c r="J64" s="50" t="s">
        <v>80</v>
      </c>
      <c r="L64" s="51" t="s">
        <v>75</v>
      </c>
      <c r="M64" s="52" t="s">
        <v>76</v>
      </c>
      <c r="N64" s="52" t="s">
        <v>77</v>
      </c>
      <c r="O64" s="53" t="s">
        <v>78</v>
      </c>
      <c r="P64" s="47"/>
      <c r="Q64" s="54" t="s">
        <v>39</v>
      </c>
      <c r="R64" s="52" t="s">
        <v>40</v>
      </c>
      <c r="S64" s="52" t="s">
        <v>79</v>
      </c>
      <c r="T64" s="55" t="s">
        <v>41</v>
      </c>
      <c r="U64" s="50" t="s">
        <v>80</v>
      </c>
      <c r="W64" s="51" t="s">
        <v>75</v>
      </c>
      <c r="X64" s="52" t="s">
        <v>76</v>
      </c>
      <c r="Y64" s="52" t="s">
        <v>77</v>
      </c>
      <c r="Z64" s="53" t="s">
        <v>78</v>
      </c>
      <c r="AA64" s="47"/>
      <c r="AB64" s="54" t="s">
        <v>39</v>
      </c>
      <c r="AC64" s="52" t="s">
        <v>40</v>
      </c>
      <c r="AD64" s="52" t="s">
        <v>79</v>
      </c>
      <c r="AE64" s="55" t="s">
        <v>41</v>
      </c>
      <c r="AF64" s="50" t="s">
        <v>80</v>
      </c>
      <c r="AH64" s="51" t="s">
        <v>75</v>
      </c>
      <c r="AI64" s="52" t="s">
        <v>76</v>
      </c>
      <c r="AJ64" s="52" t="s">
        <v>77</v>
      </c>
      <c r="AK64" s="53" t="s">
        <v>78</v>
      </c>
      <c r="AL64" s="47"/>
      <c r="AM64" s="54" t="s">
        <v>39</v>
      </c>
      <c r="AN64" s="52" t="s">
        <v>40</v>
      </c>
      <c r="AO64" s="52" t="s">
        <v>79</v>
      </c>
      <c r="AP64" s="55" t="s">
        <v>41</v>
      </c>
      <c r="AQ64" s="50" t="s">
        <v>80</v>
      </c>
    </row>
    <row r="65" spans="1:43" ht="11" hidden="1" thickBot="1" x14ac:dyDescent="0.3">
      <c r="A65" s="56"/>
      <c r="B65" s="57"/>
      <c r="C65" s="58"/>
      <c r="D65" s="72"/>
      <c r="E65" s="59"/>
      <c r="F65" s="91"/>
      <c r="G65" s="91"/>
      <c r="H65" s="92"/>
      <c r="I65" s="93"/>
      <c r="J65" s="78">
        <f>F65*(H65+I65)</f>
        <v>0</v>
      </c>
      <c r="L65" s="56"/>
      <c r="M65" s="57"/>
      <c r="N65" s="58"/>
      <c r="O65" s="72"/>
      <c r="P65" s="59"/>
      <c r="Q65" s="105"/>
      <c r="R65" s="91"/>
      <c r="S65" s="92"/>
      <c r="T65" s="93"/>
      <c r="U65" s="78">
        <f>Q65*(S65+T65)</f>
        <v>0</v>
      </c>
      <c r="W65" s="56"/>
      <c r="X65" s="57"/>
      <c r="Y65" s="58"/>
      <c r="Z65" s="72"/>
      <c r="AA65" s="95"/>
      <c r="AB65" s="99"/>
      <c r="AC65" s="91"/>
      <c r="AD65" s="92"/>
      <c r="AE65" s="100"/>
      <c r="AF65" s="97">
        <f>AB65*(AD65+AE65)</f>
        <v>0</v>
      </c>
      <c r="AH65" s="56"/>
      <c r="AI65" s="57"/>
      <c r="AJ65" s="58"/>
      <c r="AK65" s="72"/>
      <c r="AL65" s="95"/>
      <c r="AM65" s="99"/>
      <c r="AN65" s="91"/>
      <c r="AO65" s="92"/>
      <c r="AP65" s="100"/>
      <c r="AQ65" s="97">
        <f>AM65*(AO65+AP65)</f>
        <v>0</v>
      </c>
    </row>
    <row r="66" spans="1:43" hidden="1" x14ac:dyDescent="0.25">
      <c r="A66" s="73"/>
      <c r="B66" s="41"/>
      <c r="C66" s="42"/>
      <c r="D66" s="74"/>
      <c r="E66" s="89"/>
      <c r="F66" s="46"/>
      <c r="G66" s="46"/>
      <c r="H66" s="44"/>
      <c r="I66" s="44"/>
      <c r="J66" s="90">
        <f t="shared" ref="J66:J71" si="20">F66*(H66+I66)</f>
        <v>0</v>
      </c>
      <c r="L66" s="73"/>
      <c r="M66" s="41"/>
      <c r="N66" s="42"/>
      <c r="O66" s="74"/>
      <c r="P66" s="89"/>
      <c r="Q66" s="104"/>
      <c r="R66" s="46"/>
      <c r="S66" s="44"/>
      <c r="T66" s="44"/>
      <c r="U66" s="90">
        <f t="shared" ref="U66:U71" si="21">Q66*(S66+T66)</f>
        <v>0</v>
      </c>
      <c r="W66" s="73"/>
      <c r="X66" s="41"/>
      <c r="Y66" s="42"/>
      <c r="Z66" s="74"/>
      <c r="AA66" s="89"/>
      <c r="AB66" s="101"/>
      <c r="AC66" s="46"/>
      <c r="AD66" s="44"/>
      <c r="AE66" s="102"/>
      <c r="AF66" s="90">
        <f t="shared" ref="AF66:AF71" si="22">AB66*(AD66+AE66)</f>
        <v>0</v>
      </c>
      <c r="AH66" s="73"/>
      <c r="AI66" s="41"/>
      <c r="AJ66" s="42"/>
      <c r="AK66" s="74"/>
      <c r="AL66" s="89"/>
      <c r="AM66" s="101"/>
      <c r="AN66" s="46"/>
      <c r="AO66" s="44"/>
      <c r="AP66" s="102"/>
      <c r="AQ66" s="90">
        <f t="shared" ref="AQ66:AQ71" si="23">AM66*(AO66+AP66)</f>
        <v>0</v>
      </c>
    </row>
    <row r="67" spans="1:43" hidden="1" x14ac:dyDescent="0.25">
      <c r="A67" s="62"/>
      <c r="B67" s="41"/>
      <c r="C67" s="42"/>
      <c r="D67" s="74"/>
      <c r="E67" s="48"/>
      <c r="F67" s="43"/>
      <c r="G67" s="43"/>
      <c r="H67" s="44"/>
      <c r="I67" s="77"/>
      <c r="J67" s="79">
        <f t="shared" si="20"/>
        <v>0</v>
      </c>
      <c r="L67" s="62"/>
      <c r="M67" s="41"/>
      <c r="N67" s="42"/>
      <c r="O67" s="74"/>
      <c r="P67" s="48"/>
      <c r="Q67" s="43"/>
      <c r="R67" s="43"/>
      <c r="S67" s="44"/>
      <c r="T67" s="77"/>
      <c r="U67" s="79">
        <f t="shared" si="21"/>
        <v>0</v>
      </c>
      <c r="W67" s="62"/>
      <c r="X67" s="41"/>
      <c r="Y67" s="42"/>
      <c r="Z67" s="74"/>
      <c r="AA67" s="89"/>
      <c r="AB67" s="101"/>
      <c r="AC67" s="43"/>
      <c r="AD67" s="44"/>
      <c r="AE67" s="102"/>
      <c r="AF67" s="90">
        <f t="shared" si="22"/>
        <v>0</v>
      </c>
      <c r="AH67" s="62"/>
      <c r="AI67" s="41"/>
      <c r="AJ67" s="42"/>
      <c r="AK67" s="74"/>
      <c r="AL67" s="89"/>
      <c r="AM67" s="101"/>
      <c r="AN67" s="43"/>
      <c r="AO67" s="44"/>
      <c r="AP67" s="102"/>
      <c r="AQ67" s="90">
        <f t="shared" si="23"/>
        <v>0</v>
      </c>
    </row>
    <row r="68" spans="1:43" hidden="1" x14ac:dyDescent="0.25">
      <c r="A68" s="62"/>
      <c r="B68" s="41"/>
      <c r="C68" s="42"/>
      <c r="D68" s="74"/>
      <c r="E68" s="48"/>
      <c r="F68" s="43"/>
      <c r="G68" s="43"/>
      <c r="H68" s="44"/>
      <c r="I68" s="77"/>
      <c r="J68" s="79">
        <f t="shared" si="20"/>
        <v>0</v>
      </c>
      <c r="L68" s="62"/>
      <c r="M68" s="41"/>
      <c r="N68" s="42"/>
      <c r="O68" s="74"/>
      <c r="P68" s="48"/>
      <c r="Q68" s="43"/>
      <c r="R68" s="43"/>
      <c r="S68" s="44"/>
      <c r="T68" s="77"/>
      <c r="U68" s="79">
        <f t="shared" si="21"/>
        <v>0</v>
      </c>
      <c r="W68" s="62"/>
      <c r="X68" s="41"/>
      <c r="Y68" s="42"/>
      <c r="Z68" s="74"/>
      <c r="AA68" s="89"/>
      <c r="AB68" s="101"/>
      <c r="AC68" s="43"/>
      <c r="AD68" s="44"/>
      <c r="AE68" s="102"/>
      <c r="AF68" s="90">
        <f t="shared" si="22"/>
        <v>0</v>
      </c>
      <c r="AH68" s="62"/>
      <c r="AI68" s="41"/>
      <c r="AJ68" s="42"/>
      <c r="AK68" s="74"/>
      <c r="AL68" s="89"/>
      <c r="AM68" s="101"/>
      <c r="AN68" s="43"/>
      <c r="AO68" s="44"/>
      <c r="AP68" s="102"/>
      <c r="AQ68" s="90">
        <f t="shared" si="23"/>
        <v>0</v>
      </c>
    </row>
    <row r="69" spans="1:43" hidden="1" x14ac:dyDescent="0.25">
      <c r="A69" s="62"/>
      <c r="B69" s="41"/>
      <c r="C69" s="42"/>
      <c r="D69" s="74"/>
      <c r="E69" s="48"/>
      <c r="F69" s="43"/>
      <c r="G69" s="43"/>
      <c r="H69" s="44"/>
      <c r="I69" s="77"/>
      <c r="J69" s="79">
        <f t="shared" si="20"/>
        <v>0</v>
      </c>
      <c r="L69" s="62"/>
      <c r="M69" s="41"/>
      <c r="N69" s="42"/>
      <c r="O69" s="74"/>
      <c r="P69" s="48"/>
      <c r="Q69" s="43"/>
      <c r="R69" s="43"/>
      <c r="S69" s="44"/>
      <c r="T69" s="77"/>
      <c r="U69" s="79">
        <f t="shared" si="21"/>
        <v>0</v>
      </c>
      <c r="W69" s="62"/>
      <c r="X69" s="41"/>
      <c r="Y69" s="42"/>
      <c r="Z69" s="74"/>
      <c r="AA69" s="89"/>
      <c r="AB69" s="101"/>
      <c r="AC69" s="43"/>
      <c r="AD69" s="44"/>
      <c r="AE69" s="102"/>
      <c r="AF69" s="90">
        <f t="shared" si="22"/>
        <v>0</v>
      </c>
      <c r="AH69" s="62"/>
      <c r="AI69" s="41"/>
      <c r="AJ69" s="42"/>
      <c r="AK69" s="74"/>
      <c r="AL69" s="89"/>
      <c r="AM69" s="101"/>
      <c r="AN69" s="43"/>
      <c r="AO69" s="44"/>
      <c r="AP69" s="102"/>
      <c r="AQ69" s="90">
        <f t="shared" si="23"/>
        <v>0</v>
      </c>
    </row>
    <row r="70" spans="1:43" hidden="1" x14ac:dyDescent="0.25">
      <c r="A70" s="62"/>
      <c r="B70" s="41"/>
      <c r="C70" s="42"/>
      <c r="D70" s="74"/>
      <c r="E70" s="48"/>
      <c r="F70" s="43"/>
      <c r="G70" s="43"/>
      <c r="H70" s="44"/>
      <c r="I70" s="77"/>
      <c r="J70" s="79">
        <f t="shared" si="20"/>
        <v>0</v>
      </c>
      <c r="L70" s="62"/>
      <c r="M70" s="41"/>
      <c r="N70" s="42"/>
      <c r="O70" s="74"/>
      <c r="P70" s="48"/>
      <c r="Q70" s="43"/>
      <c r="R70" s="43"/>
      <c r="S70" s="44"/>
      <c r="T70" s="77"/>
      <c r="U70" s="79">
        <f t="shared" si="21"/>
        <v>0</v>
      </c>
      <c r="W70" s="62"/>
      <c r="X70" s="41"/>
      <c r="Y70" s="42"/>
      <c r="Z70" s="74"/>
      <c r="AA70" s="89"/>
      <c r="AB70" s="101"/>
      <c r="AC70" s="43"/>
      <c r="AD70" s="44"/>
      <c r="AE70" s="102"/>
      <c r="AF70" s="90">
        <f t="shared" si="22"/>
        <v>0</v>
      </c>
      <c r="AH70" s="62"/>
      <c r="AI70" s="41"/>
      <c r="AJ70" s="42"/>
      <c r="AK70" s="74"/>
      <c r="AL70" s="89"/>
      <c r="AM70" s="101"/>
      <c r="AN70" s="43"/>
      <c r="AO70" s="44"/>
      <c r="AP70" s="102"/>
      <c r="AQ70" s="90">
        <f t="shared" si="23"/>
        <v>0</v>
      </c>
    </row>
    <row r="71" spans="1:43" hidden="1" x14ac:dyDescent="0.25">
      <c r="A71" s="62"/>
      <c r="B71" s="41"/>
      <c r="C71" s="42"/>
      <c r="D71" s="74"/>
      <c r="E71" s="48"/>
      <c r="F71" s="43"/>
      <c r="G71" s="43"/>
      <c r="H71" s="44"/>
      <c r="I71" s="77"/>
      <c r="J71" s="79">
        <f t="shared" si="20"/>
        <v>0</v>
      </c>
      <c r="L71" s="62"/>
      <c r="M71" s="41"/>
      <c r="N71" s="42"/>
      <c r="O71" s="74"/>
      <c r="P71" s="48"/>
      <c r="Q71" s="43"/>
      <c r="R71" s="43"/>
      <c r="S71" s="44"/>
      <c r="T71" s="77"/>
      <c r="U71" s="79">
        <f t="shared" si="21"/>
        <v>0</v>
      </c>
      <c r="W71" s="62"/>
      <c r="X71" s="41"/>
      <c r="Y71" s="42"/>
      <c r="Z71" s="74"/>
      <c r="AA71" s="89"/>
      <c r="AB71" s="101"/>
      <c r="AC71" s="43"/>
      <c r="AD71" s="44"/>
      <c r="AE71" s="102"/>
      <c r="AF71" s="90">
        <f t="shared" si="22"/>
        <v>0</v>
      </c>
      <c r="AH71" s="62"/>
      <c r="AI71" s="41"/>
      <c r="AJ71" s="42"/>
      <c r="AK71" s="74"/>
      <c r="AL71" s="89"/>
      <c r="AM71" s="101"/>
      <c r="AN71" s="43"/>
      <c r="AO71" s="44"/>
      <c r="AP71" s="102"/>
      <c r="AQ71" s="90">
        <f t="shared" si="23"/>
        <v>0</v>
      </c>
    </row>
    <row r="72" spans="1:43" ht="11" hidden="1" thickBot="1" x14ac:dyDescent="0.3">
      <c r="A72" s="63"/>
      <c r="B72" s="64"/>
      <c r="C72" s="65"/>
      <c r="D72" s="75"/>
      <c r="E72" s="49"/>
      <c r="F72" s="66"/>
      <c r="G72" s="66"/>
      <c r="H72" s="67"/>
      <c r="I72" s="83"/>
      <c r="J72" s="80">
        <f>F72*(H72+I72)</f>
        <v>0</v>
      </c>
      <c r="L72" s="63"/>
      <c r="M72" s="64"/>
      <c r="N72" s="65"/>
      <c r="O72" s="75"/>
      <c r="P72" s="49"/>
      <c r="Q72" s="66"/>
      <c r="R72" s="66"/>
      <c r="S72" s="67"/>
      <c r="T72" s="83"/>
      <c r="U72" s="80">
        <f>Q72*(S72+T72)</f>
        <v>0</v>
      </c>
      <c r="W72" s="63"/>
      <c r="X72" s="64"/>
      <c r="Y72" s="65"/>
      <c r="Z72" s="75"/>
      <c r="AA72" s="96"/>
      <c r="AB72" s="103"/>
      <c r="AC72" s="66"/>
      <c r="AD72" s="67"/>
      <c r="AE72" s="83"/>
      <c r="AF72" s="98">
        <f>AB72*(AD72+AE72)</f>
        <v>0</v>
      </c>
      <c r="AH72" s="63"/>
      <c r="AI72" s="64"/>
      <c r="AJ72" s="65"/>
      <c r="AK72" s="75"/>
      <c r="AL72" s="96"/>
      <c r="AM72" s="103"/>
      <c r="AN72" s="66"/>
      <c r="AO72" s="67"/>
      <c r="AP72" s="83"/>
      <c r="AQ72" s="98">
        <f>AM72*(AO72+AP72)</f>
        <v>0</v>
      </c>
    </row>
    <row r="73" spans="1:43" ht="11" hidden="1" thickBot="1" x14ac:dyDescent="0.3">
      <c r="D73" s="45"/>
      <c r="E73" s="45"/>
      <c r="F73" s="45"/>
      <c r="G73" s="45"/>
      <c r="H73" s="82"/>
      <c r="I73" s="45" t="s">
        <v>80</v>
      </c>
      <c r="J73" s="81">
        <f>SUM(J65:J72)</f>
        <v>0</v>
      </c>
      <c r="O73" s="45"/>
      <c r="P73" s="45"/>
      <c r="Q73" s="45"/>
      <c r="R73" s="45"/>
      <c r="S73" s="82"/>
      <c r="T73" s="45" t="s">
        <v>80</v>
      </c>
      <c r="U73" s="81">
        <f>SUM(U65:U72)</f>
        <v>0</v>
      </c>
      <c r="Z73" s="45"/>
      <c r="AA73" s="45"/>
      <c r="AB73" s="45"/>
      <c r="AC73" s="45"/>
      <c r="AD73" s="82"/>
      <c r="AE73" s="45" t="s">
        <v>80</v>
      </c>
      <c r="AF73" s="81">
        <f>SUM(AF65:AF72)</f>
        <v>0</v>
      </c>
      <c r="AK73" s="45"/>
      <c r="AL73" s="45"/>
      <c r="AM73" s="45"/>
      <c r="AN73" s="45"/>
      <c r="AO73" s="82"/>
      <c r="AP73" s="45" t="s">
        <v>80</v>
      </c>
      <c r="AQ73" s="81">
        <f>SUM(AQ65:AQ72)</f>
        <v>0</v>
      </c>
    </row>
    <row r="74" spans="1:43" hidden="1" x14ac:dyDescent="0.25"/>
    <row r="75" spans="1:43" ht="11" hidden="1" thickBot="1" x14ac:dyDescent="0.3">
      <c r="A75" s="68"/>
      <c r="B75" s="69" t="s">
        <v>34</v>
      </c>
      <c r="C75" s="86" t="s">
        <v>63</v>
      </c>
      <c r="D75" s="945" t="s">
        <v>74</v>
      </c>
      <c r="E75" s="945"/>
      <c r="F75" s="945"/>
      <c r="G75" s="945"/>
      <c r="H75" s="945"/>
      <c r="I75" s="945"/>
      <c r="J75" s="946"/>
      <c r="L75" s="68"/>
      <c r="M75" s="69" t="s">
        <v>34</v>
      </c>
      <c r="N75" s="86" t="s">
        <v>65</v>
      </c>
      <c r="O75" s="945" t="s">
        <v>74</v>
      </c>
      <c r="P75" s="945"/>
      <c r="Q75" s="945"/>
      <c r="R75" s="945"/>
      <c r="S75" s="945"/>
      <c r="T75" s="945"/>
      <c r="U75" s="946"/>
      <c r="W75" s="68"/>
      <c r="X75" s="69" t="s">
        <v>34</v>
      </c>
      <c r="Y75" s="86" t="s">
        <v>67</v>
      </c>
      <c r="Z75" s="945" t="s">
        <v>74</v>
      </c>
      <c r="AA75" s="945"/>
      <c r="AB75" s="945"/>
      <c r="AC75" s="945"/>
      <c r="AD75" s="945"/>
      <c r="AE75" s="945"/>
      <c r="AF75" s="946"/>
      <c r="AH75" s="68"/>
      <c r="AI75" s="69" t="s">
        <v>34</v>
      </c>
      <c r="AJ75" s="86" t="s">
        <v>67</v>
      </c>
      <c r="AK75" s="945" t="s">
        <v>74</v>
      </c>
      <c r="AL75" s="945"/>
      <c r="AM75" s="945"/>
      <c r="AN75" s="945"/>
      <c r="AO75" s="945"/>
      <c r="AP75" s="945"/>
      <c r="AQ75" s="946"/>
    </row>
    <row r="76" spans="1:43" hidden="1" x14ac:dyDescent="0.25">
      <c r="A76" s="51" t="s">
        <v>75</v>
      </c>
      <c r="B76" s="52" t="s">
        <v>76</v>
      </c>
      <c r="C76" s="52" t="s">
        <v>77</v>
      </c>
      <c r="D76" s="53" t="s">
        <v>78</v>
      </c>
      <c r="E76" s="47"/>
      <c r="F76" s="54" t="s">
        <v>39</v>
      </c>
      <c r="G76" s="52" t="s">
        <v>40</v>
      </c>
      <c r="H76" s="52" t="s">
        <v>79</v>
      </c>
      <c r="I76" s="55" t="s">
        <v>41</v>
      </c>
      <c r="J76" s="50" t="s">
        <v>80</v>
      </c>
      <c r="L76" s="51" t="s">
        <v>75</v>
      </c>
      <c r="M76" s="52" t="s">
        <v>76</v>
      </c>
      <c r="N76" s="52" t="s">
        <v>77</v>
      </c>
      <c r="O76" s="53" t="s">
        <v>78</v>
      </c>
      <c r="P76" s="47"/>
      <c r="Q76" s="54" t="s">
        <v>39</v>
      </c>
      <c r="R76" s="52" t="s">
        <v>40</v>
      </c>
      <c r="S76" s="52" t="s">
        <v>79</v>
      </c>
      <c r="T76" s="55" t="s">
        <v>41</v>
      </c>
      <c r="U76" s="50" t="s">
        <v>80</v>
      </c>
      <c r="W76" s="51" t="s">
        <v>75</v>
      </c>
      <c r="X76" s="52" t="s">
        <v>76</v>
      </c>
      <c r="Y76" s="52" t="s">
        <v>77</v>
      </c>
      <c r="Z76" s="53" t="s">
        <v>78</v>
      </c>
      <c r="AA76" s="47"/>
      <c r="AB76" s="54" t="s">
        <v>39</v>
      </c>
      <c r="AC76" s="52" t="s">
        <v>40</v>
      </c>
      <c r="AD76" s="52" t="s">
        <v>79</v>
      </c>
      <c r="AE76" s="55" t="s">
        <v>41</v>
      </c>
      <c r="AF76" s="50" t="s">
        <v>80</v>
      </c>
      <c r="AH76" s="51" t="s">
        <v>75</v>
      </c>
      <c r="AI76" s="52" t="s">
        <v>76</v>
      </c>
      <c r="AJ76" s="52" t="s">
        <v>77</v>
      </c>
      <c r="AK76" s="53" t="s">
        <v>78</v>
      </c>
      <c r="AL76" s="47"/>
      <c r="AM76" s="54" t="s">
        <v>39</v>
      </c>
      <c r="AN76" s="52" t="s">
        <v>40</v>
      </c>
      <c r="AO76" s="52" t="s">
        <v>79</v>
      </c>
      <c r="AP76" s="55" t="s">
        <v>41</v>
      </c>
      <c r="AQ76" s="50" t="s">
        <v>80</v>
      </c>
    </row>
    <row r="77" spans="1:43" hidden="1" x14ac:dyDescent="0.25">
      <c r="A77" s="56"/>
      <c r="B77" s="57"/>
      <c r="C77" s="58"/>
      <c r="D77" s="72"/>
      <c r="E77" s="59"/>
      <c r="F77" s="60"/>
      <c r="G77" s="60"/>
      <c r="H77" s="61"/>
      <c r="I77" s="76"/>
      <c r="J77" s="78">
        <f>F77*(H77+I77)</f>
        <v>0</v>
      </c>
      <c r="L77" s="56"/>
      <c r="M77" s="57"/>
      <c r="N77" s="58"/>
      <c r="O77" s="72"/>
      <c r="P77" s="59"/>
      <c r="Q77" s="60"/>
      <c r="R77" s="60"/>
      <c r="S77" s="61"/>
      <c r="T77" s="76"/>
      <c r="U77" s="78">
        <f>Q77*(S77+T77)</f>
        <v>0</v>
      </c>
      <c r="W77" s="56"/>
      <c r="X77" s="57"/>
      <c r="Y77" s="58"/>
      <c r="Z77" s="72"/>
      <c r="AA77" s="59"/>
      <c r="AB77" s="60"/>
      <c r="AC77" s="60"/>
      <c r="AD77" s="61"/>
      <c r="AE77" s="76"/>
      <c r="AF77" s="78">
        <f>AB77*(AD77+AE77)</f>
        <v>0</v>
      </c>
      <c r="AH77" s="56"/>
      <c r="AI77" s="57"/>
      <c r="AJ77" s="58"/>
      <c r="AK77" s="72"/>
      <c r="AL77" s="59"/>
      <c r="AM77" s="60"/>
      <c r="AN77" s="60"/>
      <c r="AO77" s="61"/>
      <c r="AP77" s="76"/>
      <c r="AQ77" s="78">
        <f>AM77*(AO77+AP77)</f>
        <v>0</v>
      </c>
    </row>
    <row r="78" spans="1:43" hidden="1" x14ac:dyDescent="0.25">
      <c r="A78" s="73"/>
      <c r="B78" s="41"/>
      <c r="C78" s="42"/>
      <c r="D78" s="74"/>
      <c r="E78" s="48"/>
      <c r="F78" s="43"/>
      <c r="G78" s="43"/>
      <c r="H78" s="44"/>
      <c r="I78" s="77"/>
      <c r="J78" s="79">
        <f t="shared" ref="J78:J83" si="24">F78*(H78+I78)</f>
        <v>0</v>
      </c>
      <c r="L78" s="73"/>
      <c r="M78" s="41"/>
      <c r="N78" s="42"/>
      <c r="O78" s="74"/>
      <c r="P78" s="48"/>
      <c r="Q78" s="43"/>
      <c r="R78" s="43"/>
      <c r="S78" s="44"/>
      <c r="T78" s="77"/>
      <c r="U78" s="79">
        <f t="shared" ref="U78:U83" si="25">Q78*(S78+T78)</f>
        <v>0</v>
      </c>
      <c r="W78" s="73"/>
      <c r="X78" s="41"/>
      <c r="Y78" s="42"/>
      <c r="Z78" s="74"/>
      <c r="AA78" s="48"/>
      <c r="AB78" s="43"/>
      <c r="AC78" s="43"/>
      <c r="AD78" s="44"/>
      <c r="AE78" s="77"/>
      <c r="AF78" s="79">
        <f t="shared" ref="AF78:AF83" si="26">AB78*(AD78+AE78)</f>
        <v>0</v>
      </c>
      <c r="AH78" s="73"/>
      <c r="AI78" s="41"/>
      <c r="AJ78" s="42"/>
      <c r="AK78" s="74"/>
      <c r="AL78" s="48"/>
      <c r="AM78" s="43"/>
      <c r="AN78" s="43"/>
      <c r="AO78" s="44"/>
      <c r="AP78" s="77"/>
      <c r="AQ78" s="79">
        <f t="shared" ref="AQ78:AQ83" si="27">AM78*(AO78+AP78)</f>
        <v>0</v>
      </c>
    </row>
    <row r="79" spans="1:43" hidden="1" x14ac:dyDescent="0.25">
      <c r="A79" s="62"/>
      <c r="B79" s="41"/>
      <c r="C79" s="42"/>
      <c r="D79" s="74"/>
      <c r="E79" s="48"/>
      <c r="F79" s="43"/>
      <c r="G79" s="43"/>
      <c r="H79" s="44"/>
      <c r="I79" s="77"/>
      <c r="J79" s="79">
        <f t="shared" si="24"/>
        <v>0</v>
      </c>
      <c r="L79" s="62"/>
      <c r="M79" s="41"/>
      <c r="N79" s="42"/>
      <c r="O79" s="74"/>
      <c r="P79" s="48"/>
      <c r="Q79" s="43"/>
      <c r="R79" s="43"/>
      <c r="S79" s="44"/>
      <c r="T79" s="77"/>
      <c r="U79" s="79">
        <f t="shared" si="25"/>
        <v>0</v>
      </c>
      <c r="W79" s="62"/>
      <c r="X79" s="41"/>
      <c r="Y79" s="42"/>
      <c r="Z79" s="74"/>
      <c r="AA79" s="48"/>
      <c r="AB79" s="43"/>
      <c r="AC79" s="43"/>
      <c r="AD79" s="44"/>
      <c r="AE79" s="77"/>
      <c r="AF79" s="79">
        <f t="shared" si="26"/>
        <v>0</v>
      </c>
      <c r="AH79" s="62"/>
      <c r="AI79" s="41"/>
      <c r="AJ79" s="42"/>
      <c r="AK79" s="74"/>
      <c r="AL79" s="48"/>
      <c r="AM79" s="43"/>
      <c r="AN79" s="43"/>
      <c r="AO79" s="44"/>
      <c r="AP79" s="77"/>
      <c r="AQ79" s="79">
        <f t="shared" si="27"/>
        <v>0</v>
      </c>
    </row>
    <row r="80" spans="1:43" hidden="1" x14ac:dyDescent="0.25">
      <c r="A80" s="62"/>
      <c r="B80" s="41"/>
      <c r="C80" s="42"/>
      <c r="D80" s="74"/>
      <c r="E80" s="48"/>
      <c r="F80" s="43"/>
      <c r="G80" s="43"/>
      <c r="H80" s="44"/>
      <c r="I80" s="77"/>
      <c r="J80" s="79">
        <f t="shared" si="24"/>
        <v>0</v>
      </c>
      <c r="L80" s="62"/>
      <c r="M80" s="41"/>
      <c r="N80" s="42"/>
      <c r="O80" s="74"/>
      <c r="P80" s="48"/>
      <c r="Q80" s="43"/>
      <c r="R80" s="43"/>
      <c r="S80" s="44"/>
      <c r="T80" s="77"/>
      <c r="U80" s="79">
        <f t="shared" si="25"/>
        <v>0</v>
      </c>
      <c r="W80" s="62"/>
      <c r="X80" s="41"/>
      <c r="Y80" s="42"/>
      <c r="Z80" s="74"/>
      <c r="AA80" s="48"/>
      <c r="AB80" s="43"/>
      <c r="AC80" s="43"/>
      <c r="AD80" s="44"/>
      <c r="AE80" s="77"/>
      <c r="AF80" s="79">
        <f t="shared" si="26"/>
        <v>0</v>
      </c>
      <c r="AH80" s="62"/>
      <c r="AI80" s="41"/>
      <c r="AJ80" s="42"/>
      <c r="AK80" s="74"/>
      <c r="AL80" s="48"/>
      <c r="AM80" s="43"/>
      <c r="AN80" s="43"/>
      <c r="AO80" s="44"/>
      <c r="AP80" s="77"/>
      <c r="AQ80" s="79">
        <f t="shared" si="27"/>
        <v>0</v>
      </c>
    </row>
    <row r="81" spans="1:43" hidden="1" x14ac:dyDescent="0.25">
      <c r="A81" s="62"/>
      <c r="B81" s="41"/>
      <c r="C81" s="42"/>
      <c r="D81" s="74"/>
      <c r="E81" s="48"/>
      <c r="F81" s="43"/>
      <c r="G81" s="43"/>
      <c r="H81" s="44"/>
      <c r="I81" s="77"/>
      <c r="J81" s="79">
        <f t="shared" si="24"/>
        <v>0</v>
      </c>
      <c r="L81" s="62"/>
      <c r="M81" s="41"/>
      <c r="N81" s="42"/>
      <c r="O81" s="74"/>
      <c r="P81" s="48"/>
      <c r="Q81" s="43"/>
      <c r="R81" s="43"/>
      <c r="S81" s="44"/>
      <c r="T81" s="77"/>
      <c r="U81" s="79">
        <f t="shared" si="25"/>
        <v>0</v>
      </c>
      <c r="W81" s="62"/>
      <c r="X81" s="41"/>
      <c r="Y81" s="42"/>
      <c r="Z81" s="74"/>
      <c r="AA81" s="48"/>
      <c r="AB81" s="43"/>
      <c r="AC81" s="43"/>
      <c r="AD81" s="44"/>
      <c r="AE81" s="77"/>
      <c r="AF81" s="79">
        <f t="shared" si="26"/>
        <v>0</v>
      </c>
      <c r="AH81" s="62"/>
      <c r="AI81" s="41"/>
      <c r="AJ81" s="42"/>
      <c r="AK81" s="74"/>
      <c r="AL81" s="48"/>
      <c r="AM81" s="43"/>
      <c r="AN81" s="43"/>
      <c r="AO81" s="44"/>
      <c r="AP81" s="77"/>
      <c r="AQ81" s="79">
        <f t="shared" si="27"/>
        <v>0</v>
      </c>
    </row>
    <row r="82" spans="1:43" hidden="1" x14ac:dyDescent="0.25">
      <c r="A82" s="62"/>
      <c r="B82" s="41"/>
      <c r="C82" s="42"/>
      <c r="D82" s="74"/>
      <c r="E82" s="48"/>
      <c r="F82" s="43"/>
      <c r="G82" s="43"/>
      <c r="H82" s="44"/>
      <c r="I82" s="77"/>
      <c r="J82" s="79">
        <f t="shared" si="24"/>
        <v>0</v>
      </c>
      <c r="L82" s="62"/>
      <c r="M82" s="41"/>
      <c r="N82" s="42"/>
      <c r="O82" s="74"/>
      <c r="P82" s="48"/>
      <c r="Q82" s="43"/>
      <c r="R82" s="43"/>
      <c r="S82" s="44"/>
      <c r="T82" s="77"/>
      <c r="U82" s="79">
        <f t="shared" si="25"/>
        <v>0</v>
      </c>
      <c r="W82" s="62"/>
      <c r="X82" s="41"/>
      <c r="Y82" s="42"/>
      <c r="Z82" s="74"/>
      <c r="AA82" s="48"/>
      <c r="AB82" s="43"/>
      <c r="AC82" s="43"/>
      <c r="AD82" s="44"/>
      <c r="AE82" s="77"/>
      <c r="AF82" s="79">
        <f t="shared" si="26"/>
        <v>0</v>
      </c>
      <c r="AH82" s="62"/>
      <c r="AI82" s="41"/>
      <c r="AJ82" s="42"/>
      <c r="AK82" s="74"/>
      <c r="AL82" s="48"/>
      <c r="AM82" s="43"/>
      <c r="AN82" s="43"/>
      <c r="AO82" s="44"/>
      <c r="AP82" s="77"/>
      <c r="AQ82" s="79">
        <f t="shared" si="27"/>
        <v>0</v>
      </c>
    </row>
    <row r="83" spans="1:43" hidden="1" x14ac:dyDescent="0.25">
      <c r="A83" s="62"/>
      <c r="B83" s="41"/>
      <c r="C83" s="42"/>
      <c r="D83" s="74"/>
      <c r="E83" s="48"/>
      <c r="F83" s="43"/>
      <c r="G83" s="43"/>
      <c r="H83" s="44"/>
      <c r="I83" s="77"/>
      <c r="J83" s="79">
        <f t="shared" si="24"/>
        <v>0</v>
      </c>
      <c r="L83" s="62"/>
      <c r="M83" s="41"/>
      <c r="N83" s="42"/>
      <c r="O83" s="74"/>
      <c r="P83" s="48"/>
      <c r="Q83" s="43"/>
      <c r="R83" s="43"/>
      <c r="S83" s="44"/>
      <c r="T83" s="77"/>
      <c r="U83" s="79">
        <f t="shared" si="25"/>
        <v>0</v>
      </c>
      <c r="W83" s="62"/>
      <c r="X83" s="41"/>
      <c r="Y83" s="42"/>
      <c r="Z83" s="74"/>
      <c r="AA83" s="48"/>
      <c r="AB83" s="43"/>
      <c r="AC83" s="43"/>
      <c r="AD83" s="44"/>
      <c r="AE83" s="77"/>
      <c r="AF83" s="79">
        <f t="shared" si="26"/>
        <v>0</v>
      </c>
      <c r="AH83" s="62"/>
      <c r="AI83" s="41"/>
      <c r="AJ83" s="42"/>
      <c r="AK83" s="74"/>
      <c r="AL83" s="48"/>
      <c r="AM83" s="43"/>
      <c r="AN83" s="43"/>
      <c r="AO83" s="44"/>
      <c r="AP83" s="77"/>
      <c r="AQ83" s="79">
        <f t="shared" si="27"/>
        <v>0</v>
      </c>
    </row>
    <row r="84" spans="1:43" ht="11" hidden="1" thickBot="1" x14ac:dyDescent="0.3">
      <c r="A84" s="63"/>
      <c r="B84" s="64"/>
      <c r="C84" s="65"/>
      <c r="D84" s="75"/>
      <c r="E84" s="49"/>
      <c r="F84" s="66"/>
      <c r="G84" s="66"/>
      <c r="H84" s="67"/>
      <c r="I84" s="83"/>
      <c r="J84" s="80">
        <f>F84*(H84+I84)</f>
        <v>0</v>
      </c>
      <c r="L84" s="63"/>
      <c r="M84" s="64"/>
      <c r="N84" s="65"/>
      <c r="O84" s="75"/>
      <c r="P84" s="49"/>
      <c r="Q84" s="66"/>
      <c r="R84" s="66"/>
      <c r="S84" s="67"/>
      <c r="T84" s="83"/>
      <c r="U84" s="80">
        <f>Q84*(S84+T84)</f>
        <v>0</v>
      </c>
      <c r="W84" s="63"/>
      <c r="X84" s="64"/>
      <c r="Y84" s="65"/>
      <c r="Z84" s="75"/>
      <c r="AA84" s="49"/>
      <c r="AB84" s="66"/>
      <c r="AC84" s="66"/>
      <c r="AD84" s="67"/>
      <c r="AE84" s="83"/>
      <c r="AF84" s="80">
        <f>AB84*(AD84+AE84)</f>
        <v>0</v>
      </c>
      <c r="AH84" s="63"/>
      <c r="AI84" s="64"/>
      <c r="AJ84" s="65"/>
      <c r="AK84" s="75"/>
      <c r="AL84" s="49"/>
      <c r="AM84" s="66"/>
      <c r="AN84" s="66"/>
      <c r="AO84" s="67"/>
      <c r="AP84" s="83"/>
      <c r="AQ84" s="80">
        <f>AM84*(AO84+AP84)</f>
        <v>0</v>
      </c>
    </row>
    <row r="85" spans="1:43" ht="11" hidden="1" thickBot="1" x14ac:dyDescent="0.3">
      <c r="D85" s="45"/>
      <c r="E85" s="45"/>
      <c r="F85" s="45"/>
      <c r="G85" s="45"/>
      <c r="H85" s="82"/>
      <c r="I85" s="45" t="s">
        <v>80</v>
      </c>
      <c r="J85" s="81">
        <f>SUM(J77:J84)</f>
        <v>0</v>
      </c>
      <c r="O85" s="45"/>
      <c r="P85" s="45"/>
      <c r="Q85" s="45"/>
      <c r="R85" s="45"/>
      <c r="S85" s="82"/>
      <c r="T85" s="45" t="s">
        <v>80</v>
      </c>
      <c r="U85" s="81">
        <f>SUM(U77:U84)</f>
        <v>0</v>
      </c>
      <c r="Z85" s="45"/>
      <c r="AA85" s="45"/>
      <c r="AB85" s="45"/>
      <c r="AC85" s="45"/>
      <c r="AD85" s="82"/>
      <c r="AE85" s="45" t="s">
        <v>80</v>
      </c>
      <c r="AF85" s="81">
        <f>SUM(AF77:AF84)</f>
        <v>0</v>
      </c>
      <c r="AK85" s="45"/>
      <c r="AL85" s="45"/>
      <c r="AM85" s="45"/>
      <c r="AN85" s="45"/>
      <c r="AO85" s="82"/>
      <c r="AP85" s="45" t="s">
        <v>80</v>
      </c>
      <c r="AQ85" s="81">
        <f>SUM(AQ77:AQ84)</f>
        <v>0</v>
      </c>
    </row>
    <row r="86" spans="1:43" hidden="1" x14ac:dyDescent="0.25"/>
    <row r="87" spans="1:43" ht="11" hidden="1" thickBot="1" x14ac:dyDescent="0.3">
      <c r="A87" s="68"/>
      <c r="B87" s="69" t="s">
        <v>34</v>
      </c>
      <c r="C87" s="86" t="s">
        <v>64</v>
      </c>
      <c r="D87" s="945" t="e">
        <f>#REF!</f>
        <v>#REF!</v>
      </c>
      <c r="E87" s="945"/>
      <c r="F87" s="945"/>
      <c r="G87" s="945"/>
      <c r="H87" s="945"/>
      <c r="I87" s="945"/>
      <c r="J87" s="946"/>
      <c r="L87" s="68"/>
      <c r="M87" s="69" t="s">
        <v>34</v>
      </c>
      <c r="N87" s="86" t="s">
        <v>66</v>
      </c>
      <c r="O87" s="945" t="e">
        <f>#REF!</f>
        <v>#REF!</v>
      </c>
      <c r="P87" s="945"/>
      <c r="Q87" s="945"/>
      <c r="R87" s="945"/>
      <c r="S87" s="945"/>
      <c r="T87" s="945"/>
      <c r="U87" s="946"/>
      <c r="W87" s="68"/>
      <c r="X87" s="69" t="s">
        <v>34</v>
      </c>
      <c r="Y87" s="86" t="s">
        <v>68</v>
      </c>
      <c r="Z87" s="945" t="e">
        <f>#REF!</f>
        <v>#REF!</v>
      </c>
      <c r="AA87" s="945"/>
      <c r="AB87" s="945"/>
      <c r="AC87" s="945"/>
      <c r="AD87" s="945"/>
      <c r="AE87" s="945"/>
      <c r="AF87" s="946"/>
      <c r="AH87" s="68"/>
      <c r="AI87" s="69" t="s">
        <v>34</v>
      </c>
      <c r="AJ87" s="86" t="s">
        <v>68</v>
      </c>
      <c r="AK87" s="945" t="e">
        <f>#REF!</f>
        <v>#REF!</v>
      </c>
      <c r="AL87" s="945"/>
      <c r="AM87" s="945"/>
      <c r="AN87" s="945"/>
      <c r="AO87" s="945"/>
      <c r="AP87" s="945"/>
      <c r="AQ87" s="946"/>
    </row>
    <row r="88" spans="1:43" hidden="1" x14ac:dyDescent="0.25">
      <c r="A88" s="51" t="s">
        <v>75</v>
      </c>
      <c r="B88" s="52" t="s">
        <v>76</v>
      </c>
      <c r="C88" s="52" t="s">
        <v>77</v>
      </c>
      <c r="D88" s="53" t="s">
        <v>78</v>
      </c>
      <c r="E88" s="47"/>
      <c r="F88" s="54" t="s">
        <v>39</v>
      </c>
      <c r="G88" s="52" t="s">
        <v>40</v>
      </c>
      <c r="H88" s="52" t="s">
        <v>79</v>
      </c>
      <c r="I88" s="55" t="s">
        <v>41</v>
      </c>
      <c r="J88" s="50" t="s">
        <v>80</v>
      </c>
      <c r="L88" s="51" t="s">
        <v>75</v>
      </c>
      <c r="M88" s="52" t="s">
        <v>76</v>
      </c>
      <c r="N88" s="52" t="s">
        <v>77</v>
      </c>
      <c r="O88" s="53" t="s">
        <v>78</v>
      </c>
      <c r="P88" s="47"/>
      <c r="Q88" s="54" t="s">
        <v>39</v>
      </c>
      <c r="R88" s="52" t="s">
        <v>40</v>
      </c>
      <c r="S88" s="52" t="s">
        <v>79</v>
      </c>
      <c r="T88" s="55" t="s">
        <v>41</v>
      </c>
      <c r="U88" s="50" t="s">
        <v>80</v>
      </c>
      <c r="W88" s="51" t="s">
        <v>75</v>
      </c>
      <c r="X88" s="52" t="s">
        <v>76</v>
      </c>
      <c r="Y88" s="52" t="s">
        <v>77</v>
      </c>
      <c r="Z88" s="53" t="s">
        <v>78</v>
      </c>
      <c r="AA88" s="47"/>
      <c r="AB88" s="54" t="s">
        <v>39</v>
      </c>
      <c r="AC88" s="52" t="s">
        <v>40</v>
      </c>
      <c r="AD88" s="52" t="s">
        <v>79</v>
      </c>
      <c r="AE88" s="55" t="s">
        <v>41</v>
      </c>
      <c r="AF88" s="50" t="s">
        <v>80</v>
      </c>
      <c r="AH88" s="51" t="s">
        <v>75</v>
      </c>
      <c r="AI88" s="52" t="s">
        <v>76</v>
      </c>
      <c r="AJ88" s="52" t="s">
        <v>77</v>
      </c>
      <c r="AK88" s="53" t="s">
        <v>78</v>
      </c>
      <c r="AL88" s="47"/>
      <c r="AM88" s="54" t="s">
        <v>39</v>
      </c>
      <c r="AN88" s="52" t="s">
        <v>40</v>
      </c>
      <c r="AO88" s="52" t="s">
        <v>79</v>
      </c>
      <c r="AP88" s="55" t="s">
        <v>41</v>
      </c>
      <c r="AQ88" s="50" t="s">
        <v>80</v>
      </c>
    </row>
    <row r="89" spans="1:43" hidden="1" x14ac:dyDescent="0.25">
      <c r="A89" s="56"/>
      <c r="B89" s="57"/>
      <c r="C89" s="58"/>
      <c r="D89" s="72"/>
      <c r="E89" s="59"/>
      <c r="F89" s="60"/>
      <c r="G89" s="60"/>
      <c r="H89" s="61"/>
      <c r="I89" s="76"/>
      <c r="J89" s="78">
        <f>F89*(H89+I89)</f>
        <v>0</v>
      </c>
      <c r="L89" s="56"/>
      <c r="M89" s="57"/>
      <c r="N89" s="58"/>
      <c r="O89" s="72"/>
      <c r="P89" s="59"/>
      <c r="Q89" s="60"/>
      <c r="R89" s="60"/>
      <c r="S89" s="61"/>
      <c r="T89" s="76"/>
      <c r="U89" s="78">
        <f>Q89*(S89+T89)</f>
        <v>0</v>
      </c>
      <c r="W89" s="56"/>
      <c r="X89" s="57"/>
      <c r="Y89" s="58"/>
      <c r="Z89" s="72"/>
      <c r="AA89" s="59"/>
      <c r="AB89" s="60"/>
      <c r="AC89" s="60"/>
      <c r="AD89" s="61"/>
      <c r="AE89" s="76"/>
      <c r="AF89" s="78">
        <f>AB89*(AD89+AE89)</f>
        <v>0</v>
      </c>
      <c r="AH89" s="56"/>
      <c r="AI89" s="57"/>
      <c r="AJ89" s="58"/>
      <c r="AK89" s="72"/>
      <c r="AL89" s="59"/>
      <c r="AM89" s="60"/>
      <c r="AN89" s="60"/>
      <c r="AO89" s="61"/>
      <c r="AP89" s="76"/>
      <c r="AQ89" s="78">
        <f>AM89*(AO89+AP89)</f>
        <v>0</v>
      </c>
    </row>
    <row r="90" spans="1:43" hidden="1" x14ac:dyDescent="0.25">
      <c r="A90" s="73"/>
      <c r="B90" s="41"/>
      <c r="C90" s="42"/>
      <c r="D90" s="74"/>
      <c r="E90" s="48"/>
      <c r="F90" s="43"/>
      <c r="G90" s="43"/>
      <c r="H90" s="44"/>
      <c r="I90" s="77"/>
      <c r="J90" s="79">
        <f t="shared" ref="J90:J95" si="28">F90*(H90+I90)</f>
        <v>0</v>
      </c>
      <c r="L90" s="73"/>
      <c r="M90" s="41"/>
      <c r="N90" s="42"/>
      <c r="O90" s="74"/>
      <c r="P90" s="48"/>
      <c r="Q90" s="43"/>
      <c r="R90" s="43"/>
      <c r="S90" s="44"/>
      <c r="T90" s="77"/>
      <c r="U90" s="79">
        <f t="shared" ref="U90:U95" si="29">Q90*(S90+T90)</f>
        <v>0</v>
      </c>
      <c r="W90" s="73"/>
      <c r="X90" s="41"/>
      <c r="Y90" s="42"/>
      <c r="Z90" s="74"/>
      <c r="AA90" s="48"/>
      <c r="AB90" s="43"/>
      <c r="AC90" s="43"/>
      <c r="AD90" s="44"/>
      <c r="AE90" s="77"/>
      <c r="AF90" s="79">
        <f t="shared" ref="AF90:AF95" si="30">AB90*(AD90+AE90)</f>
        <v>0</v>
      </c>
      <c r="AH90" s="73"/>
      <c r="AI90" s="41"/>
      <c r="AJ90" s="42"/>
      <c r="AK90" s="74"/>
      <c r="AL90" s="48"/>
      <c r="AM90" s="43"/>
      <c r="AN90" s="43"/>
      <c r="AO90" s="44"/>
      <c r="AP90" s="77"/>
      <c r="AQ90" s="79">
        <f t="shared" ref="AQ90:AQ95" si="31">AM90*(AO90+AP90)</f>
        <v>0</v>
      </c>
    </row>
    <row r="91" spans="1:43" hidden="1" x14ac:dyDescent="0.25">
      <c r="A91" s="62"/>
      <c r="B91" s="41"/>
      <c r="C91" s="42"/>
      <c r="D91" s="74"/>
      <c r="E91" s="48"/>
      <c r="F91" s="43"/>
      <c r="G91" s="43"/>
      <c r="H91" s="44"/>
      <c r="I91" s="77"/>
      <c r="J91" s="79">
        <f t="shared" si="28"/>
        <v>0</v>
      </c>
      <c r="L91" s="62"/>
      <c r="M91" s="41"/>
      <c r="N91" s="42"/>
      <c r="O91" s="74"/>
      <c r="P91" s="48"/>
      <c r="Q91" s="43"/>
      <c r="R91" s="43"/>
      <c r="S91" s="44"/>
      <c r="T91" s="77"/>
      <c r="U91" s="79">
        <f t="shared" si="29"/>
        <v>0</v>
      </c>
      <c r="W91" s="62"/>
      <c r="X91" s="41"/>
      <c r="Y91" s="42"/>
      <c r="Z91" s="74"/>
      <c r="AA91" s="48"/>
      <c r="AB91" s="43"/>
      <c r="AC91" s="43"/>
      <c r="AD91" s="44"/>
      <c r="AE91" s="77"/>
      <c r="AF91" s="79">
        <f t="shared" si="30"/>
        <v>0</v>
      </c>
      <c r="AH91" s="62"/>
      <c r="AI91" s="41"/>
      <c r="AJ91" s="42"/>
      <c r="AK91" s="74"/>
      <c r="AL91" s="48"/>
      <c r="AM91" s="43"/>
      <c r="AN91" s="43"/>
      <c r="AO91" s="44"/>
      <c r="AP91" s="77"/>
      <c r="AQ91" s="79">
        <f t="shared" si="31"/>
        <v>0</v>
      </c>
    </row>
    <row r="92" spans="1:43" hidden="1" x14ac:dyDescent="0.25">
      <c r="A92" s="62"/>
      <c r="B92" s="41"/>
      <c r="C92" s="42"/>
      <c r="D92" s="74"/>
      <c r="E92" s="48"/>
      <c r="F92" s="43"/>
      <c r="G92" s="43"/>
      <c r="H92" s="44"/>
      <c r="I92" s="77"/>
      <c r="J92" s="79">
        <f t="shared" si="28"/>
        <v>0</v>
      </c>
      <c r="L92" s="62"/>
      <c r="M92" s="41"/>
      <c r="N92" s="42"/>
      <c r="O92" s="74"/>
      <c r="P92" s="48"/>
      <c r="Q92" s="43"/>
      <c r="R92" s="43"/>
      <c r="S92" s="44"/>
      <c r="T92" s="77"/>
      <c r="U92" s="79">
        <f t="shared" si="29"/>
        <v>0</v>
      </c>
      <c r="W92" s="62"/>
      <c r="X92" s="41"/>
      <c r="Y92" s="42"/>
      <c r="Z92" s="74"/>
      <c r="AA92" s="48"/>
      <c r="AB92" s="43"/>
      <c r="AC92" s="43"/>
      <c r="AD92" s="44"/>
      <c r="AE92" s="77"/>
      <c r="AF92" s="79">
        <f t="shared" si="30"/>
        <v>0</v>
      </c>
      <c r="AH92" s="62"/>
      <c r="AI92" s="41"/>
      <c r="AJ92" s="42"/>
      <c r="AK92" s="74"/>
      <c r="AL92" s="48"/>
      <c r="AM92" s="43"/>
      <c r="AN92" s="43"/>
      <c r="AO92" s="44"/>
      <c r="AP92" s="77"/>
      <c r="AQ92" s="79">
        <f t="shared" si="31"/>
        <v>0</v>
      </c>
    </row>
    <row r="93" spans="1:43" hidden="1" x14ac:dyDescent="0.25">
      <c r="A93" s="62"/>
      <c r="B93" s="41"/>
      <c r="C93" s="42"/>
      <c r="D93" s="74"/>
      <c r="E93" s="48"/>
      <c r="F93" s="43"/>
      <c r="G93" s="43"/>
      <c r="H93" s="44"/>
      <c r="I93" s="77"/>
      <c r="J93" s="79">
        <f t="shared" si="28"/>
        <v>0</v>
      </c>
      <c r="L93" s="62"/>
      <c r="M93" s="41"/>
      <c r="N93" s="42"/>
      <c r="O93" s="74"/>
      <c r="P93" s="48"/>
      <c r="Q93" s="43"/>
      <c r="R93" s="43"/>
      <c r="S93" s="44"/>
      <c r="T93" s="77"/>
      <c r="U93" s="79">
        <f t="shared" si="29"/>
        <v>0</v>
      </c>
      <c r="W93" s="62"/>
      <c r="X93" s="41"/>
      <c r="Y93" s="42"/>
      <c r="Z93" s="74"/>
      <c r="AA93" s="48"/>
      <c r="AB93" s="43"/>
      <c r="AC93" s="43"/>
      <c r="AD93" s="44"/>
      <c r="AE93" s="77"/>
      <c r="AF93" s="79">
        <f t="shared" si="30"/>
        <v>0</v>
      </c>
      <c r="AH93" s="62"/>
      <c r="AI93" s="41"/>
      <c r="AJ93" s="42"/>
      <c r="AK93" s="74"/>
      <c r="AL93" s="48"/>
      <c r="AM93" s="43"/>
      <c r="AN93" s="43"/>
      <c r="AO93" s="44"/>
      <c r="AP93" s="77"/>
      <c r="AQ93" s="79">
        <f t="shared" si="31"/>
        <v>0</v>
      </c>
    </row>
    <row r="94" spans="1:43" hidden="1" x14ac:dyDescent="0.25">
      <c r="A94" s="62"/>
      <c r="B94" s="41"/>
      <c r="C94" s="42"/>
      <c r="D94" s="74"/>
      <c r="E94" s="48"/>
      <c r="F94" s="43"/>
      <c r="G94" s="43"/>
      <c r="H94" s="44"/>
      <c r="I94" s="77"/>
      <c r="J94" s="79">
        <f t="shared" si="28"/>
        <v>0</v>
      </c>
      <c r="L94" s="62"/>
      <c r="M94" s="41"/>
      <c r="N94" s="42"/>
      <c r="O94" s="74"/>
      <c r="P94" s="48"/>
      <c r="Q94" s="43"/>
      <c r="R94" s="43"/>
      <c r="S94" s="44"/>
      <c r="T94" s="77"/>
      <c r="U94" s="79">
        <f t="shared" si="29"/>
        <v>0</v>
      </c>
      <c r="W94" s="62"/>
      <c r="X94" s="41"/>
      <c r="Y94" s="42"/>
      <c r="Z94" s="74"/>
      <c r="AA94" s="48"/>
      <c r="AB94" s="43"/>
      <c r="AC94" s="43"/>
      <c r="AD94" s="44"/>
      <c r="AE94" s="77"/>
      <c r="AF94" s="79">
        <f t="shared" si="30"/>
        <v>0</v>
      </c>
      <c r="AH94" s="62"/>
      <c r="AI94" s="41"/>
      <c r="AJ94" s="42"/>
      <c r="AK94" s="74"/>
      <c r="AL94" s="48"/>
      <c r="AM94" s="43"/>
      <c r="AN94" s="43"/>
      <c r="AO94" s="44"/>
      <c r="AP94" s="77"/>
      <c r="AQ94" s="79">
        <f t="shared" si="31"/>
        <v>0</v>
      </c>
    </row>
    <row r="95" spans="1:43" hidden="1" x14ac:dyDescent="0.25">
      <c r="A95" s="62"/>
      <c r="B95" s="41"/>
      <c r="C95" s="42"/>
      <c r="D95" s="74"/>
      <c r="E95" s="48"/>
      <c r="F95" s="43"/>
      <c r="G95" s="43"/>
      <c r="H95" s="44"/>
      <c r="I95" s="77"/>
      <c r="J95" s="79">
        <f t="shared" si="28"/>
        <v>0</v>
      </c>
      <c r="L95" s="62"/>
      <c r="M95" s="41"/>
      <c r="N95" s="42"/>
      <c r="O95" s="74"/>
      <c r="P95" s="48"/>
      <c r="Q95" s="43"/>
      <c r="R95" s="43"/>
      <c r="S95" s="44"/>
      <c r="T95" s="77"/>
      <c r="U95" s="79">
        <f t="shared" si="29"/>
        <v>0</v>
      </c>
      <c r="W95" s="62"/>
      <c r="X95" s="41"/>
      <c r="Y95" s="42"/>
      <c r="Z95" s="74"/>
      <c r="AA95" s="48"/>
      <c r="AB95" s="43"/>
      <c r="AC95" s="43"/>
      <c r="AD95" s="44"/>
      <c r="AE95" s="77"/>
      <c r="AF95" s="79">
        <f t="shared" si="30"/>
        <v>0</v>
      </c>
      <c r="AH95" s="62"/>
      <c r="AI95" s="41"/>
      <c r="AJ95" s="42"/>
      <c r="AK95" s="74"/>
      <c r="AL95" s="48"/>
      <c r="AM95" s="43"/>
      <c r="AN95" s="43"/>
      <c r="AO95" s="44"/>
      <c r="AP95" s="77"/>
      <c r="AQ95" s="79">
        <f t="shared" si="31"/>
        <v>0</v>
      </c>
    </row>
    <row r="96" spans="1:43" ht="11" hidden="1" thickBot="1" x14ac:dyDescent="0.3">
      <c r="A96" s="63"/>
      <c r="B96" s="64"/>
      <c r="C96" s="65"/>
      <c r="D96" s="75"/>
      <c r="E96" s="49"/>
      <c r="F96" s="66"/>
      <c r="G96" s="66"/>
      <c r="H96" s="67"/>
      <c r="I96" s="83"/>
      <c r="J96" s="80">
        <f>F96*(H96+I96)</f>
        <v>0</v>
      </c>
      <c r="L96" s="63"/>
      <c r="M96" s="64"/>
      <c r="N96" s="65"/>
      <c r="O96" s="75"/>
      <c r="P96" s="49"/>
      <c r="Q96" s="66"/>
      <c r="R96" s="66"/>
      <c r="S96" s="67"/>
      <c r="T96" s="83"/>
      <c r="U96" s="80">
        <f>Q96*(S96+T96)</f>
        <v>0</v>
      </c>
      <c r="W96" s="63"/>
      <c r="X96" s="64"/>
      <c r="Y96" s="65"/>
      <c r="Z96" s="75"/>
      <c r="AA96" s="49"/>
      <c r="AB96" s="66"/>
      <c r="AC96" s="66"/>
      <c r="AD96" s="67"/>
      <c r="AE96" s="83"/>
      <c r="AF96" s="80">
        <f>AB96*(AD96+AE96)</f>
        <v>0</v>
      </c>
      <c r="AH96" s="63"/>
      <c r="AI96" s="64"/>
      <c r="AJ96" s="65"/>
      <c r="AK96" s="75"/>
      <c r="AL96" s="49"/>
      <c r="AM96" s="66"/>
      <c r="AN96" s="66"/>
      <c r="AO96" s="67"/>
      <c r="AP96" s="83"/>
      <c r="AQ96" s="80">
        <f>AM96*(AO96+AP96)</f>
        <v>0</v>
      </c>
    </row>
    <row r="97" spans="1:43" ht="11" hidden="1" thickBot="1" x14ac:dyDescent="0.3">
      <c r="D97" s="45"/>
      <c r="E97" s="45"/>
      <c r="F97" s="45"/>
      <c r="G97" s="45"/>
      <c r="H97" s="82"/>
      <c r="I97" s="45" t="s">
        <v>80</v>
      </c>
      <c r="J97" s="81">
        <f>SUM(J89:J96)</f>
        <v>0</v>
      </c>
      <c r="O97" s="45"/>
      <c r="P97" s="45"/>
      <c r="Q97" s="45"/>
      <c r="R97" s="45"/>
      <c r="S97" s="82"/>
      <c r="T97" s="45" t="s">
        <v>80</v>
      </c>
      <c r="U97" s="81">
        <f>SUM(U89:U96)</f>
        <v>0</v>
      </c>
      <c r="Z97" s="45"/>
      <c r="AA97" s="45"/>
      <c r="AB97" s="45"/>
      <c r="AC97" s="45"/>
      <c r="AD97" s="82"/>
      <c r="AE97" s="45" t="s">
        <v>80</v>
      </c>
      <c r="AF97" s="81">
        <f>SUM(AF89:AF96)</f>
        <v>0</v>
      </c>
      <c r="AK97" s="45"/>
      <c r="AL97" s="45"/>
      <c r="AM97" s="45"/>
      <c r="AN97" s="45"/>
      <c r="AO97" s="82"/>
      <c r="AP97" s="45" t="s">
        <v>80</v>
      </c>
      <c r="AQ97" s="81">
        <f>SUM(AQ89:AQ96)</f>
        <v>0</v>
      </c>
    </row>
    <row r="98" spans="1:43" ht="11" thickBot="1" x14ac:dyDescent="0.3"/>
    <row r="99" spans="1:43" ht="11" thickBot="1" x14ac:dyDescent="0.3">
      <c r="A99" s="68"/>
      <c r="B99" s="69" t="s">
        <v>34</v>
      </c>
      <c r="C99" s="86" t="s">
        <v>49</v>
      </c>
      <c r="D99" s="945" t="str">
        <f>'[2]Costing Summary'!C58</f>
        <v xml:space="preserve">  </v>
      </c>
      <c r="E99" s="945"/>
      <c r="F99" s="945"/>
      <c r="G99" s="945"/>
      <c r="H99" s="945"/>
      <c r="I99" s="945"/>
      <c r="J99" s="946"/>
      <c r="L99" s="68"/>
      <c r="M99" s="69" t="s">
        <v>34</v>
      </c>
      <c r="N99" s="86" t="s">
        <v>53</v>
      </c>
      <c r="O99" s="945" t="str">
        <f>'[2]Costing Summary'!C77</f>
        <v xml:space="preserve">  </v>
      </c>
      <c r="P99" s="945"/>
      <c r="Q99" s="945"/>
      <c r="R99" s="945"/>
      <c r="S99" s="945"/>
      <c r="T99" s="945"/>
      <c r="U99" s="946"/>
      <c r="W99" s="68"/>
      <c r="X99" s="69" t="s">
        <v>34</v>
      </c>
      <c r="Y99" s="86" t="s">
        <v>58</v>
      </c>
      <c r="Z99" s="945" t="e">
        <f>#REF!</f>
        <v>#REF!</v>
      </c>
      <c r="AA99" s="945"/>
      <c r="AB99" s="945"/>
      <c r="AC99" s="945"/>
      <c r="AD99" s="945"/>
      <c r="AE99" s="945"/>
      <c r="AF99" s="946"/>
      <c r="AH99" s="68"/>
      <c r="AI99" s="69" t="s">
        <v>34</v>
      </c>
      <c r="AJ99" s="86" t="s">
        <v>84</v>
      </c>
      <c r="AK99" s="945" t="e">
        <f>#REF!</f>
        <v>#REF!</v>
      </c>
      <c r="AL99" s="945"/>
      <c r="AM99" s="945"/>
      <c r="AN99" s="945"/>
      <c r="AO99" s="945"/>
      <c r="AP99" s="945"/>
      <c r="AQ99" s="946"/>
    </row>
    <row r="100" spans="1:43" ht="11" thickBot="1" x14ac:dyDescent="0.3">
      <c r="A100" s="51" t="s">
        <v>75</v>
      </c>
      <c r="B100" s="52" t="s">
        <v>76</v>
      </c>
      <c r="C100" s="52" t="s">
        <v>77</v>
      </c>
      <c r="D100" s="53" t="s">
        <v>78</v>
      </c>
      <c r="E100" s="47"/>
      <c r="F100" s="54" t="s">
        <v>39</v>
      </c>
      <c r="G100" s="52" t="s">
        <v>40</v>
      </c>
      <c r="H100" s="52" t="s">
        <v>79</v>
      </c>
      <c r="I100" s="55" t="s">
        <v>41</v>
      </c>
      <c r="J100" s="50" t="s">
        <v>80</v>
      </c>
      <c r="L100" s="51" t="s">
        <v>75</v>
      </c>
      <c r="M100" s="52" t="s">
        <v>76</v>
      </c>
      <c r="N100" s="52" t="s">
        <v>77</v>
      </c>
      <c r="O100" s="53" t="s">
        <v>78</v>
      </c>
      <c r="P100" s="47"/>
      <c r="Q100" s="54" t="s">
        <v>39</v>
      </c>
      <c r="R100" s="52" t="s">
        <v>40</v>
      </c>
      <c r="S100" s="52" t="s">
        <v>79</v>
      </c>
      <c r="T100" s="55" t="s">
        <v>41</v>
      </c>
      <c r="U100" s="50" t="s">
        <v>80</v>
      </c>
      <c r="W100" s="51" t="s">
        <v>75</v>
      </c>
      <c r="X100" s="52" t="s">
        <v>76</v>
      </c>
      <c r="Y100" s="52" t="s">
        <v>77</v>
      </c>
      <c r="Z100" s="53" t="s">
        <v>78</v>
      </c>
      <c r="AA100" s="47"/>
      <c r="AB100" s="54" t="s">
        <v>39</v>
      </c>
      <c r="AC100" s="52" t="s">
        <v>40</v>
      </c>
      <c r="AD100" s="52" t="s">
        <v>79</v>
      </c>
      <c r="AE100" s="55" t="s">
        <v>41</v>
      </c>
      <c r="AF100" s="50" t="s">
        <v>80</v>
      </c>
      <c r="AH100" s="51" t="s">
        <v>75</v>
      </c>
      <c r="AI100" s="52" t="s">
        <v>76</v>
      </c>
      <c r="AJ100" s="52" t="s">
        <v>77</v>
      </c>
      <c r="AK100" s="53" t="s">
        <v>78</v>
      </c>
      <c r="AL100" s="47"/>
      <c r="AM100" s="54" t="s">
        <v>39</v>
      </c>
      <c r="AN100" s="52" t="s">
        <v>40</v>
      </c>
      <c r="AO100" s="52" t="s">
        <v>79</v>
      </c>
      <c r="AP100" s="55" t="s">
        <v>41</v>
      </c>
      <c r="AQ100" s="50" t="s">
        <v>80</v>
      </c>
    </row>
    <row r="101" spans="1:43" x14ac:dyDescent="0.25">
      <c r="A101" s="56"/>
      <c r="B101" s="57"/>
      <c r="C101" s="58"/>
      <c r="D101" s="72"/>
      <c r="E101" s="59"/>
      <c r="F101" s="60"/>
      <c r="G101" s="60"/>
      <c r="H101" s="61"/>
      <c r="I101" s="76"/>
      <c r="J101" s="78">
        <f>F101*(H101+I101)</f>
        <v>0</v>
      </c>
      <c r="L101" s="56"/>
      <c r="M101" s="57"/>
      <c r="N101" s="58"/>
      <c r="O101" s="72"/>
      <c r="P101" s="59"/>
      <c r="Q101" s="60"/>
      <c r="R101" s="60"/>
      <c r="S101" s="61"/>
      <c r="T101" s="76"/>
      <c r="U101" s="78">
        <f>Q101*(S101+T101)</f>
        <v>0</v>
      </c>
      <c r="W101" s="56"/>
      <c r="X101" s="57"/>
      <c r="Y101" s="58"/>
      <c r="Z101" s="72"/>
      <c r="AA101" s="59"/>
      <c r="AB101" s="60"/>
      <c r="AC101" s="60"/>
      <c r="AD101" s="61"/>
      <c r="AE101" s="76"/>
      <c r="AF101" s="78">
        <f>AB101*(AD101+AE101)</f>
        <v>0</v>
      </c>
      <c r="AH101" s="56"/>
      <c r="AI101" s="57"/>
      <c r="AJ101" s="58"/>
      <c r="AK101" s="72"/>
      <c r="AL101" s="59"/>
      <c r="AM101" s="60"/>
      <c r="AN101" s="60"/>
      <c r="AO101" s="61"/>
      <c r="AP101" s="76"/>
      <c r="AQ101" s="78">
        <f>AM101*(AO101+AP101)</f>
        <v>0</v>
      </c>
    </row>
    <row r="102" spans="1:43" x14ac:dyDescent="0.25">
      <c r="A102" s="73"/>
      <c r="B102" s="41"/>
      <c r="C102" s="42"/>
      <c r="D102" s="74"/>
      <c r="E102" s="48"/>
      <c r="F102" s="43"/>
      <c r="G102" s="43"/>
      <c r="H102" s="44"/>
      <c r="I102" s="77"/>
      <c r="J102" s="79">
        <f t="shared" ref="J102:J107" si="32">F102*(H102+I102)</f>
        <v>0</v>
      </c>
      <c r="L102" s="73"/>
      <c r="M102" s="41"/>
      <c r="N102" s="42"/>
      <c r="O102" s="74"/>
      <c r="P102" s="48"/>
      <c r="Q102" s="43"/>
      <c r="R102" s="43"/>
      <c r="S102" s="44"/>
      <c r="T102" s="77"/>
      <c r="U102" s="79">
        <f t="shared" ref="U102:U107" si="33">Q102*(S102+T102)</f>
        <v>0</v>
      </c>
      <c r="W102" s="73"/>
      <c r="X102" s="41"/>
      <c r="Y102" s="42"/>
      <c r="Z102" s="74"/>
      <c r="AA102" s="48"/>
      <c r="AB102" s="43"/>
      <c r="AC102" s="43"/>
      <c r="AD102" s="44"/>
      <c r="AE102" s="77"/>
      <c r="AF102" s="79">
        <f t="shared" ref="AF102:AF107" si="34">AB102*(AD102+AE102)</f>
        <v>0</v>
      </c>
      <c r="AH102" s="73"/>
      <c r="AI102" s="41"/>
      <c r="AJ102" s="42"/>
      <c r="AK102" s="74"/>
      <c r="AL102" s="48"/>
      <c r="AM102" s="43"/>
      <c r="AN102" s="43"/>
      <c r="AO102" s="44"/>
      <c r="AP102" s="77"/>
      <c r="AQ102" s="79">
        <f t="shared" ref="AQ102:AQ107" si="35">AM102*(AO102+AP102)</f>
        <v>0</v>
      </c>
    </row>
    <row r="103" spans="1:43" x14ac:dyDescent="0.25">
      <c r="A103" s="62"/>
      <c r="B103" s="41"/>
      <c r="C103" s="42"/>
      <c r="D103" s="74"/>
      <c r="E103" s="48"/>
      <c r="F103" s="43"/>
      <c r="G103" s="43"/>
      <c r="H103" s="44"/>
      <c r="I103" s="77"/>
      <c r="J103" s="79">
        <f t="shared" si="32"/>
        <v>0</v>
      </c>
      <c r="L103" s="62"/>
      <c r="M103" s="41"/>
      <c r="N103" s="42"/>
      <c r="O103" s="74"/>
      <c r="P103" s="48"/>
      <c r="Q103" s="43"/>
      <c r="R103" s="43"/>
      <c r="S103" s="44"/>
      <c r="T103" s="77"/>
      <c r="U103" s="79">
        <f t="shared" si="33"/>
        <v>0</v>
      </c>
      <c r="W103" s="62"/>
      <c r="X103" s="41"/>
      <c r="Y103" s="42"/>
      <c r="Z103" s="74"/>
      <c r="AA103" s="48"/>
      <c r="AB103" s="43"/>
      <c r="AC103" s="43"/>
      <c r="AD103" s="44"/>
      <c r="AE103" s="77"/>
      <c r="AF103" s="79">
        <f t="shared" si="34"/>
        <v>0</v>
      </c>
      <c r="AH103" s="62"/>
      <c r="AI103" s="41"/>
      <c r="AJ103" s="42"/>
      <c r="AK103" s="74"/>
      <c r="AL103" s="48"/>
      <c r="AM103" s="43"/>
      <c r="AN103" s="43"/>
      <c r="AO103" s="44"/>
      <c r="AP103" s="77"/>
      <c r="AQ103" s="79">
        <f t="shared" si="35"/>
        <v>0</v>
      </c>
    </row>
    <row r="104" spans="1:43" x14ac:dyDescent="0.25">
      <c r="A104" s="62"/>
      <c r="B104" s="41"/>
      <c r="C104" s="42"/>
      <c r="D104" s="74"/>
      <c r="E104" s="48"/>
      <c r="F104" s="43"/>
      <c r="G104" s="43"/>
      <c r="H104" s="44"/>
      <c r="I104" s="77"/>
      <c r="J104" s="79">
        <f t="shared" si="32"/>
        <v>0</v>
      </c>
      <c r="L104" s="62"/>
      <c r="M104" s="41"/>
      <c r="N104" s="42"/>
      <c r="O104" s="74"/>
      <c r="P104" s="48"/>
      <c r="Q104" s="43"/>
      <c r="R104" s="43"/>
      <c r="S104" s="44"/>
      <c r="T104" s="77"/>
      <c r="U104" s="79">
        <f t="shared" si="33"/>
        <v>0</v>
      </c>
      <c r="W104" s="62"/>
      <c r="X104" s="41"/>
      <c r="Y104" s="42"/>
      <c r="Z104" s="74"/>
      <c r="AA104" s="48"/>
      <c r="AB104" s="43"/>
      <c r="AC104" s="43"/>
      <c r="AD104" s="44"/>
      <c r="AE104" s="77"/>
      <c r="AF104" s="79">
        <f t="shared" si="34"/>
        <v>0</v>
      </c>
      <c r="AH104" s="62"/>
      <c r="AI104" s="41"/>
      <c r="AJ104" s="42"/>
      <c r="AK104" s="74"/>
      <c r="AL104" s="48"/>
      <c r="AM104" s="43"/>
      <c r="AN104" s="43"/>
      <c r="AO104" s="44"/>
      <c r="AP104" s="77"/>
      <c r="AQ104" s="79">
        <f t="shared" si="35"/>
        <v>0</v>
      </c>
    </row>
    <row r="105" spans="1:43" x14ac:dyDescent="0.25">
      <c r="A105" s="62"/>
      <c r="B105" s="41"/>
      <c r="C105" s="42"/>
      <c r="D105" s="74"/>
      <c r="E105" s="48"/>
      <c r="F105" s="43"/>
      <c r="G105" s="43"/>
      <c r="H105" s="44"/>
      <c r="I105" s="77"/>
      <c r="J105" s="79">
        <f t="shared" si="32"/>
        <v>0</v>
      </c>
      <c r="L105" s="62"/>
      <c r="M105" s="41"/>
      <c r="N105" s="42"/>
      <c r="O105" s="74"/>
      <c r="P105" s="48"/>
      <c r="Q105" s="43"/>
      <c r="R105" s="43"/>
      <c r="S105" s="44"/>
      <c r="T105" s="77"/>
      <c r="U105" s="79">
        <f t="shared" si="33"/>
        <v>0</v>
      </c>
      <c r="W105" s="62"/>
      <c r="X105" s="41"/>
      <c r="Y105" s="42"/>
      <c r="Z105" s="74"/>
      <c r="AA105" s="48"/>
      <c r="AB105" s="43"/>
      <c r="AC105" s="43"/>
      <c r="AD105" s="44"/>
      <c r="AE105" s="77"/>
      <c r="AF105" s="79">
        <f t="shared" si="34"/>
        <v>0</v>
      </c>
      <c r="AH105" s="62"/>
      <c r="AI105" s="41"/>
      <c r="AJ105" s="42"/>
      <c r="AK105" s="74"/>
      <c r="AL105" s="48"/>
      <c r="AM105" s="43"/>
      <c r="AN105" s="43"/>
      <c r="AO105" s="44"/>
      <c r="AP105" s="77"/>
      <c r="AQ105" s="79">
        <f t="shared" si="35"/>
        <v>0</v>
      </c>
    </row>
    <row r="106" spans="1:43" x14ac:dyDescent="0.25">
      <c r="A106" s="62"/>
      <c r="B106" s="41"/>
      <c r="C106" s="42"/>
      <c r="D106" s="74"/>
      <c r="E106" s="48"/>
      <c r="F106" s="43"/>
      <c r="G106" s="43"/>
      <c r="H106" s="44"/>
      <c r="I106" s="77"/>
      <c r="J106" s="79">
        <f t="shared" si="32"/>
        <v>0</v>
      </c>
      <c r="L106" s="62"/>
      <c r="M106" s="41"/>
      <c r="N106" s="42"/>
      <c r="O106" s="74"/>
      <c r="P106" s="48"/>
      <c r="Q106" s="43"/>
      <c r="R106" s="43"/>
      <c r="S106" s="44"/>
      <c r="T106" s="77"/>
      <c r="U106" s="79">
        <f t="shared" si="33"/>
        <v>0</v>
      </c>
      <c r="W106" s="62"/>
      <c r="X106" s="41"/>
      <c r="Y106" s="42"/>
      <c r="Z106" s="74"/>
      <c r="AA106" s="48"/>
      <c r="AB106" s="43"/>
      <c r="AC106" s="43"/>
      <c r="AD106" s="44"/>
      <c r="AE106" s="77"/>
      <c r="AF106" s="79">
        <f t="shared" si="34"/>
        <v>0</v>
      </c>
      <c r="AH106" s="62"/>
      <c r="AI106" s="41"/>
      <c r="AJ106" s="42"/>
      <c r="AK106" s="74"/>
      <c r="AL106" s="48"/>
      <c r="AM106" s="43"/>
      <c r="AN106" s="43"/>
      <c r="AO106" s="44"/>
      <c r="AP106" s="77"/>
      <c r="AQ106" s="79">
        <f t="shared" si="35"/>
        <v>0</v>
      </c>
    </row>
    <row r="107" spans="1:43" x14ac:dyDescent="0.25">
      <c r="A107" s="62"/>
      <c r="B107" s="41"/>
      <c r="C107" s="42"/>
      <c r="D107" s="74"/>
      <c r="E107" s="48"/>
      <c r="F107" s="43"/>
      <c r="G107" s="43"/>
      <c r="H107" s="44"/>
      <c r="I107" s="77"/>
      <c r="J107" s="79">
        <f t="shared" si="32"/>
        <v>0</v>
      </c>
      <c r="L107" s="62"/>
      <c r="M107" s="41"/>
      <c r="N107" s="42"/>
      <c r="O107" s="74"/>
      <c r="P107" s="48"/>
      <c r="Q107" s="43"/>
      <c r="R107" s="43"/>
      <c r="S107" s="44"/>
      <c r="T107" s="77"/>
      <c r="U107" s="79">
        <f t="shared" si="33"/>
        <v>0</v>
      </c>
      <c r="W107" s="62"/>
      <c r="X107" s="41"/>
      <c r="Y107" s="42"/>
      <c r="Z107" s="74"/>
      <c r="AA107" s="48"/>
      <c r="AB107" s="43"/>
      <c r="AC107" s="43"/>
      <c r="AD107" s="44"/>
      <c r="AE107" s="77"/>
      <c r="AF107" s="79">
        <f t="shared" si="34"/>
        <v>0</v>
      </c>
      <c r="AH107" s="62"/>
      <c r="AI107" s="41"/>
      <c r="AJ107" s="42"/>
      <c r="AK107" s="74"/>
      <c r="AL107" s="48"/>
      <c r="AM107" s="43"/>
      <c r="AN107" s="43"/>
      <c r="AO107" s="44"/>
      <c r="AP107" s="77"/>
      <c r="AQ107" s="79">
        <f t="shared" si="35"/>
        <v>0</v>
      </c>
    </row>
    <row r="108" spans="1:43" ht="11" thickBot="1" x14ac:dyDescent="0.3">
      <c r="A108" s="63"/>
      <c r="B108" s="64"/>
      <c r="C108" s="65"/>
      <c r="D108" s="75"/>
      <c r="E108" s="49"/>
      <c r="F108" s="66"/>
      <c r="G108" s="66"/>
      <c r="H108" s="67"/>
      <c r="I108" s="83"/>
      <c r="J108" s="80">
        <f>F108*(H108+I108)</f>
        <v>0</v>
      </c>
      <c r="L108" s="63"/>
      <c r="M108" s="64"/>
      <c r="N108" s="65"/>
      <c r="O108" s="75"/>
      <c r="P108" s="49"/>
      <c r="Q108" s="66"/>
      <c r="R108" s="66"/>
      <c r="S108" s="67"/>
      <c r="T108" s="83"/>
      <c r="U108" s="80">
        <f>Q108*(S108+T108)</f>
        <v>0</v>
      </c>
      <c r="W108" s="63"/>
      <c r="X108" s="64"/>
      <c r="Y108" s="65"/>
      <c r="Z108" s="75"/>
      <c r="AA108" s="49"/>
      <c r="AB108" s="66"/>
      <c r="AC108" s="66"/>
      <c r="AD108" s="67"/>
      <c r="AE108" s="83"/>
      <c r="AF108" s="80">
        <f>AB108*(AD108+AE108)</f>
        <v>0</v>
      </c>
      <c r="AH108" s="63"/>
      <c r="AI108" s="64"/>
      <c r="AJ108" s="65"/>
      <c r="AK108" s="75"/>
      <c r="AL108" s="49"/>
      <c r="AM108" s="66"/>
      <c r="AN108" s="66"/>
      <c r="AO108" s="67"/>
      <c r="AP108" s="83"/>
      <c r="AQ108" s="80">
        <f>AM108*(AO108+AP108)</f>
        <v>0</v>
      </c>
    </row>
    <row r="109" spans="1:43" ht="11" thickBot="1" x14ac:dyDescent="0.3">
      <c r="D109" s="45"/>
      <c r="E109" s="45"/>
      <c r="F109" s="45"/>
      <c r="G109" s="45"/>
      <c r="H109" s="82"/>
      <c r="I109" s="45" t="s">
        <v>80</v>
      </c>
      <c r="J109" s="81">
        <f>SUM(J101:J108)</f>
        <v>0</v>
      </c>
      <c r="O109" s="45"/>
      <c r="P109" s="45"/>
      <c r="Q109" s="45"/>
      <c r="R109" s="45"/>
      <c r="S109" s="82"/>
      <c r="T109" s="45" t="s">
        <v>80</v>
      </c>
      <c r="U109" s="81">
        <f>SUM(U101:U108)</f>
        <v>0</v>
      </c>
      <c r="Z109" s="45"/>
      <c r="AA109" s="45"/>
      <c r="AB109" s="45"/>
      <c r="AC109" s="45"/>
      <c r="AD109" s="82"/>
      <c r="AE109" s="45" t="s">
        <v>80</v>
      </c>
      <c r="AF109" s="81">
        <f>SUM(AF101:AF108)</f>
        <v>0</v>
      </c>
      <c r="AK109" s="45"/>
      <c r="AL109" s="45"/>
      <c r="AM109" s="45"/>
      <c r="AN109" s="45"/>
      <c r="AO109" s="82"/>
      <c r="AP109" s="45" t="s">
        <v>80</v>
      </c>
      <c r="AQ109" s="81">
        <f>SUM(AQ101:AQ108)</f>
        <v>0</v>
      </c>
    </row>
    <row r="110" spans="1:43" ht="11" thickBot="1" x14ac:dyDescent="0.3"/>
    <row r="111" spans="1:43" ht="11" thickBot="1" x14ac:dyDescent="0.3">
      <c r="A111" s="68"/>
      <c r="B111" s="69" t="s">
        <v>34</v>
      </c>
      <c r="C111" s="86" t="s">
        <v>59</v>
      </c>
      <c r="D111" s="945" t="str">
        <f>'[2]Costing Summary'!C59</f>
        <v>TOTAL ELECTRICAL SYSTEM UPGRADES</v>
      </c>
      <c r="E111" s="945"/>
      <c r="F111" s="945"/>
      <c r="G111" s="945"/>
      <c r="H111" s="945"/>
      <c r="I111" s="945"/>
      <c r="J111" s="946"/>
      <c r="L111" s="68"/>
      <c r="M111" s="69" t="s">
        <v>34</v>
      </c>
      <c r="N111" s="86" t="s">
        <v>60</v>
      </c>
      <c r="O111" s="945" t="str">
        <f>'[2]Costing Summary'!C78</f>
        <v>TOTAL RENEWABLE ENERGY SYSTEM UPGRADES</v>
      </c>
      <c r="P111" s="945"/>
      <c r="Q111" s="945"/>
      <c r="R111" s="945"/>
      <c r="S111" s="945"/>
      <c r="T111" s="945"/>
      <c r="U111" s="946"/>
      <c r="W111" s="68"/>
      <c r="X111" s="69" t="s">
        <v>34</v>
      </c>
      <c r="Y111" s="86" t="s">
        <v>61</v>
      </c>
      <c r="Z111" s="945" t="e">
        <f>#REF!</f>
        <v>#REF!</v>
      </c>
      <c r="AA111" s="945"/>
      <c r="AB111" s="945"/>
      <c r="AC111" s="945"/>
      <c r="AD111" s="945"/>
      <c r="AE111" s="945"/>
      <c r="AF111" s="946"/>
      <c r="AH111" s="68"/>
      <c r="AI111" s="69" t="s">
        <v>34</v>
      </c>
      <c r="AJ111" s="86" t="s">
        <v>85</v>
      </c>
      <c r="AK111" s="945" t="e">
        <f>#REF!</f>
        <v>#REF!</v>
      </c>
      <c r="AL111" s="945"/>
      <c r="AM111" s="945"/>
      <c r="AN111" s="945"/>
      <c r="AO111" s="945"/>
      <c r="AP111" s="945"/>
      <c r="AQ111" s="946"/>
    </row>
    <row r="112" spans="1:43" ht="11" thickBot="1" x14ac:dyDescent="0.3">
      <c r="A112" s="51" t="s">
        <v>75</v>
      </c>
      <c r="B112" s="52" t="s">
        <v>76</v>
      </c>
      <c r="C112" s="52" t="s">
        <v>77</v>
      </c>
      <c r="D112" s="53" t="s">
        <v>78</v>
      </c>
      <c r="E112" s="47"/>
      <c r="F112" s="54" t="s">
        <v>39</v>
      </c>
      <c r="G112" s="52" t="s">
        <v>40</v>
      </c>
      <c r="H112" s="52" t="s">
        <v>79</v>
      </c>
      <c r="I112" s="55" t="s">
        <v>41</v>
      </c>
      <c r="J112" s="50" t="s">
        <v>80</v>
      </c>
      <c r="L112" s="51" t="s">
        <v>75</v>
      </c>
      <c r="M112" s="52" t="s">
        <v>76</v>
      </c>
      <c r="N112" s="52" t="s">
        <v>77</v>
      </c>
      <c r="O112" s="53" t="s">
        <v>78</v>
      </c>
      <c r="P112" s="47"/>
      <c r="Q112" s="54" t="s">
        <v>39</v>
      </c>
      <c r="R112" s="52" t="s">
        <v>40</v>
      </c>
      <c r="S112" s="52" t="s">
        <v>79</v>
      </c>
      <c r="T112" s="55" t="s">
        <v>41</v>
      </c>
      <c r="U112" s="50" t="s">
        <v>80</v>
      </c>
      <c r="W112" s="51" t="s">
        <v>75</v>
      </c>
      <c r="X112" s="52" t="s">
        <v>76</v>
      </c>
      <c r="Y112" s="52" t="s">
        <v>77</v>
      </c>
      <c r="Z112" s="53" t="s">
        <v>78</v>
      </c>
      <c r="AA112" s="47"/>
      <c r="AB112" s="54" t="s">
        <v>39</v>
      </c>
      <c r="AC112" s="52" t="s">
        <v>40</v>
      </c>
      <c r="AD112" s="52" t="s">
        <v>79</v>
      </c>
      <c r="AE112" s="55" t="s">
        <v>41</v>
      </c>
      <c r="AF112" s="50" t="s">
        <v>80</v>
      </c>
      <c r="AH112" s="51" t="s">
        <v>75</v>
      </c>
      <c r="AI112" s="52" t="s">
        <v>76</v>
      </c>
      <c r="AJ112" s="52" t="s">
        <v>77</v>
      </c>
      <c r="AK112" s="53" t="s">
        <v>78</v>
      </c>
      <c r="AL112" s="47"/>
      <c r="AM112" s="54" t="s">
        <v>39</v>
      </c>
      <c r="AN112" s="52" t="s">
        <v>40</v>
      </c>
      <c r="AO112" s="52" t="s">
        <v>79</v>
      </c>
      <c r="AP112" s="55" t="s">
        <v>41</v>
      </c>
      <c r="AQ112" s="50" t="s">
        <v>80</v>
      </c>
    </row>
    <row r="113" spans="1:43" x14ac:dyDescent="0.25">
      <c r="A113" s="56"/>
      <c r="B113" s="57"/>
      <c r="C113" s="58"/>
      <c r="D113" s="72"/>
      <c r="E113" s="95"/>
      <c r="F113" s="99"/>
      <c r="G113" s="91"/>
      <c r="H113" s="92"/>
      <c r="I113" s="100"/>
      <c r="J113" s="97">
        <f>F113*(H113+I113)</f>
        <v>0</v>
      </c>
      <c r="L113" s="56"/>
      <c r="M113" s="57"/>
      <c r="N113" s="58"/>
      <c r="O113" s="72"/>
      <c r="P113" s="95"/>
      <c r="Q113" s="99"/>
      <c r="R113" s="91"/>
      <c r="S113" s="92"/>
      <c r="T113" s="100"/>
      <c r="U113" s="97">
        <f>Q113*(S113+T113)</f>
        <v>0</v>
      </c>
      <c r="W113" s="56"/>
      <c r="X113" s="57"/>
      <c r="Y113" s="58"/>
      <c r="Z113" s="72"/>
      <c r="AA113" s="95"/>
      <c r="AB113" s="99"/>
      <c r="AC113" s="91"/>
      <c r="AD113" s="92"/>
      <c r="AE113" s="100"/>
      <c r="AF113" s="97">
        <f>AB113*(AD113+AE113)</f>
        <v>0</v>
      </c>
      <c r="AH113" s="56"/>
      <c r="AI113" s="57"/>
      <c r="AJ113" s="58"/>
      <c r="AK113" s="72"/>
      <c r="AL113" s="95"/>
      <c r="AM113" s="99"/>
      <c r="AN113" s="91"/>
      <c r="AO113" s="92"/>
      <c r="AP113" s="100"/>
      <c r="AQ113" s="97">
        <f>AM113*(AO113+AP113)</f>
        <v>0</v>
      </c>
    </row>
    <row r="114" spans="1:43" x14ac:dyDescent="0.25">
      <c r="A114" s="73"/>
      <c r="B114" s="41"/>
      <c r="C114" s="42"/>
      <c r="D114" s="74"/>
      <c r="E114" s="89"/>
      <c r="F114" s="101"/>
      <c r="G114" s="46"/>
      <c r="H114" s="44"/>
      <c r="I114" s="102"/>
      <c r="J114" s="90">
        <f t="shared" ref="J114:J119" si="36">F114*(H114+I114)</f>
        <v>0</v>
      </c>
      <c r="L114" s="73"/>
      <c r="M114" s="41"/>
      <c r="N114" s="42"/>
      <c r="O114" s="74"/>
      <c r="P114" s="89"/>
      <c r="Q114" s="101"/>
      <c r="R114" s="46"/>
      <c r="S114" s="44"/>
      <c r="T114" s="102"/>
      <c r="U114" s="90">
        <f t="shared" ref="U114:U119" si="37">Q114*(S114+T114)</f>
        <v>0</v>
      </c>
      <c r="W114" s="73"/>
      <c r="X114" s="41"/>
      <c r="Y114" s="42"/>
      <c r="Z114" s="74"/>
      <c r="AA114" s="89"/>
      <c r="AB114" s="101"/>
      <c r="AC114" s="46"/>
      <c r="AD114" s="44"/>
      <c r="AE114" s="102"/>
      <c r="AF114" s="90">
        <f t="shared" ref="AF114:AF119" si="38">AB114*(AD114+AE114)</f>
        <v>0</v>
      </c>
      <c r="AH114" s="73"/>
      <c r="AI114" s="41"/>
      <c r="AJ114" s="42"/>
      <c r="AK114" s="74"/>
      <c r="AL114" s="89"/>
      <c r="AM114" s="101"/>
      <c r="AN114" s="46"/>
      <c r="AO114" s="44"/>
      <c r="AP114" s="102"/>
      <c r="AQ114" s="90">
        <f t="shared" ref="AQ114:AQ119" si="39">AM114*(AO114+AP114)</f>
        <v>0</v>
      </c>
    </row>
    <row r="115" spans="1:43" x14ac:dyDescent="0.25">
      <c r="A115" s="62"/>
      <c r="B115" s="41"/>
      <c r="C115" s="42"/>
      <c r="D115" s="74"/>
      <c r="E115" s="89"/>
      <c r="F115" s="101"/>
      <c r="G115" s="43"/>
      <c r="H115" s="44"/>
      <c r="I115" s="102"/>
      <c r="J115" s="90">
        <f t="shared" si="36"/>
        <v>0</v>
      </c>
      <c r="L115" s="62"/>
      <c r="M115" s="41"/>
      <c r="N115" s="42"/>
      <c r="O115" s="74"/>
      <c r="P115" s="89"/>
      <c r="Q115" s="101"/>
      <c r="R115" s="43"/>
      <c r="S115" s="44"/>
      <c r="T115" s="102"/>
      <c r="U115" s="90">
        <f t="shared" si="37"/>
        <v>0</v>
      </c>
      <c r="W115" s="62"/>
      <c r="X115" s="41"/>
      <c r="Y115" s="42"/>
      <c r="Z115" s="74"/>
      <c r="AA115" s="89"/>
      <c r="AB115" s="101"/>
      <c r="AC115" s="43"/>
      <c r="AD115" s="44"/>
      <c r="AE115" s="102"/>
      <c r="AF115" s="90">
        <f t="shared" si="38"/>
        <v>0</v>
      </c>
      <c r="AH115" s="62"/>
      <c r="AI115" s="41"/>
      <c r="AJ115" s="42"/>
      <c r="AK115" s="74"/>
      <c r="AL115" s="89"/>
      <c r="AM115" s="101"/>
      <c r="AN115" s="43"/>
      <c r="AO115" s="44"/>
      <c r="AP115" s="102"/>
      <c r="AQ115" s="90">
        <f t="shared" si="39"/>
        <v>0</v>
      </c>
    </row>
    <row r="116" spans="1:43" x14ac:dyDescent="0.25">
      <c r="A116" s="62"/>
      <c r="B116" s="41"/>
      <c r="C116" s="42"/>
      <c r="D116" s="74"/>
      <c r="E116" s="89"/>
      <c r="F116" s="101"/>
      <c r="G116" s="43"/>
      <c r="H116" s="44"/>
      <c r="I116" s="102"/>
      <c r="J116" s="90">
        <f t="shared" si="36"/>
        <v>0</v>
      </c>
      <c r="L116" s="62"/>
      <c r="M116" s="41"/>
      <c r="N116" s="42"/>
      <c r="O116" s="74"/>
      <c r="P116" s="89"/>
      <c r="Q116" s="101"/>
      <c r="R116" s="43"/>
      <c r="S116" s="44"/>
      <c r="T116" s="102"/>
      <c r="U116" s="90">
        <f t="shared" si="37"/>
        <v>0</v>
      </c>
      <c r="W116" s="62"/>
      <c r="X116" s="41"/>
      <c r="Y116" s="42"/>
      <c r="Z116" s="74"/>
      <c r="AA116" s="89"/>
      <c r="AB116" s="101"/>
      <c r="AC116" s="43"/>
      <c r="AD116" s="44"/>
      <c r="AE116" s="102"/>
      <c r="AF116" s="90">
        <f t="shared" si="38"/>
        <v>0</v>
      </c>
      <c r="AH116" s="62"/>
      <c r="AI116" s="41"/>
      <c r="AJ116" s="42"/>
      <c r="AK116" s="74"/>
      <c r="AL116" s="89"/>
      <c r="AM116" s="101"/>
      <c r="AN116" s="43"/>
      <c r="AO116" s="44"/>
      <c r="AP116" s="102"/>
      <c r="AQ116" s="90">
        <f t="shared" si="39"/>
        <v>0</v>
      </c>
    </row>
    <row r="117" spans="1:43" x14ac:dyDescent="0.25">
      <c r="A117" s="62"/>
      <c r="B117" s="41"/>
      <c r="C117" s="42"/>
      <c r="D117" s="74"/>
      <c r="E117" s="89"/>
      <c r="F117" s="101"/>
      <c r="G117" s="43"/>
      <c r="H117" s="44"/>
      <c r="I117" s="102"/>
      <c r="J117" s="90">
        <f t="shared" si="36"/>
        <v>0</v>
      </c>
      <c r="L117" s="62"/>
      <c r="M117" s="41"/>
      <c r="N117" s="42"/>
      <c r="O117" s="74"/>
      <c r="P117" s="89"/>
      <c r="Q117" s="101"/>
      <c r="R117" s="43"/>
      <c r="S117" s="44"/>
      <c r="T117" s="102"/>
      <c r="U117" s="90">
        <f t="shared" si="37"/>
        <v>0</v>
      </c>
      <c r="W117" s="62"/>
      <c r="X117" s="41"/>
      <c r="Y117" s="42"/>
      <c r="Z117" s="74"/>
      <c r="AA117" s="89"/>
      <c r="AB117" s="101"/>
      <c r="AC117" s="43"/>
      <c r="AD117" s="44"/>
      <c r="AE117" s="102"/>
      <c r="AF117" s="90">
        <f t="shared" si="38"/>
        <v>0</v>
      </c>
      <c r="AH117" s="62"/>
      <c r="AI117" s="41"/>
      <c r="AJ117" s="42"/>
      <c r="AK117" s="74"/>
      <c r="AL117" s="89"/>
      <c r="AM117" s="101"/>
      <c r="AN117" s="43"/>
      <c r="AO117" s="44"/>
      <c r="AP117" s="102"/>
      <c r="AQ117" s="90">
        <f t="shared" si="39"/>
        <v>0</v>
      </c>
    </row>
    <row r="118" spans="1:43" x14ac:dyDescent="0.25">
      <c r="A118" s="62"/>
      <c r="B118" s="41"/>
      <c r="C118" s="42"/>
      <c r="D118" s="74"/>
      <c r="E118" s="89"/>
      <c r="F118" s="101"/>
      <c r="G118" s="43"/>
      <c r="H118" s="44"/>
      <c r="I118" s="102"/>
      <c r="J118" s="90">
        <f t="shared" si="36"/>
        <v>0</v>
      </c>
      <c r="L118" s="62"/>
      <c r="M118" s="41"/>
      <c r="N118" s="42"/>
      <c r="O118" s="74"/>
      <c r="P118" s="89"/>
      <c r="Q118" s="101"/>
      <c r="R118" s="43"/>
      <c r="S118" s="44"/>
      <c r="T118" s="102"/>
      <c r="U118" s="90">
        <f t="shared" si="37"/>
        <v>0</v>
      </c>
      <c r="W118" s="62"/>
      <c r="X118" s="41"/>
      <c r="Y118" s="42"/>
      <c r="Z118" s="74"/>
      <c r="AA118" s="89"/>
      <c r="AB118" s="101"/>
      <c r="AC118" s="43"/>
      <c r="AD118" s="44"/>
      <c r="AE118" s="102"/>
      <c r="AF118" s="90">
        <f t="shared" si="38"/>
        <v>0</v>
      </c>
      <c r="AH118" s="62"/>
      <c r="AI118" s="41"/>
      <c r="AJ118" s="42"/>
      <c r="AK118" s="74"/>
      <c r="AL118" s="89"/>
      <c r="AM118" s="101"/>
      <c r="AN118" s="43"/>
      <c r="AO118" s="44"/>
      <c r="AP118" s="102"/>
      <c r="AQ118" s="90">
        <f t="shared" si="39"/>
        <v>0</v>
      </c>
    </row>
    <row r="119" spans="1:43" x14ac:dyDescent="0.25">
      <c r="A119" s="62"/>
      <c r="B119" s="41"/>
      <c r="C119" s="42"/>
      <c r="D119" s="74"/>
      <c r="E119" s="89"/>
      <c r="F119" s="101"/>
      <c r="G119" s="43"/>
      <c r="H119" s="44"/>
      <c r="I119" s="102"/>
      <c r="J119" s="90">
        <f t="shared" si="36"/>
        <v>0</v>
      </c>
      <c r="L119" s="62"/>
      <c r="M119" s="41"/>
      <c r="N119" s="42"/>
      <c r="O119" s="74"/>
      <c r="P119" s="89"/>
      <c r="Q119" s="101"/>
      <c r="R119" s="43"/>
      <c r="S119" s="44"/>
      <c r="T119" s="102"/>
      <c r="U119" s="90">
        <f t="shared" si="37"/>
        <v>0</v>
      </c>
      <c r="W119" s="62"/>
      <c r="X119" s="41"/>
      <c r="Y119" s="42"/>
      <c r="Z119" s="74"/>
      <c r="AA119" s="89"/>
      <c r="AB119" s="101"/>
      <c r="AC119" s="43"/>
      <c r="AD119" s="44"/>
      <c r="AE119" s="102"/>
      <c r="AF119" s="90">
        <f t="shared" si="38"/>
        <v>0</v>
      </c>
      <c r="AH119" s="62"/>
      <c r="AI119" s="41"/>
      <c r="AJ119" s="42"/>
      <c r="AK119" s="74"/>
      <c r="AL119" s="89"/>
      <c r="AM119" s="101"/>
      <c r="AN119" s="43"/>
      <c r="AO119" s="44"/>
      <c r="AP119" s="102"/>
      <c r="AQ119" s="90">
        <f t="shared" si="39"/>
        <v>0</v>
      </c>
    </row>
    <row r="120" spans="1:43" ht="11" thickBot="1" x14ac:dyDescent="0.3">
      <c r="A120" s="63"/>
      <c r="B120" s="64"/>
      <c r="C120" s="65"/>
      <c r="D120" s="75"/>
      <c r="E120" s="96"/>
      <c r="F120" s="103"/>
      <c r="G120" s="66"/>
      <c r="H120" s="67"/>
      <c r="I120" s="83"/>
      <c r="J120" s="98">
        <f>F120*(H120+I120)</f>
        <v>0</v>
      </c>
      <c r="L120" s="63"/>
      <c r="M120" s="64"/>
      <c r="N120" s="65"/>
      <c r="O120" s="75"/>
      <c r="P120" s="96"/>
      <c r="Q120" s="103"/>
      <c r="R120" s="66"/>
      <c r="S120" s="67"/>
      <c r="T120" s="83"/>
      <c r="U120" s="98">
        <f>Q120*(S120+T120)</f>
        <v>0</v>
      </c>
      <c r="W120" s="63"/>
      <c r="X120" s="64"/>
      <c r="Y120" s="65"/>
      <c r="Z120" s="75"/>
      <c r="AA120" s="96"/>
      <c r="AB120" s="103"/>
      <c r="AC120" s="66"/>
      <c r="AD120" s="67"/>
      <c r="AE120" s="83"/>
      <c r="AF120" s="98">
        <f>AB120*(AD120+AE120)</f>
        <v>0</v>
      </c>
      <c r="AH120" s="63"/>
      <c r="AI120" s="64"/>
      <c r="AJ120" s="65"/>
      <c r="AK120" s="75"/>
      <c r="AL120" s="96"/>
      <c r="AM120" s="103"/>
      <c r="AN120" s="66"/>
      <c r="AO120" s="67"/>
      <c r="AP120" s="83"/>
      <c r="AQ120" s="98">
        <f>AM120*(AO120+AP120)</f>
        <v>0</v>
      </c>
    </row>
    <row r="121" spans="1:43" ht="11" thickBot="1" x14ac:dyDescent="0.3">
      <c r="D121" s="45"/>
      <c r="E121" s="45"/>
      <c r="F121" s="45"/>
      <c r="G121" s="45"/>
      <c r="H121" s="82"/>
      <c r="I121" s="45" t="s">
        <v>80</v>
      </c>
      <c r="J121" s="81">
        <f>SUM(J113:J120)</f>
        <v>0</v>
      </c>
      <c r="O121" s="45"/>
      <c r="P121" s="45"/>
      <c r="Q121" s="45"/>
      <c r="R121" s="45"/>
      <c r="S121" s="82"/>
      <c r="T121" s="45" t="s">
        <v>80</v>
      </c>
      <c r="U121" s="81">
        <f>SUM(U113:U120)</f>
        <v>0</v>
      </c>
      <c r="Z121" s="45"/>
      <c r="AA121" s="45"/>
      <c r="AB121" s="45"/>
      <c r="AC121" s="45"/>
      <c r="AD121" s="82"/>
      <c r="AE121" s="45" t="s">
        <v>80</v>
      </c>
      <c r="AF121" s="81">
        <f>SUM(AF113:AF120)</f>
        <v>0</v>
      </c>
      <c r="AK121" s="45"/>
      <c r="AL121" s="45"/>
      <c r="AM121" s="45"/>
      <c r="AN121" s="45"/>
      <c r="AO121" s="82"/>
      <c r="AP121" s="45" t="s">
        <v>80</v>
      </c>
      <c r="AQ121" s="81">
        <f>SUM(AQ113:AQ120)</f>
        <v>0</v>
      </c>
    </row>
    <row r="122" spans="1:43" ht="11" thickBot="1" x14ac:dyDescent="0.3"/>
    <row r="123" spans="1:43" ht="11" thickBot="1" x14ac:dyDescent="0.3">
      <c r="A123" s="68"/>
      <c r="B123" s="69" t="s">
        <v>34</v>
      </c>
      <c r="C123" s="86" t="s">
        <v>63</v>
      </c>
      <c r="D123" s="945">
        <f>'[2]Costing Summary'!C60</f>
        <v>0</v>
      </c>
      <c r="E123" s="945"/>
      <c r="F123" s="945"/>
      <c r="G123" s="945"/>
      <c r="H123" s="945"/>
      <c r="I123" s="945"/>
      <c r="J123" s="946"/>
      <c r="L123" s="68"/>
      <c r="M123" s="69" t="s">
        <v>34</v>
      </c>
      <c r="N123" s="86" t="s">
        <v>65</v>
      </c>
      <c r="O123" s="945">
        <f>'[2]Costing Summary'!C79</f>
        <v>0</v>
      </c>
      <c r="P123" s="945"/>
      <c r="Q123" s="945"/>
      <c r="R123" s="945"/>
      <c r="S123" s="945"/>
      <c r="T123" s="945"/>
      <c r="U123" s="946"/>
      <c r="W123" s="68"/>
      <c r="X123" s="69" t="s">
        <v>34</v>
      </c>
      <c r="Y123" s="86" t="s">
        <v>67</v>
      </c>
      <c r="Z123" s="945" t="e">
        <f>#REF!</f>
        <v>#REF!</v>
      </c>
      <c r="AA123" s="945"/>
      <c r="AB123" s="945"/>
      <c r="AC123" s="945"/>
      <c r="AD123" s="945"/>
      <c r="AE123" s="945"/>
      <c r="AF123" s="946"/>
      <c r="AH123" s="68"/>
      <c r="AI123" s="69" t="s">
        <v>34</v>
      </c>
      <c r="AJ123" s="86" t="s">
        <v>86</v>
      </c>
      <c r="AK123" s="945" t="e">
        <f>#REF!</f>
        <v>#REF!</v>
      </c>
      <c r="AL123" s="945"/>
      <c r="AM123" s="945"/>
      <c r="AN123" s="945"/>
      <c r="AO123" s="945"/>
      <c r="AP123" s="945"/>
      <c r="AQ123" s="946"/>
    </row>
    <row r="124" spans="1:43" ht="11" thickBot="1" x14ac:dyDescent="0.3">
      <c r="A124" s="51" t="s">
        <v>75</v>
      </c>
      <c r="B124" s="52" t="s">
        <v>76</v>
      </c>
      <c r="C124" s="52" t="s">
        <v>77</v>
      </c>
      <c r="D124" s="53" t="s">
        <v>78</v>
      </c>
      <c r="E124" s="47"/>
      <c r="F124" s="54" t="s">
        <v>39</v>
      </c>
      <c r="G124" s="52" t="s">
        <v>40</v>
      </c>
      <c r="H124" s="52" t="s">
        <v>79</v>
      </c>
      <c r="I124" s="55" t="s">
        <v>41</v>
      </c>
      <c r="J124" s="50" t="s">
        <v>80</v>
      </c>
      <c r="L124" s="51" t="s">
        <v>75</v>
      </c>
      <c r="M124" s="52" t="s">
        <v>76</v>
      </c>
      <c r="N124" s="52" t="s">
        <v>77</v>
      </c>
      <c r="O124" s="53" t="s">
        <v>78</v>
      </c>
      <c r="P124" s="47"/>
      <c r="Q124" s="54" t="s">
        <v>39</v>
      </c>
      <c r="R124" s="52" t="s">
        <v>40</v>
      </c>
      <c r="S124" s="52" t="s">
        <v>79</v>
      </c>
      <c r="T124" s="55" t="s">
        <v>41</v>
      </c>
      <c r="U124" s="50" t="s">
        <v>80</v>
      </c>
      <c r="W124" s="51" t="s">
        <v>75</v>
      </c>
      <c r="X124" s="52" t="s">
        <v>76</v>
      </c>
      <c r="Y124" s="52" t="s">
        <v>77</v>
      </c>
      <c r="Z124" s="53" t="s">
        <v>78</v>
      </c>
      <c r="AA124" s="47"/>
      <c r="AB124" s="54" t="s">
        <v>39</v>
      </c>
      <c r="AC124" s="52" t="s">
        <v>40</v>
      </c>
      <c r="AD124" s="52" t="s">
        <v>79</v>
      </c>
      <c r="AE124" s="55" t="s">
        <v>41</v>
      </c>
      <c r="AF124" s="50" t="s">
        <v>80</v>
      </c>
      <c r="AH124" s="51" t="s">
        <v>75</v>
      </c>
      <c r="AI124" s="52" t="s">
        <v>76</v>
      </c>
      <c r="AJ124" s="52" t="s">
        <v>77</v>
      </c>
      <c r="AK124" s="53" t="s">
        <v>78</v>
      </c>
      <c r="AL124" s="47"/>
      <c r="AM124" s="54" t="s">
        <v>39</v>
      </c>
      <c r="AN124" s="52" t="s">
        <v>40</v>
      </c>
      <c r="AO124" s="52" t="s">
        <v>79</v>
      </c>
      <c r="AP124" s="55" t="s">
        <v>41</v>
      </c>
      <c r="AQ124" s="50" t="s">
        <v>80</v>
      </c>
    </row>
    <row r="125" spans="1:43" x14ac:dyDescent="0.25">
      <c r="A125" s="56"/>
      <c r="B125" s="57"/>
      <c r="C125" s="58"/>
      <c r="D125" s="72"/>
      <c r="E125" s="59"/>
      <c r="F125" s="60"/>
      <c r="G125" s="60"/>
      <c r="H125" s="61"/>
      <c r="I125" s="76"/>
      <c r="J125" s="78">
        <f>F125*(H125+I125)</f>
        <v>0</v>
      </c>
      <c r="L125" s="56"/>
      <c r="M125" s="57"/>
      <c r="N125" s="58"/>
      <c r="O125" s="72"/>
      <c r="P125" s="59"/>
      <c r="Q125" s="60"/>
      <c r="R125" s="60"/>
      <c r="S125" s="61"/>
      <c r="T125" s="76"/>
      <c r="U125" s="78">
        <f>Q125*(S125+T125)</f>
        <v>0</v>
      </c>
      <c r="W125" s="56"/>
      <c r="X125" s="57"/>
      <c r="Y125" s="58"/>
      <c r="Z125" s="72"/>
      <c r="AA125" s="59"/>
      <c r="AB125" s="60"/>
      <c r="AC125" s="60"/>
      <c r="AD125" s="61"/>
      <c r="AE125" s="76"/>
      <c r="AF125" s="78">
        <f>AB125*(AD125+AE125)</f>
        <v>0</v>
      </c>
      <c r="AH125" s="56"/>
      <c r="AI125" s="57"/>
      <c r="AJ125" s="58"/>
      <c r="AK125" s="72"/>
      <c r="AL125" s="59"/>
      <c r="AM125" s="60"/>
      <c r="AN125" s="60"/>
      <c r="AO125" s="61"/>
      <c r="AP125" s="76"/>
      <c r="AQ125" s="78">
        <f>AM125*(AO125+AP125)</f>
        <v>0</v>
      </c>
    </row>
    <row r="126" spans="1:43" x14ac:dyDescent="0.25">
      <c r="A126" s="73"/>
      <c r="B126" s="41"/>
      <c r="C126" s="42"/>
      <c r="D126" s="74"/>
      <c r="E126" s="48"/>
      <c r="F126" s="43"/>
      <c r="G126" s="43"/>
      <c r="H126" s="44"/>
      <c r="I126" s="77"/>
      <c r="J126" s="79">
        <f t="shared" ref="J126:J131" si="40">F126*(H126+I126)</f>
        <v>0</v>
      </c>
      <c r="L126" s="73"/>
      <c r="M126" s="41"/>
      <c r="N126" s="42"/>
      <c r="O126" s="74"/>
      <c r="P126" s="48"/>
      <c r="Q126" s="43"/>
      <c r="R126" s="43"/>
      <c r="S126" s="44"/>
      <c r="T126" s="77"/>
      <c r="U126" s="79">
        <f t="shared" ref="U126:U131" si="41">Q126*(S126+T126)</f>
        <v>0</v>
      </c>
      <c r="W126" s="73"/>
      <c r="X126" s="41"/>
      <c r="Y126" s="42"/>
      <c r="Z126" s="74"/>
      <c r="AA126" s="48"/>
      <c r="AB126" s="43"/>
      <c r="AC126" s="43"/>
      <c r="AD126" s="44"/>
      <c r="AE126" s="77"/>
      <c r="AF126" s="79">
        <f t="shared" ref="AF126:AF131" si="42">AB126*(AD126+AE126)</f>
        <v>0</v>
      </c>
      <c r="AH126" s="73"/>
      <c r="AI126" s="41"/>
      <c r="AJ126" s="42"/>
      <c r="AK126" s="74"/>
      <c r="AL126" s="48"/>
      <c r="AM126" s="43"/>
      <c r="AN126" s="43"/>
      <c r="AO126" s="44"/>
      <c r="AP126" s="77"/>
      <c r="AQ126" s="79">
        <f t="shared" ref="AQ126:AQ131" si="43">AM126*(AO126+AP126)</f>
        <v>0</v>
      </c>
    </row>
    <row r="127" spans="1:43" x14ac:dyDescent="0.25">
      <c r="A127" s="62"/>
      <c r="B127" s="41"/>
      <c r="C127" s="42"/>
      <c r="D127" s="74"/>
      <c r="E127" s="48"/>
      <c r="F127" s="43"/>
      <c r="G127" s="43"/>
      <c r="H127" s="44"/>
      <c r="I127" s="77"/>
      <c r="J127" s="79">
        <f t="shared" si="40"/>
        <v>0</v>
      </c>
      <c r="L127" s="62"/>
      <c r="M127" s="41"/>
      <c r="N127" s="42"/>
      <c r="O127" s="74"/>
      <c r="P127" s="48"/>
      <c r="Q127" s="43"/>
      <c r="R127" s="43"/>
      <c r="S127" s="44"/>
      <c r="T127" s="77"/>
      <c r="U127" s="79">
        <f t="shared" si="41"/>
        <v>0</v>
      </c>
      <c r="W127" s="62"/>
      <c r="X127" s="41"/>
      <c r="Y127" s="42"/>
      <c r="Z127" s="74"/>
      <c r="AA127" s="48"/>
      <c r="AB127" s="43"/>
      <c r="AC127" s="43"/>
      <c r="AD127" s="44"/>
      <c r="AE127" s="77"/>
      <c r="AF127" s="79">
        <f t="shared" si="42"/>
        <v>0</v>
      </c>
      <c r="AH127" s="62"/>
      <c r="AI127" s="41"/>
      <c r="AJ127" s="42"/>
      <c r="AK127" s="74"/>
      <c r="AL127" s="48"/>
      <c r="AM127" s="43"/>
      <c r="AN127" s="43"/>
      <c r="AO127" s="44"/>
      <c r="AP127" s="77"/>
      <c r="AQ127" s="79">
        <f t="shared" si="43"/>
        <v>0</v>
      </c>
    </row>
    <row r="128" spans="1:43" x14ac:dyDescent="0.25">
      <c r="A128" s="62"/>
      <c r="B128" s="41"/>
      <c r="C128" s="42"/>
      <c r="D128" s="74"/>
      <c r="E128" s="48"/>
      <c r="F128" s="43"/>
      <c r="G128" s="43"/>
      <c r="H128" s="44"/>
      <c r="I128" s="77"/>
      <c r="J128" s="79">
        <f t="shared" si="40"/>
        <v>0</v>
      </c>
      <c r="L128" s="62"/>
      <c r="M128" s="41"/>
      <c r="N128" s="42"/>
      <c r="O128" s="74"/>
      <c r="P128" s="48"/>
      <c r="Q128" s="43"/>
      <c r="R128" s="43"/>
      <c r="S128" s="44"/>
      <c r="T128" s="77"/>
      <c r="U128" s="79">
        <f t="shared" si="41"/>
        <v>0</v>
      </c>
      <c r="W128" s="62"/>
      <c r="X128" s="41"/>
      <c r="Y128" s="42"/>
      <c r="Z128" s="74"/>
      <c r="AA128" s="48"/>
      <c r="AB128" s="43"/>
      <c r="AC128" s="43"/>
      <c r="AD128" s="44"/>
      <c r="AE128" s="77"/>
      <c r="AF128" s="79">
        <f t="shared" si="42"/>
        <v>0</v>
      </c>
      <c r="AH128" s="62"/>
      <c r="AI128" s="41"/>
      <c r="AJ128" s="42"/>
      <c r="AK128" s="74"/>
      <c r="AL128" s="48"/>
      <c r="AM128" s="43"/>
      <c r="AN128" s="43"/>
      <c r="AO128" s="44"/>
      <c r="AP128" s="77"/>
      <c r="AQ128" s="79">
        <f t="shared" si="43"/>
        <v>0</v>
      </c>
    </row>
    <row r="129" spans="1:43" x14ac:dyDescent="0.25">
      <c r="A129" s="62"/>
      <c r="B129" s="41"/>
      <c r="C129" s="42"/>
      <c r="D129" s="74"/>
      <c r="E129" s="48"/>
      <c r="F129" s="43"/>
      <c r="G129" s="43"/>
      <c r="H129" s="44"/>
      <c r="I129" s="77"/>
      <c r="J129" s="79">
        <f t="shared" si="40"/>
        <v>0</v>
      </c>
      <c r="L129" s="62"/>
      <c r="M129" s="41"/>
      <c r="N129" s="42"/>
      <c r="O129" s="74"/>
      <c r="P129" s="48"/>
      <c r="Q129" s="43"/>
      <c r="R129" s="43"/>
      <c r="S129" s="44"/>
      <c r="T129" s="77"/>
      <c r="U129" s="79">
        <f t="shared" si="41"/>
        <v>0</v>
      </c>
      <c r="W129" s="62"/>
      <c r="X129" s="41"/>
      <c r="Y129" s="42"/>
      <c r="Z129" s="74"/>
      <c r="AA129" s="48"/>
      <c r="AB129" s="43"/>
      <c r="AC129" s="43"/>
      <c r="AD129" s="44"/>
      <c r="AE129" s="77"/>
      <c r="AF129" s="79">
        <f t="shared" si="42"/>
        <v>0</v>
      </c>
      <c r="AH129" s="62"/>
      <c r="AI129" s="41"/>
      <c r="AJ129" s="42"/>
      <c r="AK129" s="74"/>
      <c r="AL129" s="48"/>
      <c r="AM129" s="43"/>
      <c r="AN129" s="43"/>
      <c r="AO129" s="44"/>
      <c r="AP129" s="77"/>
      <c r="AQ129" s="79">
        <f t="shared" si="43"/>
        <v>0</v>
      </c>
    </row>
    <row r="130" spans="1:43" x14ac:dyDescent="0.25">
      <c r="A130" s="62"/>
      <c r="B130" s="41"/>
      <c r="C130" s="42"/>
      <c r="D130" s="74"/>
      <c r="E130" s="48"/>
      <c r="F130" s="43"/>
      <c r="G130" s="43"/>
      <c r="H130" s="44"/>
      <c r="I130" s="77"/>
      <c r="J130" s="79">
        <f t="shared" si="40"/>
        <v>0</v>
      </c>
      <c r="L130" s="62"/>
      <c r="M130" s="41"/>
      <c r="N130" s="42"/>
      <c r="O130" s="74"/>
      <c r="P130" s="48"/>
      <c r="Q130" s="43"/>
      <c r="R130" s="43"/>
      <c r="S130" s="44"/>
      <c r="T130" s="77"/>
      <c r="U130" s="79">
        <f t="shared" si="41"/>
        <v>0</v>
      </c>
      <c r="W130" s="62"/>
      <c r="X130" s="41"/>
      <c r="Y130" s="42"/>
      <c r="Z130" s="74"/>
      <c r="AA130" s="48"/>
      <c r="AB130" s="43"/>
      <c r="AC130" s="43"/>
      <c r="AD130" s="44"/>
      <c r="AE130" s="77"/>
      <c r="AF130" s="79">
        <f t="shared" si="42"/>
        <v>0</v>
      </c>
      <c r="AH130" s="62"/>
      <c r="AI130" s="41"/>
      <c r="AJ130" s="42"/>
      <c r="AK130" s="74"/>
      <c r="AL130" s="48"/>
      <c r="AM130" s="43"/>
      <c r="AN130" s="43"/>
      <c r="AO130" s="44"/>
      <c r="AP130" s="77"/>
      <c r="AQ130" s="79">
        <f t="shared" si="43"/>
        <v>0</v>
      </c>
    </row>
    <row r="131" spans="1:43" x14ac:dyDescent="0.25">
      <c r="A131" s="62"/>
      <c r="B131" s="41"/>
      <c r="C131" s="42"/>
      <c r="D131" s="74"/>
      <c r="E131" s="48"/>
      <c r="F131" s="43"/>
      <c r="G131" s="43"/>
      <c r="H131" s="44"/>
      <c r="I131" s="77"/>
      <c r="J131" s="79">
        <f t="shared" si="40"/>
        <v>0</v>
      </c>
      <c r="L131" s="62"/>
      <c r="M131" s="41"/>
      <c r="N131" s="42"/>
      <c r="O131" s="74"/>
      <c r="P131" s="48"/>
      <c r="Q131" s="43"/>
      <c r="R131" s="43"/>
      <c r="S131" s="44"/>
      <c r="T131" s="77"/>
      <c r="U131" s="79">
        <f t="shared" si="41"/>
        <v>0</v>
      </c>
      <c r="W131" s="62"/>
      <c r="X131" s="41"/>
      <c r="Y131" s="42"/>
      <c r="Z131" s="74"/>
      <c r="AA131" s="48"/>
      <c r="AB131" s="43"/>
      <c r="AC131" s="43"/>
      <c r="AD131" s="44"/>
      <c r="AE131" s="77"/>
      <c r="AF131" s="79">
        <f t="shared" si="42"/>
        <v>0</v>
      </c>
      <c r="AH131" s="62"/>
      <c r="AI131" s="41"/>
      <c r="AJ131" s="42"/>
      <c r="AK131" s="74"/>
      <c r="AL131" s="48"/>
      <c r="AM131" s="43"/>
      <c r="AN131" s="43"/>
      <c r="AO131" s="44"/>
      <c r="AP131" s="77"/>
      <c r="AQ131" s="79">
        <f t="shared" si="43"/>
        <v>0</v>
      </c>
    </row>
    <row r="132" spans="1:43" ht="11" thickBot="1" x14ac:dyDescent="0.3">
      <c r="A132" s="63"/>
      <c r="B132" s="64"/>
      <c r="C132" s="65"/>
      <c r="D132" s="75"/>
      <c r="E132" s="49"/>
      <c r="F132" s="66"/>
      <c r="G132" s="66"/>
      <c r="H132" s="67"/>
      <c r="I132" s="83"/>
      <c r="J132" s="80">
        <f>F132*(H132+I132)</f>
        <v>0</v>
      </c>
      <c r="L132" s="63"/>
      <c r="M132" s="64"/>
      <c r="N132" s="65"/>
      <c r="O132" s="75"/>
      <c r="P132" s="49"/>
      <c r="Q132" s="66"/>
      <c r="R132" s="66"/>
      <c r="S132" s="67"/>
      <c r="T132" s="83"/>
      <c r="U132" s="80">
        <f>Q132*(S132+T132)</f>
        <v>0</v>
      </c>
      <c r="W132" s="63"/>
      <c r="X132" s="64"/>
      <c r="Y132" s="65"/>
      <c r="Z132" s="75"/>
      <c r="AA132" s="49"/>
      <c r="AB132" s="66"/>
      <c r="AC132" s="66"/>
      <c r="AD132" s="67"/>
      <c r="AE132" s="83"/>
      <c r="AF132" s="80">
        <f>AB132*(AD132+AE132)</f>
        <v>0</v>
      </c>
      <c r="AH132" s="63"/>
      <c r="AI132" s="64"/>
      <c r="AJ132" s="65"/>
      <c r="AK132" s="75"/>
      <c r="AL132" s="49"/>
      <c r="AM132" s="66"/>
      <c r="AN132" s="66"/>
      <c r="AO132" s="67"/>
      <c r="AP132" s="83"/>
      <c r="AQ132" s="80">
        <f>AM132*(AO132+AP132)</f>
        <v>0</v>
      </c>
    </row>
    <row r="133" spans="1:43" ht="11" thickBot="1" x14ac:dyDescent="0.3">
      <c r="D133" s="45"/>
      <c r="E133" s="45"/>
      <c r="F133" s="45"/>
      <c r="G133" s="45"/>
      <c r="H133" s="82"/>
      <c r="I133" s="45" t="s">
        <v>80</v>
      </c>
      <c r="J133" s="81">
        <f>SUM(J125:J132)</f>
        <v>0</v>
      </c>
      <c r="O133" s="45"/>
      <c r="P133" s="45"/>
      <c r="Q133" s="45"/>
      <c r="R133" s="45"/>
      <c r="S133" s="82"/>
      <c r="T133" s="45" t="s">
        <v>80</v>
      </c>
      <c r="U133" s="81">
        <f>SUM(U125:U132)</f>
        <v>0</v>
      </c>
      <c r="Z133" s="45"/>
      <c r="AA133" s="45"/>
      <c r="AB133" s="45"/>
      <c r="AC133" s="45"/>
      <c r="AD133" s="82"/>
      <c r="AE133" s="45" t="s">
        <v>80</v>
      </c>
      <c r="AF133" s="81">
        <f>SUM(AF125:AF132)</f>
        <v>0</v>
      </c>
      <c r="AK133" s="45"/>
      <c r="AL133" s="45"/>
      <c r="AM133" s="45"/>
      <c r="AN133" s="45"/>
      <c r="AO133" s="82"/>
      <c r="AP133" s="45" t="s">
        <v>80</v>
      </c>
      <c r="AQ133" s="81">
        <f>SUM(AQ125:AQ132)</f>
        <v>0</v>
      </c>
    </row>
    <row r="134" spans="1:43" ht="11" thickBot="1" x14ac:dyDescent="0.3"/>
    <row r="135" spans="1:43" ht="11" thickBot="1" x14ac:dyDescent="0.3">
      <c r="A135" s="68"/>
      <c r="B135" s="69" t="s">
        <v>34</v>
      </c>
      <c r="C135" s="86" t="s">
        <v>64</v>
      </c>
      <c r="D135" s="945">
        <f>'[2]Costing Summary'!C61</f>
        <v>0</v>
      </c>
      <c r="E135" s="945"/>
      <c r="F135" s="945"/>
      <c r="G135" s="945"/>
      <c r="H135" s="945"/>
      <c r="I135" s="945"/>
      <c r="J135" s="946"/>
      <c r="L135" s="68"/>
      <c r="M135" s="69" t="s">
        <v>34</v>
      </c>
      <c r="N135" s="86" t="s">
        <v>66</v>
      </c>
      <c r="O135" s="945">
        <f>'[2]Costing Summary'!C80</f>
        <v>0</v>
      </c>
      <c r="P135" s="945"/>
      <c r="Q135" s="945"/>
      <c r="R135" s="945"/>
      <c r="S135" s="945"/>
      <c r="T135" s="945"/>
      <c r="U135" s="946"/>
      <c r="W135" s="68"/>
      <c r="X135" s="69" t="s">
        <v>34</v>
      </c>
      <c r="Y135" s="86" t="s">
        <v>68</v>
      </c>
      <c r="Z135" s="945" t="e">
        <f>#REF!</f>
        <v>#REF!</v>
      </c>
      <c r="AA135" s="945"/>
      <c r="AB135" s="945"/>
      <c r="AC135" s="945"/>
      <c r="AD135" s="945"/>
      <c r="AE135" s="945"/>
      <c r="AF135" s="946"/>
      <c r="AH135" s="68"/>
      <c r="AI135" s="69" t="s">
        <v>34</v>
      </c>
      <c r="AJ135" s="86" t="s">
        <v>87</v>
      </c>
      <c r="AK135" s="945" t="e">
        <f>#REF!</f>
        <v>#REF!</v>
      </c>
      <c r="AL135" s="945"/>
      <c r="AM135" s="945"/>
      <c r="AN135" s="945"/>
      <c r="AO135" s="945"/>
      <c r="AP135" s="945"/>
      <c r="AQ135" s="946"/>
    </row>
    <row r="136" spans="1:43" ht="11" thickBot="1" x14ac:dyDescent="0.3">
      <c r="A136" s="51" t="s">
        <v>75</v>
      </c>
      <c r="B136" s="52" t="s">
        <v>76</v>
      </c>
      <c r="C136" s="52" t="s">
        <v>77</v>
      </c>
      <c r="D136" s="53" t="s">
        <v>78</v>
      </c>
      <c r="E136" s="47"/>
      <c r="F136" s="54" t="s">
        <v>39</v>
      </c>
      <c r="G136" s="52" t="s">
        <v>40</v>
      </c>
      <c r="H136" s="52" t="s">
        <v>79</v>
      </c>
      <c r="I136" s="55" t="s">
        <v>41</v>
      </c>
      <c r="J136" s="50" t="s">
        <v>80</v>
      </c>
      <c r="L136" s="51" t="s">
        <v>75</v>
      </c>
      <c r="M136" s="52" t="s">
        <v>76</v>
      </c>
      <c r="N136" s="52" t="s">
        <v>77</v>
      </c>
      <c r="O136" s="53" t="s">
        <v>78</v>
      </c>
      <c r="P136" s="47"/>
      <c r="Q136" s="54" t="s">
        <v>39</v>
      </c>
      <c r="R136" s="52" t="s">
        <v>40</v>
      </c>
      <c r="S136" s="52" t="s">
        <v>79</v>
      </c>
      <c r="T136" s="55" t="s">
        <v>41</v>
      </c>
      <c r="U136" s="50" t="s">
        <v>80</v>
      </c>
      <c r="W136" s="51" t="s">
        <v>75</v>
      </c>
      <c r="X136" s="52" t="s">
        <v>76</v>
      </c>
      <c r="Y136" s="52" t="s">
        <v>77</v>
      </c>
      <c r="Z136" s="53" t="s">
        <v>78</v>
      </c>
      <c r="AA136" s="47"/>
      <c r="AB136" s="54" t="s">
        <v>39</v>
      </c>
      <c r="AC136" s="52" t="s">
        <v>40</v>
      </c>
      <c r="AD136" s="52" t="s">
        <v>79</v>
      </c>
      <c r="AE136" s="55" t="s">
        <v>41</v>
      </c>
      <c r="AF136" s="50" t="s">
        <v>80</v>
      </c>
      <c r="AH136" s="51" t="s">
        <v>75</v>
      </c>
      <c r="AI136" s="52" t="s">
        <v>76</v>
      </c>
      <c r="AJ136" s="52" t="s">
        <v>77</v>
      </c>
      <c r="AK136" s="53" t="s">
        <v>78</v>
      </c>
      <c r="AL136" s="47"/>
      <c r="AM136" s="54" t="s">
        <v>39</v>
      </c>
      <c r="AN136" s="52" t="s">
        <v>40</v>
      </c>
      <c r="AO136" s="52" t="s">
        <v>79</v>
      </c>
      <c r="AP136" s="55" t="s">
        <v>41</v>
      </c>
      <c r="AQ136" s="50" t="s">
        <v>80</v>
      </c>
    </row>
    <row r="137" spans="1:43" x14ac:dyDescent="0.25">
      <c r="A137" s="56"/>
      <c r="B137" s="57"/>
      <c r="C137" s="58"/>
      <c r="D137" s="72"/>
      <c r="E137" s="59"/>
      <c r="F137" s="60"/>
      <c r="G137" s="60"/>
      <c r="H137" s="61"/>
      <c r="I137" s="76"/>
      <c r="J137" s="78">
        <f>F137*(H137+I137)</f>
        <v>0</v>
      </c>
      <c r="L137" s="56"/>
      <c r="M137" s="57"/>
      <c r="N137" s="58"/>
      <c r="O137" s="72"/>
      <c r="P137" s="59"/>
      <c r="Q137" s="60"/>
      <c r="R137" s="60"/>
      <c r="S137" s="61"/>
      <c r="T137" s="76"/>
      <c r="U137" s="78">
        <f>Q137*(S137+T137)</f>
        <v>0</v>
      </c>
      <c r="W137" s="56"/>
      <c r="X137" s="57"/>
      <c r="Y137" s="58"/>
      <c r="Z137" s="72"/>
      <c r="AA137" s="59"/>
      <c r="AB137" s="60"/>
      <c r="AC137" s="60"/>
      <c r="AD137" s="61"/>
      <c r="AE137" s="76"/>
      <c r="AF137" s="78">
        <f>AB137*(AD137+AE137)</f>
        <v>0</v>
      </c>
      <c r="AH137" s="56"/>
      <c r="AI137" s="57"/>
      <c r="AJ137" s="58"/>
      <c r="AK137" s="72"/>
      <c r="AL137" s="59"/>
      <c r="AM137" s="60"/>
      <c r="AN137" s="60"/>
      <c r="AO137" s="61"/>
      <c r="AP137" s="76"/>
      <c r="AQ137" s="78">
        <f>AM137*(AO137+AP137)</f>
        <v>0</v>
      </c>
    </row>
    <row r="138" spans="1:43" x14ac:dyDescent="0.25">
      <c r="A138" s="73"/>
      <c r="B138" s="41"/>
      <c r="C138" s="42"/>
      <c r="D138" s="74"/>
      <c r="E138" s="48"/>
      <c r="F138" s="43"/>
      <c r="G138" s="43"/>
      <c r="H138" s="44"/>
      <c r="I138" s="77"/>
      <c r="J138" s="79">
        <f t="shared" ref="J138:J143" si="44">F138*(H138+I138)</f>
        <v>0</v>
      </c>
      <c r="L138" s="73"/>
      <c r="M138" s="41"/>
      <c r="N138" s="42"/>
      <c r="O138" s="74"/>
      <c r="P138" s="48"/>
      <c r="Q138" s="43"/>
      <c r="R138" s="43"/>
      <c r="S138" s="44"/>
      <c r="T138" s="77"/>
      <c r="U138" s="79">
        <f t="shared" ref="U138:U143" si="45">Q138*(S138+T138)</f>
        <v>0</v>
      </c>
      <c r="W138" s="73"/>
      <c r="X138" s="41"/>
      <c r="Y138" s="42"/>
      <c r="Z138" s="74"/>
      <c r="AA138" s="48"/>
      <c r="AB138" s="43"/>
      <c r="AC138" s="43"/>
      <c r="AD138" s="44"/>
      <c r="AE138" s="77"/>
      <c r="AF138" s="79">
        <f t="shared" ref="AF138:AF143" si="46">AB138*(AD138+AE138)</f>
        <v>0</v>
      </c>
      <c r="AH138" s="73"/>
      <c r="AI138" s="41"/>
      <c r="AJ138" s="42"/>
      <c r="AK138" s="74"/>
      <c r="AL138" s="48"/>
      <c r="AM138" s="43"/>
      <c r="AN138" s="43"/>
      <c r="AO138" s="44"/>
      <c r="AP138" s="77"/>
      <c r="AQ138" s="79">
        <f t="shared" ref="AQ138:AQ143" si="47">AM138*(AO138+AP138)</f>
        <v>0</v>
      </c>
    </row>
    <row r="139" spans="1:43" x14ac:dyDescent="0.25">
      <c r="A139" s="62"/>
      <c r="B139" s="41"/>
      <c r="C139" s="42"/>
      <c r="D139" s="74"/>
      <c r="E139" s="48"/>
      <c r="F139" s="43"/>
      <c r="G139" s="43"/>
      <c r="H139" s="44"/>
      <c r="I139" s="77"/>
      <c r="J139" s="79">
        <f t="shared" si="44"/>
        <v>0</v>
      </c>
      <c r="L139" s="62"/>
      <c r="M139" s="41"/>
      <c r="N139" s="42"/>
      <c r="O139" s="74"/>
      <c r="P139" s="48"/>
      <c r="Q139" s="43"/>
      <c r="R139" s="43"/>
      <c r="S139" s="44"/>
      <c r="T139" s="77"/>
      <c r="U139" s="79">
        <f t="shared" si="45"/>
        <v>0</v>
      </c>
      <c r="W139" s="62"/>
      <c r="X139" s="41"/>
      <c r="Y139" s="42"/>
      <c r="Z139" s="74"/>
      <c r="AA139" s="48"/>
      <c r="AB139" s="43"/>
      <c r="AC139" s="43"/>
      <c r="AD139" s="44"/>
      <c r="AE139" s="77"/>
      <c r="AF139" s="79">
        <f t="shared" si="46"/>
        <v>0</v>
      </c>
      <c r="AH139" s="62"/>
      <c r="AI139" s="41"/>
      <c r="AJ139" s="42"/>
      <c r="AK139" s="74"/>
      <c r="AL139" s="48"/>
      <c r="AM139" s="43"/>
      <c r="AN139" s="43"/>
      <c r="AO139" s="44"/>
      <c r="AP139" s="77"/>
      <c r="AQ139" s="79">
        <f t="shared" si="47"/>
        <v>0</v>
      </c>
    </row>
    <row r="140" spans="1:43" x14ac:dyDescent="0.25">
      <c r="A140" s="62"/>
      <c r="B140" s="41"/>
      <c r="C140" s="42"/>
      <c r="D140" s="74"/>
      <c r="E140" s="48"/>
      <c r="F140" s="43"/>
      <c r="G140" s="43"/>
      <c r="H140" s="44"/>
      <c r="I140" s="77"/>
      <c r="J140" s="79">
        <f t="shared" si="44"/>
        <v>0</v>
      </c>
      <c r="L140" s="62"/>
      <c r="M140" s="41"/>
      <c r="N140" s="42"/>
      <c r="O140" s="74"/>
      <c r="P140" s="48"/>
      <c r="Q140" s="43"/>
      <c r="R140" s="43"/>
      <c r="S140" s="44"/>
      <c r="T140" s="77"/>
      <c r="U140" s="79">
        <f t="shared" si="45"/>
        <v>0</v>
      </c>
      <c r="W140" s="62"/>
      <c r="X140" s="41"/>
      <c r="Y140" s="42"/>
      <c r="Z140" s="74"/>
      <c r="AA140" s="48"/>
      <c r="AB140" s="43"/>
      <c r="AC140" s="43"/>
      <c r="AD140" s="44"/>
      <c r="AE140" s="77"/>
      <c r="AF140" s="79">
        <f t="shared" si="46"/>
        <v>0</v>
      </c>
      <c r="AH140" s="62"/>
      <c r="AI140" s="41"/>
      <c r="AJ140" s="42"/>
      <c r="AK140" s="74"/>
      <c r="AL140" s="48"/>
      <c r="AM140" s="43"/>
      <c r="AN140" s="43"/>
      <c r="AO140" s="44"/>
      <c r="AP140" s="77"/>
      <c r="AQ140" s="79">
        <f t="shared" si="47"/>
        <v>0</v>
      </c>
    </row>
    <row r="141" spans="1:43" x14ac:dyDescent="0.25">
      <c r="A141" s="62"/>
      <c r="B141" s="41"/>
      <c r="C141" s="42"/>
      <c r="D141" s="74"/>
      <c r="E141" s="48"/>
      <c r="F141" s="43"/>
      <c r="G141" s="43"/>
      <c r="H141" s="44"/>
      <c r="I141" s="77"/>
      <c r="J141" s="79">
        <f t="shared" si="44"/>
        <v>0</v>
      </c>
      <c r="L141" s="62"/>
      <c r="M141" s="41"/>
      <c r="N141" s="42"/>
      <c r="O141" s="74"/>
      <c r="P141" s="48"/>
      <c r="Q141" s="43"/>
      <c r="R141" s="43"/>
      <c r="S141" s="44"/>
      <c r="T141" s="77"/>
      <c r="U141" s="79">
        <f t="shared" si="45"/>
        <v>0</v>
      </c>
      <c r="W141" s="62"/>
      <c r="X141" s="41"/>
      <c r="Y141" s="42"/>
      <c r="Z141" s="74"/>
      <c r="AA141" s="48"/>
      <c r="AB141" s="43"/>
      <c r="AC141" s="43"/>
      <c r="AD141" s="44"/>
      <c r="AE141" s="77"/>
      <c r="AF141" s="79">
        <f t="shared" si="46"/>
        <v>0</v>
      </c>
      <c r="AH141" s="62"/>
      <c r="AI141" s="41"/>
      <c r="AJ141" s="42"/>
      <c r="AK141" s="74"/>
      <c r="AL141" s="48"/>
      <c r="AM141" s="43"/>
      <c r="AN141" s="43"/>
      <c r="AO141" s="44"/>
      <c r="AP141" s="77"/>
      <c r="AQ141" s="79">
        <f t="shared" si="47"/>
        <v>0</v>
      </c>
    </row>
    <row r="142" spans="1:43" x14ac:dyDescent="0.25">
      <c r="A142" s="62"/>
      <c r="B142" s="41"/>
      <c r="C142" s="42"/>
      <c r="D142" s="74"/>
      <c r="E142" s="48"/>
      <c r="F142" s="43"/>
      <c r="G142" s="43"/>
      <c r="H142" s="44"/>
      <c r="I142" s="77"/>
      <c r="J142" s="79">
        <f t="shared" si="44"/>
        <v>0</v>
      </c>
      <c r="L142" s="62"/>
      <c r="M142" s="41"/>
      <c r="N142" s="42"/>
      <c r="O142" s="74"/>
      <c r="P142" s="48"/>
      <c r="Q142" s="43"/>
      <c r="R142" s="43"/>
      <c r="S142" s="44"/>
      <c r="T142" s="77"/>
      <c r="U142" s="79">
        <f t="shared" si="45"/>
        <v>0</v>
      </c>
      <c r="W142" s="62"/>
      <c r="X142" s="41"/>
      <c r="Y142" s="42"/>
      <c r="Z142" s="74"/>
      <c r="AA142" s="48"/>
      <c r="AB142" s="43"/>
      <c r="AC142" s="43"/>
      <c r="AD142" s="44"/>
      <c r="AE142" s="77"/>
      <c r="AF142" s="79">
        <f t="shared" si="46"/>
        <v>0</v>
      </c>
      <c r="AH142" s="62"/>
      <c r="AI142" s="41"/>
      <c r="AJ142" s="42"/>
      <c r="AK142" s="74"/>
      <c r="AL142" s="48"/>
      <c r="AM142" s="43"/>
      <c r="AN142" s="43"/>
      <c r="AO142" s="44"/>
      <c r="AP142" s="77"/>
      <c r="AQ142" s="79">
        <f t="shared" si="47"/>
        <v>0</v>
      </c>
    </row>
    <row r="143" spans="1:43" x14ac:dyDescent="0.25">
      <c r="A143" s="62"/>
      <c r="B143" s="41"/>
      <c r="C143" s="42"/>
      <c r="D143" s="74"/>
      <c r="E143" s="48"/>
      <c r="F143" s="43"/>
      <c r="G143" s="43"/>
      <c r="H143" s="44"/>
      <c r="I143" s="77"/>
      <c r="J143" s="79">
        <f t="shared" si="44"/>
        <v>0</v>
      </c>
      <c r="L143" s="62"/>
      <c r="M143" s="41"/>
      <c r="N143" s="42"/>
      <c r="O143" s="74"/>
      <c r="P143" s="48"/>
      <c r="Q143" s="43"/>
      <c r="R143" s="43"/>
      <c r="S143" s="44"/>
      <c r="T143" s="77"/>
      <c r="U143" s="79">
        <f t="shared" si="45"/>
        <v>0</v>
      </c>
      <c r="W143" s="62"/>
      <c r="X143" s="41"/>
      <c r="Y143" s="42"/>
      <c r="Z143" s="74"/>
      <c r="AA143" s="48"/>
      <c r="AB143" s="43"/>
      <c r="AC143" s="43"/>
      <c r="AD143" s="44"/>
      <c r="AE143" s="77"/>
      <c r="AF143" s="79">
        <f t="shared" si="46"/>
        <v>0</v>
      </c>
      <c r="AH143" s="62"/>
      <c r="AI143" s="41"/>
      <c r="AJ143" s="42"/>
      <c r="AK143" s="74"/>
      <c r="AL143" s="48"/>
      <c r="AM143" s="43"/>
      <c r="AN143" s="43"/>
      <c r="AO143" s="44"/>
      <c r="AP143" s="77"/>
      <c r="AQ143" s="79">
        <f t="shared" si="47"/>
        <v>0</v>
      </c>
    </row>
    <row r="144" spans="1:43" ht="11" thickBot="1" x14ac:dyDescent="0.3">
      <c r="A144" s="63"/>
      <c r="B144" s="64"/>
      <c r="C144" s="65"/>
      <c r="D144" s="75"/>
      <c r="E144" s="49"/>
      <c r="F144" s="66"/>
      <c r="G144" s="66"/>
      <c r="H144" s="67"/>
      <c r="I144" s="83"/>
      <c r="J144" s="80">
        <f>F144*(H144+I144)</f>
        <v>0</v>
      </c>
      <c r="L144" s="63"/>
      <c r="M144" s="64"/>
      <c r="N144" s="65"/>
      <c r="O144" s="75"/>
      <c r="P144" s="49"/>
      <c r="Q144" s="66"/>
      <c r="R144" s="66"/>
      <c r="S144" s="67"/>
      <c r="T144" s="83"/>
      <c r="U144" s="80">
        <f>Q144*(S144+T144)</f>
        <v>0</v>
      </c>
      <c r="W144" s="63"/>
      <c r="X144" s="64"/>
      <c r="Y144" s="65"/>
      <c r="Z144" s="75"/>
      <c r="AA144" s="49"/>
      <c r="AB144" s="66"/>
      <c r="AC144" s="66"/>
      <c r="AD144" s="67"/>
      <c r="AE144" s="83"/>
      <c r="AF144" s="80">
        <f>AB144*(AD144+AE144)</f>
        <v>0</v>
      </c>
      <c r="AH144" s="63"/>
      <c r="AI144" s="64"/>
      <c r="AJ144" s="65"/>
      <c r="AK144" s="75"/>
      <c r="AL144" s="49"/>
      <c r="AM144" s="66"/>
      <c r="AN144" s="66"/>
      <c r="AO144" s="67"/>
      <c r="AP144" s="83"/>
      <c r="AQ144" s="80">
        <f>AM144*(AO144+AP144)</f>
        <v>0</v>
      </c>
    </row>
    <row r="145" spans="4:43" ht="11" thickBot="1" x14ac:dyDescent="0.3">
      <c r="D145" s="45"/>
      <c r="E145" s="45"/>
      <c r="F145" s="45"/>
      <c r="G145" s="45"/>
      <c r="H145" s="82"/>
      <c r="I145" s="45" t="s">
        <v>80</v>
      </c>
      <c r="J145" s="81">
        <f>SUM(J137:J144)</f>
        <v>0</v>
      </c>
      <c r="O145" s="45"/>
      <c r="P145" s="45"/>
      <c r="Q145" s="45"/>
      <c r="R145" s="45"/>
      <c r="S145" s="82"/>
      <c r="T145" s="45" t="s">
        <v>80</v>
      </c>
      <c r="U145" s="81">
        <f>SUM(U137:U144)</f>
        <v>0</v>
      </c>
      <c r="Z145" s="45"/>
      <c r="AA145" s="45"/>
      <c r="AB145" s="45"/>
      <c r="AC145" s="45"/>
      <c r="AD145" s="82"/>
      <c r="AE145" s="45" t="s">
        <v>80</v>
      </c>
      <c r="AF145" s="81">
        <f>SUM(AF137:AF144)</f>
        <v>0</v>
      </c>
      <c r="AK145" s="45"/>
      <c r="AL145" s="45"/>
      <c r="AM145" s="45"/>
      <c r="AN145" s="45"/>
      <c r="AO145" s="82"/>
      <c r="AP145" s="45" t="s">
        <v>80</v>
      </c>
      <c r="AQ145" s="81">
        <f>SUM(AQ137:AQ144)</f>
        <v>0</v>
      </c>
    </row>
  </sheetData>
  <mergeCells count="48">
    <mergeCell ref="D39:J39"/>
    <mergeCell ref="D3:J3"/>
    <mergeCell ref="O3:U3"/>
    <mergeCell ref="O15:U15"/>
    <mergeCell ref="O27:U27"/>
    <mergeCell ref="D15:J15"/>
    <mergeCell ref="D27:J27"/>
    <mergeCell ref="D51:J51"/>
    <mergeCell ref="D63:J63"/>
    <mergeCell ref="D75:J75"/>
    <mergeCell ref="D87:J87"/>
    <mergeCell ref="Z87:AF87"/>
    <mergeCell ref="Z51:AF51"/>
    <mergeCell ref="O63:U63"/>
    <mergeCell ref="Z63:AF63"/>
    <mergeCell ref="Z75:AF75"/>
    <mergeCell ref="O51:U51"/>
    <mergeCell ref="O87:U87"/>
    <mergeCell ref="O75:U75"/>
    <mergeCell ref="AK3:AQ3"/>
    <mergeCell ref="AK15:AQ15"/>
    <mergeCell ref="AK27:AQ27"/>
    <mergeCell ref="AK39:AQ39"/>
    <mergeCell ref="O99:U99"/>
    <mergeCell ref="Z99:AF99"/>
    <mergeCell ref="AK99:AQ99"/>
    <mergeCell ref="AK63:AQ63"/>
    <mergeCell ref="AK51:AQ51"/>
    <mergeCell ref="AK75:AQ75"/>
    <mergeCell ref="AK87:AQ87"/>
    <mergeCell ref="Z3:AF3"/>
    <mergeCell ref="Z15:AF15"/>
    <mergeCell ref="Z27:AF27"/>
    <mergeCell ref="Z39:AF39"/>
    <mergeCell ref="O39:U39"/>
    <mergeCell ref="D99:J99"/>
    <mergeCell ref="D135:J135"/>
    <mergeCell ref="O135:U135"/>
    <mergeCell ref="Z135:AF135"/>
    <mergeCell ref="AK135:AQ135"/>
    <mergeCell ref="D123:J123"/>
    <mergeCell ref="O123:U123"/>
    <mergeCell ref="Z123:AF123"/>
    <mergeCell ref="AK123:AQ123"/>
    <mergeCell ref="D111:J111"/>
    <mergeCell ref="O111:U111"/>
    <mergeCell ref="Z111:AF111"/>
    <mergeCell ref="AK111:AQ111"/>
  </mergeCells>
  <phoneticPr fontId="1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1518-D423-4306-805E-BF2393A55568}">
  <sheetPr>
    <tabColor rgb="FFFFFF00"/>
  </sheetPr>
  <dimension ref="A1:F17"/>
  <sheetViews>
    <sheetView zoomScale="130" zoomScaleNormal="130" workbookViewId="0">
      <selection activeCell="C13" sqref="C13"/>
    </sheetView>
  </sheetViews>
  <sheetFormatPr defaultColWidth="8.90625" defaultRowHeight="13" x14ac:dyDescent="0.3"/>
  <cols>
    <col min="1" max="1" width="64.81640625" style="568" bestFit="1" customWidth="1"/>
    <col min="2" max="6" width="10.81640625" style="568" customWidth="1"/>
    <col min="7" max="16384" width="8.90625" style="568"/>
  </cols>
  <sheetData>
    <row r="1" spans="1:6" ht="18.5" thickBot="1" x14ac:dyDescent="0.45">
      <c r="A1" s="951" t="s">
        <v>192</v>
      </c>
      <c r="B1" s="952"/>
      <c r="C1" s="952"/>
      <c r="D1" s="952"/>
      <c r="E1" s="952"/>
      <c r="F1" s="953"/>
    </row>
    <row r="3" spans="1:6" x14ac:dyDescent="0.3">
      <c r="A3" s="568" t="s">
        <v>214</v>
      </c>
      <c r="C3" s="569" t="s">
        <v>185</v>
      </c>
    </row>
    <row r="4" spans="1:6" ht="13.5" thickBot="1" x14ac:dyDescent="0.35">
      <c r="A4" s="568" t="s">
        <v>191</v>
      </c>
      <c r="B4" s="570"/>
    </row>
    <row r="5" spans="1:6" x14ac:dyDescent="0.3">
      <c r="A5" s="568" t="s">
        <v>195</v>
      </c>
      <c r="B5" s="948" t="s">
        <v>186</v>
      </c>
      <c r="C5" s="949"/>
      <c r="D5" s="949"/>
      <c r="E5" s="949"/>
      <c r="F5" s="950"/>
    </row>
    <row r="6" spans="1:6" x14ac:dyDescent="0.3">
      <c r="B6" s="571"/>
      <c r="C6" s="572"/>
      <c r="D6" s="572"/>
      <c r="E6" s="572"/>
      <c r="F6" s="573"/>
    </row>
    <row r="7" spans="1:6" x14ac:dyDescent="0.3">
      <c r="B7" s="916" t="s">
        <v>187</v>
      </c>
      <c r="C7" s="914" t="s">
        <v>188</v>
      </c>
      <c r="D7" s="914" t="s">
        <v>0</v>
      </c>
      <c r="E7" s="914" t="s">
        <v>2</v>
      </c>
      <c r="F7" s="917" t="s">
        <v>190</v>
      </c>
    </row>
    <row r="8" spans="1:6" x14ac:dyDescent="0.3">
      <c r="B8" s="918">
        <v>0</v>
      </c>
      <c r="C8" s="915" t="e">
        <f>'EEM Data Entry'!I160</f>
        <v>#DIV/0!</v>
      </c>
      <c r="D8" s="915" t="e">
        <f>'EEM Data Entry'!H160</f>
        <v>#DIV/0!</v>
      </c>
      <c r="E8" s="915" t="e">
        <f>'EEM Data Entry'!J160</f>
        <v>#DIV/0!</v>
      </c>
      <c r="F8" s="919" t="e">
        <f>1-(SUM(C8:E8))</f>
        <v>#DIV/0!</v>
      </c>
    </row>
    <row r="9" spans="1:6" x14ac:dyDescent="0.3">
      <c r="B9" s="571"/>
      <c r="C9" s="572"/>
      <c r="D9" s="572"/>
      <c r="E9" s="572"/>
      <c r="F9" s="573"/>
    </row>
    <row r="10" spans="1:6" ht="13.5" thickBot="1" x14ac:dyDescent="0.35">
      <c r="B10" s="920" t="s">
        <v>184</v>
      </c>
      <c r="C10" s="921">
        <v>3.4000000000000002E-2</v>
      </c>
      <c r="D10" s="574"/>
      <c r="E10" s="574"/>
      <c r="F10" s="575"/>
    </row>
    <row r="11" spans="1:6" ht="13.5" thickBot="1" x14ac:dyDescent="0.35">
      <c r="B11" s="572"/>
      <c r="C11" s="572"/>
      <c r="D11" s="572"/>
      <c r="E11" s="572"/>
      <c r="F11" s="572"/>
    </row>
    <row r="12" spans="1:6" ht="13.5" thickBot="1" x14ac:dyDescent="0.35">
      <c r="A12" s="568" t="s">
        <v>215</v>
      </c>
      <c r="C12" s="922"/>
    </row>
    <row r="13" spans="1:6" ht="13.5" thickBot="1" x14ac:dyDescent="0.35">
      <c r="C13" s="572"/>
    </row>
    <row r="14" spans="1:6" ht="13.5" thickBot="1" x14ac:dyDescent="0.35">
      <c r="A14" s="568" t="s">
        <v>216</v>
      </c>
      <c r="C14" s="913">
        <v>0.05</v>
      </c>
    </row>
    <row r="15" spans="1:6" x14ac:dyDescent="0.3">
      <c r="A15" s="569" t="s">
        <v>193</v>
      </c>
    </row>
    <row r="16" spans="1:6" ht="13.5" thickBot="1" x14ac:dyDescent="0.35">
      <c r="B16" s="570"/>
    </row>
    <row r="17" spans="1:2" ht="13.5" thickBot="1" x14ac:dyDescent="0.35">
      <c r="A17" s="911" t="s">
        <v>194</v>
      </c>
      <c r="B17" s="912">
        <f>((1+C14)/(1+C12))-1</f>
        <v>5.0000000000000044E-2</v>
      </c>
    </row>
  </sheetData>
  <mergeCells count="2">
    <mergeCell ref="B5:F5"/>
    <mergeCell ref="A1:F1"/>
  </mergeCells>
  <hyperlinks>
    <hyperlink ref="B10" r:id="rId1" xr:uid="{40AA46D9-B08E-4613-86C1-6F8545F99FDF}"/>
    <hyperlink ref="A15" r:id="rId2" display="Discount" xr:uid="{1F8F5AFA-3095-4CD0-B266-6F0A3B37B293}"/>
    <hyperlink ref="C3" r:id="rId3" xr:uid="{3CD6F34E-399C-4BA3-9230-6A6C407E3242}"/>
  </hyperlink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067F-1CA9-4266-9356-F7E629267C23}">
  <sheetPr>
    <tabColor rgb="FF00B0F0"/>
  </sheetPr>
  <dimension ref="A1:AQ67"/>
  <sheetViews>
    <sheetView topLeftCell="C1" zoomScale="130" zoomScaleNormal="130" workbookViewId="0">
      <selection activeCell="D35" sqref="D35"/>
    </sheetView>
  </sheetViews>
  <sheetFormatPr defaultColWidth="8.7265625" defaultRowHeight="13" x14ac:dyDescent="0.3"/>
  <cols>
    <col min="1" max="2" width="0" style="825" hidden="1" customWidth="1"/>
    <col min="3" max="3" width="7.08984375" style="825" customWidth="1"/>
    <col min="4" max="4" width="24.81640625" style="825" customWidth="1"/>
    <col min="5" max="5" width="10.6328125" style="825" customWidth="1"/>
    <col min="6" max="8" width="9.08984375" style="825" customWidth="1"/>
    <col min="9" max="17" width="8.08984375" style="825" customWidth="1"/>
    <col min="18" max="18" width="8.7265625" style="825"/>
    <col min="19" max="19" width="29.54296875" style="825" customWidth="1"/>
    <col min="20" max="20" width="21.6328125" style="825" customWidth="1"/>
    <col min="21" max="22" width="12.26953125" style="825" customWidth="1"/>
    <col min="23" max="23" width="24.81640625" style="825" customWidth="1"/>
    <col min="24" max="32" width="9.6328125" style="825" customWidth="1"/>
    <col min="33" max="42" width="12.26953125" style="825" customWidth="1"/>
    <col min="43" max="43" width="11.36328125" style="825" customWidth="1"/>
    <col min="44" max="16384" width="8.7265625" style="825"/>
  </cols>
  <sheetData>
    <row r="1" spans="1:43" s="861" customFormat="1" ht="48.5" customHeight="1" x14ac:dyDescent="0.5">
      <c r="C1" s="960" t="s">
        <v>402</v>
      </c>
      <c r="D1" s="960"/>
      <c r="E1" s="960"/>
      <c r="F1" s="960"/>
      <c r="G1" s="960"/>
      <c r="H1" s="960"/>
      <c r="I1" s="960"/>
      <c r="J1" s="960"/>
      <c r="K1" s="960"/>
      <c r="L1" s="960"/>
      <c r="M1" s="960"/>
      <c r="N1" s="960"/>
      <c r="O1" s="960"/>
      <c r="P1" s="960"/>
      <c r="Q1" s="960"/>
      <c r="R1" s="862"/>
      <c r="S1" s="862"/>
      <c r="T1" s="862"/>
      <c r="V1" s="960" t="s">
        <v>380</v>
      </c>
      <c r="W1" s="960"/>
      <c r="X1" s="960"/>
      <c r="Y1" s="960"/>
      <c r="Z1" s="960"/>
      <c r="AA1" s="960"/>
      <c r="AB1" s="960"/>
      <c r="AC1" s="960"/>
      <c r="AD1" s="960"/>
      <c r="AE1" s="960"/>
      <c r="AF1" s="960"/>
      <c r="AQ1" s="862"/>
    </row>
    <row r="3" spans="1:43" ht="26" x14ac:dyDescent="0.3">
      <c r="C3" s="826" t="s">
        <v>207</v>
      </c>
      <c r="I3" s="865" t="s">
        <v>379</v>
      </c>
      <c r="J3" s="865">
        <v>0.29307103000000001</v>
      </c>
      <c r="K3" s="865">
        <v>7.2790267245E-3</v>
      </c>
      <c r="L3" s="865">
        <v>0.01</v>
      </c>
      <c r="M3" s="865">
        <v>1.09289613E-2</v>
      </c>
      <c r="N3" s="865"/>
      <c r="V3" s="826" t="s">
        <v>207</v>
      </c>
      <c r="Y3" s="865" t="s">
        <v>379</v>
      </c>
      <c r="Z3" s="865">
        <v>0.29307103000000001</v>
      </c>
      <c r="AA3" s="865">
        <v>7.2790267245E-3</v>
      </c>
      <c r="AB3" s="865">
        <v>0.01</v>
      </c>
      <c r="AC3" s="865">
        <v>1.09289613E-2</v>
      </c>
    </row>
    <row r="4" spans="1:43" ht="13.5" thickBot="1" x14ac:dyDescent="0.35"/>
    <row r="5" spans="1:43" ht="52.5" thickBot="1" x14ac:dyDescent="0.35">
      <c r="C5" s="827" t="s">
        <v>144</v>
      </c>
      <c r="D5" s="828" t="s">
        <v>177</v>
      </c>
      <c r="E5" s="828" t="s">
        <v>129</v>
      </c>
      <c r="F5" s="828" t="s">
        <v>371</v>
      </c>
      <c r="G5" s="828" t="s">
        <v>377</v>
      </c>
      <c r="H5" s="828" t="s">
        <v>372</v>
      </c>
      <c r="I5" s="828" t="s">
        <v>178</v>
      </c>
      <c r="J5" s="828" t="s">
        <v>373</v>
      </c>
      <c r="K5" s="828" t="s">
        <v>374</v>
      </c>
      <c r="L5" s="828" t="s">
        <v>375</v>
      </c>
      <c r="M5" s="828" t="s">
        <v>376</v>
      </c>
      <c r="N5" s="828" t="s">
        <v>179</v>
      </c>
      <c r="O5" s="828" t="s">
        <v>183</v>
      </c>
      <c r="P5" s="828" t="s">
        <v>17</v>
      </c>
      <c r="Q5" s="828" t="s">
        <v>22</v>
      </c>
      <c r="V5" s="827" t="str">
        <f t="shared" ref="V5:V15" si="0">C5</f>
        <v>EEM #</v>
      </c>
      <c r="W5" s="828" t="str">
        <f t="shared" ref="W5:W15" si="1">D5</f>
        <v>Building Envelope Upgrades</v>
      </c>
      <c r="X5" s="828" t="str">
        <f t="shared" ref="X5:X15" si="2">E5</f>
        <v>Capital Investment</v>
      </c>
      <c r="Y5" s="828" t="str">
        <f t="shared" ref="Y5:Y15" si="3">I5</f>
        <v>Annual Energy Cost Savings</v>
      </c>
      <c r="Z5" s="828" t="str">
        <f t="shared" ref="Z5:Z15" si="4">J5</f>
        <v>Annual Electric Savings (kWh)</v>
      </c>
      <c r="AA5" s="828" t="str">
        <f t="shared" ref="AA5:AA15" si="5">K5</f>
        <v>Annual Oil Savings (Gal)</v>
      </c>
      <c r="AB5" s="828" t="str">
        <f t="shared" ref="AB5:AB15" si="6">L5</f>
        <v>Annual Nat. Gas Savings (Therms)</v>
      </c>
      <c r="AC5" s="828" t="str">
        <f t="shared" ref="AC5:AC15" si="7">M5</f>
        <v>Annual Propane Savings (Gal)</v>
      </c>
      <c r="AD5" s="828" t="str">
        <f t="shared" ref="AD5:AF15" si="8">O5</f>
        <v>Simple Payback (Years)</v>
      </c>
      <c r="AE5" s="828" t="str">
        <f t="shared" si="8"/>
        <v>IRR</v>
      </c>
      <c r="AF5" s="828" t="str">
        <f t="shared" si="8"/>
        <v>NPV</v>
      </c>
      <c r="AQ5" s="828" t="s">
        <v>179</v>
      </c>
    </row>
    <row r="6" spans="1:43" ht="16" customHeight="1" thickBot="1" x14ac:dyDescent="0.35">
      <c r="A6" s="825">
        <f>SUM(B6)</f>
        <v>1</v>
      </c>
      <c r="B6" s="825">
        <f>IF(ISTEXT(D6)=TRUE,1,0)</f>
        <v>1</v>
      </c>
      <c r="C6" s="829" t="str">
        <f>'Individual Measure List'!A8</f>
        <v/>
      </c>
      <c r="D6" s="830" t="str">
        <f>'Individual Measure List'!B8</f>
        <v/>
      </c>
      <c r="E6" s="831" t="str">
        <f>'EEM Data Entry'!D85</f>
        <v/>
      </c>
      <c r="F6" s="831" t="str">
        <f>'EEM Data Entry'!E85</f>
        <v/>
      </c>
      <c r="G6" s="853" t="str">
        <f>'EEM Data Entry'!G85</f>
        <v>N/A</v>
      </c>
      <c r="H6" s="831" t="str">
        <f>'EEM Data Entry'!F85</f>
        <v/>
      </c>
      <c r="I6" s="831">
        <f>'Individual Measure List'!F8</f>
        <v>0</v>
      </c>
      <c r="J6" s="833" t="str">
        <f>IF('Savings Summary'!D7=0,"",'Savings Summary'!D7)</f>
        <v/>
      </c>
      <c r="K6" s="833" t="str">
        <f>IF('Savings Summary'!F7=0,"",'Savings Summary'!F7)</f>
        <v/>
      </c>
      <c r="L6" s="833" t="str">
        <f>IF('Savings Summary'!H7=0,"",'Savings Summary'!H7)</f>
        <v/>
      </c>
      <c r="M6" s="833" t="str">
        <f>IF('Savings Summary'!J7=0,"",'Savings Summary'!J7)</f>
        <v/>
      </c>
      <c r="N6" s="832" t="str">
        <f>IF('RESULTS kBtu'!H6=0,"",'RESULTS kBtu'!H6)</f>
        <v/>
      </c>
      <c r="O6" s="833" t="e">
        <f>'Individual Measure List'!H8</f>
        <v>#VALUE!</v>
      </c>
      <c r="P6" s="834" t="e">
        <f>'Individual Measure List'!J8</f>
        <v>#NUM!</v>
      </c>
      <c r="Q6" s="831" t="e">
        <f>'Individual Measure List'!K8</f>
        <v>#VALUE!</v>
      </c>
      <c r="S6" s="961" t="s">
        <v>404</v>
      </c>
      <c r="T6" s="962"/>
      <c r="V6" s="829" t="str">
        <f t="shared" si="0"/>
        <v/>
      </c>
      <c r="W6" s="830" t="str">
        <f t="shared" si="1"/>
        <v/>
      </c>
      <c r="X6" s="831" t="str">
        <f t="shared" si="2"/>
        <v/>
      </c>
      <c r="Y6" s="831">
        <f t="shared" si="3"/>
        <v>0</v>
      </c>
      <c r="Z6" s="833" t="str">
        <f t="shared" si="4"/>
        <v/>
      </c>
      <c r="AA6" s="833" t="str">
        <f t="shared" si="5"/>
        <v/>
      </c>
      <c r="AB6" s="833" t="str">
        <f t="shared" si="6"/>
        <v/>
      </c>
      <c r="AC6" s="833" t="str">
        <f t="shared" si="7"/>
        <v/>
      </c>
      <c r="AD6" s="833" t="e">
        <f t="shared" si="8"/>
        <v>#VALUE!</v>
      </c>
      <c r="AE6" s="834" t="e">
        <f t="shared" si="8"/>
        <v>#NUM!</v>
      </c>
      <c r="AF6" s="831" t="e">
        <f t="shared" si="8"/>
        <v>#VALUE!</v>
      </c>
      <c r="AN6" s="866"/>
      <c r="AO6" s="866"/>
      <c r="AP6" s="866"/>
      <c r="AQ6" s="832">
        <f>'Individual Measure List'!G8</f>
        <v>0</v>
      </c>
    </row>
    <row r="7" spans="1:43" ht="13.5" thickBot="1" x14ac:dyDescent="0.35">
      <c r="A7" s="825">
        <f>SUM(B6:B7)</f>
        <v>2</v>
      </c>
      <c r="B7" s="825">
        <f t="shared" ref="B7:B15" si="9">IF(ISTEXT(D7)=TRUE,1,0)</f>
        <v>1</v>
      </c>
      <c r="C7" s="835" t="str">
        <f>'Individual Measure List'!A9</f>
        <v/>
      </c>
      <c r="D7" s="836" t="str">
        <f>'Individual Measure List'!B9</f>
        <v/>
      </c>
      <c r="E7" s="837" t="str">
        <f>'EEM Data Entry'!D86</f>
        <v/>
      </c>
      <c r="F7" s="837" t="str">
        <f>'EEM Data Entry'!E86</f>
        <v/>
      </c>
      <c r="G7" s="854" t="str">
        <f>'EEM Data Entry'!G86</f>
        <v>N/A</v>
      </c>
      <c r="H7" s="837" t="str">
        <f>'EEM Data Entry'!F86</f>
        <v/>
      </c>
      <c r="I7" s="837">
        <f>'Individual Measure List'!F9</f>
        <v>0</v>
      </c>
      <c r="J7" s="839" t="str">
        <f>IF('Savings Summary'!D8=0,"",'Savings Summary'!D8)</f>
        <v/>
      </c>
      <c r="K7" s="839" t="str">
        <f>IF('Savings Summary'!F8=0,"",'Savings Summary'!F8)</f>
        <v/>
      </c>
      <c r="L7" s="839" t="str">
        <f>IF('Savings Summary'!H8=0,"",'Savings Summary'!H8)</f>
        <v/>
      </c>
      <c r="M7" s="839" t="str">
        <f>IF('Savings Summary'!J8=0,"",'Savings Summary'!J8)</f>
        <v/>
      </c>
      <c r="N7" s="838" t="str">
        <f>IF('RESULTS kBtu'!H7=0,"",'RESULTS kBtu'!H7)</f>
        <v/>
      </c>
      <c r="O7" s="839" t="e">
        <f>'Individual Measure List'!H9</f>
        <v>#VALUE!</v>
      </c>
      <c r="P7" s="840" t="e">
        <f>'Individual Measure List'!J9</f>
        <v>#NUM!</v>
      </c>
      <c r="Q7" s="837" t="e">
        <f>'Individual Measure List'!K9</f>
        <v>#VALUE!</v>
      </c>
      <c r="S7" s="841" t="s">
        <v>184</v>
      </c>
      <c r="T7" s="842">
        <f>'Interest Rate'!C10</f>
        <v>3.4000000000000002E-2</v>
      </c>
      <c r="V7" s="835" t="str">
        <f t="shared" si="0"/>
        <v/>
      </c>
      <c r="W7" s="836" t="str">
        <f t="shared" si="1"/>
        <v/>
      </c>
      <c r="X7" s="837" t="str">
        <f t="shared" si="2"/>
        <v/>
      </c>
      <c r="Y7" s="837">
        <f t="shared" si="3"/>
        <v>0</v>
      </c>
      <c r="Z7" s="839" t="str">
        <f t="shared" si="4"/>
        <v/>
      </c>
      <c r="AA7" s="839" t="str">
        <f t="shared" si="5"/>
        <v/>
      </c>
      <c r="AB7" s="839" t="str">
        <f t="shared" si="6"/>
        <v/>
      </c>
      <c r="AC7" s="839" t="str">
        <f t="shared" si="7"/>
        <v/>
      </c>
      <c r="AD7" s="839" t="e">
        <f t="shared" si="8"/>
        <v>#VALUE!</v>
      </c>
      <c r="AE7" s="840" t="e">
        <f t="shared" si="8"/>
        <v>#NUM!</v>
      </c>
      <c r="AF7" s="837" t="e">
        <f t="shared" si="8"/>
        <v>#VALUE!</v>
      </c>
      <c r="AN7" s="866"/>
      <c r="AO7" s="866"/>
      <c r="AP7" s="866"/>
      <c r="AQ7" s="838">
        <f>'Individual Measure List'!G9</f>
        <v>0</v>
      </c>
    </row>
    <row r="8" spans="1:43" ht="13.5" thickBot="1" x14ac:dyDescent="0.35">
      <c r="A8" s="825">
        <f>SUM(B6:B8)</f>
        <v>3</v>
      </c>
      <c r="B8" s="825">
        <f t="shared" si="9"/>
        <v>1</v>
      </c>
      <c r="C8" s="829" t="str">
        <f>'Individual Measure List'!A10</f>
        <v/>
      </c>
      <c r="D8" s="830" t="str">
        <f>'Individual Measure List'!B10</f>
        <v/>
      </c>
      <c r="E8" s="831" t="str">
        <f>'EEM Data Entry'!D87</f>
        <v/>
      </c>
      <c r="F8" s="831" t="str">
        <f>'EEM Data Entry'!E87</f>
        <v/>
      </c>
      <c r="G8" s="853" t="str">
        <f>'EEM Data Entry'!G87</f>
        <v>N/A</v>
      </c>
      <c r="H8" s="831" t="str">
        <f>'EEM Data Entry'!F87</f>
        <v/>
      </c>
      <c r="I8" s="831">
        <f>'Individual Measure List'!F10</f>
        <v>0</v>
      </c>
      <c r="J8" s="833" t="str">
        <f>IF('Savings Summary'!D9=0,"",'Savings Summary'!D9)</f>
        <v/>
      </c>
      <c r="K8" s="833" t="str">
        <f>IF('Savings Summary'!F9=0,"",'Savings Summary'!F9)</f>
        <v/>
      </c>
      <c r="L8" s="833" t="str">
        <f>IF('Savings Summary'!H9=0,"",'Savings Summary'!H9)</f>
        <v/>
      </c>
      <c r="M8" s="833" t="str">
        <f>IF('Savings Summary'!J9=0,"",'Savings Summary'!J9)</f>
        <v/>
      </c>
      <c r="N8" s="832" t="str">
        <f>IF('RESULTS kBtu'!H8=0,"",'RESULTS kBtu'!H8)</f>
        <v/>
      </c>
      <c r="O8" s="833" t="e">
        <f>'Individual Measure List'!H10</f>
        <v>#VALUE!</v>
      </c>
      <c r="P8" s="834" t="e">
        <f>'Individual Measure List'!J10</f>
        <v>#NUM!</v>
      </c>
      <c r="Q8" s="831" t="e">
        <f>'Individual Measure List'!K10</f>
        <v>#VALUE!</v>
      </c>
      <c r="S8" s="843" t="s">
        <v>196</v>
      </c>
      <c r="T8" s="844">
        <f>'Interest Rate'!C12</f>
        <v>0</v>
      </c>
      <c r="V8" s="829" t="str">
        <f t="shared" si="0"/>
        <v/>
      </c>
      <c r="W8" s="830" t="str">
        <f t="shared" si="1"/>
        <v/>
      </c>
      <c r="X8" s="831" t="str">
        <f t="shared" si="2"/>
        <v/>
      </c>
      <c r="Y8" s="831">
        <f t="shared" si="3"/>
        <v>0</v>
      </c>
      <c r="Z8" s="833" t="str">
        <f t="shared" si="4"/>
        <v/>
      </c>
      <c r="AA8" s="833" t="str">
        <f t="shared" si="5"/>
        <v/>
      </c>
      <c r="AB8" s="833" t="str">
        <f t="shared" si="6"/>
        <v/>
      </c>
      <c r="AC8" s="833" t="str">
        <f t="shared" si="7"/>
        <v/>
      </c>
      <c r="AD8" s="833" t="e">
        <f t="shared" si="8"/>
        <v>#VALUE!</v>
      </c>
      <c r="AE8" s="834" t="e">
        <f t="shared" si="8"/>
        <v>#NUM!</v>
      </c>
      <c r="AF8" s="831" t="e">
        <f t="shared" si="8"/>
        <v>#VALUE!</v>
      </c>
      <c r="AN8" s="866"/>
      <c r="AO8" s="866"/>
      <c r="AP8" s="866"/>
      <c r="AQ8" s="832">
        <f>'Individual Measure List'!G10</f>
        <v>0</v>
      </c>
    </row>
    <row r="9" spans="1:43" ht="13.5" thickBot="1" x14ac:dyDescent="0.35">
      <c r="A9" s="825">
        <f>SUM(B6:B9)</f>
        <v>4</v>
      </c>
      <c r="B9" s="825">
        <f t="shared" si="9"/>
        <v>1</v>
      </c>
      <c r="C9" s="835" t="str">
        <f>'Individual Measure List'!A11</f>
        <v/>
      </c>
      <c r="D9" s="836" t="str">
        <f>'Individual Measure List'!B11</f>
        <v/>
      </c>
      <c r="E9" s="837" t="str">
        <f>'EEM Data Entry'!D88</f>
        <v/>
      </c>
      <c r="F9" s="837" t="str">
        <f>'EEM Data Entry'!E88</f>
        <v/>
      </c>
      <c r="G9" s="854" t="str">
        <f>'EEM Data Entry'!G88</f>
        <v>N/A</v>
      </c>
      <c r="H9" s="837" t="str">
        <f>'EEM Data Entry'!F88</f>
        <v/>
      </c>
      <c r="I9" s="837">
        <f>'Individual Measure List'!F11</f>
        <v>0</v>
      </c>
      <c r="J9" s="839" t="str">
        <f>IF('Savings Summary'!D10=0,"",'Savings Summary'!D10)</f>
        <v/>
      </c>
      <c r="K9" s="839" t="str">
        <f>IF('Savings Summary'!F10=0,"",'Savings Summary'!F10)</f>
        <v/>
      </c>
      <c r="L9" s="839" t="str">
        <f>IF('Savings Summary'!H10=0,"",'Savings Summary'!H10)</f>
        <v/>
      </c>
      <c r="M9" s="839" t="str">
        <f>IF('Savings Summary'!J10=0,"",'Savings Summary'!J10)</f>
        <v/>
      </c>
      <c r="N9" s="838" t="str">
        <f>IF('RESULTS kBtu'!H9=0,"",'RESULTS kBtu'!H9)</f>
        <v/>
      </c>
      <c r="O9" s="839" t="e">
        <f>'Individual Measure List'!H11</f>
        <v>#VALUE!</v>
      </c>
      <c r="P9" s="840" t="e">
        <f>'Individual Measure List'!J11</f>
        <v>#NUM!</v>
      </c>
      <c r="Q9" s="837" t="e">
        <f>'Individual Measure List'!K11</f>
        <v>#VALUE!</v>
      </c>
      <c r="S9" s="841" t="s">
        <v>197</v>
      </c>
      <c r="T9" s="842">
        <f>'Interest Rate'!C14</f>
        <v>0.05</v>
      </c>
      <c r="V9" s="835" t="str">
        <f t="shared" si="0"/>
        <v/>
      </c>
      <c r="W9" s="836" t="str">
        <f t="shared" si="1"/>
        <v/>
      </c>
      <c r="X9" s="837" t="str">
        <f t="shared" si="2"/>
        <v/>
      </c>
      <c r="Y9" s="837">
        <f t="shared" si="3"/>
        <v>0</v>
      </c>
      <c r="Z9" s="839" t="str">
        <f t="shared" si="4"/>
        <v/>
      </c>
      <c r="AA9" s="839" t="str">
        <f t="shared" si="5"/>
        <v/>
      </c>
      <c r="AB9" s="839" t="str">
        <f t="shared" si="6"/>
        <v/>
      </c>
      <c r="AC9" s="839" t="str">
        <f t="shared" si="7"/>
        <v/>
      </c>
      <c r="AD9" s="839" t="e">
        <f t="shared" si="8"/>
        <v>#VALUE!</v>
      </c>
      <c r="AE9" s="840" t="e">
        <f t="shared" si="8"/>
        <v>#NUM!</v>
      </c>
      <c r="AF9" s="837" t="e">
        <f t="shared" si="8"/>
        <v>#VALUE!</v>
      </c>
      <c r="AN9" s="866"/>
      <c r="AO9" s="866"/>
      <c r="AP9" s="866"/>
      <c r="AQ9" s="838">
        <f>'Individual Measure List'!G11</f>
        <v>0</v>
      </c>
    </row>
    <row r="10" spans="1:43" ht="13.5" thickBot="1" x14ac:dyDescent="0.35">
      <c r="A10" s="825">
        <f>SUM(B6:B10)</f>
        <v>5</v>
      </c>
      <c r="B10" s="825">
        <f t="shared" si="9"/>
        <v>1</v>
      </c>
      <c r="C10" s="829" t="str">
        <f>'Individual Measure List'!A12</f>
        <v/>
      </c>
      <c r="D10" s="830" t="str">
        <f>'Individual Measure List'!B12</f>
        <v/>
      </c>
      <c r="E10" s="831" t="str">
        <f>'EEM Data Entry'!D89</f>
        <v/>
      </c>
      <c r="F10" s="831" t="str">
        <f>'EEM Data Entry'!E89</f>
        <v/>
      </c>
      <c r="G10" s="853" t="str">
        <f>'EEM Data Entry'!G89</f>
        <v>N/A</v>
      </c>
      <c r="H10" s="831" t="str">
        <f>'EEM Data Entry'!F89</f>
        <v/>
      </c>
      <c r="I10" s="831">
        <f>'Individual Measure List'!F12</f>
        <v>0</v>
      </c>
      <c r="J10" s="833" t="str">
        <f>IF('Savings Summary'!D11=0,"",'Savings Summary'!D11)</f>
        <v/>
      </c>
      <c r="K10" s="833" t="str">
        <f>IF('Savings Summary'!F11=0,"",'Savings Summary'!F11)</f>
        <v/>
      </c>
      <c r="L10" s="833" t="str">
        <f>IF('Savings Summary'!H11=0,"",'Savings Summary'!H11)</f>
        <v/>
      </c>
      <c r="M10" s="833" t="str">
        <f>IF('Savings Summary'!J11=0,"",'Savings Summary'!J11)</f>
        <v/>
      </c>
      <c r="N10" s="832" t="str">
        <f>IF('RESULTS kBtu'!H10=0,"",'RESULTS kBtu'!H10)</f>
        <v/>
      </c>
      <c r="O10" s="833" t="e">
        <f>'Individual Measure List'!H12</f>
        <v>#VALUE!</v>
      </c>
      <c r="P10" s="834" t="e">
        <f>'Individual Measure List'!J12</f>
        <v>#NUM!</v>
      </c>
      <c r="Q10" s="831" t="e">
        <f>'Individual Measure List'!K12</f>
        <v>#VALUE!</v>
      </c>
      <c r="S10" s="845" t="s">
        <v>198</v>
      </c>
      <c r="T10" s="846">
        <f>'Interest Rate'!B17</f>
        <v>5.0000000000000044E-2</v>
      </c>
      <c r="V10" s="829" t="str">
        <f t="shared" si="0"/>
        <v/>
      </c>
      <c r="W10" s="830" t="str">
        <f t="shared" si="1"/>
        <v/>
      </c>
      <c r="X10" s="831" t="str">
        <f t="shared" si="2"/>
        <v/>
      </c>
      <c r="Y10" s="831">
        <f t="shared" si="3"/>
        <v>0</v>
      </c>
      <c r="Z10" s="833" t="str">
        <f t="shared" si="4"/>
        <v/>
      </c>
      <c r="AA10" s="833" t="str">
        <f t="shared" si="5"/>
        <v/>
      </c>
      <c r="AB10" s="833" t="str">
        <f t="shared" si="6"/>
        <v/>
      </c>
      <c r="AC10" s="833" t="str">
        <f t="shared" si="7"/>
        <v/>
      </c>
      <c r="AD10" s="833" t="e">
        <f t="shared" si="8"/>
        <v>#VALUE!</v>
      </c>
      <c r="AE10" s="834" t="e">
        <f t="shared" si="8"/>
        <v>#NUM!</v>
      </c>
      <c r="AF10" s="831" t="e">
        <f t="shared" si="8"/>
        <v>#VALUE!</v>
      </c>
      <c r="AN10" s="866"/>
      <c r="AO10" s="866"/>
      <c r="AP10" s="866"/>
      <c r="AQ10" s="832">
        <f>'Individual Measure List'!G12</f>
        <v>0</v>
      </c>
    </row>
    <row r="11" spans="1:43" ht="16" customHeight="1" thickBot="1" x14ac:dyDescent="0.35">
      <c r="A11" s="825">
        <f>SUM(B6:B11)</f>
        <v>6</v>
      </c>
      <c r="B11" s="825">
        <f t="shared" si="9"/>
        <v>1</v>
      </c>
      <c r="C11" s="835" t="str">
        <f>'Individual Measure List'!A13</f>
        <v/>
      </c>
      <c r="D11" s="836" t="str">
        <f>'Individual Measure List'!B13</f>
        <v/>
      </c>
      <c r="E11" s="837" t="str">
        <f>'EEM Data Entry'!D90</f>
        <v/>
      </c>
      <c r="F11" s="837" t="str">
        <f>'EEM Data Entry'!E90</f>
        <v/>
      </c>
      <c r="G11" s="854" t="str">
        <f>'EEM Data Entry'!G90</f>
        <v>N/A</v>
      </c>
      <c r="H11" s="837" t="str">
        <f>'EEM Data Entry'!F90</f>
        <v/>
      </c>
      <c r="I11" s="837">
        <f>'Individual Measure List'!F13</f>
        <v>0</v>
      </c>
      <c r="J11" s="839" t="str">
        <f>IF('Savings Summary'!D12=0,"",'Savings Summary'!D12)</f>
        <v/>
      </c>
      <c r="K11" s="839" t="str">
        <f>IF('Savings Summary'!F12=0,"",'Savings Summary'!F12)</f>
        <v/>
      </c>
      <c r="L11" s="839" t="str">
        <f>IF('Savings Summary'!H12=0,"",'Savings Summary'!H12)</f>
        <v/>
      </c>
      <c r="M11" s="839" t="str">
        <f>IF('Savings Summary'!J12=0,"",'Savings Summary'!J12)</f>
        <v/>
      </c>
      <c r="N11" s="838" t="str">
        <f>IF('RESULTS kBtu'!H11=0,"",'RESULTS kBtu'!H11)</f>
        <v/>
      </c>
      <c r="O11" s="839" t="e">
        <f>'Individual Measure List'!H13</f>
        <v>#VALUE!</v>
      </c>
      <c r="P11" s="840" t="e">
        <f>'Individual Measure List'!J13</f>
        <v>#NUM!</v>
      </c>
      <c r="Q11" s="837" t="e">
        <f>'Individual Measure List'!K13</f>
        <v>#VALUE!</v>
      </c>
      <c r="S11" s="963" t="s">
        <v>222</v>
      </c>
      <c r="T11" s="964"/>
      <c r="V11" s="835" t="str">
        <f t="shared" si="0"/>
        <v/>
      </c>
      <c r="W11" s="836" t="str">
        <f t="shared" si="1"/>
        <v/>
      </c>
      <c r="X11" s="837" t="str">
        <f t="shared" si="2"/>
        <v/>
      </c>
      <c r="Y11" s="837">
        <f t="shared" si="3"/>
        <v>0</v>
      </c>
      <c r="Z11" s="839" t="str">
        <f t="shared" si="4"/>
        <v/>
      </c>
      <c r="AA11" s="839" t="str">
        <f t="shared" si="5"/>
        <v/>
      </c>
      <c r="AB11" s="839" t="str">
        <f t="shared" si="6"/>
        <v/>
      </c>
      <c r="AC11" s="839" t="str">
        <f t="shared" si="7"/>
        <v/>
      </c>
      <c r="AD11" s="839" t="e">
        <f t="shared" si="8"/>
        <v>#VALUE!</v>
      </c>
      <c r="AE11" s="840" t="e">
        <f t="shared" si="8"/>
        <v>#NUM!</v>
      </c>
      <c r="AF11" s="837" t="e">
        <f t="shared" si="8"/>
        <v>#VALUE!</v>
      </c>
      <c r="AQ11" s="838">
        <f>'Individual Measure List'!G13</f>
        <v>0</v>
      </c>
    </row>
    <row r="12" spans="1:43" ht="13.5" thickBot="1" x14ac:dyDescent="0.35">
      <c r="A12" s="825">
        <f>SUM(B6:B12)</f>
        <v>7</v>
      </c>
      <c r="B12" s="825">
        <f t="shared" si="9"/>
        <v>1</v>
      </c>
      <c r="C12" s="829" t="str">
        <f>'Individual Measure List'!A14</f>
        <v/>
      </c>
      <c r="D12" s="830" t="str">
        <f>'Individual Measure List'!B14</f>
        <v/>
      </c>
      <c r="E12" s="831" t="str">
        <f>'EEM Data Entry'!D91</f>
        <v/>
      </c>
      <c r="F12" s="831" t="str">
        <f>'EEM Data Entry'!E91</f>
        <v/>
      </c>
      <c r="G12" s="853" t="str">
        <f>'EEM Data Entry'!G91</f>
        <v>N/A</v>
      </c>
      <c r="H12" s="831" t="str">
        <f>'EEM Data Entry'!F91</f>
        <v/>
      </c>
      <c r="I12" s="831">
        <f>'Individual Measure List'!F14</f>
        <v>0</v>
      </c>
      <c r="J12" s="833" t="str">
        <f>IF('Savings Summary'!D13=0,"",'Savings Summary'!D13)</f>
        <v/>
      </c>
      <c r="K12" s="833" t="str">
        <f>IF('Savings Summary'!F13=0,"",'Savings Summary'!F13)</f>
        <v/>
      </c>
      <c r="L12" s="833" t="str">
        <f>IF('Savings Summary'!H13=0,"",'Savings Summary'!H13)</f>
        <v/>
      </c>
      <c r="M12" s="833" t="str">
        <f>IF('Savings Summary'!J13=0,"",'Savings Summary'!J13)</f>
        <v/>
      </c>
      <c r="N12" s="832" t="str">
        <f>IF('RESULTS kBtu'!H12=0,"",'RESULTS kBtu'!H12)</f>
        <v/>
      </c>
      <c r="O12" s="833" t="e">
        <f>'Individual Measure List'!H14</f>
        <v>#VALUE!</v>
      </c>
      <c r="P12" s="834" t="e">
        <f>'Individual Measure List'!J14</f>
        <v>#NUM!</v>
      </c>
      <c r="Q12" s="831" t="e">
        <f>'Individual Measure List'!K14</f>
        <v>#VALUE!</v>
      </c>
      <c r="S12" s="965"/>
      <c r="T12" s="966"/>
      <c r="V12" s="829" t="str">
        <f t="shared" si="0"/>
        <v/>
      </c>
      <c r="W12" s="830" t="str">
        <f t="shared" si="1"/>
        <v/>
      </c>
      <c r="X12" s="831" t="str">
        <f t="shared" si="2"/>
        <v/>
      </c>
      <c r="Y12" s="831">
        <f t="shared" si="3"/>
        <v>0</v>
      </c>
      <c r="Z12" s="833" t="str">
        <f t="shared" si="4"/>
        <v/>
      </c>
      <c r="AA12" s="833" t="str">
        <f t="shared" si="5"/>
        <v/>
      </c>
      <c r="AB12" s="833" t="str">
        <f t="shared" si="6"/>
        <v/>
      </c>
      <c r="AC12" s="833" t="str">
        <f t="shared" si="7"/>
        <v/>
      </c>
      <c r="AD12" s="833" t="e">
        <f t="shared" si="8"/>
        <v>#VALUE!</v>
      </c>
      <c r="AE12" s="834" t="e">
        <f t="shared" si="8"/>
        <v>#NUM!</v>
      </c>
      <c r="AF12" s="831" t="e">
        <f t="shared" si="8"/>
        <v>#VALUE!</v>
      </c>
      <c r="AQ12" s="832">
        <f>'Individual Measure List'!G14</f>
        <v>0</v>
      </c>
    </row>
    <row r="13" spans="1:43" ht="13.5" thickBot="1" x14ac:dyDescent="0.35">
      <c r="A13" s="825">
        <f>SUM(B6:B13)</f>
        <v>8</v>
      </c>
      <c r="B13" s="825">
        <f t="shared" si="9"/>
        <v>1</v>
      </c>
      <c r="C13" s="835" t="str">
        <f>'Individual Measure List'!A15</f>
        <v/>
      </c>
      <c r="D13" s="836" t="str">
        <f>'Individual Measure List'!B15</f>
        <v/>
      </c>
      <c r="E13" s="837" t="str">
        <f>'EEM Data Entry'!D92</f>
        <v/>
      </c>
      <c r="F13" s="837" t="str">
        <f>'EEM Data Entry'!E92</f>
        <v/>
      </c>
      <c r="G13" s="854" t="str">
        <f>'EEM Data Entry'!G92</f>
        <v>N/A</v>
      </c>
      <c r="H13" s="837" t="str">
        <f>'EEM Data Entry'!F92</f>
        <v/>
      </c>
      <c r="I13" s="837">
        <f>'Individual Measure List'!F15</f>
        <v>0</v>
      </c>
      <c r="J13" s="839" t="str">
        <f>IF('Savings Summary'!D14=0,"",'Savings Summary'!D14)</f>
        <v/>
      </c>
      <c r="K13" s="839" t="str">
        <f>IF('Savings Summary'!F14=0,"",'Savings Summary'!F14)</f>
        <v/>
      </c>
      <c r="L13" s="839" t="str">
        <f>IF('Savings Summary'!H14=0,"",'Savings Summary'!H14)</f>
        <v/>
      </c>
      <c r="M13" s="839" t="str">
        <f>IF('Savings Summary'!J14=0,"",'Savings Summary'!J14)</f>
        <v/>
      </c>
      <c r="N13" s="838" t="str">
        <f>IF('RESULTS kBtu'!H13=0,"",'RESULTS kBtu'!H13)</f>
        <v/>
      </c>
      <c r="O13" s="839" t="e">
        <f>'Individual Measure List'!H15</f>
        <v>#VALUE!</v>
      </c>
      <c r="P13" s="840" t="e">
        <f>'Individual Measure List'!J15</f>
        <v>#NUM!</v>
      </c>
      <c r="Q13" s="837" t="e">
        <f>'Individual Measure List'!K15</f>
        <v>#VALUE!</v>
      </c>
      <c r="V13" s="835" t="str">
        <f t="shared" si="0"/>
        <v/>
      </c>
      <c r="W13" s="836" t="str">
        <f t="shared" si="1"/>
        <v/>
      </c>
      <c r="X13" s="837" t="str">
        <f t="shared" si="2"/>
        <v/>
      </c>
      <c r="Y13" s="837">
        <f t="shared" si="3"/>
        <v>0</v>
      </c>
      <c r="Z13" s="839" t="str">
        <f t="shared" si="4"/>
        <v/>
      </c>
      <c r="AA13" s="839" t="str">
        <f t="shared" si="5"/>
        <v/>
      </c>
      <c r="AB13" s="839" t="str">
        <f t="shared" si="6"/>
        <v/>
      </c>
      <c r="AC13" s="839" t="str">
        <f t="shared" si="7"/>
        <v/>
      </c>
      <c r="AD13" s="839" t="e">
        <f t="shared" si="8"/>
        <v>#VALUE!</v>
      </c>
      <c r="AE13" s="840" t="e">
        <f t="shared" si="8"/>
        <v>#NUM!</v>
      </c>
      <c r="AF13" s="837" t="e">
        <f t="shared" si="8"/>
        <v>#VALUE!</v>
      </c>
      <c r="AQ13" s="838">
        <f>'Individual Measure List'!G15</f>
        <v>0</v>
      </c>
    </row>
    <row r="14" spans="1:43" ht="13.5" thickBot="1" x14ac:dyDescent="0.35">
      <c r="A14" s="825">
        <f>SUM(B6:B14)</f>
        <v>9</v>
      </c>
      <c r="B14" s="825">
        <f t="shared" si="9"/>
        <v>1</v>
      </c>
      <c r="C14" s="829" t="str">
        <f>'Individual Measure List'!A16</f>
        <v/>
      </c>
      <c r="D14" s="830" t="str">
        <f>'Individual Measure List'!B16</f>
        <v/>
      </c>
      <c r="E14" s="831" t="str">
        <f>'EEM Data Entry'!D93</f>
        <v/>
      </c>
      <c r="F14" s="831" t="str">
        <f>'EEM Data Entry'!E93</f>
        <v/>
      </c>
      <c r="G14" s="853" t="str">
        <f>'EEM Data Entry'!G93</f>
        <v>N/A</v>
      </c>
      <c r="H14" s="831" t="str">
        <f>'EEM Data Entry'!F93</f>
        <v/>
      </c>
      <c r="I14" s="831">
        <f>'Individual Measure List'!F16</f>
        <v>0</v>
      </c>
      <c r="J14" s="833" t="str">
        <f>IF('Savings Summary'!D15=0,"",'Savings Summary'!D15)</f>
        <v/>
      </c>
      <c r="K14" s="833" t="str">
        <f>IF('Savings Summary'!F15=0,"",'Savings Summary'!F15)</f>
        <v/>
      </c>
      <c r="L14" s="833" t="str">
        <f>IF('Savings Summary'!H15=0,"",'Savings Summary'!H15)</f>
        <v/>
      </c>
      <c r="M14" s="833" t="str">
        <f>IF('Savings Summary'!J15=0,"",'Savings Summary'!J15)</f>
        <v/>
      </c>
      <c r="N14" s="832" t="str">
        <f>IF('RESULTS kBtu'!H14=0,"",'RESULTS kBtu'!H14)</f>
        <v/>
      </c>
      <c r="O14" s="833" t="e">
        <f>'Individual Measure List'!H16</f>
        <v>#VALUE!</v>
      </c>
      <c r="P14" s="834" t="e">
        <f>'Individual Measure List'!J16</f>
        <v>#NUM!</v>
      </c>
      <c r="Q14" s="831" t="e">
        <f>'Individual Measure List'!K16</f>
        <v>#VALUE!</v>
      </c>
      <c r="V14" s="829" t="str">
        <f t="shared" si="0"/>
        <v/>
      </c>
      <c r="W14" s="830" t="str">
        <f t="shared" si="1"/>
        <v/>
      </c>
      <c r="X14" s="831" t="str">
        <f t="shared" si="2"/>
        <v/>
      </c>
      <c r="Y14" s="831">
        <f t="shared" si="3"/>
        <v>0</v>
      </c>
      <c r="Z14" s="833" t="str">
        <f t="shared" si="4"/>
        <v/>
      </c>
      <c r="AA14" s="833" t="str">
        <f t="shared" si="5"/>
        <v/>
      </c>
      <c r="AB14" s="833" t="str">
        <f t="shared" si="6"/>
        <v/>
      </c>
      <c r="AC14" s="833" t="str">
        <f t="shared" si="7"/>
        <v/>
      </c>
      <c r="AD14" s="833" t="e">
        <f t="shared" si="8"/>
        <v>#VALUE!</v>
      </c>
      <c r="AE14" s="834" t="e">
        <f t="shared" si="8"/>
        <v>#NUM!</v>
      </c>
      <c r="AF14" s="831" t="e">
        <f t="shared" si="8"/>
        <v>#VALUE!</v>
      </c>
      <c r="AQ14" s="832">
        <f>'Individual Measure List'!G16</f>
        <v>0</v>
      </c>
    </row>
    <row r="15" spans="1:43" ht="13.5" thickBot="1" x14ac:dyDescent="0.35">
      <c r="A15" s="825">
        <f>SUM(B6:B15)</f>
        <v>10</v>
      </c>
      <c r="B15" s="825">
        <f t="shared" si="9"/>
        <v>1</v>
      </c>
      <c r="C15" s="835" t="str">
        <f>'Individual Measure List'!A17</f>
        <v/>
      </c>
      <c r="D15" s="836" t="str">
        <f>'Individual Measure List'!B17</f>
        <v/>
      </c>
      <c r="E15" s="837" t="str">
        <f>'EEM Data Entry'!D94</f>
        <v/>
      </c>
      <c r="F15" s="837" t="str">
        <f>'EEM Data Entry'!E94</f>
        <v/>
      </c>
      <c r="G15" s="854" t="str">
        <f>'EEM Data Entry'!G94</f>
        <v>N/A</v>
      </c>
      <c r="H15" s="837" t="str">
        <f>'EEM Data Entry'!F94</f>
        <v/>
      </c>
      <c r="I15" s="837">
        <f>'Individual Measure List'!F17</f>
        <v>0</v>
      </c>
      <c r="J15" s="839" t="str">
        <f>IF('Savings Summary'!D16=0,"",'Savings Summary'!D16)</f>
        <v/>
      </c>
      <c r="K15" s="839" t="str">
        <f>IF('Savings Summary'!F16=0,"",'Savings Summary'!F16)</f>
        <v/>
      </c>
      <c r="L15" s="839" t="str">
        <f>IF('Savings Summary'!H16=0,"",'Savings Summary'!H16)</f>
        <v/>
      </c>
      <c r="M15" s="839" t="str">
        <f>IF('Savings Summary'!J16=0,"",'Savings Summary'!J16)</f>
        <v/>
      </c>
      <c r="N15" s="850" t="str">
        <f>IF('RESULTS kBtu'!H15=0,"",'RESULTS kBtu'!H15)</f>
        <v/>
      </c>
      <c r="O15" s="839" t="e">
        <f>'Individual Measure List'!H17</f>
        <v>#VALUE!</v>
      </c>
      <c r="P15" s="840" t="e">
        <f>'Individual Measure List'!J17</f>
        <v>#NUM!</v>
      </c>
      <c r="Q15" s="837" t="e">
        <f>'Individual Measure List'!K17</f>
        <v>#VALUE!</v>
      </c>
      <c r="V15" s="835" t="str">
        <f t="shared" si="0"/>
        <v/>
      </c>
      <c r="W15" s="836" t="str">
        <f t="shared" si="1"/>
        <v/>
      </c>
      <c r="X15" s="837" t="str">
        <f t="shared" si="2"/>
        <v/>
      </c>
      <c r="Y15" s="837">
        <f t="shared" si="3"/>
        <v>0</v>
      </c>
      <c r="Z15" s="839" t="str">
        <f t="shared" si="4"/>
        <v/>
      </c>
      <c r="AA15" s="839" t="str">
        <f t="shared" si="5"/>
        <v/>
      </c>
      <c r="AB15" s="839" t="str">
        <f t="shared" si="6"/>
        <v/>
      </c>
      <c r="AC15" s="839" t="str">
        <f t="shared" si="7"/>
        <v/>
      </c>
      <c r="AD15" s="839" t="e">
        <f t="shared" si="8"/>
        <v>#VALUE!</v>
      </c>
      <c r="AE15" s="840" t="e">
        <f t="shared" si="8"/>
        <v>#NUM!</v>
      </c>
      <c r="AF15" s="837" t="e">
        <f t="shared" si="8"/>
        <v>#VALUE!</v>
      </c>
      <c r="AQ15" s="838">
        <f>'Individual Measure List'!G17</f>
        <v>0</v>
      </c>
    </row>
    <row r="16" spans="1:43" ht="16" customHeight="1" thickBot="1" x14ac:dyDescent="0.35">
      <c r="C16" s="957" t="s">
        <v>381</v>
      </c>
      <c r="D16" s="958"/>
      <c r="E16" s="958"/>
      <c r="F16" s="958"/>
      <c r="G16" s="958"/>
      <c r="H16" s="958"/>
      <c r="I16" s="958"/>
      <c r="J16" s="958"/>
      <c r="K16" s="958"/>
      <c r="L16" s="958"/>
      <c r="M16" s="958"/>
      <c r="N16" s="958"/>
      <c r="O16" s="958"/>
      <c r="P16" s="958"/>
      <c r="Q16" s="959"/>
      <c r="V16" s="957" t="s">
        <v>381</v>
      </c>
      <c r="W16" s="958"/>
      <c r="X16" s="958"/>
      <c r="Y16" s="958"/>
      <c r="Z16" s="958"/>
      <c r="AA16" s="958"/>
      <c r="AB16" s="958"/>
      <c r="AC16" s="958"/>
      <c r="AD16" s="958"/>
      <c r="AE16" s="958"/>
      <c r="AF16" s="959"/>
      <c r="AQ16" s="867"/>
    </row>
    <row r="18" spans="1:43" x14ac:dyDescent="0.3">
      <c r="C18" s="826" t="s">
        <v>208</v>
      </c>
      <c r="V18" s="826" t="s">
        <v>208</v>
      </c>
    </row>
    <row r="19" spans="1:43" ht="13.5" thickBot="1" x14ac:dyDescent="0.35"/>
    <row r="20" spans="1:43" ht="52.5" thickBot="1" x14ac:dyDescent="0.35">
      <c r="C20" s="827" t="s">
        <v>144</v>
      </c>
      <c r="D20" s="828" t="s">
        <v>180</v>
      </c>
      <c r="E20" s="828" t="s">
        <v>129</v>
      </c>
      <c r="F20" s="828" t="s">
        <v>371</v>
      </c>
      <c r="G20" s="828" t="s">
        <v>377</v>
      </c>
      <c r="H20" s="828" t="s">
        <v>372</v>
      </c>
      <c r="I20" s="828" t="s">
        <v>178</v>
      </c>
      <c r="J20" s="828" t="s">
        <v>373</v>
      </c>
      <c r="K20" s="828" t="s">
        <v>374</v>
      </c>
      <c r="L20" s="828" t="s">
        <v>375</v>
      </c>
      <c r="M20" s="828" t="s">
        <v>376</v>
      </c>
      <c r="N20" s="828" t="s">
        <v>179</v>
      </c>
      <c r="O20" s="828" t="s">
        <v>183</v>
      </c>
      <c r="P20" s="828" t="s">
        <v>17</v>
      </c>
      <c r="Q20" s="828" t="s">
        <v>22</v>
      </c>
      <c r="V20" s="827" t="str">
        <f t="shared" ref="V20:V30" si="10">C20</f>
        <v>EEM #</v>
      </c>
      <c r="W20" s="828" t="str">
        <f t="shared" ref="W20:W30" si="11">D20</f>
        <v>Mechanical System Upgrades</v>
      </c>
      <c r="X20" s="828" t="str">
        <f t="shared" ref="X20:X30" si="12">E20</f>
        <v>Capital Investment</v>
      </c>
      <c r="Y20" s="828" t="str">
        <f t="shared" ref="Y20:Y30" si="13">I20</f>
        <v>Annual Energy Cost Savings</v>
      </c>
      <c r="Z20" s="828" t="str">
        <f t="shared" ref="Z20:Z30" si="14">J20</f>
        <v>Annual Electric Savings (kWh)</v>
      </c>
      <c r="AA20" s="828" t="str">
        <f t="shared" ref="AA20:AA30" si="15">K20</f>
        <v>Annual Oil Savings (Gal)</v>
      </c>
      <c r="AB20" s="828" t="str">
        <f t="shared" ref="AB20:AB30" si="16">L20</f>
        <v>Annual Nat. Gas Savings (Therms)</v>
      </c>
      <c r="AC20" s="828" t="str">
        <f t="shared" ref="AC20:AC30" si="17">M20</f>
        <v>Annual Propane Savings (Gal)</v>
      </c>
      <c r="AD20" s="828" t="str">
        <f t="shared" ref="AD20:AF30" si="18">O20</f>
        <v>Simple Payback (Years)</v>
      </c>
      <c r="AE20" s="828" t="str">
        <f t="shared" si="18"/>
        <v>IRR</v>
      </c>
      <c r="AF20" s="828" t="str">
        <f t="shared" si="18"/>
        <v>NPV</v>
      </c>
      <c r="AQ20" s="828" t="s">
        <v>179</v>
      </c>
    </row>
    <row r="21" spans="1:43" ht="13.5" thickBot="1" x14ac:dyDescent="0.35">
      <c r="A21" s="825">
        <f>SUM(B6:B21)</f>
        <v>11</v>
      </c>
      <c r="B21" s="825">
        <f t="shared" ref="B21:B30" si="19">IF(ISTEXT(D21)=TRUE,1,0)</f>
        <v>1</v>
      </c>
      <c r="C21" s="829" t="str">
        <f>'Individual Measure List'!A33</f>
        <v/>
      </c>
      <c r="D21" s="853" t="str">
        <f>'Individual Measure List'!B33</f>
        <v/>
      </c>
      <c r="E21" s="831" t="str">
        <f>'EEM Data Entry'!D110</f>
        <v/>
      </c>
      <c r="F21" s="831" t="str">
        <f>'EEM Data Entry'!E110</f>
        <v/>
      </c>
      <c r="G21" s="831" t="str">
        <f>'EEM Data Entry'!G110</f>
        <v>N/A</v>
      </c>
      <c r="H21" s="831" t="str">
        <f>'EEM Data Entry'!F110</f>
        <v/>
      </c>
      <c r="I21" s="831">
        <f>'Individual Measure List'!F33</f>
        <v>0</v>
      </c>
      <c r="J21" s="833" t="str">
        <f>IF('Savings Summary'!D34=0,"",'Savings Summary'!D34)</f>
        <v/>
      </c>
      <c r="K21" s="833" t="str">
        <f>IF('Savings Summary'!F34=0,"",'Savings Summary'!F34)</f>
        <v/>
      </c>
      <c r="L21" s="833" t="str">
        <f>IF('Savings Summary'!H34=0,"",'Savings Summary'!H34)</f>
        <v/>
      </c>
      <c r="M21" s="833" t="str">
        <f>IF('Savings Summary'!J34=0,"",'Savings Summary'!J34)</f>
        <v/>
      </c>
      <c r="N21" s="832" t="str">
        <f>IF('RESULTS kBtu'!H21=0,"",'RESULTS kBtu'!H21)</f>
        <v/>
      </c>
      <c r="O21" s="833" t="e">
        <f>'Individual Measure List'!H33</f>
        <v>#VALUE!</v>
      </c>
      <c r="P21" s="834" t="e">
        <f>'Individual Measure List'!J33</f>
        <v>#NUM!</v>
      </c>
      <c r="Q21" s="831" t="e">
        <f>'Individual Measure List'!K33</f>
        <v>#VALUE!</v>
      </c>
      <c r="V21" s="829" t="str">
        <f t="shared" si="10"/>
        <v/>
      </c>
      <c r="W21" s="853" t="str">
        <f t="shared" si="11"/>
        <v/>
      </c>
      <c r="X21" s="831" t="str">
        <f t="shared" si="12"/>
        <v/>
      </c>
      <c r="Y21" s="831">
        <f t="shared" si="13"/>
        <v>0</v>
      </c>
      <c r="Z21" s="833" t="str">
        <f t="shared" si="14"/>
        <v/>
      </c>
      <c r="AA21" s="833" t="str">
        <f t="shared" si="15"/>
        <v/>
      </c>
      <c r="AB21" s="833" t="str">
        <f t="shared" si="16"/>
        <v/>
      </c>
      <c r="AC21" s="833" t="str">
        <f t="shared" si="17"/>
        <v/>
      </c>
      <c r="AD21" s="833" t="e">
        <f t="shared" si="18"/>
        <v>#VALUE!</v>
      </c>
      <c r="AE21" s="834" t="e">
        <f t="shared" si="18"/>
        <v>#NUM!</v>
      </c>
      <c r="AF21" s="831" t="e">
        <f t="shared" si="18"/>
        <v>#VALUE!</v>
      </c>
      <c r="AQ21" s="832">
        <f>'Individual Measure List'!G33</f>
        <v>0</v>
      </c>
    </row>
    <row r="22" spans="1:43" ht="13.5" thickBot="1" x14ac:dyDescent="0.35">
      <c r="A22" s="825">
        <f>SUM(B6:B22)</f>
        <v>12</v>
      </c>
      <c r="B22" s="825">
        <f t="shared" si="19"/>
        <v>1</v>
      </c>
      <c r="C22" s="835" t="str">
        <f>'Individual Measure List'!A34</f>
        <v/>
      </c>
      <c r="D22" s="854" t="str">
        <f>'Individual Measure List'!B34</f>
        <v/>
      </c>
      <c r="E22" s="837" t="str">
        <f>'EEM Data Entry'!D111</f>
        <v/>
      </c>
      <c r="F22" s="837" t="str">
        <f>'EEM Data Entry'!E111</f>
        <v/>
      </c>
      <c r="G22" s="837" t="str">
        <f>'EEM Data Entry'!G111</f>
        <v>N/A</v>
      </c>
      <c r="H22" s="837" t="str">
        <f>'EEM Data Entry'!F111</f>
        <v/>
      </c>
      <c r="I22" s="837">
        <f>'Individual Measure List'!F34</f>
        <v>0</v>
      </c>
      <c r="J22" s="839" t="str">
        <f>IF('Savings Summary'!D35=0,"",'Savings Summary'!D35)</f>
        <v/>
      </c>
      <c r="K22" s="839" t="str">
        <f>IF('Savings Summary'!F35=0,"",'Savings Summary'!F35)</f>
        <v/>
      </c>
      <c r="L22" s="839" t="str">
        <f>IF('Savings Summary'!H35=0,"",'Savings Summary'!H35)</f>
        <v/>
      </c>
      <c r="M22" s="839" t="str">
        <f>IF('Savings Summary'!J35=0,"",'Savings Summary'!J35)</f>
        <v/>
      </c>
      <c r="N22" s="838" t="str">
        <f>IF('RESULTS kBtu'!H22=0,"",'RESULTS kBtu'!H22)</f>
        <v/>
      </c>
      <c r="O22" s="839" t="e">
        <f>'Individual Measure List'!H34</f>
        <v>#VALUE!</v>
      </c>
      <c r="P22" s="840" t="e">
        <f>'Individual Measure List'!J34</f>
        <v>#NUM!</v>
      </c>
      <c r="Q22" s="837" t="e">
        <f>'Individual Measure List'!K34</f>
        <v>#VALUE!</v>
      </c>
      <c r="V22" s="835" t="str">
        <f t="shared" si="10"/>
        <v/>
      </c>
      <c r="W22" s="854" t="str">
        <f t="shared" si="11"/>
        <v/>
      </c>
      <c r="X22" s="837" t="str">
        <f t="shared" si="12"/>
        <v/>
      </c>
      <c r="Y22" s="837">
        <f t="shared" si="13"/>
        <v>0</v>
      </c>
      <c r="Z22" s="839" t="str">
        <f t="shared" si="14"/>
        <v/>
      </c>
      <c r="AA22" s="839" t="str">
        <f t="shared" si="15"/>
        <v/>
      </c>
      <c r="AB22" s="839" t="str">
        <f t="shared" si="16"/>
        <v/>
      </c>
      <c r="AC22" s="839" t="str">
        <f t="shared" si="17"/>
        <v/>
      </c>
      <c r="AD22" s="839" t="e">
        <f t="shared" si="18"/>
        <v>#VALUE!</v>
      </c>
      <c r="AE22" s="840" t="e">
        <f t="shared" si="18"/>
        <v>#NUM!</v>
      </c>
      <c r="AF22" s="837" t="e">
        <f t="shared" si="18"/>
        <v>#VALUE!</v>
      </c>
      <c r="AQ22" s="838">
        <f>'Individual Measure List'!G34</f>
        <v>0</v>
      </c>
    </row>
    <row r="23" spans="1:43" ht="13.5" thickBot="1" x14ac:dyDescent="0.35">
      <c r="A23" s="825">
        <f>SUM(B6:B23)</f>
        <v>13</v>
      </c>
      <c r="B23" s="825">
        <f t="shared" si="19"/>
        <v>1</v>
      </c>
      <c r="C23" s="829" t="str">
        <f>'Individual Measure List'!A35</f>
        <v/>
      </c>
      <c r="D23" s="853" t="str">
        <f>'Individual Measure List'!B35</f>
        <v/>
      </c>
      <c r="E23" s="831" t="str">
        <f>'EEM Data Entry'!D112</f>
        <v/>
      </c>
      <c r="F23" s="831" t="str">
        <f>'EEM Data Entry'!E112</f>
        <v/>
      </c>
      <c r="G23" s="831" t="str">
        <f>'EEM Data Entry'!G112</f>
        <v>N/A</v>
      </c>
      <c r="H23" s="831" t="str">
        <f>'EEM Data Entry'!F112</f>
        <v/>
      </c>
      <c r="I23" s="831">
        <f>'Individual Measure List'!F35</f>
        <v>0</v>
      </c>
      <c r="J23" s="833" t="str">
        <f>IF('Savings Summary'!D36=0,"",'Savings Summary'!D36)</f>
        <v/>
      </c>
      <c r="K23" s="833" t="str">
        <f>IF('Savings Summary'!F36=0,"",'Savings Summary'!F36)</f>
        <v/>
      </c>
      <c r="L23" s="833" t="str">
        <f>IF('Savings Summary'!H36=0,"",'Savings Summary'!H36)</f>
        <v/>
      </c>
      <c r="M23" s="833" t="str">
        <f>IF('Savings Summary'!J36=0,"",'Savings Summary'!J36)</f>
        <v/>
      </c>
      <c r="N23" s="832" t="str">
        <f>IF('RESULTS kBtu'!H23=0,"",'RESULTS kBtu'!H23)</f>
        <v/>
      </c>
      <c r="O23" s="833" t="e">
        <f>'Individual Measure List'!H35</f>
        <v>#VALUE!</v>
      </c>
      <c r="P23" s="834" t="e">
        <f>'Individual Measure List'!J35</f>
        <v>#NUM!</v>
      </c>
      <c r="Q23" s="831" t="e">
        <f>'Individual Measure List'!K35</f>
        <v>#VALUE!</v>
      </c>
      <c r="V23" s="829" t="str">
        <f t="shared" si="10"/>
        <v/>
      </c>
      <c r="W23" s="853" t="str">
        <f t="shared" si="11"/>
        <v/>
      </c>
      <c r="X23" s="831" t="str">
        <f t="shared" si="12"/>
        <v/>
      </c>
      <c r="Y23" s="831">
        <f t="shared" si="13"/>
        <v>0</v>
      </c>
      <c r="Z23" s="833" t="str">
        <f t="shared" si="14"/>
        <v/>
      </c>
      <c r="AA23" s="833" t="str">
        <f t="shared" si="15"/>
        <v/>
      </c>
      <c r="AB23" s="833" t="str">
        <f t="shared" si="16"/>
        <v/>
      </c>
      <c r="AC23" s="833" t="str">
        <f t="shared" si="17"/>
        <v/>
      </c>
      <c r="AD23" s="833" t="e">
        <f t="shared" si="18"/>
        <v>#VALUE!</v>
      </c>
      <c r="AE23" s="834" t="e">
        <f t="shared" si="18"/>
        <v>#NUM!</v>
      </c>
      <c r="AF23" s="831" t="e">
        <f t="shared" si="18"/>
        <v>#VALUE!</v>
      </c>
      <c r="AQ23" s="832">
        <f>'Individual Measure List'!G35</f>
        <v>0</v>
      </c>
    </row>
    <row r="24" spans="1:43" ht="13.5" thickBot="1" x14ac:dyDescent="0.35">
      <c r="A24" s="825">
        <f>SUM(B6:B24)</f>
        <v>14</v>
      </c>
      <c r="B24" s="825">
        <f t="shared" si="19"/>
        <v>1</v>
      </c>
      <c r="C24" s="835" t="str">
        <f>'Individual Measure List'!A36</f>
        <v/>
      </c>
      <c r="D24" s="854" t="str">
        <f>'Individual Measure List'!B36</f>
        <v/>
      </c>
      <c r="E24" s="837" t="str">
        <f>'EEM Data Entry'!D113</f>
        <v/>
      </c>
      <c r="F24" s="837" t="str">
        <f>'EEM Data Entry'!E113</f>
        <v/>
      </c>
      <c r="G24" s="837" t="str">
        <f>'EEM Data Entry'!G113</f>
        <v>N/A</v>
      </c>
      <c r="H24" s="837" t="str">
        <f>'EEM Data Entry'!F113</f>
        <v/>
      </c>
      <c r="I24" s="837">
        <f>'Individual Measure List'!F36</f>
        <v>0</v>
      </c>
      <c r="J24" s="839" t="str">
        <f>IF('Savings Summary'!D37=0,"",'Savings Summary'!D37)</f>
        <v/>
      </c>
      <c r="K24" s="839" t="str">
        <f>IF('Savings Summary'!F37=0,"",'Savings Summary'!F37)</f>
        <v/>
      </c>
      <c r="L24" s="839" t="str">
        <f>IF('Savings Summary'!H37=0,"",'Savings Summary'!H37)</f>
        <v/>
      </c>
      <c r="M24" s="839" t="str">
        <f>IF('Savings Summary'!J37=0,"",'Savings Summary'!J37)</f>
        <v/>
      </c>
      <c r="N24" s="838" t="str">
        <f>IF('RESULTS kBtu'!H24=0,"",'RESULTS kBtu'!H24)</f>
        <v/>
      </c>
      <c r="O24" s="839" t="e">
        <f>'Individual Measure List'!H36</f>
        <v>#VALUE!</v>
      </c>
      <c r="P24" s="840" t="e">
        <f>'Individual Measure List'!J36</f>
        <v>#NUM!</v>
      </c>
      <c r="Q24" s="837" t="e">
        <f>'Individual Measure List'!K36</f>
        <v>#VALUE!</v>
      </c>
      <c r="V24" s="835" t="str">
        <f t="shared" si="10"/>
        <v/>
      </c>
      <c r="W24" s="854" t="str">
        <f t="shared" si="11"/>
        <v/>
      </c>
      <c r="X24" s="837" t="str">
        <f t="shared" si="12"/>
        <v/>
      </c>
      <c r="Y24" s="837">
        <f t="shared" si="13"/>
        <v>0</v>
      </c>
      <c r="Z24" s="839" t="str">
        <f t="shared" si="14"/>
        <v/>
      </c>
      <c r="AA24" s="839" t="str">
        <f t="shared" si="15"/>
        <v/>
      </c>
      <c r="AB24" s="839" t="str">
        <f t="shared" si="16"/>
        <v/>
      </c>
      <c r="AC24" s="839" t="str">
        <f t="shared" si="17"/>
        <v/>
      </c>
      <c r="AD24" s="839" t="e">
        <f t="shared" si="18"/>
        <v>#VALUE!</v>
      </c>
      <c r="AE24" s="840" t="e">
        <f t="shared" si="18"/>
        <v>#NUM!</v>
      </c>
      <c r="AF24" s="837" t="e">
        <f t="shared" si="18"/>
        <v>#VALUE!</v>
      </c>
      <c r="AQ24" s="838">
        <f>'Individual Measure List'!G36</f>
        <v>0</v>
      </c>
    </row>
    <row r="25" spans="1:43" ht="13.5" thickBot="1" x14ac:dyDescent="0.35">
      <c r="A25" s="825">
        <f>SUM(B6:B25)</f>
        <v>15</v>
      </c>
      <c r="B25" s="825">
        <f t="shared" si="19"/>
        <v>1</v>
      </c>
      <c r="C25" s="829" t="str">
        <f>'Individual Measure List'!A37</f>
        <v/>
      </c>
      <c r="D25" s="853" t="str">
        <f>'Individual Measure List'!B37</f>
        <v/>
      </c>
      <c r="E25" s="831" t="str">
        <f>'EEM Data Entry'!D114</f>
        <v/>
      </c>
      <c r="F25" s="831" t="str">
        <f>'EEM Data Entry'!E114</f>
        <v/>
      </c>
      <c r="G25" s="831" t="str">
        <f>'EEM Data Entry'!G114</f>
        <v>N/A</v>
      </c>
      <c r="H25" s="831" t="str">
        <f>'EEM Data Entry'!F114</f>
        <v/>
      </c>
      <c r="I25" s="831">
        <f>'Individual Measure List'!F37</f>
        <v>0</v>
      </c>
      <c r="J25" s="833" t="str">
        <f>IF('Savings Summary'!D38=0,"",'Savings Summary'!D38)</f>
        <v/>
      </c>
      <c r="K25" s="833" t="str">
        <f>IF('Savings Summary'!F38=0,"",'Savings Summary'!F38)</f>
        <v/>
      </c>
      <c r="L25" s="833" t="str">
        <f>IF('Savings Summary'!H38=0,"",'Savings Summary'!H38)</f>
        <v/>
      </c>
      <c r="M25" s="833" t="str">
        <f>IF('Savings Summary'!J38=0,"",'Savings Summary'!J38)</f>
        <v/>
      </c>
      <c r="N25" s="832" t="str">
        <f>IF('RESULTS kBtu'!H25=0,"",'RESULTS kBtu'!H25)</f>
        <v/>
      </c>
      <c r="O25" s="833" t="e">
        <f>'Individual Measure List'!H37</f>
        <v>#VALUE!</v>
      </c>
      <c r="P25" s="834" t="e">
        <f>'Individual Measure List'!J37</f>
        <v>#NUM!</v>
      </c>
      <c r="Q25" s="831" t="e">
        <f>'Individual Measure List'!K37</f>
        <v>#VALUE!</v>
      </c>
      <c r="V25" s="829" t="str">
        <f t="shared" si="10"/>
        <v/>
      </c>
      <c r="W25" s="853" t="str">
        <f t="shared" si="11"/>
        <v/>
      </c>
      <c r="X25" s="831" t="str">
        <f t="shared" si="12"/>
        <v/>
      </c>
      <c r="Y25" s="831">
        <f t="shared" si="13"/>
        <v>0</v>
      </c>
      <c r="Z25" s="833" t="str">
        <f t="shared" si="14"/>
        <v/>
      </c>
      <c r="AA25" s="833" t="str">
        <f t="shared" si="15"/>
        <v/>
      </c>
      <c r="AB25" s="833" t="str">
        <f t="shared" si="16"/>
        <v/>
      </c>
      <c r="AC25" s="833" t="str">
        <f t="shared" si="17"/>
        <v/>
      </c>
      <c r="AD25" s="833" t="e">
        <f t="shared" si="18"/>
        <v>#VALUE!</v>
      </c>
      <c r="AE25" s="834" t="e">
        <f t="shared" si="18"/>
        <v>#NUM!</v>
      </c>
      <c r="AF25" s="831" t="e">
        <f t="shared" si="18"/>
        <v>#VALUE!</v>
      </c>
      <c r="AQ25" s="832">
        <f>'Individual Measure List'!G37</f>
        <v>0</v>
      </c>
    </row>
    <row r="26" spans="1:43" ht="13.5" thickBot="1" x14ac:dyDescent="0.35">
      <c r="A26" s="825">
        <f>SUM(B6:B26)</f>
        <v>16</v>
      </c>
      <c r="B26" s="825">
        <f t="shared" si="19"/>
        <v>1</v>
      </c>
      <c r="C26" s="835" t="str">
        <f>'Individual Measure List'!A38</f>
        <v/>
      </c>
      <c r="D26" s="854" t="str">
        <f>'Individual Measure List'!B38</f>
        <v/>
      </c>
      <c r="E26" s="837" t="str">
        <f>'EEM Data Entry'!D115</f>
        <v/>
      </c>
      <c r="F26" s="837" t="str">
        <f>'EEM Data Entry'!E115</f>
        <v/>
      </c>
      <c r="G26" s="837" t="str">
        <f>'EEM Data Entry'!G115</f>
        <v>N/A</v>
      </c>
      <c r="H26" s="837" t="str">
        <f>'EEM Data Entry'!F115</f>
        <v/>
      </c>
      <c r="I26" s="837">
        <f>'Individual Measure List'!F38</f>
        <v>0</v>
      </c>
      <c r="J26" s="839" t="str">
        <f>IF('Savings Summary'!D39=0,"",'Savings Summary'!D39)</f>
        <v/>
      </c>
      <c r="K26" s="839" t="str">
        <f>IF('Savings Summary'!F39=0,"",'Savings Summary'!F39)</f>
        <v/>
      </c>
      <c r="L26" s="839" t="str">
        <f>IF('Savings Summary'!H39=0,"",'Savings Summary'!H39)</f>
        <v/>
      </c>
      <c r="M26" s="839" t="str">
        <f>IF('Savings Summary'!J39=0,"",'Savings Summary'!J39)</f>
        <v/>
      </c>
      <c r="N26" s="838" t="str">
        <f>IF('RESULTS kBtu'!H26=0,"",'RESULTS kBtu'!H26)</f>
        <v/>
      </c>
      <c r="O26" s="839" t="e">
        <f>'Individual Measure List'!H38</f>
        <v>#VALUE!</v>
      </c>
      <c r="P26" s="840" t="e">
        <f>'Individual Measure List'!J38</f>
        <v>#NUM!</v>
      </c>
      <c r="Q26" s="837" t="e">
        <f>'Individual Measure List'!K38</f>
        <v>#VALUE!</v>
      </c>
      <c r="V26" s="835" t="str">
        <f t="shared" si="10"/>
        <v/>
      </c>
      <c r="W26" s="854" t="str">
        <f t="shared" si="11"/>
        <v/>
      </c>
      <c r="X26" s="837" t="str">
        <f t="shared" si="12"/>
        <v/>
      </c>
      <c r="Y26" s="837">
        <f t="shared" si="13"/>
        <v>0</v>
      </c>
      <c r="Z26" s="839" t="str">
        <f t="shared" si="14"/>
        <v/>
      </c>
      <c r="AA26" s="839" t="str">
        <f t="shared" si="15"/>
        <v/>
      </c>
      <c r="AB26" s="839" t="str">
        <f t="shared" si="16"/>
        <v/>
      </c>
      <c r="AC26" s="839" t="str">
        <f t="shared" si="17"/>
        <v/>
      </c>
      <c r="AD26" s="839" t="e">
        <f t="shared" si="18"/>
        <v>#VALUE!</v>
      </c>
      <c r="AE26" s="840" t="e">
        <f t="shared" si="18"/>
        <v>#NUM!</v>
      </c>
      <c r="AF26" s="837" t="e">
        <f t="shared" si="18"/>
        <v>#VALUE!</v>
      </c>
      <c r="AQ26" s="838">
        <f>'Individual Measure List'!G38</f>
        <v>0</v>
      </c>
    </row>
    <row r="27" spans="1:43" ht="13.5" thickBot="1" x14ac:dyDescent="0.35">
      <c r="A27" s="825">
        <f>SUM(B6:B27)</f>
        <v>17</v>
      </c>
      <c r="B27" s="825">
        <f t="shared" si="19"/>
        <v>1</v>
      </c>
      <c r="C27" s="829" t="str">
        <f>'Individual Measure List'!A39</f>
        <v/>
      </c>
      <c r="D27" s="853" t="str">
        <f>'Individual Measure List'!B39</f>
        <v/>
      </c>
      <c r="E27" s="831" t="str">
        <f>'EEM Data Entry'!D116</f>
        <v/>
      </c>
      <c r="F27" s="831" t="str">
        <f>'EEM Data Entry'!E116</f>
        <v/>
      </c>
      <c r="G27" s="831" t="str">
        <f>'EEM Data Entry'!G116</f>
        <v>N/A</v>
      </c>
      <c r="H27" s="831" t="str">
        <f>'EEM Data Entry'!F116</f>
        <v/>
      </c>
      <c r="I27" s="831">
        <f>'Individual Measure List'!F39</f>
        <v>0</v>
      </c>
      <c r="J27" s="833" t="str">
        <f>IF('Savings Summary'!D40=0,"",'Savings Summary'!D40)</f>
        <v/>
      </c>
      <c r="K27" s="833" t="str">
        <f>IF('Savings Summary'!F40=0,"",'Savings Summary'!F40)</f>
        <v/>
      </c>
      <c r="L27" s="833" t="str">
        <f>IF('Savings Summary'!H40=0,"",'Savings Summary'!H40)</f>
        <v/>
      </c>
      <c r="M27" s="833" t="str">
        <f>IF('Savings Summary'!J40=0,"",'Savings Summary'!J40)</f>
        <v/>
      </c>
      <c r="N27" s="832" t="str">
        <f>IF('RESULTS kBtu'!H27=0,"",'RESULTS kBtu'!H27)</f>
        <v/>
      </c>
      <c r="O27" s="833" t="e">
        <f>'Individual Measure List'!H39</f>
        <v>#VALUE!</v>
      </c>
      <c r="P27" s="834" t="e">
        <f>'Individual Measure List'!J39</f>
        <v>#NUM!</v>
      </c>
      <c r="Q27" s="831" t="e">
        <f>'Individual Measure List'!K39</f>
        <v>#VALUE!</v>
      </c>
      <c r="V27" s="829" t="str">
        <f t="shared" si="10"/>
        <v/>
      </c>
      <c r="W27" s="853" t="str">
        <f t="shared" si="11"/>
        <v/>
      </c>
      <c r="X27" s="831" t="str">
        <f t="shared" si="12"/>
        <v/>
      </c>
      <c r="Y27" s="831">
        <f t="shared" si="13"/>
        <v>0</v>
      </c>
      <c r="Z27" s="833" t="str">
        <f t="shared" si="14"/>
        <v/>
      </c>
      <c r="AA27" s="833" t="str">
        <f t="shared" si="15"/>
        <v/>
      </c>
      <c r="AB27" s="833" t="str">
        <f t="shared" si="16"/>
        <v/>
      </c>
      <c r="AC27" s="833" t="str">
        <f t="shared" si="17"/>
        <v/>
      </c>
      <c r="AD27" s="833" t="e">
        <f t="shared" si="18"/>
        <v>#VALUE!</v>
      </c>
      <c r="AE27" s="834" t="e">
        <f t="shared" si="18"/>
        <v>#NUM!</v>
      </c>
      <c r="AF27" s="831" t="e">
        <f t="shared" si="18"/>
        <v>#VALUE!</v>
      </c>
      <c r="AQ27" s="832">
        <f>'Individual Measure List'!G39</f>
        <v>0</v>
      </c>
    </row>
    <row r="28" spans="1:43" ht="13.5" thickBot="1" x14ac:dyDescent="0.35">
      <c r="A28" s="825">
        <f>SUM(B6:B28)</f>
        <v>18</v>
      </c>
      <c r="B28" s="825">
        <f t="shared" si="19"/>
        <v>1</v>
      </c>
      <c r="C28" s="835" t="str">
        <f>'Individual Measure List'!A40</f>
        <v/>
      </c>
      <c r="D28" s="854" t="str">
        <f>'Individual Measure List'!B40</f>
        <v/>
      </c>
      <c r="E28" s="837" t="str">
        <f>'EEM Data Entry'!D117</f>
        <v/>
      </c>
      <c r="F28" s="837" t="str">
        <f>'EEM Data Entry'!E117</f>
        <v/>
      </c>
      <c r="G28" s="837" t="str">
        <f>'EEM Data Entry'!G117</f>
        <v>N/A</v>
      </c>
      <c r="H28" s="837" t="str">
        <f>'EEM Data Entry'!F117</f>
        <v/>
      </c>
      <c r="I28" s="837">
        <f>'Individual Measure List'!F40</f>
        <v>0</v>
      </c>
      <c r="J28" s="839" t="str">
        <f>IF('Savings Summary'!D41=0,"",'Savings Summary'!D41)</f>
        <v/>
      </c>
      <c r="K28" s="839" t="str">
        <f>IF('Savings Summary'!F41=0,"",'Savings Summary'!F41)</f>
        <v/>
      </c>
      <c r="L28" s="839" t="str">
        <f>IF('Savings Summary'!H41=0,"",'Savings Summary'!H41)</f>
        <v/>
      </c>
      <c r="M28" s="839" t="str">
        <f>IF('Savings Summary'!J41=0,"",'Savings Summary'!J41)</f>
        <v/>
      </c>
      <c r="N28" s="838" t="str">
        <f>IF('RESULTS kBtu'!H28=0,"",'RESULTS kBtu'!H28)</f>
        <v/>
      </c>
      <c r="O28" s="839" t="e">
        <f>'Individual Measure List'!H40</f>
        <v>#VALUE!</v>
      </c>
      <c r="P28" s="840" t="e">
        <f>'Individual Measure List'!J40</f>
        <v>#NUM!</v>
      </c>
      <c r="Q28" s="837" t="e">
        <f>'Individual Measure List'!K40</f>
        <v>#VALUE!</v>
      </c>
      <c r="V28" s="835" t="str">
        <f t="shared" si="10"/>
        <v/>
      </c>
      <c r="W28" s="854" t="str">
        <f t="shared" si="11"/>
        <v/>
      </c>
      <c r="X28" s="837" t="str">
        <f t="shared" si="12"/>
        <v/>
      </c>
      <c r="Y28" s="837">
        <f t="shared" si="13"/>
        <v>0</v>
      </c>
      <c r="Z28" s="839" t="str">
        <f t="shared" si="14"/>
        <v/>
      </c>
      <c r="AA28" s="839" t="str">
        <f t="shared" si="15"/>
        <v/>
      </c>
      <c r="AB28" s="839" t="str">
        <f t="shared" si="16"/>
        <v/>
      </c>
      <c r="AC28" s="839" t="str">
        <f t="shared" si="17"/>
        <v/>
      </c>
      <c r="AD28" s="839" t="e">
        <f t="shared" si="18"/>
        <v>#VALUE!</v>
      </c>
      <c r="AE28" s="840" t="e">
        <f t="shared" si="18"/>
        <v>#NUM!</v>
      </c>
      <c r="AF28" s="837" t="e">
        <f t="shared" si="18"/>
        <v>#VALUE!</v>
      </c>
      <c r="AQ28" s="838">
        <f>'Individual Measure List'!G40</f>
        <v>0</v>
      </c>
    </row>
    <row r="29" spans="1:43" ht="13.5" thickBot="1" x14ac:dyDescent="0.35">
      <c r="A29" s="825">
        <f>SUM(B6:B29)</f>
        <v>19</v>
      </c>
      <c r="B29" s="825">
        <f t="shared" si="19"/>
        <v>1</v>
      </c>
      <c r="C29" s="829" t="str">
        <f>'Individual Measure List'!A41</f>
        <v/>
      </c>
      <c r="D29" s="853" t="str">
        <f>'Individual Measure List'!B41</f>
        <v/>
      </c>
      <c r="E29" s="831" t="str">
        <f>'EEM Data Entry'!D118</f>
        <v/>
      </c>
      <c r="F29" s="831" t="str">
        <f>'EEM Data Entry'!E118</f>
        <v/>
      </c>
      <c r="G29" s="831" t="str">
        <f>'EEM Data Entry'!G118</f>
        <v>N/A</v>
      </c>
      <c r="H29" s="831" t="str">
        <f>'EEM Data Entry'!F118</f>
        <v/>
      </c>
      <c r="I29" s="831">
        <f>'Individual Measure List'!F41</f>
        <v>0</v>
      </c>
      <c r="J29" s="833" t="str">
        <f>IF('Savings Summary'!D42=0,"",'Savings Summary'!D42)</f>
        <v/>
      </c>
      <c r="K29" s="833" t="str">
        <f>IF('Savings Summary'!F42=0,"",'Savings Summary'!F42)</f>
        <v/>
      </c>
      <c r="L29" s="833" t="str">
        <f>IF('Savings Summary'!H42=0,"",'Savings Summary'!H42)</f>
        <v/>
      </c>
      <c r="M29" s="833" t="str">
        <f>IF('Savings Summary'!J42=0,"",'Savings Summary'!J42)</f>
        <v/>
      </c>
      <c r="N29" s="832" t="str">
        <f>IF('RESULTS kBtu'!H29=0,"",'RESULTS kBtu'!H29)</f>
        <v/>
      </c>
      <c r="O29" s="833" t="e">
        <f>'Individual Measure List'!H41</f>
        <v>#VALUE!</v>
      </c>
      <c r="P29" s="834" t="e">
        <f>'Individual Measure List'!J41</f>
        <v>#NUM!</v>
      </c>
      <c r="Q29" s="831" t="e">
        <f>'Individual Measure List'!K41</f>
        <v>#VALUE!</v>
      </c>
      <c r="V29" s="829" t="str">
        <f t="shared" si="10"/>
        <v/>
      </c>
      <c r="W29" s="853" t="str">
        <f t="shared" si="11"/>
        <v/>
      </c>
      <c r="X29" s="831" t="str">
        <f t="shared" si="12"/>
        <v/>
      </c>
      <c r="Y29" s="831">
        <f t="shared" si="13"/>
        <v>0</v>
      </c>
      <c r="Z29" s="833" t="str">
        <f t="shared" si="14"/>
        <v/>
      </c>
      <c r="AA29" s="833" t="str">
        <f t="shared" si="15"/>
        <v/>
      </c>
      <c r="AB29" s="833" t="str">
        <f t="shared" si="16"/>
        <v/>
      </c>
      <c r="AC29" s="833" t="str">
        <f t="shared" si="17"/>
        <v/>
      </c>
      <c r="AD29" s="833" t="e">
        <f t="shared" si="18"/>
        <v>#VALUE!</v>
      </c>
      <c r="AE29" s="834" t="e">
        <f t="shared" si="18"/>
        <v>#NUM!</v>
      </c>
      <c r="AF29" s="831" t="e">
        <f t="shared" si="18"/>
        <v>#VALUE!</v>
      </c>
      <c r="AQ29" s="832">
        <f>'Individual Measure List'!G41</f>
        <v>0</v>
      </c>
    </row>
    <row r="30" spans="1:43" ht="13.5" thickBot="1" x14ac:dyDescent="0.35">
      <c r="A30" s="825">
        <f>SUM(B6:B30)</f>
        <v>20</v>
      </c>
      <c r="B30" s="825">
        <f t="shared" si="19"/>
        <v>1</v>
      </c>
      <c r="C30" s="835" t="str">
        <f>'Individual Measure List'!A42</f>
        <v/>
      </c>
      <c r="D30" s="854" t="str">
        <f>'Individual Measure List'!B42</f>
        <v/>
      </c>
      <c r="E30" s="837" t="str">
        <f>'EEM Data Entry'!D119</f>
        <v/>
      </c>
      <c r="F30" s="837" t="str">
        <f>'EEM Data Entry'!E119</f>
        <v/>
      </c>
      <c r="G30" s="837" t="str">
        <f>'EEM Data Entry'!G119</f>
        <v>N/A</v>
      </c>
      <c r="H30" s="837" t="str">
        <f>'EEM Data Entry'!F119</f>
        <v/>
      </c>
      <c r="I30" s="837">
        <f>'Individual Measure List'!F42</f>
        <v>0</v>
      </c>
      <c r="J30" s="839" t="str">
        <f>IF('Savings Summary'!D43=0,"",'Savings Summary'!D43)</f>
        <v/>
      </c>
      <c r="K30" s="839" t="str">
        <f>IF('Savings Summary'!F43=0,"",'Savings Summary'!F43)</f>
        <v/>
      </c>
      <c r="L30" s="839" t="str">
        <f>IF('Savings Summary'!H43=0,"",'Savings Summary'!H43)</f>
        <v/>
      </c>
      <c r="M30" s="839" t="str">
        <f>IF('Savings Summary'!J43=0,"",'Savings Summary'!J43)</f>
        <v/>
      </c>
      <c r="N30" s="850" t="str">
        <f>IF('RESULTS kBtu'!H30=0,"",'RESULTS kBtu'!H30)</f>
        <v/>
      </c>
      <c r="O30" s="839" t="e">
        <f>'Individual Measure List'!H42</f>
        <v>#VALUE!</v>
      </c>
      <c r="P30" s="840" t="e">
        <f>'Individual Measure List'!J42</f>
        <v>#NUM!</v>
      </c>
      <c r="Q30" s="837" t="e">
        <f>'Individual Measure List'!K42</f>
        <v>#VALUE!</v>
      </c>
      <c r="V30" s="835" t="str">
        <f t="shared" si="10"/>
        <v/>
      </c>
      <c r="W30" s="854" t="str">
        <f t="shared" si="11"/>
        <v/>
      </c>
      <c r="X30" s="837" t="str">
        <f t="shared" si="12"/>
        <v/>
      </c>
      <c r="Y30" s="837">
        <f t="shared" si="13"/>
        <v>0</v>
      </c>
      <c r="Z30" s="839" t="str">
        <f t="shared" si="14"/>
        <v/>
      </c>
      <c r="AA30" s="839" t="str">
        <f t="shared" si="15"/>
        <v/>
      </c>
      <c r="AB30" s="839" t="str">
        <f t="shared" si="16"/>
        <v/>
      </c>
      <c r="AC30" s="839" t="str">
        <f t="shared" si="17"/>
        <v/>
      </c>
      <c r="AD30" s="839" t="e">
        <f t="shared" si="18"/>
        <v>#VALUE!</v>
      </c>
      <c r="AE30" s="840" t="e">
        <f t="shared" si="18"/>
        <v>#NUM!</v>
      </c>
      <c r="AF30" s="837" t="e">
        <f t="shared" si="18"/>
        <v>#VALUE!</v>
      </c>
      <c r="AQ30" s="838">
        <f>'Individual Measure List'!G42</f>
        <v>0</v>
      </c>
    </row>
    <row r="31" spans="1:43" ht="16" customHeight="1" thickBot="1" x14ac:dyDescent="0.35">
      <c r="C31" s="957" t="s">
        <v>381</v>
      </c>
      <c r="D31" s="958"/>
      <c r="E31" s="958"/>
      <c r="F31" s="958"/>
      <c r="G31" s="958"/>
      <c r="H31" s="958"/>
      <c r="I31" s="958"/>
      <c r="J31" s="958"/>
      <c r="K31" s="958"/>
      <c r="L31" s="958"/>
      <c r="M31" s="958"/>
      <c r="N31" s="958"/>
      <c r="O31" s="958"/>
      <c r="P31" s="958"/>
      <c r="Q31" s="959"/>
      <c r="V31" s="957" t="s">
        <v>381</v>
      </c>
      <c r="W31" s="958"/>
      <c r="X31" s="958"/>
      <c r="Y31" s="958"/>
      <c r="Z31" s="958"/>
      <c r="AA31" s="958"/>
      <c r="AB31" s="958"/>
      <c r="AC31" s="958"/>
      <c r="AD31" s="958"/>
      <c r="AE31" s="958"/>
      <c r="AF31" s="959"/>
      <c r="AQ31" s="867"/>
    </row>
    <row r="33" spans="1:43" x14ac:dyDescent="0.3">
      <c r="C33" s="826" t="s">
        <v>405</v>
      </c>
      <c r="V33" s="826" t="s">
        <v>405</v>
      </c>
    </row>
    <row r="34" spans="1:43" ht="13.5" thickBot="1" x14ac:dyDescent="0.35"/>
    <row r="35" spans="1:43" ht="52.5" thickBot="1" x14ac:dyDescent="0.35">
      <c r="C35" s="827" t="s">
        <v>144</v>
      </c>
      <c r="D35" s="828" t="s">
        <v>409</v>
      </c>
      <c r="E35" s="828" t="s">
        <v>129</v>
      </c>
      <c r="F35" s="828" t="s">
        <v>371</v>
      </c>
      <c r="G35" s="828" t="s">
        <v>377</v>
      </c>
      <c r="H35" s="828" t="s">
        <v>372</v>
      </c>
      <c r="I35" s="828" t="s">
        <v>178</v>
      </c>
      <c r="J35" s="828" t="s">
        <v>373</v>
      </c>
      <c r="K35" s="828" t="s">
        <v>374</v>
      </c>
      <c r="L35" s="828" t="s">
        <v>375</v>
      </c>
      <c r="M35" s="828" t="s">
        <v>376</v>
      </c>
      <c r="N35" s="828" t="s">
        <v>179</v>
      </c>
      <c r="O35" s="828" t="s">
        <v>183</v>
      </c>
      <c r="P35" s="828" t="s">
        <v>17</v>
      </c>
      <c r="Q35" s="828" t="s">
        <v>22</v>
      </c>
      <c r="V35" s="827" t="str">
        <f t="shared" ref="V35:V45" si="20">C35</f>
        <v>EEM #</v>
      </c>
      <c r="W35" s="828" t="str">
        <f t="shared" ref="W35:W45" si="21">D35</f>
        <v>Appliances &amp; Lighting Upgrades</v>
      </c>
      <c r="X35" s="828" t="str">
        <f t="shared" ref="X35:X45" si="22">E35</f>
        <v>Capital Investment</v>
      </c>
      <c r="Y35" s="828" t="str">
        <f t="shared" ref="Y35:Y45" si="23">I35</f>
        <v>Annual Energy Cost Savings</v>
      </c>
      <c r="Z35" s="828" t="str">
        <f t="shared" ref="Z35:Z45" si="24">J35</f>
        <v>Annual Electric Savings (kWh)</v>
      </c>
      <c r="AA35" s="828" t="str">
        <f t="shared" ref="AA35:AA45" si="25">K35</f>
        <v>Annual Oil Savings (Gal)</v>
      </c>
      <c r="AB35" s="828" t="str">
        <f t="shared" ref="AB35:AB45" si="26">L35</f>
        <v>Annual Nat. Gas Savings (Therms)</v>
      </c>
      <c r="AC35" s="828" t="str">
        <f t="shared" ref="AC35:AC45" si="27">M35</f>
        <v>Annual Propane Savings (Gal)</v>
      </c>
      <c r="AD35" s="828" t="str">
        <f t="shared" ref="AD35:AF45" si="28">O35</f>
        <v>Simple Payback (Years)</v>
      </c>
      <c r="AE35" s="828" t="str">
        <f t="shared" si="28"/>
        <v>IRR</v>
      </c>
      <c r="AF35" s="828" t="str">
        <f t="shared" si="28"/>
        <v>NPV</v>
      </c>
      <c r="AQ35" s="828" t="s">
        <v>179</v>
      </c>
    </row>
    <row r="36" spans="1:43" ht="13.5" thickBot="1" x14ac:dyDescent="0.35">
      <c r="A36" s="825">
        <f>SUM(B6:B36)</f>
        <v>21</v>
      </c>
      <c r="B36" s="825">
        <f t="shared" ref="B36:B45" si="29">IF(ISTEXT(D36)=TRUE,1,0)</f>
        <v>1</v>
      </c>
      <c r="C36" s="829" t="str">
        <f>'Individual Measure List'!A49</f>
        <v/>
      </c>
      <c r="D36" s="830" t="str">
        <f>'Individual Measure List'!B49</f>
        <v/>
      </c>
      <c r="E36" s="831" t="str">
        <f>'EEM Data Entry'!D125</f>
        <v/>
      </c>
      <c r="F36" s="831" t="str">
        <f>'EEM Data Entry'!E125</f>
        <v/>
      </c>
      <c r="G36" s="831" t="str">
        <f>'EEM Data Entry'!G125</f>
        <v>N/A</v>
      </c>
      <c r="H36" s="831" t="str">
        <f>'EEM Data Entry'!F125</f>
        <v/>
      </c>
      <c r="I36" s="831">
        <f>'Individual Measure List'!F49</f>
        <v>0</v>
      </c>
      <c r="J36" s="833" t="str">
        <f>IF('Savings Summary'!D51=0,"",'Savings Summary'!D51)</f>
        <v/>
      </c>
      <c r="K36" s="833" t="str">
        <f>IF('Savings Summary'!F51=0,"",'Savings Summary'!F51)</f>
        <v/>
      </c>
      <c r="L36" s="833" t="str">
        <f>IF('Savings Summary'!H51=0,"",'Savings Summary'!H51)</f>
        <v/>
      </c>
      <c r="M36" s="833" t="str">
        <f>IF('Savings Summary'!J51=0,"",'Savings Summary'!J51)</f>
        <v/>
      </c>
      <c r="N36" s="832" t="str">
        <f>IF('RESULTS kBtu'!H36=0,"",'RESULTS kBtu'!H36)</f>
        <v/>
      </c>
      <c r="O36" s="833" t="e">
        <f>'Individual Measure List'!H49</f>
        <v>#VALUE!</v>
      </c>
      <c r="P36" s="834" t="e">
        <f>'Individual Measure List'!J49</f>
        <v>#NUM!</v>
      </c>
      <c r="Q36" s="831" t="e">
        <f>'Individual Measure List'!K49</f>
        <v>#VALUE!</v>
      </c>
      <c r="V36" s="829" t="str">
        <f t="shared" si="20"/>
        <v/>
      </c>
      <c r="W36" s="830" t="str">
        <f t="shared" si="21"/>
        <v/>
      </c>
      <c r="X36" s="831" t="str">
        <f t="shared" si="22"/>
        <v/>
      </c>
      <c r="Y36" s="831">
        <f t="shared" si="23"/>
        <v>0</v>
      </c>
      <c r="Z36" s="833" t="str">
        <f t="shared" si="24"/>
        <v/>
      </c>
      <c r="AA36" s="833" t="str">
        <f t="shared" si="25"/>
        <v/>
      </c>
      <c r="AB36" s="833" t="str">
        <f t="shared" si="26"/>
        <v/>
      </c>
      <c r="AC36" s="833" t="str">
        <f t="shared" si="27"/>
        <v/>
      </c>
      <c r="AD36" s="833" t="e">
        <f t="shared" si="28"/>
        <v>#VALUE!</v>
      </c>
      <c r="AE36" s="834" t="e">
        <f t="shared" si="28"/>
        <v>#NUM!</v>
      </c>
      <c r="AF36" s="831" t="e">
        <f t="shared" si="28"/>
        <v>#VALUE!</v>
      </c>
      <c r="AQ36" s="832">
        <f>'Individual Measure List'!G49</f>
        <v>0</v>
      </c>
    </row>
    <row r="37" spans="1:43" ht="13.5" thickBot="1" x14ac:dyDescent="0.35">
      <c r="A37" s="825">
        <f>SUM(B6:B37)</f>
        <v>22</v>
      </c>
      <c r="B37" s="825">
        <f t="shared" si="29"/>
        <v>1</v>
      </c>
      <c r="C37" s="835" t="str">
        <f>'Individual Measure List'!A50</f>
        <v/>
      </c>
      <c r="D37" s="836" t="str">
        <f>'Individual Measure List'!B50</f>
        <v/>
      </c>
      <c r="E37" s="837" t="str">
        <f>'EEM Data Entry'!D126</f>
        <v/>
      </c>
      <c r="F37" s="837" t="str">
        <f>'EEM Data Entry'!E126</f>
        <v/>
      </c>
      <c r="G37" s="837" t="str">
        <f>'EEM Data Entry'!G126</f>
        <v>N/A</v>
      </c>
      <c r="H37" s="837" t="str">
        <f>'EEM Data Entry'!F126</f>
        <v/>
      </c>
      <c r="I37" s="837">
        <f>'Individual Measure List'!F50</f>
        <v>0</v>
      </c>
      <c r="J37" s="839" t="str">
        <f>IF('Savings Summary'!D52=0,"",'Savings Summary'!D52)</f>
        <v/>
      </c>
      <c r="K37" s="839" t="str">
        <f>IF('Savings Summary'!F52=0,"",'Savings Summary'!F52)</f>
        <v/>
      </c>
      <c r="L37" s="839" t="str">
        <f>IF('Savings Summary'!H52=0,"",'Savings Summary'!H52)</f>
        <v/>
      </c>
      <c r="M37" s="839" t="str">
        <f>IF('Savings Summary'!J52=0,"",'Savings Summary'!J52)</f>
        <v/>
      </c>
      <c r="N37" s="838" t="str">
        <f>IF('RESULTS kBtu'!H37=0,"",'RESULTS kBtu'!H37)</f>
        <v/>
      </c>
      <c r="O37" s="839" t="e">
        <f>'Individual Measure List'!H50</f>
        <v>#VALUE!</v>
      </c>
      <c r="P37" s="840" t="e">
        <f>'Individual Measure List'!J50</f>
        <v>#NUM!</v>
      </c>
      <c r="Q37" s="837" t="e">
        <f>'Individual Measure List'!K50</f>
        <v>#VALUE!</v>
      </c>
      <c r="V37" s="835" t="str">
        <f t="shared" si="20"/>
        <v/>
      </c>
      <c r="W37" s="836" t="str">
        <f t="shared" si="21"/>
        <v/>
      </c>
      <c r="X37" s="837" t="str">
        <f t="shared" si="22"/>
        <v/>
      </c>
      <c r="Y37" s="837">
        <f t="shared" si="23"/>
        <v>0</v>
      </c>
      <c r="Z37" s="839" t="str">
        <f t="shared" si="24"/>
        <v/>
      </c>
      <c r="AA37" s="839" t="str">
        <f t="shared" si="25"/>
        <v/>
      </c>
      <c r="AB37" s="839" t="str">
        <f t="shared" si="26"/>
        <v/>
      </c>
      <c r="AC37" s="839" t="str">
        <f t="shared" si="27"/>
        <v/>
      </c>
      <c r="AD37" s="839" t="e">
        <f t="shared" si="28"/>
        <v>#VALUE!</v>
      </c>
      <c r="AE37" s="840" t="e">
        <f t="shared" si="28"/>
        <v>#NUM!</v>
      </c>
      <c r="AF37" s="837" t="e">
        <f t="shared" si="28"/>
        <v>#VALUE!</v>
      </c>
      <c r="AQ37" s="838">
        <f>'Individual Measure List'!G50</f>
        <v>0</v>
      </c>
    </row>
    <row r="38" spans="1:43" ht="13.5" thickBot="1" x14ac:dyDescent="0.35">
      <c r="A38" s="825">
        <f>SUM(B6:B38)</f>
        <v>23</v>
      </c>
      <c r="B38" s="825">
        <f t="shared" si="29"/>
        <v>1</v>
      </c>
      <c r="C38" s="829" t="str">
        <f>'Individual Measure List'!A51</f>
        <v/>
      </c>
      <c r="D38" s="830" t="str">
        <f>'Individual Measure List'!B51</f>
        <v/>
      </c>
      <c r="E38" s="831" t="str">
        <f>'EEM Data Entry'!D127</f>
        <v/>
      </c>
      <c r="F38" s="831" t="str">
        <f>'EEM Data Entry'!E127</f>
        <v/>
      </c>
      <c r="G38" s="831" t="str">
        <f>'EEM Data Entry'!G127</f>
        <v>N/A</v>
      </c>
      <c r="H38" s="831" t="str">
        <f>'EEM Data Entry'!F127</f>
        <v/>
      </c>
      <c r="I38" s="831">
        <f>'Individual Measure List'!F51</f>
        <v>0</v>
      </c>
      <c r="J38" s="833" t="str">
        <f>IF('Savings Summary'!D53=0,"",'Savings Summary'!D53)</f>
        <v/>
      </c>
      <c r="K38" s="833" t="str">
        <f>IF('Savings Summary'!F53=0,"",'Savings Summary'!F53)</f>
        <v/>
      </c>
      <c r="L38" s="833" t="str">
        <f>IF('Savings Summary'!H53=0,"",'Savings Summary'!H53)</f>
        <v/>
      </c>
      <c r="M38" s="833" t="str">
        <f>IF('Savings Summary'!J53=0,"",'Savings Summary'!J53)</f>
        <v/>
      </c>
      <c r="N38" s="832" t="str">
        <f>IF('RESULTS kBtu'!H38=0,"",'RESULTS kBtu'!H38)</f>
        <v/>
      </c>
      <c r="O38" s="833" t="e">
        <f>'Individual Measure List'!H51</f>
        <v>#VALUE!</v>
      </c>
      <c r="P38" s="834" t="e">
        <f>'Individual Measure List'!J51</f>
        <v>#NUM!</v>
      </c>
      <c r="Q38" s="831" t="e">
        <f>'Individual Measure List'!K51</f>
        <v>#VALUE!</v>
      </c>
      <c r="V38" s="829" t="str">
        <f t="shared" si="20"/>
        <v/>
      </c>
      <c r="W38" s="830" t="str">
        <f t="shared" si="21"/>
        <v/>
      </c>
      <c r="X38" s="831" t="str">
        <f t="shared" si="22"/>
        <v/>
      </c>
      <c r="Y38" s="831">
        <f t="shared" si="23"/>
        <v>0</v>
      </c>
      <c r="Z38" s="833" t="str">
        <f t="shared" si="24"/>
        <v/>
      </c>
      <c r="AA38" s="833" t="str">
        <f t="shared" si="25"/>
        <v/>
      </c>
      <c r="AB38" s="833" t="str">
        <f t="shared" si="26"/>
        <v/>
      </c>
      <c r="AC38" s="833" t="str">
        <f t="shared" si="27"/>
        <v/>
      </c>
      <c r="AD38" s="833" t="e">
        <f t="shared" si="28"/>
        <v>#VALUE!</v>
      </c>
      <c r="AE38" s="834" t="e">
        <f t="shared" si="28"/>
        <v>#NUM!</v>
      </c>
      <c r="AF38" s="831" t="e">
        <f t="shared" si="28"/>
        <v>#VALUE!</v>
      </c>
      <c r="AQ38" s="832">
        <f>'Individual Measure List'!G51</f>
        <v>0</v>
      </c>
    </row>
    <row r="39" spans="1:43" ht="13.5" thickBot="1" x14ac:dyDescent="0.35">
      <c r="A39" s="825">
        <f>SUM(B6:B39)</f>
        <v>24</v>
      </c>
      <c r="B39" s="825">
        <f t="shared" si="29"/>
        <v>1</v>
      </c>
      <c r="C39" s="835" t="str">
        <f>'Individual Measure List'!A52</f>
        <v/>
      </c>
      <c r="D39" s="836" t="str">
        <f>'Individual Measure List'!B52</f>
        <v/>
      </c>
      <c r="E39" s="837" t="str">
        <f>'EEM Data Entry'!D128</f>
        <v/>
      </c>
      <c r="F39" s="837" t="str">
        <f>'EEM Data Entry'!E128</f>
        <v/>
      </c>
      <c r="G39" s="837" t="str">
        <f>'EEM Data Entry'!G128</f>
        <v>N/A</v>
      </c>
      <c r="H39" s="837" t="str">
        <f>'EEM Data Entry'!F128</f>
        <v/>
      </c>
      <c r="I39" s="837">
        <f>'Individual Measure List'!F52</f>
        <v>0</v>
      </c>
      <c r="J39" s="839" t="str">
        <f>IF('Savings Summary'!D54=0,"",'Savings Summary'!D54)</f>
        <v/>
      </c>
      <c r="K39" s="839" t="str">
        <f>IF('Savings Summary'!F54=0,"",'Savings Summary'!F54)</f>
        <v/>
      </c>
      <c r="L39" s="839" t="str">
        <f>IF('Savings Summary'!H54=0,"",'Savings Summary'!H54)</f>
        <v/>
      </c>
      <c r="M39" s="839" t="str">
        <f>IF('Savings Summary'!J54=0,"",'Savings Summary'!J54)</f>
        <v/>
      </c>
      <c r="N39" s="838" t="str">
        <f>IF('RESULTS kBtu'!H39=0,"",'RESULTS kBtu'!H39)</f>
        <v/>
      </c>
      <c r="O39" s="839" t="e">
        <f>'Individual Measure List'!H52</f>
        <v>#VALUE!</v>
      </c>
      <c r="P39" s="840" t="e">
        <f>'Individual Measure List'!J52</f>
        <v>#NUM!</v>
      </c>
      <c r="Q39" s="837" t="e">
        <f>'Individual Measure List'!K52</f>
        <v>#VALUE!</v>
      </c>
      <c r="V39" s="835" t="str">
        <f t="shared" si="20"/>
        <v/>
      </c>
      <c r="W39" s="836" t="str">
        <f t="shared" si="21"/>
        <v/>
      </c>
      <c r="X39" s="837" t="str">
        <f t="shared" si="22"/>
        <v/>
      </c>
      <c r="Y39" s="837">
        <f t="shared" si="23"/>
        <v>0</v>
      </c>
      <c r="Z39" s="839" t="str">
        <f t="shared" si="24"/>
        <v/>
      </c>
      <c r="AA39" s="839" t="str">
        <f t="shared" si="25"/>
        <v/>
      </c>
      <c r="AB39" s="839" t="str">
        <f t="shared" si="26"/>
        <v/>
      </c>
      <c r="AC39" s="839" t="str">
        <f t="shared" si="27"/>
        <v/>
      </c>
      <c r="AD39" s="839" t="e">
        <f t="shared" si="28"/>
        <v>#VALUE!</v>
      </c>
      <c r="AE39" s="840" t="e">
        <f t="shared" si="28"/>
        <v>#NUM!</v>
      </c>
      <c r="AF39" s="837" t="e">
        <f t="shared" si="28"/>
        <v>#VALUE!</v>
      </c>
      <c r="AQ39" s="838">
        <f>'Individual Measure List'!G52</f>
        <v>0</v>
      </c>
    </row>
    <row r="40" spans="1:43" ht="13.5" thickBot="1" x14ac:dyDescent="0.35">
      <c r="A40" s="825">
        <f>SUM(B6:B40)</f>
        <v>25</v>
      </c>
      <c r="B40" s="825">
        <f t="shared" si="29"/>
        <v>1</v>
      </c>
      <c r="C40" s="829" t="str">
        <f>'Individual Measure List'!A53</f>
        <v/>
      </c>
      <c r="D40" s="830" t="str">
        <f>'Individual Measure List'!B53</f>
        <v/>
      </c>
      <c r="E40" s="831" t="str">
        <f>'EEM Data Entry'!D129</f>
        <v/>
      </c>
      <c r="F40" s="831" t="str">
        <f>'EEM Data Entry'!E129</f>
        <v/>
      </c>
      <c r="G40" s="831" t="str">
        <f>'EEM Data Entry'!G129</f>
        <v>N/A</v>
      </c>
      <c r="H40" s="831" t="str">
        <f>'EEM Data Entry'!F129</f>
        <v/>
      </c>
      <c r="I40" s="831">
        <f>'Individual Measure List'!F53</f>
        <v>0</v>
      </c>
      <c r="J40" s="833" t="str">
        <f>IF('Savings Summary'!D55=0,"",'Savings Summary'!D55)</f>
        <v/>
      </c>
      <c r="K40" s="833" t="str">
        <f>IF('Savings Summary'!F55=0,"",'Savings Summary'!F55)</f>
        <v/>
      </c>
      <c r="L40" s="833" t="str">
        <f>IF('Savings Summary'!H55=0,"",'Savings Summary'!H55)</f>
        <v/>
      </c>
      <c r="M40" s="833" t="str">
        <f>IF('Savings Summary'!J55=0,"",'Savings Summary'!J55)</f>
        <v/>
      </c>
      <c r="N40" s="832" t="str">
        <f>IF('RESULTS kBtu'!H40=0,"",'RESULTS kBtu'!H40)</f>
        <v/>
      </c>
      <c r="O40" s="833" t="e">
        <f>'Individual Measure List'!H53</f>
        <v>#VALUE!</v>
      </c>
      <c r="P40" s="834" t="e">
        <f>'Individual Measure List'!J53</f>
        <v>#NUM!</v>
      </c>
      <c r="Q40" s="831" t="e">
        <f>'Individual Measure List'!K53</f>
        <v>#VALUE!</v>
      </c>
      <c r="V40" s="829" t="str">
        <f t="shared" si="20"/>
        <v/>
      </c>
      <c r="W40" s="830" t="str">
        <f t="shared" si="21"/>
        <v/>
      </c>
      <c r="X40" s="831" t="str">
        <f t="shared" si="22"/>
        <v/>
      </c>
      <c r="Y40" s="831">
        <f t="shared" si="23"/>
        <v>0</v>
      </c>
      <c r="Z40" s="833" t="str">
        <f t="shared" si="24"/>
        <v/>
      </c>
      <c r="AA40" s="833" t="str">
        <f t="shared" si="25"/>
        <v/>
      </c>
      <c r="AB40" s="833" t="str">
        <f t="shared" si="26"/>
        <v/>
      </c>
      <c r="AC40" s="833" t="str">
        <f t="shared" si="27"/>
        <v/>
      </c>
      <c r="AD40" s="833" t="e">
        <f t="shared" si="28"/>
        <v>#VALUE!</v>
      </c>
      <c r="AE40" s="834" t="e">
        <f t="shared" si="28"/>
        <v>#NUM!</v>
      </c>
      <c r="AF40" s="831" t="e">
        <f t="shared" si="28"/>
        <v>#VALUE!</v>
      </c>
      <c r="AQ40" s="832">
        <f>'Individual Measure List'!G53</f>
        <v>0</v>
      </c>
    </row>
    <row r="41" spans="1:43" ht="13.5" thickBot="1" x14ac:dyDescent="0.35">
      <c r="A41" s="825">
        <f>SUM(B6:B41)</f>
        <v>26</v>
      </c>
      <c r="B41" s="825">
        <f t="shared" si="29"/>
        <v>1</v>
      </c>
      <c r="C41" s="835" t="str">
        <f>'Individual Measure List'!A54</f>
        <v/>
      </c>
      <c r="D41" s="836" t="str">
        <f>'Individual Measure List'!B54</f>
        <v/>
      </c>
      <c r="E41" s="837" t="str">
        <f>'EEM Data Entry'!D130</f>
        <v/>
      </c>
      <c r="F41" s="837" t="str">
        <f>'EEM Data Entry'!E130</f>
        <v/>
      </c>
      <c r="G41" s="837" t="str">
        <f>'EEM Data Entry'!G130</f>
        <v>N/A</v>
      </c>
      <c r="H41" s="837" t="str">
        <f>'EEM Data Entry'!F130</f>
        <v/>
      </c>
      <c r="I41" s="837">
        <f>'Individual Measure List'!F54</f>
        <v>0</v>
      </c>
      <c r="J41" s="839" t="str">
        <f>IF('Savings Summary'!D56=0,"",'Savings Summary'!D56)</f>
        <v/>
      </c>
      <c r="K41" s="839" t="str">
        <f>IF('Savings Summary'!F56=0,"",'Savings Summary'!F56)</f>
        <v/>
      </c>
      <c r="L41" s="839" t="str">
        <f>IF('Savings Summary'!H56=0,"",'Savings Summary'!H56)</f>
        <v/>
      </c>
      <c r="M41" s="839" t="str">
        <f>IF('Savings Summary'!J56=0,"",'Savings Summary'!J56)</f>
        <v/>
      </c>
      <c r="N41" s="838" t="str">
        <f>IF('RESULTS kBtu'!H41=0,"",'RESULTS kBtu'!H41)</f>
        <v/>
      </c>
      <c r="O41" s="839" t="e">
        <f>'Individual Measure List'!H54</f>
        <v>#VALUE!</v>
      </c>
      <c r="P41" s="840" t="e">
        <f>'Individual Measure List'!J54</f>
        <v>#NUM!</v>
      </c>
      <c r="Q41" s="837" t="e">
        <f>'Individual Measure List'!K54</f>
        <v>#VALUE!</v>
      </c>
      <c r="V41" s="835" t="str">
        <f t="shared" si="20"/>
        <v/>
      </c>
      <c r="W41" s="836" t="str">
        <f t="shared" si="21"/>
        <v/>
      </c>
      <c r="X41" s="837" t="str">
        <f t="shared" si="22"/>
        <v/>
      </c>
      <c r="Y41" s="837">
        <f t="shared" si="23"/>
        <v>0</v>
      </c>
      <c r="Z41" s="839" t="str">
        <f t="shared" si="24"/>
        <v/>
      </c>
      <c r="AA41" s="839" t="str">
        <f t="shared" si="25"/>
        <v/>
      </c>
      <c r="AB41" s="839" t="str">
        <f t="shared" si="26"/>
        <v/>
      </c>
      <c r="AC41" s="839" t="str">
        <f t="shared" si="27"/>
        <v/>
      </c>
      <c r="AD41" s="839" t="e">
        <f t="shared" si="28"/>
        <v>#VALUE!</v>
      </c>
      <c r="AE41" s="840" t="e">
        <f t="shared" si="28"/>
        <v>#NUM!</v>
      </c>
      <c r="AF41" s="837" t="e">
        <f t="shared" si="28"/>
        <v>#VALUE!</v>
      </c>
      <c r="AQ41" s="838">
        <f>'Individual Measure List'!G54</f>
        <v>0</v>
      </c>
    </row>
    <row r="42" spans="1:43" ht="13.5" thickBot="1" x14ac:dyDescent="0.35">
      <c r="A42" s="825">
        <f>SUM(B6:B42)</f>
        <v>27</v>
      </c>
      <c r="B42" s="825">
        <f t="shared" si="29"/>
        <v>1</v>
      </c>
      <c r="C42" s="829" t="str">
        <f>'Individual Measure List'!A55</f>
        <v/>
      </c>
      <c r="D42" s="830" t="str">
        <f>'Individual Measure List'!B55</f>
        <v/>
      </c>
      <c r="E42" s="831" t="str">
        <f>'EEM Data Entry'!D131</f>
        <v/>
      </c>
      <c r="F42" s="831" t="str">
        <f>'EEM Data Entry'!E131</f>
        <v/>
      </c>
      <c r="G42" s="831" t="str">
        <f>'EEM Data Entry'!G131</f>
        <v>N/A</v>
      </c>
      <c r="H42" s="831" t="str">
        <f>'EEM Data Entry'!F131</f>
        <v/>
      </c>
      <c r="I42" s="831">
        <f>'Individual Measure List'!F55</f>
        <v>0</v>
      </c>
      <c r="J42" s="833" t="str">
        <f>IF('Savings Summary'!D57=0,"",'Savings Summary'!D57)</f>
        <v/>
      </c>
      <c r="K42" s="833" t="str">
        <f>IF('Savings Summary'!F57=0,"",'Savings Summary'!F57)</f>
        <v/>
      </c>
      <c r="L42" s="833" t="str">
        <f>IF('Savings Summary'!H57=0,"",'Savings Summary'!H57)</f>
        <v/>
      </c>
      <c r="M42" s="833" t="str">
        <f>IF('Savings Summary'!J57=0,"",'Savings Summary'!J57)</f>
        <v/>
      </c>
      <c r="N42" s="832" t="str">
        <f>IF('RESULTS kBtu'!H42=0,"",'RESULTS kBtu'!H42)</f>
        <v/>
      </c>
      <c r="O42" s="833" t="e">
        <f>'Individual Measure List'!H55</f>
        <v>#VALUE!</v>
      </c>
      <c r="P42" s="834" t="e">
        <f>'Individual Measure List'!J55</f>
        <v>#NUM!</v>
      </c>
      <c r="Q42" s="831" t="e">
        <f>'Individual Measure List'!K55</f>
        <v>#VALUE!</v>
      </c>
      <c r="V42" s="829" t="str">
        <f t="shared" si="20"/>
        <v/>
      </c>
      <c r="W42" s="830" t="str">
        <f t="shared" si="21"/>
        <v/>
      </c>
      <c r="X42" s="831" t="str">
        <f t="shared" si="22"/>
        <v/>
      </c>
      <c r="Y42" s="831">
        <f t="shared" si="23"/>
        <v>0</v>
      </c>
      <c r="Z42" s="833" t="str">
        <f t="shared" si="24"/>
        <v/>
      </c>
      <c r="AA42" s="833" t="str">
        <f t="shared" si="25"/>
        <v/>
      </c>
      <c r="AB42" s="833" t="str">
        <f t="shared" si="26"/>
        <v/>
      </c>
      <c r="AC42" s="833" t="str">
        <f t="shared" si="27"/>
        <v/>
      </c>
      <c r="AD42" s="833" t="e">
        <f t="shared" si="28"/>
        <v>#VALUE!</v>
      </c>
      <c r="AE42" s="834" t="e">
        <f t="shared" si="28"/>
        <v>#NUM!</v>
      </c>
      <c r="AF42" s="831" t="e">
        <f t="shared" si="28"/>
        <v>#VALUE!</v>
      </c>
      <c r="AQ42" s="832">
        <f>'Individual Measure List'!G55</f>
        <v>0</v>
      </c>
    </row>
    <row r="43" spans="1:43" ht="13.5" thickBot="1" x14ac:dyDescent="0.35">
      <c r="A43" s="825">
        <f>SUM(B6:B43)</f>
        <v>28</v>
      </c>
      <c r="B43" s="825">
        <f t="shared" si="29"/>
        <v>1</v>
      </c>
      <c r="C43" s="835" t="str">
        <f>'Individual Measure List'!A56</f>
        <v/>
      </c>
      <c r="D43" s="836" t="str">
        <f>'Individual Measure List'!B56</f>
        <v/>
      </c>
      <c r="E43" s="837" t="str">
        <f>'EEM Data Entry'!D132</f>
        <v/>
      </c>
      <c r="F43" s="837" t="str">
        <f>'EEM Data Entry'!E132</f>
        <v/>
      </c>
      <c r="G43" s="837" t="str">
        <f>'EEM Data Entry'!G132</f>
        <v>N/A</v>
      </c>
      <c r="H43" s="837" t="str">
        <f>'EEM Data Entry'!F132</f>
        <v/>
      </c>
      <c r="I43" s="837">
        <f>'Individual Measure List'!F56</f>
        <v>0</v>
      </c>
      <c r="J43" s="839" t="str">
        <f>IF('Savings Summary'!D58=0,"",'Savings Summary'!D58)</f>
        <v/>
      </c>
      <c r="K43" s="839" t="str">
        <f>IF('Savings Summary'!F58=0,"",'Savings Summary'!F58)</f>
        <v/>
      </c>
      <c r="L43" s="839" t="str">
        <f>IF('Savings Summary'!H58=0,"",'Savings Summary'!H58)</f>
        <v/>
      </c>
      <c r="M43" s="839" t="str">
        <f>IF('Savings Summary'!J58=0,"",'Savings Summary'!J58)</f>
        <v/>
      </c>
      <c r="N43" s="838" t="str">
        <f>IF('RESULTS kBtu'!H43=0,"",'RESULTS kBtu'!H43)</f>
        <v/>
      </c>
      <c r="O43" s="839" t="e">
        <f>'Individual Measure List'!H56</f>
        <v>#VALUE!</v>
      </c>
      <c r="P43" s="840" t="e">
        <f>'Individual Measure List'!J56</f>
        <v>#NUM!</v>
      </c>
      <c r="Q43" s="837" t="e">
        <f>'Individual Measure List'!K56</f>
        <v>#VALUE!</v>
      </c>
      <c r="V43" s="835" t="str">
        <f t="shared" si="20"/>
        <v/>
      </c>
      <c r="W43" s="836" t="str">
        <f t="shared" si="21"/>
        <v/>
      </c>
      <c r="X43" s="837" t="str">
        <f t="shared" si="22"/>
        <v/>
      </c>
      <c r="Y43" s="837">
        <f t="shared" si="23"/>
        <v>0</v>
      </c>
      <c r="Z43" s="839" t="str">
        <f t="shared" si="24"/>
        <v/>
      </c>
      <c r="AA43" s="839" t="str">
        <f t="shared" si="25"/>
        <v/>
      </c>
      <c r="AB43" s="839" t="str">
        <f t="shared" si="26"/>
        <v/>
      </c>
      <c r="AC43" s="839" t="str">
        <f t="shared" si="27"/>
        <v/>
      </c>
      <c r="AD43" s="839" t="e">
        <f t="shared" si="28"/>
        <v>#VALUE!</v>
      </c>
      <c r="AE43" s="840" t="e">
        <f t="shared" si="28"/>
        <v>#NUM!</v>
      </c>
      <c r="AF43" s="837" t="e">
        <f t="shared" si="28"/>
        <v>#VALUE!</v>
      </c>
      <c r="AQ43" s="838">
        <f>'Individual Measure List'!G56</f>
        <v>0</v>
      </c>
    </row>
    <row r="44" spans="1:43" ht="13.5" thickBot="1" x14ac:dyDescent="0.35">
      <c r="A44" s="825">
        <f>SUM(B6:B44)</f>
        <v>29</v>
      </c>
      <c r="B44" s="825">
        <f t="shared" si="29"/>
        <v>1</v>
      </c>
      <c r="C44" s="829" t="str">
        <f>'Individual Measure List'!A57</f>
        <v/>
      </c>
      <c r="D44" s="830" t="str">
        <f>'Individual Measure List'!B57</f>
        <v/>
      </c>
      <c r="E44" s="831" t="str">
        <f>'EEM Data Entry'!D133</f>
        <v/>
      </c>
      <c r="F44" s="831" t="str">
        <f>'EEM Data Entry'!E133</f>
        <v/>
      </c>
      <c r="G44" s="831" t="str">
        <f>'EEM Data Entry'!G133</f>
        <v>N/A</v>
      </c>
      <c r="H44" s="831" t="str">
        <f>'EEM Data Entry'!F133</f>
        <v/>
      </c>
      <c r="I44" s="831">
        <f>'Individual Measure List'!F57</f>
        <v>0</v>
      </c>
      <c r="J44" s="833" t="str">
        <f>IF('Savings Summary'!D59=0,"",'Savings Summary'!D59)</f>
        <v/>
      </c>
      <c r="K44" s="833" t="str">
        <f>IF('Savings Summary'!F59=0,"",'Savings Summary'!F59)</f>
        <v/>
      </c>
      <c r="L44" s="833" t="str">
        <f>IF('Savings Summary'!H59=0,"",'Savings Summary'!H59)</f>
        <v/>
      </c>
      <c r="M44" s="833" t="str">
        <f>IF('Savings Summary'!J59=0,"",'Savings Summary'!J59)</f>
        <v/>
      </c>
      <c r="N44" s="832" t="str">
        <f>IF('RESULTS kBtu'!H44=0,"",'RESULTS kBtu'!H44)</f>
        <v/>
      </c>
      <c r="O44" s="833" t="e">
        <f>'Individual Measure List'!H57</f>
        <v>#VALUE!</v>
      </c>
      <c r="P44" s="834" t="e">
        <f>'Individual Measure List'!J57</f>
        <v>#NUM!</v>
      </c>
      <c r="Q44" s="831" t="e">
        <f>'Individual Measure List'!K57</f>
        <v>#VALUE!</v>
      </c>
      <c r="V44" s="829" t="str">
        <f t="shared" si="20"/>
        <v/>
      </c>
      <c r="W44" s="830" t="str">
        <f t="shared" si="21"/>
        <v/>
      </c>
      <c r="X44" s="831" t="str">
        <f t="shared" si="22"/>
        <v/>
      </c>
      <c r="Y44" s="831">
        <f t="shared" si="23"/>
        <v>0</v>
      </c>
      <c r="Z44" s="833" t="str">
        <f t="shared" si="24"/>
        <v/>
      </c>
      <c r="AA44" s="833" t="str">
        <f t="shared" si="25"/>
        <v/>
      </c>
      <c r="AB44" s="833" t="str">
        <f t="shared" si="26"/>
        <v/>
      </c>
      <c r="AC44" s="833" t="str">
        <f t="shared" si="27"/>
        <v/>
      </c>
      <c r="AD44" s="833" t="e">
        <f t="shared" si="28"/>
        <v>#VALUE!</v>
      </c>
      <c r="AE44" s="834" t="e">
        <f t="shared" si="28"/>
        <v>#NUM!</v>
      </c>
      <c r="AF44" s="831" t="e">
        <f t="shared" si="28"/>
        <v>#VALUE!</v>
      </c>
      <c r="AQ44" s="832">
        <f>'Individual Measure List'!G57</f>
        <v>0</v>
      </c>
    </row>
    <row r="45" spans="1:43" ht="13.5" thickBot="1" x14ac:dyDescent="0.35">
      <c r="A45" s="825">
        <f>SUM(B6:B45)</f>
        <v>30</v>
      </c>
      <c r="B45" s="825">
        <f t="shared" si="29"/>
        <v>1</v>
      </c>
      <c r="C45" s="835" t="str">
        <f>'Individual Measure List'!A58</f>
        <v/>
      </c>
      <c r="D45" s="836" t="str">
        <f>'Individual Measure List'!B58</f>
        <v/>
      </c>
      <c r="E45" s="837" t="str">
        <f>'EEM Data Entry'!D134</f>
        <v/>
      </c>
      <c r="F45" s="837" t="str">
        <f>'EEM Data Entry'!E134</f>
        <v/>
      </c>
      <c r="G45" s="837" t="str">
        <f>'EEM Data Entry'!G134</f>
        <v>N/A</v>
      </c>
      <c r="H45" s="837" t="str">
        <f>'EEM Data Entry'!F134</f>
        <v/>
      </c>
      <c r="I45" s="837">
        <f>'Individual Measure List'!F58</f>
        <v>0</v>
      </c>
      <c r="J45" s="839" t="str">
        <f>IF('Savings Summary'!D60=0,"",'Savings Summary'!D60)</f>
        <v/>
      </c>
      <c r="K45" s="839" t="str">
        <f>IF('Savings Summary'!F60=0,"",'Savings Summary'!F60)</f>
        <v/>
      </c>
      <c r="L45" s="839" t="str">
        <f>IF('Savings Summary'!H60=0,"",'Savings Summary'!H60)</f>
        <v/>
      </c>
      <c r="M45" s="839" t="str">
        <f>IF('Savings Summary'!J60=0,"",'Savings Summary'!J60)</f>
        <v/>
      </c>
      <c r="N45" s="850" t="str">
        <f>IF('RESULTS kBtu'!H45=0,"",'RESULTS kBtu'!H45)</f>
        <v/>
      </c>
      <c r="O45" s="839" t="e">
        <f>'Individual Measure List'!H58</f>
        <v>#VALUE!</v>
      </c>
      <c r="P45" s="840" t="e">
        <f>'Individual Measure List'!J58</f>
        <v>#NUM!</v>
      </c>
      <c r="Q45" s="837" t="e">
        <f>'Individual Measure List'!K58</f>
        <v>#VALUE!</v>
      </c>
      <c r="V45" s="835" t="str">
        <f t="shared" si="20"/>
        <v/>
      </c>
      <c r="W45" s="836" t="str">
        <f t="shared" si="21"/>
        <v/>
      </c>
      <c r="X45" s="837" t="str">
        <f t="shared" si="22"/>
        <v/>
      </c>
      <c r="Y45" s="837">
        <f t="shared" si="23"/>
        <v>0</v>
      </c>
      <c r="Z45" s="839" t="str">
        <f t="shared" si="24"/>
        <v/>
      </c>
      <c r="AA45" s="839" t="str">
        <f t="shared" si="25"/>
        <v/>
      </c>
      <c r="AB45" s="839" t="str">
        <f t="shared" si="26"/>
        <v/>
      </c>
      <c r="AC45" s="839" t="str">
        <f t="shared" si="27"/>
        <v/>
      </c>
      <c r="AD45" s="839" t="e">
        <f t="shared" si="28"/>
        <v>#VALUE!</v>
      </c>
      <c r="AE45" s="840" t="e">
        <f t="shared" si="28"/>
        <v>#NUM!</v>
      </c>
      <c r="AF45" s="837" t="e">
        <f t="shared" si="28"/>
        <v>#VALUE!</v>
      </c>
      <c r="AQ45" s="838">
        <f>'Individual Measure List'!G58</f>
        <v>0</v>
      </c>
    </row>
    <row r="46" spans="1:43" ht="16" customHeight="1" thickBot="1" x14ac:dyDescent="0.35">
      <c r="C46" s="957" t="s">
        <v>381</v>
      </c>
      <c r="D46" s="958"/>
      <c r="E46" s="958"/>
      <c r="F46" s="958"/>
      <c r="G46" s="958"/>
      <c r="H46" s="958"/>
      <c r="I46" s="958"/>
      <c r="J46" s="958"/>
      <c r="K46" s="958"/>
      <c r="L46" s="958"/>
      <c r="M46" s="958"/>
      <c r="N46" s="958"/>
      <c r="O46" s="958"/>
      <c r="P46" s="958"/>
      <c r="Q46" s="959"/>
      <c r="V46" s="957" t="s">
        <v>381</v>
      </c>
      <c r="W46" s="958"/>
      <c r="X46" s="958"/>
      <c r="Y46" s="958"/>
      <c r="Z46" s="958"/>
      <c r="AA46" s="958"/>
      <c r="AB46" s="958"/>
      <c r="AC46" s="958"/>
      <c r="AD46" s="958"/>
      <c r="AE46" s="958"/>
      <c r="AF46" s="959"/>
      <c r="AQ46" s="867"/>
    </row>
    <row r="48" spans="1:43" x14ac:dyDescent="0.3">
      <c r="C48" s="826" t="s">
        <v>210</v>
      </c>
      <c r="V48" s="826" t="s">
        <v>210</v>
      </c>
    </row>
    <row r="49" spans="1:43" ht="13.5" thickBot="1" x14ac:dyDescent="0.35"/>
    <row r="50" spans="1:43" ht="52.5" thickBot="1" x14ac:dyDescent="0.35">
      <c r="C50" s="827" t="s">
        <v>144</v>
      </c>
      <c r="D50" s="828" t="s">
        <v>181</v>
      </c>
      <c r="E50" s="828" t="s">
        <v>129</v>
      </c>
      <c r="F50" s="828" t="s">
        <v>371</v>
      </c>
      <c r="G50" s="828" t="s">
        <v>377</v>
      </c>
      <c r="H50" s="828" t="s">
        <v>372</v>
      </c>
      <c r="I50" s="828" t="s">
        <v>178</v>
      </c>
      <c r="J50" s="828" t="s">
        <v>373</v>
      </c>
      <c r="K50" s="828" t="s">
        <v>374</v>
      </c>
      <c r="L50" s="828" t="s">
        <v>375</v>
      </c>
      <c r="M50" s="828" t="s">
        <v>376</v>
      </c>
      <c r="N50" s="828" t="s">
        <v>179</v>
      </c>
      <c r="O50" s="828" t="s">
        <v>183</v>
      </c>
      <c r="P50" s="828" t="s">
        <v>17</v>
      </c>
      <c r="Q50" s="828" t="s">
        <v>22</v>
      </c>
      <c r="V50" s="827" t="str">
        <f t="shared" ref="V50:V60" si="30">C50</f>
        <v>EEM #</v>
      </c>
      <c r="W50" s="828" t="str">
        <f t="shared" ref="W50:W60" si="31">D50</f>
        <v>Renewable System Upgrades</v>
      </c>
      <c r="X50" s="828" t="str">
        <f t="shared" ref="X50:X60" si="32">E50</f>
        <v>Capital Investment</v>
      </c>
      <c r="Y50" s="828" t="str">
        <f t="shared" ref="Y50:Y60" si="33">I50</f>
        <v>Annual Energy Cost Savings</v>
      </c>
      <c r="Z50" s="828" t="str">
        <f t="shared" ref="Z50:Z60" si="34">J50</f>
        <v>Annual Electric Savings (kWh)</v>
      </c>
      <c r="AA50" s="828" t="str">
        <f t="shared" ref="AA50:AA60" si="35">K50</f>
        <v>Annual Oil Savings (Gal)</v>
      </c>
      <c r="AB50" s="828" t="str">
        <f t="shared" ref="AB50:AB60" si="36">L50</f>
        <v>Annual Nat. Gas Savings (Therms)</v>
      </c>
      <c r="AC50" s="828" t="str">
        <f t="shared" ref="AC50:AC60" si="37">M50</f>
        <v>Annual Propane Savings (Gal)</v>
      </c>
      <c r="AD50" s="828" t="str">
        <f t="shared" ref="AD50:AF60" si="38">O50</f>
        <v>Simple Payback (Years)</v>
      </c>
      <c r="AE50" s="828" t="str">
        <f t="shared" si="38"/>
        <v>IRR</v>
      </c>
      <c r="AF50" s="828" t="str">
        <f t="shared" si="38"/>
        <v>NPV</v>
      </c>
      <c r="AQ50" s="828" t="s">
        <v>179</v>
      </c>
    </row>
    <row r="51" spans="1:43" ht="13.5" thickBot="1" x14ac:dyDescent="0.35">
      <c r="A51" s="825">
        <f>SUM(B6:B51)</f>
        <v>31</v>
      </c>
      <c r="B51" s="825">
        <f t="shared" ref="B51:B60" si="39">IF(ISTEXT(D51)=TRUE,1,0)</f>
        <v>1</v>
      </c>
      <c r="C51" s="829" t="str">
        <f>'Individual Measure List'!A66</f>
        <v/>
      </c>
      <c r="D51" s="830" t="str">
        <f>'Individual Measure List'!B66</f>
        <v/>
      </c>
      <c r="E51" s="831" t="str">
        <f>'EEM Data Entry'!D141</f>
        <v/>
      </c>
      <c r="F51" s="831" t="str">
        <f>'EEM Data Entry'!E141</f>
        <v/>
      </c>
      <c r="G51" s="831" t="str">
        <f>'EEM Data Entry'!G141</f>
        <v>N/A</v>
      </c>
      <c r="H51" s="831" t="str">
        <f>'EEM Data Entry'!F141</f>
        <v/>
      </c>
      <c r="I51" s="831">
        <f>'Individual Measure List'!F66</f>
        <v>0</v>
      </c>
      <c r="J51" s="833" t="str">
        <f>IF('Savings Summary'!D69=0,"",'Savings Summary'!D69)</f>
        <v/>
      </c>
      <c r="K51" s="833" t="str">
        <f>IF('Savings Summary'!F69=0,"",'Savings Summary'!F69)</f>
        <v/>
      </c>
      <c r="L51" s="833" t="str">
        <f>IF('Savings Summary'!H69=0,"",'Savings Summary'!H69)</f>
        <v/>
      </c>
      <c r="M51" s="833" t="str">
        <f>IF('Savings Summary'!J69=0,"",'Savings Summary'!J69)</f>
        <v/>
      </c>
      <c r="N51" s="832" t="str">
        <f>IF('RESULTS kBtu'!H51=0,"",'RESULTS kBtu'!H51)</f>
        <v/>
      </c>
      <c r="O51" s="833" t="e">
        <f>'Individual Measure List'!H66</f>
        <v>#VALUE!</v>
      </c>
      <c r="P51" s="834" t="e">
        <f>'Individual Measure List'!J66</f>
        <v>#NUM!</v>
      </c>
      <c r="Q51" s="831" t="e">
        <f>'Individual Measure List'!K66</f>
        <v>#VALUE!</v>
      </c>
      <c r="V51" s="829" t="str">
        <f t="shared" si="30"/>
        <v/>
      </c>
      <c r="W51" s="830" t="str">
        <f t="shared" si="31"/>
        <v/>
      </c>
      <c r="X51" s="831" t="str">
        <f t="shared" si="32"/>
        <v/>
      </c>
      <c r="Y51" s="831">
        <f t="shared" si="33"/>
        <v>0</v>
      </c>
      <c r="Z51" s="833" t="str">
        <f t="shared" si="34"/>
        <v/>
      </c>
      <c r="AA51" s="833" t="str">
        <f t="shared" si="35"/>
        <v/>
      </c>
      <c r="AB51" s="833" t="str">
        <f t="shared" si="36"/>
        <v/>
      </c>
      <c r="AC51" s="833" t="str">
        <f t="shared" si="37"/>
        <v/>
      </c>
      <c r="AD51" s="833" t="e">
        <f t="shared" si="38"/>
        <v>#VALUE!</v>
      </c>
      <c r="AE51" s="834" t="e">
        <f t="shared" si="38"/>
        <v>#NUM!</v>
      </c>
      <c r="AF51" s="831" t="e">
        <f t="shared" si="38"/>
        <v>#VALUE!</v>
      </c>
      <c r="AQ51" s="832">
        <f>'Individual Measure List'!G66</f>
        <v>0</v>
      </c>
    </row>
    <row r="52" spans="1:43" ht="13.5" thickBot="1" x14ac:dyDescent="0.35">
      <c r="A52" s="825">
        <f>SUM(B6:B52)</f>
        <v>32</v>
      </c>
      <c r="B52" s="825">
        <f t="shared" si="39"/>
        <v>1</v>
      </c>
      <c r="C52" s="835" t="str">
        <f>'Individual Measure List'!A67</f>
        <v/>
      </c>
      <c r="D52" s="836" t="str">
        <f>'Individual Measure List'!B67</f>
        <v/>
      </c>
      <c r="E52" s="837" t="str">
        <f>'EEM Data Entry'!D142</f>
        <v/>
      </c>
      <c r="F52" s="837" t="str">
        <f>'EEM Data Entry'!E142</f>
        <v/>
      </c>
      <c r="G52" s="837" t="str">
        <f>'EEM Data Entry'!G142</f>
        <v>N/A</v>
      </c>
      <c r="H52" s="837" t="str">
        <f>'EEM Data Entry'!F142</f>
        <v/>
      </c>
      <c r="I52" s="837">
        <f>'Individual Measure List'!F67</f>
        <v>0</v>
      </c>
      <c r="J52" s="839" t="str">
        <f>IF('Savings Summary'!D70=0,"",'Savings Summary'!D70)</f>
        <v/>
      </c>
      <c r="K52" s="839" t="str">
        <f>IF('Savings Summary'!F70=0,"",'Savings Summary'!F70)</f>
        <v/>
      </c>
      <c r="L52" s="839" t="str">
        <f>IF('Savings Summary'!H70=0,"",'Savings Summary'!H70)</f>
        <v/>
      </c>
      <c r="M52" s="839" t="str">
        <f>IF('Savings Summary'!J70=0,"",'Savings Summary'!J70)</f>
        <v/>
      </c>
      <c r="N52" s="838" t="str">
        <f>IF('RESULTS kBtu'!H52=0,"",'RESULTS kBtu'!H52)</f>
        <v/>
      </c>
      <c r="O52" s="839" t="e">
        <f>'Individual Measure List'!H67</f>
        <v>#VALUE!</v>
      </c>
      <c r="P52" s="840" t="e">
        <f>'Individual Measure List'!J67</f>
        <v>#NUM!</v>
      </c>
      <c r="Q52" s="837" t="e">
        <f>'Individual Measure List'!K67</f>
        <v>#VALUE!</v>
      </c>
      <c r="V52" s="835" t="str">
        <f t="shared" si="30"/>
        <v/>
      </c>
      <c r="W52" s="836" t="str">
        <f t="shared" si="31"/>
        <v/>
      </c>
      <c r="X52" s="837" t="str">
        <f t="shared" si="32"/>
        <v/>
      </c>
      <c r="Y52" s="837">
        <f t="shared" si="33"/>
        <v>0</v>
      </c>
      <c r="Z52" s="839" t="str">
        <f t="shared" si="34"/>
        <v/>
      </c>
      <c r="AA52" s="839" t="str">
        <f t="shared" si="35"/>
        <v/>
      </c>
      <c r="AB52" s="839" t="str">
        <f t="shared" si="36"/>
        <v/>
      </c>
      <c r="AC52" s="839" t="str">
        <f t="shared" si="37"/>
        <v/>
      </c>
      <c r="AD52" s="839" t="e">
        <f t="shared" si="38"/>
        <v>#VALUE!</v>
      </c>
      <c r="AE52" s="840" t="e">
        <f t="shared" si="38"/>
        <v>#NUM!</v>
      </c>
      <c r="AF52" s="837" t="e">
        <f t="shared" si="38"/>
        <v>#VALUE!</v>
      </c>
      <c r="AQ52" s="838">
        <f>'Individual Measure List'!G67</f>
        <v>0</v>
      </c>
    </row>
    <row r="53" spans="1:43" ht="13.5" thickBot="1" x14ac:dyDescent="0.35">
      <c r="A53" s="825">
        <f>SUM(B6:B53)</f>
        <v>33</v>
      </c>
      <c r="B53" s="825">
        <f t="shared" si="39"/>
        <v>1</v>
      </c>
      <c r="C53" s="829" t="str">
        <f>'Individual Measure List'!A68</f>
        <v/>
      </c>
      <c r="D53" s="830" t="str">
        <f>'Individual Measure List'!B68</f>
        <v/>
      </c>
      <c r="E53" s="831" t="str">
        <f>'EEM Data Entry'!D143</f>
        <v/>
      </c>
      <c r="F53" s="831" t="str">
        <f>'EEM Data Entry'!E143</f>
        <v/>
      </c>
      <c r="G53" s="831" t="str">
        <f>'EEM Data Entry'!G143</f>
        <v>N/A</v>
      </c>
      <c r="H53" s="831" t="str">
        <f>'EEM Data Entry'!F143</f>
        <v/>
      </c>
      <c r="I53" s="831">
        <f>'Individual Measure List'!F68</f>
        <v>0</v>
      </c>
      <c r="J53" s="833" t="str">
        <f>IF('Savings Summary'!D71=0,"",'Savings Summary'!D71)</f>
        <v/>
      </c>
      <c r="K53" s="833" t="str">
        <f>IF('Savings Summary'!F71=0,"",'Savings Summary'!F71)</f>
        <v/>
      </c>
      <c r="L53" s="833" t="str">
        <f>IF('Savings Summary'!H71=0,"",'Savings Summary'!H71)</f>
        <v/>
      </c>
      <c r="M53" s="833" t="str">
        <f>IF('Savings Summary'!J71=0,"",'Savings Summary'!J71)</f>
        <v/>
      </c>
      <c r="N53" s="832" t="str">
        <f>IF('RESULTS kBtu'!H53=0,"",'RESULTS kBtu'!H53)</f>
        <v/>
      </c>
      <c r="O53" s="833" t="e">
        <f>'Individual Measure List'!H68</f>
        <v>#VALUE!</v>
      </c>
      <c r="P53" s="834" t="e">
        <f>'Individual Measure List'!J68</f>
        <v>#NUM!</v>
      </c>
      <c r="Q53" s="831" t="e">
        <f>'Individual Measure List'!K68</f>
        <v>#VALUE!</v>
      </c>
      <c r="V53" s="829" t="str">
        <f t="shared" si="30"/>
        <v/>
      </c>
      <c r="W53" s="830" t="str">
        <f t="shared" si="31"/>
        <v/>
      </c>
      <c r="X53" s="831" t="str">
        <f t="shared" si="32"/>
        <v/>
      </c>
      <c r="Y53" s="831">
        <f t="shared" si="33"/>
        <v>0</v>
      </c>
      <c r="Z53" s="833" t="str">
        <f t="shared" si="34"/>
        <v/>
      </c>
      <c r="AA53" s="833" t="str">
        <f t="shared" si="35"/>
        <v/>
      </c>
      <c r="AB53" s="833" t="str">
        <f t="shared" si="36"/>
        <v/>
      </c>
      <c r="AC53" s="833" t="str">
        <f t="shared" si="37"/>
        <v/>
      </c>
      <c r="AD53" s="833" t="e">
        <f t="shared" si="38"/>
        <v>#VALUE!</v>
      </c>
      <c r="AE53" s="834" t="e">
        <f t="shared" si="38"/>
        <v>#NUM!</v>
      </c>
      <c r="AF53" s="831" t="e">
        <f t="shared" si="38"/>
        <v>#VALUE!</v>
      </c>
      <c r="AQ53" s="832">
        <f>'Individual Measure List'!G68</f>
        <v>0</v>
      </c>
    </row>
    <row r="54" spans="1:43" ht="13.5" thickBot="1" x14ac:dyDescent="0.35">
      <c r="A54" s="825">
        <f>SUM(B6:B54)</f>
        <v>34</v>
      </c>
      <c r="B54" s="825">
        <f t="shared" si="39"/>
        <v>1</v>
      </c>
      <c r="C54" s="835" t="str">
        <f>'Individual Measure List'!A69</f>
        <v/>
      </c>
      <c r="D54" s="836" t="str">
        <f>'Individual Measure List'!B69</f>
        <v/>
      </c>
      <c r="E54" s="837" t="str">
        <f>'EEM Data Entry'!D144</f>
        <v/>
      </c>
      <c r="F54" s="837" t="str">
        <f>'EEM Data Entry'!E144</f>
        <v/>
      </c>
      <c r="G54" s="837" t="str">
        <f>'EEM Data Entry'!G144</f>
        <v>N/A</v>
      </c>
      <c r="H54" s="837" t="str">
        <f>'EEM Data Entry'!F144</f>
        <v/>
      </c>
      <c r="I54" s="837">
        <f>'Individual Measure List'!F69</f>
        <v>0</v>
      </c>
      <c r="J54" s="839" t="str">
        <f>IF('Savings Summary'!D72=0,"",'Savings Summary'!D72)</f>
        <v/>
      </c>
      <c r="K54" s="839" t="str">
        <f>IF('Savings Summary'!F72=0,"",'Savings Summary'!F72)</f>
        <v/>
      </c>
      <c r="L54" s="839" t="str">
        <f>IF('Savings Summary'!H72=0,"",'Savings Summary'!H72)</f>
        <v/>
      </c>
      <c r="M54" s="839" t="str">
        <f>IF('Savings Summary'!J72=0,"",'Savings Summary'!J72)</f>
        <v/>
      </c>
      <c r="N54" s="838" t="str">
        <f>IF('RESULTS kBtu'!H54=0,"",'RESULTS kBtu'!H54)</f>
        <v/>
      </c>
      <c r="O54" s="839" t="e">
        <f>'Individual Measure List'!H69</f>
        <v>#VALUE!</v>
      </c>
      <c r="P54" s="840" t="e">
        <f>'Individual Measure List'!J69</f>
        <v>#NUM!</v>
      </c>
      <c r="Q54" s="837" t="e">
        <f>'Individual Measure List'!K69</f>
        <v>#VALUE!</v>
      </c>
      <c r="V54" s="835" t="str">
        <f t="shared" si="30"/>
        <v/>
      </c>
      <c r="W54" s="836" t="str">
        <f t="shared" si="31"/>
        <v/>
      </c>
      <c r="X54" s="837" t="str">
        <f t="shared" si="32"/>
        <v/>
      </c>
      <c r="Y54" s="837">
        <f t="shared" si="33"/>
        <v>0</v>
      </c>
      <c r="Z54" s="839" t="str">
        <f t="shared" si="34"/>
        <v/>
      </c>
      <c r="AA54" s="839" t="str">
        <f t="shared" si="35"/>
        <v/>
      </c>
      <c r="AB54" s="839" t="str">
        <f t="shared" si="36"/>
        <v/>
      </c>
      <c r="AC54" s="839" t="str">
        <f t="shared" si="37"/>
        <v/>
      </c>
      <c r="AD54" s="839" t="e">
        <f t="shared" si="38"/>
        <v>#VALUE!</v>
      </c>
      <c r="AE54" s="840" t="e">
        <f t="shared" si="38"/>
        <v>#NUM!</v>
      </c>
      <c r="AF54" s="837" t="e">
        <f t="shared" si="38"/>
        <v>#VALUE!</v>
      </c>
      <c r="AQ54" s="838">
        <f>'Individual Measure List'!G69</f>
        <v>0</v>
      </c>
    </row>
    <row r="55" spans="1:43" ht="13.5" thickBot="1" x14ac:dyDescent="0.35">
      <c r="A55" s="825">
        <f>SUM(B6:B55)</f>
        <v>35</v>
      </c>
      <c r="B55" s="825">
        <f t="shared" si="39"/>
        <v>1</v>
      </c>
      <c r="C55" s="829" t="str">
        <f>'Individual Measure List'!A70</f>
        <v/>
      </c>
      <c r="D55" s="830" t="str">
        <f>'Individual Measure List'!B70</f>
        <v/>
      </c>
      <c r="E55" s="831" t="str">
        <f>'EEM Data Entry'!D145</f>
        <v/>
      </c>
      <c r="F55" s="831" t="str">
        <f>'EEM Data Entry'!E145</f>
        <v/>
      </c>
      <c r="G55" s="831" t="str">
        <f>'EEM Data Entry'!G145</f>
        <v>N/A</v>
      </c>
      <c r="H55" s="831" t="str">
        <f>'EEM Data Entry'!F145</f>
        <v/>
      </c>
      <c r="I55" s="831">
        <f>'Individual Measure List'!F70</f>
        <v>0</v>
      </c>
      <c r="J55" s="833" t="str">
        <f>IF('Savings Summary'!D73=0,"",'Savings Summary'!D73)</f>
        <v/>
      </c>
      <c r="K55" s="833" t="str">
        <f>IF('Savings Summary'!F73=0,"",'Savings Summary'!F73)</f>
        <v/>
      </c>
      <c r="L55" s="833" t="str">
        <f>IF('Savings Summary'!H73=0,"",'Savings Summary'!H73)</f>
        <v/>
      </c>
      <c r="M55" s="833" t="str">
        <f>IF('Savings Summary'!J73=0,"",'Savings Summary'!J73)</f>
        <v/>
      </c>
      <c r="N55" s="832" t="str">
        <f>IF('RESULTS kBtu'!H55=0,"",'RESULTS kBtu'!H55)</f>
        <v/>
      </c>
      <c r="O55" s="833" t="e">
        <f>'Individual Measure List'!H70</f>
        <v>#VALUE!</v>
      </c>
      <c r="P55" s="834" t="e">
        <f>'Individual Measure List'!J70</f>
        <v>#NUM!</v>
      </c>
      <c r="Q55" s="831" t="e">
        <f>'Individual Measure List'!K70</f>
        <v>#VALUE!</v>
      </c>
      <c r="V55" s="829" t="str">
        <f t="shared" si="30"/>
        <v/>
      </c>
      <c r="W55" s="830" t="str">
        <f t="shared" si="31"/>
        <v/>
      </c>
      <c r="X55" s="831" t="str">
        <f t="shared" si="32"/>
        <v/>
      </c>
      <c r="Y55" s="831">
        <f t="shared" si="33"/>
        <v>0</v>
      </c>
      <c r="Z55" s="833" t="str">
        <f t="shared" si="34"/>
        <v/>
      </c>
      <c r="AA55" s="833" t="str">
        <f t="shared" si="35"/>
        <v/>
      </c>
      <c r="AB55" s="833" t="str">
        <f t="shared" si="36"/>
        <v/>
      </c>
      <c r="AC55" s="833" t="str">
        <f t="shared" si="37"/>
        <v/>
      </c>
      <c r="AD55" s="833" t="e">
        <f t="shared" si="38"/>
        <v>#VALUE!</v>
      </c>
      <c r="AE55" s="834" t="e">
        <f t="shared" si="38"/>
        <v>#NUM!</v>
      </c>
      <c r="AF55" s="831" t="e">
        <f t="shared" si="38"/>
        <v>#VALUE!</v>
      </c>
      <c r="AQ55" s="832">
        <f>'Individual Measure List'!G70</f>
        <v>0</v>
      </c>
    </row>
    <row r="56" spans="1:43" ht="13.5" thickBot="1" x14ac:dyDescent="0.35">
      <c r="A56" s="825">
        <f>SUM(B6:B56)</f>
        <v>36</v>
      </c>
      <c r="B56" s="825">
        <f t="shared" si="39"/>
        <v>1</v>
      </c>
      <c r="C56" s="835" t="str">
        <f>'Individual Measure List'!A71</f>
        <v/>
      </c>
      <c r="D56" s="836" t="str">
        <f>'Individual Measure List'!B71</f>
        <v/>
      </c>
      <c r="E56" s="837" t="str">
        <f>'EEM Data Entry'!D146</f>
        <v/>
      </c>
      <c r="F56" s="837" t="str">
        <f>'EEM Data Entry'!E146</f>
        <v/>
      </c>
      <c r="G56" s="837" t="str">
        <f>'EEM Data Entry'!G146</f>
        <v>N/A</v>
      </c>
      <c r="H56" s="837" t="str">
        <f>'EEM Data Entry'!F146</f>
        <v/>
      </c>
      <c r="I56" s="837">
        <f>'Individual Measure List'!F71</f>
        <v>0</v>
      </c>
      <c r="J56" s="839" t="str">
        <f>IF('Savings Summary'!D74=0,"",'Savings Summary'!D74)</f>
        <v/>
      </c>
      <c r="K56" s="839" t="str">
        <f>IF('Savings Summary'!F74=0,"",'Savings Summary'!F74)</f>
        <v/>
      </c>
      <c r="L56" s="839" t="str">
        <f>IF('Savings Summary'!H74=0,"",'Savings Summary'!H74)</f>
        <v/>
      </c>
      <c r="M56" s="839" t="str">
        <f>IF('Savings Summary'!J74=0,"",'Savings Summary'!J74)</f>
        <v/>
      </c>
      <c r="N56" s="838" t="str">
        <f>IF('RESULTS kBtu'!H56=0,"",'RESULTS kBtu'!H56)</f>
        <v/>
      </c>
      <c r="O56" s="839" t="e">
        <f>'Individual Measure List'!H71</f>
        <v>#VALUE!</v>
      </c>
      <c r="P56" s="840" t="e">
        <f>'Individual Measure List'!J71</f>
        <v>#NUM!</v>
      </c>
      <c r="Q56" s="837" t="e">
        <f>'Individual Measure List'!K71</f>
        <v>#VALUE!</v>
      </c>
      <c r="V56" s="835" t="str">
        <f t="shared" si="30"/>
        <v/>
      </c>
      <c r="W56" s="836" t="str">
        <f t="shared" si="31"/>
        <v/>
      </c>
      <c r="X56" s="837" t="str">
        <f t="shared" si="32"/>
        <v/>
      </c>
      <c r="Y56" s="837">
        <f t="shared" si="33"/>
        <v>0</v>
      </c>
      <c r="Z56" s="839" t="str">
        <f t="shared" si="34"/>
        <v/>
      </c>
      <c r="AA56" s="839" t="str">
        <f t="shared" si="35"/>
        <v/>
      </c>
      <c r="AB56" s="839" t="str">
        <f t="shared" si="36"/>
        <v/>
      </c>
      <c r="AC56" s="839" t="str">
        <f t="shared" si="37"/>
        <v/>
      </c>
      <c r="AD56" s="839" t="e">
        <f t="shared" si="38"/>
        <v>#VALUE!</v>
      </c>
      <c r="AE56" s="840" t="e">
        <f t="shared" si="38"/>
        <v>#NUM!</v>
      </c>
      <c r="AF56" s="837" t="e">
        <f t="shared" si="38"/>
        <v>#VALUE!</v>
      </c>
      <c r="AQ56" s="838">
        <f>'Individual Measure List'!G71</f>
        <v>0</v>
      </c>
    </row>
    <row r="57" spans="1:43" ht="13.5" thickBot="1" x14ac:dyDescent="0.35">
      <c r="A57" s="825">
        <f>SUM(B6:B57)</f>
        <v>37</v>
      </c>
      <c r="B57" s="825">
        <f t="shared" si="39"/>
        <v>1</v>
      </c>
      <c r="C57" s="829" t="str">
        <f>'Individual Measure List'!A72</f>
        <v/>
      </c>
      <c r="D57" s="830" t="str">
        <f>'Individual Measure List'!B72</f>
        <v/>
      </c>
      <c r="E57" s="831" t="str">
        <f>'EEM Data Entry'!D147</f>
        <v/>
      </c>
      <c r="F57" s="831" t="str">
        <f>'EEM Data Entry'!E147</f>
        <v/>
      </c>
      <c r="G57" s="831" t="str">
        <f>'EEM Data Entry'!G147</f>
        <v>N/A</v>
      </c>
      <c r="H57" s="831" t="str">
        <f>'EEM Data Entry'!F147</f>
        <v/>
      </c>
      <c r="I57" s="831">
        <f>'Individual Measure List'!F72</f>
        <v>0</v>
      </c>
      <c r="J57" s="833" t="str">
        <f>IF('Savings Summary'!D75=0,"",'Savings Summary'!D75)</f>
        <v/>
      </c>
      <c r="K57" s="833" t="str">
        <f>IF('Savings Summary'!F75=0,"",'Savings Summary'!F75)</f>
        <v/>
      </c>
      <c r="L57" s="833" t="str">
        <f>IF('Savings Summary'!H75=0,"",'Savings Summary'!H75)</f>
        <v/>
      </c>
      <c r="M57" s="833" t="str">
        <f>IF('Savings Summary'!J75=0,"",'Savings Summary'!J75)</f>
        <v/>
      </c>
      <c r="N57" s="832" t="str">
        <f>IF('RESULTS kBtu'!H57=0,"",'RESULTS kBtu'!H57)</f>
        <v/>
      </c>
      <c r="O57" s="833" t="e">
        <f>'Individual Measure List'!H72</f>
        <v>#VALUE!</v>
      </c>
      <c r="P57" s="834" t="e">
        <f>'Individual Measure List'!J72</f>
        <v>#NUM!</v>
      </c>
      <c r="Q57" s="831" t="e">
        <f>'Individual Measure List'!K72</f>
        <v>#VALUE!</v>
      </c>
      <c r="V57" s="829" t="str">
        <f t="shared" si="30"/>
        <v/>
      </c>
      <c r="W57" s="830" t="str">
        <f t="shared" si="31"/>
        <v/>
      </c>
      <c r="X57" s="831" t="str">
        <f t="shared" si="32"/>
        <v/>
      </c>
      <c r="Y57" s="831">
        <f t="shared" si="33"/>
        <v>0</v>
      </c>
      <c r="Z57" s="833" t="str">
        <f t="shared" si="34"/>
        <v/>
      </c>
      <c r="AA57" s="833" t="str">
        <f t="shared" si="35"/>
        <v/>
      </c>
      <c r="AB57" s="833" t="str">
        <f t="shared" si="36"/>
        <v/>
      </c>
      <c r="AC57" s="833" t="str">
        <f t="shared" si="37"/>
        <v/>
      </c>
      <c r="AD57" s="833" t="e">
        <f t="shared" si="38"/>
        <v>#VALUE!</v>
      </c>
      <c r="AE57" s="834" t="e">
        <f t="shared" si="38"/>
        <v>#NUM!</v>
      </c>
      <c r="AF57" s="831" t="e">
        <f t="shared" si="38"/>
        <v>#VALUE!</v>
      </c>
      <c r="AQ57" s="832">
        <f>'Individual Measure List'!G72</f>
        <v>0</v>
      </c>
    </row>
    <row r="58" spans="1:43" ht="13.5" thickBot="1" x14ac:dyDescent="0.35">
      <c r="A58" s="825">
        <f>SUM(B6:B58)</f>
        <v>38</v>
      </c>
      <c r="B58" s="825">
        <f t="shared" si="39"/>
        <v>1</v>
      </c>
      <c r="C58" s="835" t="str">
        <f>'Individual Measure List'!A73</f>
        <v/>
      </c>
      <c r="D58" s="836" t="str">
        <f>'Individual Measure List'!B73</f>
        <v/>
      </c>
      <c r="E58" s="837" t="str">
        <f>'EEM Data Entry'!D148</f>
        <v/>
      </c>
      <c r="F58" s="837" t="str">
        <f>'EEM Data Entry'!E148</f>
        <v/>
      </c>
      <c r="G58" s="837" t="str">
        <f>'EEM Data Entry'!G148</f>
        <v>N/A</v>
      </c>
      <c r="H58" s="837" t="str">
        <f>'EEM Data Entry'!F148</f>
        <v/>
      </c>
      <c r="I58" s="837">
        <f>'Individual Measure List'!F73</f>
        <v>0</v>
      </c>
      <c r="J58" s="839" t="str">
        <f>IF('Savings Summary'!D76=0,"",'Savings Summary'!D76)</f>
        <v/>
      </c>
      <c r="K58" s="839" t="str">
        <f>IF('Savings Summary'!F76=0,"",'Savings Summary'!F76)</f>
        <v/>
      </c>
      <c r="L58" s="839" t="str">
        <f>IF('Savings Summary'!H76=0,"",'Savings Summary'!H76)</f>
        <v/>
      </c>
      <c r="M58" s="839" t="str">
        <f>IF('Savings Summary'!J76=0,"",'Savings Summary'!J76)</f>
        <v/>
      </c>
      <c r="N58" s="838" t="str">
        <f>IF('RESULTS kBtu'!H58=0,"",'RESULTS kBtu'!H58)</f>
        <v/>
      </c>
      <c r="O58" s="839" t="e">
        <f>'Individual Measure List'!H73</f>
        <v>#VALUE!</v>
      </c>
      <c r="P58" s="840" t="e">
        <f>'Individual Measure List'!J73</f>
        <v>#NUM!</v>
      </c>
      <c r="Q58" s="837" t="e">
        <f>'Individual Measure List'!K73</f>
        <v>#VALUE!</v>
      </c>
      <c r="V58" s="835" t="str">
        <f t="shared" si="30"/>
        <v/>
      </c>
      <c r="W58" s="836" t="str">
        <f t="shared" si="31"/>
        <v/>
      </c>
      <c r="X58" s="837" t="str">
        <f t="shared" si="32"/>
        <v/>
      </c>
      <c r="Y58" s="837">
        <f t="shared" si="33"/>
        <v>0</v>
      </c>
      <c r="Z58" s="839" t="str">
        <f t="shared" si="34"/>
        <v/>
      </c>
      <c r="AA58" s="839" t="str">
        <f t="shared" si="35"/>
        <v/>
      </c>
      <c r="AB58" s="839" t="str">
        <f t="shared" si="36"/>
        <v/>
      </c>
      <c r="AC58" s="839" t="str">
        <f t="shared" si="37"/>
        <v/>
      </c>
      <c r="AD58" s="839" t="e">
        <f t="shared" si="38"/>
        <v>#VALUE!</v>
      </c>
      <c r="AE58" s="840" t="e">
        <f t="shared" si="38"/>
        <v>#NUM!</v>
      </c>
      <c r="AF58" s="837" t="e">
        <f t="shared" si="38"/>
        <v>#VALUE!</v>
      </c>
      <c r="AQ58" s="838">
        <f>'Individual Measure List'!G73</f>
        <v>0</v>
      </c>
    </row>
    <row r="59" spans="1:43" ht="13.5" thickBot="1" x14ac:dyDescent="0.35">
      <c r="A59" s="825">
        <f>SUM(B6:B59)</f>
        <v>39</v>
      </c>
      <c r="B59" s="825">
        <f t="shared" si="39"/>
        <v>1</v>
      </c>
      <c r="C59" s="829" t="str">
        <f>'Individual Measure List'!A74</f>
        <v/>
      </c>
      <c r="D59" s="830" t="str">
        <f>'Individual Measure List'!B74</f>
        <v/>
      </c>
      <c r="E59" s="831" t="str">
        <f>'EEM Data Entry'!D149</f>
        <v/>
      </c>
      <c r="F59" s="831" t="str">
        <f>'EEM Data Entry'!E149</f>
        <v/>
      </c>
      <c r="G59" s="831" t="str">
        <f>'EEM Data Entry'!G149</f>
        <v>N/A</v>
      </c>
      <c r="H59" s="831" t="str">
        <f>'EEM Data Entry'!F149</f>
        <v/>
      </c>
      <c r="I59" s="831">
        <f>'Individual Measure List'!F74</f>
        <v>0</v>
      </c>
      <c r="J59" s="833" t="str">
        <f>IF('Savings Summary'!D77=0,"",'Savings Summary'!D77)</f>
        <v/>
      </c>
      <c r="K59" s="833" t="str">
        <f>IF('Savings Summary'!F77=0,"",'Savings Summary'!F77)</f>
        <v/>
      </c>
      <c r="L59" s="833" t="str">
        <f>IF('Savings Summary'!H77=0,"",'Savings Summary'!H77)</f>
        <v/>
      </c>
      <c r="M59" s="833" t="str">
        <f>IF('Savings Summary'!J77=0,"",'Savings Summary'!J77)</f>
        <v/>
      </c>
      <c r="N59" s="832" t="str">
        <f>IF('RESULTS kBtu'!H59=0,"",'RESULTS kBtu'!H59)</f>
        <v/>
      </c>
      <c r="O59" s="833" t="e">
        <f>'Individual Measure List'!H74</f>
        <v>#VALUE!</v>
      </c>
      <c r="P59" s="834" t="e">
        <f>'Individual Measure List'!J74</f>
        <v>#NUM!</v>
      </c>
      <c r="Q59" s="831" t="e">
        <f>'Individual Measure List'!K74</f>
        <v>#VALUE!</v>
      </c>
      <c r="V59" s="829" t="str">
        <f t="shared" si="30"/>
        <v/>
      </c>
      <c r="W59" s="830" t="str">
        <f t="shared" si="31"/>
        <v/>
      </c>
      <c r="X59" s="831" t="str">
        <f t="shared" si="32"/>
        <v/>
      </c>
      <c r="Y59" s="831">
        <f t="shared" si="33"/>
        <v>0</v>
      </c>
      <c r="Z59" s="833" t="str">
        <f t="shared" si="34"/>
        <v/>
      </c>
      <c r="AA59" s="833" t="str">
        <f t="shared" si="35"/>
        <v/>
      </c>
      <c r="AB59" s="833" t="str">
        <f t="shared" si="36"/>
        <v/>
      </c>
      <c r="AC59" s="833" t="str">
        <f t="shared" si="37"/>
        <v/>
      </c>
      <c r="AD59" s="833" t="e">
        <f t="shared" si="38"/>
        <v>#VALUE!</v>
      </c>
      <c r="AE59" s="834" t="e">
        <f t="shared" si="38"/>
        <v>#NUM!</v>
      </c>
      <c r="AF59" s="831" t="e">
        <f t="shared" si="38"/>
        <v>#VALUE!</v>
      </c>
      <c r="AQ59" s="832">
        <f>'Individual Measure List'!G74</f>
        <v>0</v>
      </c>
    </row>
    <row r="60" spans="1:43" ht="13.5" thickBot="1" x14ac:dyDescent="0.35">
      <c r="A60" s="825">
        <f>SUM(B6:B60)</f>
        <v>40</v>
      </c>
      <c r="B60" s="825">
        <f t="shared" si="39"/>
        <v>1</v>
      </c>
      <c r="C60" s="835" t="str">
        <f>'Individual Measure List'!A75</f>
        <v/>
      </c>
      <c r="D60" s="836" t="str">
        <f>'Individual Measure List'!B75</f>
        <v/>
      </c>
      <c r="E60" s="837" t="str">
        <f>'EEM Data Entry'!D150</f>
        <v/>
      </c>
      <c r="F60" s="837" t="str">
        <f>'EEM Data Entry'!E150</f>
        <v/>
      </c>
      <c r="G60" s="837" t="str">
        <f>'EEM Data Entry'!G150</f>
        <v>N/A</v>
      </c>
      <c r="H60" s="837" t="str">
        <f>'EEM Data Entry'!F150</f>
        <v/>
      </c>
      <c r="I60" s="837">
        <f>'Individual Measure List'!F75</f>
        <v>0</v>
      </c>
      <c r="J60" s="839" t="str">
        <f>IF('Savings Summary'!D78=0,"",'Savings Summary'!D78)</f>
        <v/>
      </c>
      <c r="K60" s="839" t="str">
        <f>IF('Savings Summary'!F78=0,"",'Savings Summary'!F78)</f>
        <v/>
      </c>
      <c r="L60" s="839" t="str">
        <f>IF('Savings Summary'!H78=0,"",'Savings Summary'!H78)</f>
        <v/>
      </c>
      <c r="M60" s="839" t="str">
        <f>IF('Savings Summary'!J78=0,"",'Savings Summary'!J78)</f>
        <v/>
      </c>
      <c r="N60" s="850" t="str">
        <f>IF('RESULTS kBtu'!H60=0,"",'RESULTS kBtu'!H60)</f>
        <v/>
      </c>
      <c r="O60" s="839" t="e">
        <f>'Individual Measure List'!H75</f>
        <v>#VALUE!</v>
      </c>
      <c r="P60" s="840" t="e">
        <f>'Individual Measure List'!J75</f>
        <v>#NUM!</v>
      </c>
      <c r="Q60" s="837" t="e">
        <f>'Individual Measure List'!K75</f>
        <v>#VALUE!</v>
      </c>
      <c r="V60" s="835" t="str">
        <f t="shared" si="30"/>
        <v/>
      </c>
      <c r="W60" s="836" t="str">
        <f t="shared" si="31"/>
        <v/>
      </c>
      <c r="X60" s="837" t="str">
        <f t="shared" si="32"/>
        <v/>
      </c>
      <c r="Y60" s="837">
        <f t="shared" si="33"/>
        <v>0</v>
      </c>
      <c r="Z60" s="839" t="str">
        <f t="shared" si="34"/>
        <v/>
      </c>
      <c r="AA60" s="839" t="str">
        <f t="shared" si="35"/>
        <v/>
      </c>
      <c r="AB60" s="839" t="str">
        <f t="shared" si="36"/>
        <v/>
      </c>
      <c r="AC60" s="839" t="str">
        <f t="shared" si="37"/>
        <v/>
      </c>
      <c r="AD60" s="839" t="e">
        <f t="shared" si="38"/>
        <v>#VALUE!</v>
      </c>
      <c r="AE60" s="840" t="e">
        <f t="shared" si="38"/>
        <v>#NUM!</v>
      </c>
      <c r="AF60" s="837" t="e">
        <f t="shared" si="38"/>
        <v>#VALUE!</v>
      </c>
      <c r="AQ60" s="838">
        <f>'Individual Measure List'!G75</f>
        <v>0</v>
      </c>
    </row>
    <row r="61" spans="1:43" ht="16" customHeight="1" thickBot="1" x14ac:dyDescent="0.35">
      <c r="C61" s="957" t="s">
        <v>381</v>
      </c>
      <c r="D61" s="958"/>
      <c r="E61" s="958"/>
      <c r="F61" s="958"/>
      <c r="G61" s="958"/>
      <c r="H61" s="958"/>
      <c r="I61" s="958"/>
      <c r="J61" s="958"/>
      <c r="K61" s="958"/>
      <c r="L61" s="958"/>
      <c r="M61" s="958"/>
      <c r="N61" s="958"/>
      <c r="O61" s="958"/>
      <c r="P61" s="958"/>
      <c r="Q61" s="959"/>
      <c r="V61" s="957" t="s">
        <v>381</v>
      </c>
      <c r="W61" s="958"/>
      <c r="X61" s="958"/>
      <c r="Y61" s="958"/>
      <c r="Z61" s="958"/>
      <c r="AA61" s="958"/>
      <c r="AB61" s="958"/>
      <c r="AC61" s="958"/>
      <c r="AD61" s="958"/>
      <c r="AE61" s="958"/>
      <c r="AF61" s="959"/>
      <c r="AQ61" s="867"/>
    </row>
    <row r="63" spans="1:43" x14ac:dyDescent="0.3">
      <c r="C63" s="826" t="s">
        <v>211</v>
      </c>
      <c r="V63" s="826" t="s">
        <v>211</v>
      </c>
    </row>
    <row r="64" spans="1:43" ht="13.5" thickBot="1" x14ac:dyDescent="0.35"/>
    <row r="65" spans="4:43" ht="52.5" thickBot="1" x14ac:dyDescent="0.35">
      <c r="D65" s="827"/>
      <c r="E65" s="828" t="s">
        <v>129</v>
      </c>
      <c r="F65" s="828" t="s">
        <v>371</v>
      </c>
      <c r="G65" s="828" t="s">
        <v>377</v>
      </c>
      <c r="H65" s="828" t="s">
        <v>372</v>
      </c>
      <c r="I65" s="828" t="s">
        <v>178</v>
      </c>
      <c r="J65" s="828" t="s">
        <v>373</v>
      </c>
      <c r="K65" s="828" t="s">
        <v>374</v>
      </c>
      <c r="L65" s="828" t="s">
        <v>375</v>
      </c>
      <c r="M65" s="828" t="s">
        <v>376</v>
      </c>
      <c r="N65" s="828" t="s">
        <v>179</v>
      </c>
      <c r="O65" s="828" t="s">
        <v>183</v>
      </c>
      <c r="P65" s="828" t="s">
        <v>17</v>
      </c>
      <c r="Q65" s="828" t="s">
        <v>22</v>
      </c>
      <c r="W65" s="827"/>
      <c r="X65" s="828" t="str">
        <f t="shared" ref="W65:X67" si="40">E65</f>
        <v>Capital Investment</v>
      </c>
      <c r="Y65" s="828" t="str">
        <f t="shared" ref="Y65:AC67" si="41">I65</f>
        <v>Annual Energy Cost Savings</v>
      </c>
      <c r="Z65" s="828" t="str">
        <f t="shared" si="41"/>
        <v>Annual Electric Savings (kWh)</v>
      </c>
      <c r="AA65" s="828" t="str">
        <f t="shared" si="41"/>
        <v>Annual Oil Savings (Gal)</v>
      </c>
      <c r="AB65" s="828" t="str">
        <f t="shared" si="41"/>
        <v>Annual Nat. Gas Savings (Therms)</v>
      </c>
      <c r="AC65" s="828" t="str">
        <f t="shared" si="41"/>
        <v>Annual Propane Savings (Gal)</v>
      </c>
      <c r="AD65" s="828" t="str">
        <f t="shared" ref="AD65:AF67" si="42">O65</f>
        <v>Simple Payback (Years)</v>
      </c>
      <c r="AE65" s="828" t="str">
        <f t="shared" si="42"/>
        <v>IRR</v>
      </c>
      <c r="AF65" s="828" t="str">
        <f t="shared" si="42"/>
        <v>NPV</v>
      </c>
      <c r="AQ65" s="828" t="s">
        <v>179</v>
      </c>
    </row>
    <row r="66" spans="4:43" ht="78" customHeight="1" thickBot="1" x14ac:dyDescent="0.35">
      <c r="D66" s="829" t="str">
        <f>'Packaged EEMs'!B82</f>
        <v>RECOMMENDED PACKAGE: Example</v>
      </c>
      <c r="E66" s="831">
        <f>SUM('EEM Data Entry'!D85:D108,'EEM Data Entry'!D110:D123,'EEM Data Entry'!D125:D139,'EEM Data Entry'!D141:D154)</f>
        <v>0</v>
      </c>
      <c r="F66" s="831">
        <f>SUM('EEM Data Entry'!E85:E108,'EEM Data Entry'!E110:E123,'EEM Data Entry'!E125:E139,'EEM Data Entry'!E141:E154)</f>
        <v>0</v>
      </c>
      <c r="G66" s="831"/>
      <c r="H66" s="831">
        <f>SUM('EEM Data Entry'!F85:F108,'EEM Data Entry'!F110:F123,'EEM Data Entry'!F125:F139,'EEM Data Entry'!F141:F154)</f>
        <v>0</v>
      </c>
      <c r="I66" s="831">
        <f>'Packaged EEMs'!F82</f>
        <v>0</v>
      </c>
      <c r="J66" s="833">
        <f>'Cascading Savings'!D87</f>
        <v>0</v>
      </c>
      <c r="K66" s="833">
        <f>'Cascading Savings'!F87</f>
        <v>0</v>
      </c>
      <c r="L66" s="833">
        <f>'Cascading Savings'!H87</f>
        <v>0</v>
      </c>
      <c r="M66" s="833">
        <f>'Cascading Savings'!J87</f>
        <v>0</v>
      </c>
      <c r="N66" s="832" t="str">
        <f>IF('RESULTS kBtu'!H66=0,"",'RESULTS kBtu'!H66)</f>
        <v/>
      </c>
      <c r="O66" s="833" t="e">
        <f>'Packaged EEMs'!H82</f>
        <v>#DIV/0!</v>
      </c>
      <c r="P66" s="834" t="e">
        <f>'Packaged EEMs'!J82</f>
        <v>#NUM!</v>
      </c>
      <c r="Q66" s="831">
        <f>'Packaged EEMs'!K82</f>
        <v>0</v>
      </c>
      <c r="W66" s="829" t="str">
        <f t="shared" si="40"/>
        <v>RECOMMENDED PACKAGE: Example</v>
      </c>
      <c r="X66" s="831">
        <f t="shared" si="40"/>
        <v>0</v>
      </c>
      <c r="Y66" s="831">
        <f t="shared" si="41"/>
        <v>0</v>
      </c>
      <c r="Z66" s="868">
        <f t="shared" si="41"/>
        <v>0</v>
      </c>
      <c r="AA66" s="868">
        <f t="shared" si="41"/>
        <v>0</v>
      </c>
      <c r="AB66" s="868">
        <f t="shared" si="41"/>
        <v>0</v>
      </c>
      <c r="AC66" s="868">
        <f t="shared" si="41"/>
        <v>0</v>
      </c>
      <c r="AD66" s="833" t="e">
        <f t="shared" si="42"/>
        <v>#DIV/0!</v>
      </c>
      <c r="AE66" s="834" t="e">
        <f t="shared" si="42"/>
        <v>#NUM!</v>
      </c>
      <c r="AF66" s="831">
        <f t="shared" si="42"/>
        <v>0</v>
      </c>
      <c r="AQ66" s="832">
        <f>'Packaged EEMs'!G82</f>
        <v>0</v>
      </c>
    </row>
    <row r="67" spans="4:43" ht="16" customHeight="1" thickBot="1" x14ac:dyDescent="0.4">
      <c r="D67" s="954" t="s">
        <v>378</v>
      </c>
      <c r="E67" s="955"/>
      <c r="F67" s="955"/>
      <c r="G67" s="955"/>
      <c r="H67" s="955"/>
      <c r="I67" s="955"/>
      <c r="J67" s="955"/>
      <c r="K67" s="955"/>
      <c r="L67" s="955"/>
      <c r="M67" s="955"/>
      <c r="N67" s="955"/>
      <c r="O67" s="955"/>
      <c r="P67" s="955"/>
      <c r="Q67" s="956"/>
      <c r="W67" s="954" t="str">
        <f t="shared" si="40"/>
        <v>*Please see "Note Regarding Incentives" on first page of financial modeling section</v>
      </c>
      <c r="X67" s="955">
        <f t="shared" si="40"/>
        <v>0</v>
      </c>
      <c r="Y67" s="955">
        <f t="shared" si="41"/>
        <v>0</v>
      </c>
      <c r="Z67" s="955">
        <f t="shared" si="41"/>
        <v>0</v>
      </c>
      <c r="AA67" s="955">
        <f t="shared" si="41"/>
        <v>0</v>
      </c>
      <c r="AB67" s="955">
        <f t="shared" si="41"/>
        <v>0</v>
      </c>
      <c r="AC67" s="955">
        <f t="shared" si="41"/>
        <v>0</v>
      </c>
      <c r="AD67" s="955">
        <f t="shared" si="42"/>
        <v>0</v>
      </c>
      <c r="AE67" s="955">
        <f t="shared" si="42"/>
        <v>0</v>
      </c>
      <c r="AF67" s="956">
        <f t="shared" si="42"/>
        <v>0</v>
      </c>
    </row>
  </sheetData>
  <mergeCells count="14">
    <mergeCell ref="C1:Q1"/>
    <mergeCell ref="V1:AF1"/>
    <mergeCell ref="S6:T6"/>
    <mergeCell ref="S11:T12"/>
    <mergeCell ref="C16:Q16"/>
    <mergeCell ref="V16:AF16"/>
    <mergeCell ref="D67:Q67"/>
    <mergeCell ref="W67:AF67"/>
    <mergeCell ref="C31:Q31"/>
    <mergeCell ref="V31:AF31"/>
    <mergeCell ref="C46:Q46"/>
    <mergeCell ref="V46:AF46"/>
    <mergeCell ref="C61:Q61"/>
    <mergeCell ref="V61:AF61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42FD-A10D-4D90-AF04-B6F3E19FABF6}">
  <sheetPr>
    <tabColor rgb="FF00B0F0"/>
  </sheetPr>
  <dimension ref="A1:AC67"/>
  <sheetViews>
    <sheetView topLeftCell="A27" zoomScale="115" zoomScaleNormal="115" workbookViewId="0">
      <selection activeCell="B35" sqref="B35"/>
    </sheetView>
  </sheetViews>
  <sheetFormatPr defaultColWidth="8.7265625" defaultRowHeight="13" x14ac:dyDescent="0.3"/>
  <cols>
    <col min="1" max="1" width="6.26953125" style="825" customWidth="1"/>
    <col min="2" max="2" width="27.08984375" style="825" customWidth="1"/>
    <col min="3" max="3" width="10.81640625" style="825" customWidth="1"/>
    <col min="4" max="6" width="9" style="825" customWidth="1"/>
    <col min="7" max="7" width="10.81640625" style="825" customWidth="1"/>
    <col min="8" max="8" width="9" style="825" customWidth="1"/>
    <col min="9" max="9" width="8" style="825" bestFit="1" customWidth="1"/>
    <col min="10" max="11" width="9" style="825" customWidth="1"/>
    <col min="12" max="12" width="8.7265625" style="825"/>
    <col min="13" max="13" width="29.54296875" style="825" customWidth="1"/>
    <col min="14" max="14" width="21.6328125" style="825" customWidth="1"/>
    <col min="15" max="15" width="12.26953125" style="825" customWidth="1"/>
    <col min="16" max="16" width="7.36328125" style="825" bestFit="1" customWidth="1"/>
    <col min="17" max="17" width="35.26953125" style="825" customWidth="1"/>
    <col min="18" max="23" width="11.36328125" style="825" customWidth="1"/>
    <col min="24" max="16384" width="8.7265625" style="825"/>
  </cols>
  <sheetData>
    <row r="1" spans="1:29" s="863" customFormat="1" ht="30" customHeight="1" x14ac:dyDescent="0.55000000000000004">
      <c r="A1" s="973" t="s">
        <v>212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P1" s="973" t="s">
        <v>380</v>
      </c>
      <c r="Q1" s="973"/>
      <c r="R1" s="973"/>
      <c r="S1" s="973"/>
      <c r="T1" s="973"/>
      <c r="U1" s="973"/>
      <c r="V1" s="973"/>
      <c r="W1" s="973"/>
      <c r="X1" s="864"/>
      <c r="Y1" s="864"/>
      <c r="Z1" s="864"/>
      <c r="AA1" s="864"/>
      <c r="AB1" s="864"/>
      <c r="AC1" s="864"/>
    </row>
    <row r="3" spans="1:29" x14ac:dyDescent="0.3">
      <c r="A3" s="826" t="s">
        <v>207</v>
      </c>
      <c r="P3" s="826" t="s">
        <v>207</v>
      </c>
    </row>
    <row r="4" spans="1:29" ht="13.5" thickBot="1" x14ac:dyDescent="0.35"/>
    <row r="5" spans="1:29" ht="39.5" thickBot="1" x14ac:dyDescent="0.35">
      <c r="A5" s="827" t="s">
        <v>144</v>
      </c>
      <c r="B5" s="828" t="s">
        <v>177</v>
      </c>
      <c r="C5" s="828" t="s">
        <v>129</v>
      </c>
      <c r="D5" s="828" t="s">
        <v>371</v>
      </c>
      <c r="E5" s="828" t="s">
        <v>377</v>
      </c>
      <c r="F5" s="828" t="s">
        <v>372</v>
      </c>
      <c r="G5" s="828" t="s">
        <v>178</v>
      </c>
      <c r="H5" s="828" t="s">
        <v>179</v>
      </c>
      <c r="I5" s="828" t="s">
        <v>183</v>
      </c>
      <c r="J5" s="828" t="s">
        <v>17</v>
      </c>
      <c r="K5" s="828" t="s">
        <v>22</v>
      </c>
      <c r="P5" s="827" t="str">
        <f t="shared" ref="P5:P15" si="0">A5</f>
        <v>EEM #</v>
      </c>
      <c r="Q5" s="828" t="str">
        <f t="shared" ref="Q5:Q15" si="1">B5</f>
        <v>Building Envelope Upgrades</v>
      </c>
      <c r="R5" s="828" t="str">
        <f t="shared" ref="R5:R15" si="2">C5</f>
        <v>Capital Investment</v>
      </c>
      <c r="S5" s="828" t="str">
        <f t="shared" ref="S5:S15" si="3">G5</f>
        <v>Annual Energy Cost Savings</v>
      </c>
      <c r="T5" s="828" t="str">
        <f t="shared" ref="T5:T15" si="4">H5</f>
        <v>Annual kBTU Savings</v>
      </c>
      <c r="U5" s="828" t="str">
        <f t="shared" ref="U5:U15" si="5">I5</f>
        <v>Simple Payback (Years)</v>
      </c>
      <c r="V5" s="828" t="str">
        <f t="shared" ref="V5:V15" si="6">J5</f>
        <v>IRR</v>
      </c>
      <c r="W5" s="828" t="str">
        <f t="shared" ref="W5:W15" si="7">K5</f>
        <v>NPV</v>
      </c>
    </row>
    <row r="6" spans="1:29" ht="16" customHeight="1" thickBot="1" x14ac:dyDescent="0.35">
      <c r="A6" s="829" t="str">
        <f>'Individual Measure List'!A8</f>
        <v/>
      </c>
      <c r="B6" s="830" t="str">
        <f>'Individual Measure List'!B8</f>
        <v/>
      </c>
      <c r="C6" s="831" t="str">
        <f>'EEM Data Entry'!D85</f>
        <v/>
      </c>
      <c r="D6" s="831" t="str">
        <f>'EEM Data Entry'!E85</f>
        <v/>
      </c>
      <c r="E6" s="830" t="str">
        <f>'EEM Data Entry'!G85</f>
        <v>N/A</v>
      </c>
      <c r="F6" s="831" t="str">
        <f>'EEM Data Entry'!F85</f>
        <v/>
      </c>
      <c r="G6" s="831">
        <f>'Individual Measure List'!F8</f>
        <v>0</v>
      </c>
      <c r="H6" s="832">
        <f>'Individual Measure List'!G8</f>
        <v>0</v>
      </c>
      <c r="I6" s="833" t="e">
        <f>'Individual Measure List'!H8</f>
        <v>#VALUE!</v>
      </c>
      <c r="J6" s="834" t="e">
        <f>'Individual Measure List'!J8</f>
        <v>#NUM!</v>
      </c>
      <c r="K6" s="831" t="e">
        <f>'Individual Measure List'!K8</f>
        <v>#VALUE!</v>
      </c>
      <c r="M6" s="961" t="s">
        <v>197</v>
      </c>
      <c r="N6" s="962"/>
      <c r="P6" s="829" t="str">
        <f t="shared" si="0"/>
        <v/>
      </c>
      <c r="Q6" s="830" t="str">
        <f t="shared" si="1"/>
        <v/>
      </c>
      <c r="R6" s="831" t="str">
        <f t="shared" si="2"/>
        <v/>
      </c>
      <c r="S6" s="831">
        <f t="shared" si="3"/>
        <v>0</v>
      </c>
      <c r="T6" s="832">
        <f t="shared" si="4"/>
        <v>0</v>
      </c>
      <c r="U6" s="833" t="e">
        <f t="shared" si="5"/>
        <v>#VALUE!</v>
      </c>
      <c r="V6" s="834" t="e">
        <f t="shared" si="6"/>
        <v>#NUM!</v>
      </c>
      <c r="W6" s="831" t="e">
        <f t="shared" si="7"/>
        <v>#VALUE!</v>
      </c>
    </row>
    <row r="7" spans="1:29" ht="13.5" thickBot="1" x14ac:dyDescent="0.35">
      <c r="A7" s="835" t="str">
        <f>'Individual Measure List'!A9</f>
        <v/>
      </c>
      <c r="B7" s="836" t="str">
        <f>'Individual Measure List'!B9</f>
        <v/>
      </c>
      <c r="C7" s="837" t="str">
        <f>'EEM Data Entry'!D86</f>
        <v/>
      </c>
      <c r="D7" s="837" t="str">
        <f>'EEM Data Entry'!E86</f>
        <v/>
      </c>
      <c r="E7" s="836" t="str">
        <f>'EEM Data Entry'!G86</f>
        <v>N/A</v>
      </c>
      <c r="F7" s="837" t="str">
        <f>'EEM Data Entry'!F86</f>
        <v/>
      </c>
      <c r="G7" s="837">
        <f>'Individual Measure List'!F9</f>
        <v>0</v>
      </c>
      <c r="H7" s="838">
        <f>'Individual Measure List'!G9</f>
        <v>0</v>
      </c>
      <c r="I7" s="839" t="e">
        <f>'Individual Measure List'!H9</f>
        <v>#VALUE!</v>
      </c>
      <c r="J7" s="840" t="e">
        <f>'Individual Measure List'!J9</f>
        <v>#NUM!</v>
      </c>
      <c r="K7" s="837" t="e">
        <f>'Individual Measure List'!K9</f>
        <v>#VALUE!</v>
      </c>
      <c r="M7" s="841" t="s">
        <v>184</v>
      </c>
      <c r="N7" s="842">
        <f>'Interest Rate'!C10</f>
        <v>3.4000000000000002E-2</v>
      </c>
      <c r="P7" s="835" t="str">
        <f t="shared" si="0"/>
        <v/>
      </c>
      <c r="Q7" s="836" t="str">
        <f t="shared" si="1"/>
        <v/>
      </c>
      <c r="R7" s="837" t="str">
        <f t="shared" si="2"/>
        <v/>
      </c>
      <c r="S7" s="837">
        <f t="shared" si="3"/>
        <v>0</v>
      </c>
      <c r="T7" s="838">
        <f t="shared" si="4"/>
        <v>0</v>
      </c>
      <c r="U7" s="839" t="e">
        <f t="shared" si="5"/>
        <v>#VALUE!</v>
      </c>
      <c r="V7" s="840" t="e">
        <f t="shared" si="6"/>
        <v>#NUM!</v>
      </c>
      <c r="W7" s="837" t="e">
        <f t="shared" si="7"/>
        <v>#VALUE!</v>
      </c>
    </row>
    <row r="8" spans="1:29" ht="13.5" thickBot="1" x14ac:dyDescent="0.35">
      <c r="A8" s="829" t="str">
        <f>'Individual Measure List'!A10</f>
        <v/>
      </c>
      <c r="B8" s="830" t="str">
        <f>'Individual Measure List'!B10</f>
        <v/>
      </c>
      <c r="C8" s="831" t="str">
        <f>'EEM Data Entry'!D87</f>
        <v/>
      </c>
      <c r="D8" s="831" t="str">
        <f>'EEM Data Entry'!E87</f>
        <v/>
      </c>
      <c r="E8" s="830" t="str">
        <f>'EEM Data Entry'!G87</f>
        <v>N/A</v>
      </c>
      <c r="F8" s="831" t="str">
        <f>'EEM Data Entry'!F87</f>
        <v/>
      </c>
      <c r="G8" s="831">
        <f>'Individual Measure List'!F10</f>
        <v>0</v>
      </c>
      <c r="H8" s="832">
        <f>'Individual Measure List'!G10</f>
        <v>0</v>
      </c>
      <c r="I8" s="833" t="e">
        <f>'Individual Measure List'!H10</f>
        <v>#VALUE!</v>
      </c>
      <c r="J8" s="834" t="e">
        <f>'Individual Measure List'!J10</f>
        <v>#NUM!</v>
      </c>
      <c r="K8" s="831" t="e">
        <f>'Individual Measure List'!K10</f>
        <v>#VALUE!</v>
      </c>
      <c r="M8" s="843" t="s">
        <v>196</v>
      </c>
      <c r="N8" s="844">
        <f>'Interest Rate'!C12</f>
        <v>0</v>
      </c>
      <c r="P8" s="829" t="str">
        <f t="shared" si="0"/>
        <v/>
      </c>
      <c r="Q8" s="830" t="str">
        <f t="shared" si="1"/>
        <v/>
      </c>
      <c r="R8" s="831" t="str">
        <f t="shared" si="2"/>
        <v/>
      </c>
      <c r="S8" s="831">
        <f t="shared" si="3"/>
        <v>0</v>
      </c>
      <c r="T8" s="832">
        <f t="shared" si="4"/>
        <v>0</v>
      </c>
      <c r="U8" s="833" t="e">
        <f t="shared" si="5"/>
        <v>#VALUE!</v>
      </c>
      <c r="V8" s="834" t="e">
        <f t="shared" si="6"/>
        <v>#NUM!</v>
      </c>
      <c r="W8" s="831" t="e">
        <f t="shared" si="7"/>
        <v>#VALUE!</v>
      </c>
    </row>
    <row r="9" spans="1:29" ht="13.5" thickBot="1" x14ac:dyDescent="0.35">
      <c r="A9" s="835" t="str">
        <f>'Individual Measure List'!A11</f>
        <v/>
      </c>
      <c r="B9" s="836" t="str">
        <f>'Individual Measure List'!B11</f>
        <v/>
      </c>
      <c r="C9" s="837" t="str">
        <f>'EEM Data Entry'!D88</f>
        <v/>
      </c>
      <c r="D9" s="837" t="str">
        <f>'EEM Data Entry'!E88</f>
        <v/>
      </c>
      <c r="E9" s="836" t="str">
        <f>'EEM Data Entry'!G88</f>
        <v>N/A</v>
      </c>
      <c r="F9" s="837" t="str">
        <f>'EEM Data Entry'!F88</f>
        <v/>
      </c>
      <c r="G9" s="837">
        <f>'Individual Measure List'!F11</f>
        <v>0</v>
      </c>
      <c r="H9" s="838">
        <f>'Individual Measure List'!G11</f>
        <v>0</v>
      </c>
      <c r="I9" s="839" t="e">
        <f>'Individual Measure List'!H11</f>
        <v>#VALUE!</v>
      </c>
      <c r="J9" s="840" t="e">
        <f>'Individual Measure List'!J11</f>
        <v>#NUM!</v>
      </c>
      <c r="K9" s="837" t="e">
        <f>'Individual Measure List'!K11</f>
        <v>#VALUE!</v>
      </c>
      <c r="M9" s="841" t="s">
        <v>197</v>
      </c>
      <c r="N9" s="842">
        <f>'Interest Rate'!C14</f>
        <v>0.05</v>
      </c>
      <c r="P9" s="835" t="str">
        <f t="shared" si="0"/>
        <v/>
      </c>
      <c r="Q9" s="836" t="str">
        <f t="shared" si="1"/>
        <v/>
      </c>
      <c r="R9" s="837" t="str">
        <f t="shared" si="2"/>
        <v/>
      </c>
      <c r="S9" s="837">
        <f t="shared" si="3"/>
        <v>0</v>
      </c>
      <c r="T9" s="838">
        <f t="shared" si="4"/>
        <v>0</v>
      </c>
      <c r="U9" s="839" t="e">
        <f t="shared" si="5"/>
        <v>#VALUE!</v>
      </c>
      <c r="V9" s="840" t="e">
        <f t="shared" si="6"/>
        <v>#NUM!</v>
      </c>
      <c r="W9" s="837" t="e">
        <f t="shared" si="7"/>
        <v>#VALUE!</v>
      </c>
    </row>
    <row r="10" spans="1:29" ht="13.5" thickBot="1" x14ac:dyDescent="0.35">
      <c r="A10" s="829" t="str">
        <f>'Individual Measure List'!A12</f>
        <v/>
      </c>
      <c r="B10" s="830" t="str">
        <f>'Individual Measure List'!B12</f>
        <v/>
      </c>
      <c r="C10" s="831" t="str">
        <f>'EEM Data Entry'!D89</f>
        <v/>
      </c>
      <c r="D10" s="831" t="str">
        <f>'EEM Data Entry'!E89</f>
        <v/>
      </c>
      <c r="E10" s="830" t="str">
        <f>'EEM Data Entry'!G89</f>
        <v>N/A</v>
      </c>
      <c r="F10" s="831" t="str">
        <f>'EEM Data Entry'!F89</f>
        <v/>
      </c>
      <c r="G10" s="831">
        <f>'Individual Measure List'!F12</f>
        <v>0</v>
      </c>
      <c r="H10" s="832">
        <f>'Individual Measure List'!G12</f>
        <v>0</v>
      </c>
      <c r="I10" s="833" t="e">
        <f>'Individual Measure List'!H12</f>
        <v>#VALUE!</v>
      </c>
      <c r="J10" s="834" t="e">
        <f>'Individual Measure List'!J12</f>
        <v>#NUM!</v>
      </c>
      <c r="K10" s="831" t="e">
        <f>'Individual Measure List'!K12</f>
        <v>#VALUE!</v>
      </c>
      <c r="M10" s="845" t="s">
        <v>198</v>
      </c>
      <c r="N10" s="846">
        <f>'Interest Rate'!B17</f>
        <v>5.0000000000000044E-2</v>
      </c>
      <c r="P10" s="829" t="str">
        <f t="shared" si="0"/>
        <v/>
      </c>
      <c r="Q10" s="830" t="str">
        <f t="shared" si="1"/>
        <v/>
      </c>
      <c r="R10" s="831" t="str">
        <f t="shared" si="2"/>
        <v/>
      </c>
      <c r="S10" s="831">
        <f t="shared" si="3"/>
        <v>0</v>
      </c>
      <c r="T10" s="832">
        <f t="shared" si="4"/>
        <v>0</v>
      </c>
      <c r="U10" s="833" t="e">
        <f t="shared" si="5"/>
        <v>#VALUE!</v>
      </c>
      <c r="V10" s="834" t="e">
        <f t="shared" si="6"/>
        <v>#NUM!</v>
      </c>
      <c r="W10" s="831" t="e">
        <f t="shared" si="7"/>
        <v>#VALUE!</v>
      </c>
    </row>
    <row r="11" spans="1:29" ht="16" customHeight="1" thickBot="1" x14ac:dyDescent="0.35">
      <c r="A11" s="835" t="str">
        <f>'Individual Measure List'!A13</f>
        <v/>
      </c>
      <c r="B11" s="836" t="str">
        <f>'Individual Measure List'!B13</f>
        <v/>
      </c>
      <c r="C11" s="837" t="str">
        <f>'EEM Data Entry'!D90</f>
        <v/>
      </c>
      <c r="D11" s="837" t="str">
        <f>'EEM Data Entry'!E90</f>
        <v/>
      </c>
      <c r="E11" s="836" t="str">
        <f>'EEM Data Entry'!G90</f>
        <v>N/A</v>
      </c>
      <c r="F11" s="837" t="str">
        <f>'EEM Data Entry'!F90</f>
        <v/>
      </c>
      <c r="G11" s="837">
        <f>'Individual Measure List'!F13</f>
        <v>0</v>
      </c>
      <c r="H11" s="838">
        <f>'Individual Measure List'!G13</f>
        <v>0</v>
      </c>
      <c r="I11" s="839" t="e">
        <f>'Individual Measure List'!H13</f>
        <v>#VALUE!</v>
      </c>
      <c r="J11" s="840" t="e">
        <f>'Individual Measure List'!J13</f>
        <v>#NUM!</v>
      </c>
      <c r="K11" s="837" t="e">
        <f>'Individual Measure List'!K13</f>
        <v>#VALUE!</v>
      </c>
      <c r="M11" s="963" t="s">
        <v>222</v>
      </c>
      <c r="N11" s="964"/>
      <c r="P11" s="835" t="str">
        <f t="shared" si="0"/>
        <v/>
      </c>
      <c r="Q11" s="836" t="str">
        <f t="shared" si="1"/>
        <v/>
      </c>
      <c r="R11" s="837" t="str">
        <f t="shared" si="2"/>
        <v/>
      </c>
      <c r="S11" s="837">
        <f t="shared" si="3"/>
        <v>0</v>
      </c>
      <c r="T11" s="838">
        <f t="shared" si="4"/>
        <v>0</v>
      </c>
      <c r="U11" s="839" t="e">
        <f t="shared" si="5"/>
        <v>#VALUE!</v>
      </c>
      <c r="V11" s="840" t="e">
        <f t="shared" si="6"/>
        <v>#NUM!</v>
      </c>
      <c r="W11" s="837" t="e">
        <f t="shared" si="7"/>
        <v>#VALUE!</v>
      </c>
    </row>
    <row r="12" spans="1:29" ht="13.5" thickBot="1" x14ac:dyDescent="0.35">
      <c r="A12" s="829" t="str">
        <f>'Individual Measure List'!A14</f>
        <v/>
      </c>
      <c r="B12" s="830" t="str">
        <f>'Individual Measure List'!B14</f>
        <v/>
      </c>
      <c r="C12" s="831" t="str">
        <f>'EEM Data Entry'!D91</f>
        <v/>
      </c>
      <c r="D12" s="831" t="str">
        <f>'EEM Data Entry'!E91</f>
        <v/>
      </c>
      <c r="E12" s="830" t="str">
        <f>'EEM Data Entry'!G91</f>
        <v>N/A</v>
      </c>
      <c r="F12" s="831" t="str">
        <f>'EEM Data Entry'!F91</f>
        <v/>
      </c>
      <c r="G12" s="831">
        <f>'Individual Measure List'!F14</f>
        <v>0</v>
      </c>
      <c r="H12" s="832">
        <f>'Individual Measure List'!G14</f>
        <v>0</v>
      </c>
      <c r="I12" s="833" t="e">
        <f>'Individual Measure List'!H14</f>
        <v>#VALUE!</v>
      </c>
      <c r="J12" s="834" t="e">
        <f>'Individual Measure List'!J14</f>
        <v>#NUM!</v>
      </c>
      <c r="K12" s="831" t="e">
        <f>'Individual Measure List'!K14</f>
        <v>#VALUE!</v>
      </c>
      <c r="M12" s="965"/>
      <c r="N12" s="966"/>
      <c r="P12" s="829" t="str">
        <f t="shared" si="0"/>
        <v/>
      </c>
      <c r="Q12" s="830" t="str">
        <f t="shared" si="1"/>
        <v/>
      </c>
      <c r="R12" s="831" t="str">
        <f t="shared" si="2"/>
        <v/>
      </c>
      <c r="S12" s="831">
        <f t="shared" si="3"/>
        <v>0</v>
      </c>
      <c r="T12" s="832">
        <f t="shared" si="4"/>
        <v>0</v>
      </c>
      <c r="U12" s="833" t="e">
        <f t="shared" si="5"/>
        <v>#VALUE!</v>
      </c>
      <c r="V12" s="834" t="e">
        <f t="shared" si="6"/>
        <v>#NUM!</v>
      </c>
      <c r="W12" s="831" t="e">
        <f t="shared" si="7"/>
        <v>#VALUE!</v>
      </c>
    </row>
    <row r="13" spans="1:29" ht="13.5" thickBot="1" x14ac:dyDescent="0.35">
      <c r="A13" s="835" t="str">
        <f>'Individual Measure List'!A15</f>
        <v/>
      </c>
      <c r="B13" s="836" t="str">
        <f>'Individual Measure List'!B15</f>
        <v/>
      </c>
      <c r="C13" s="837" t="str">
        <f>'EEM Data Entry'!D92</f>
        <v/>
      </c>
      <c r="D13" s="837" t="str">
        <f>'EEM Data Entry'!E92</f>
        <v/>
      </c>
      <c r="E13" s="836" t="str">
        <f>'EEM Data Entry'!G92</f>
        <v>N/A</v>
      </c>
      <c r="F13" s="837" t="str">
        <f>'EEM Data Entry'!F92</f>
        <v/>
      </c>
      <c r="G13" s="837">
        <f>'Individual Measure List'!F15</f>
        <v>0</v>
      </c>
      <c r="H13" s="838">
        <f>'Individual Measure List'!G15</f>
        <v>0</v>
      </c>
      <c r="I13" s="839" t="e">
        <f>'Individual Measure List'!H15</f>
        <v>#VALUE!</v>
      </c>
      <c r="J13" s="840" t="e">
        <f>'Individual Measure List'!J15</f>
        <v>#NUM!</v>
      </c>
      <c r="K13" s="837" t="e">
        <f>'Individual Measure List'!K15</f>
        <v>#VALUE!</v>
      </c>
      <c r="P13" s="835" t="str">
        <f t="shared" si="0"/>
        <v/>
      </c>
      <c r="Q13" s="836" t="str">
        <f t="shared" si="1"/>
        <v/>
      </c>
      <c r="R13" s="837" t="str">
        <f t="shared" si="2"/>
        <v/>
      </c>
      <c r="S13" s="837">
        <f t="shared" si="3"/>
        <v>0</v>
      </c>
      <c r="T13" s="838">
        <f t="shared" si="4"/>
        <v>0</v>
      </c>
      <c r="U13" s="839" t="e">
        <f t="shared" si="5"/>
        <v>#VALUE!</v>
      </c>
      <c r="V13" s="840" t="e">
        <f t="shared" si="6"/>
        <v>#NUM!</v>
      </c>
      <c r="W13" s="837" t="e">
        <f t="shared" si="7"/>
        <v>#VALUE!</v>
      </c>
    </row>
    <row r="14" spans="1:29" ht="13.5" thickBot="1" x14ac:dyDescent="0.35">
      <c r="A14" s="829" t="str">
        <f>'Individual Measure List'!A16</f>
        <v/>
      </c>
      <c r="B14" s="830" t="str">
        <f>'Individual Measure List'!B16</f>
        <v/>
      </c>
      <c r="C14" s="831" t="str">
        <f>'EEM Data Entry'!D93</f>
        <v/>
      </c>
      <c r="D14" s="831" t="str">
        <f>'EEM Data Entry'!E93</f>
        <v/>
      </c>
      <c r="E14" s="830" t="str">
        <f>'EEM Data Entry'!G93</f>
        <v>N/A</v>
      </c>
      <c r="F14" s="831" t="str">
        <f>'EEM Data Entry'!F93</f>
        <v/>
      </c>
      <c r="G14" s="831">
        <f>'Individual Measure List'!F16</f>
        <v>0</v>
      </c>
      <c r="H14" s="832">
        <f>'Individual Measure List'!G16</f>
        <v>0</v>
      </c>
      <c r="I14" s="833" t="e">
        <f>'Individual Measure List'!H16</f>
        <v>#VALUE!</v>
      </c>
      <c r="J14" s="834" t="e">
        <f>'Individual Measure List'!J16</f>
        <v>#NUM!</v>
      </c>
      <c r="K14" s="831" t="e">
        <f>'Individual Measure List'!K16</f>
        <v>#VALUE!</v>
      </c>
      <c r="P14" s="829" t="str">
        <f t="shared" si="0"/>
        <v/>
      </c>
      <c r="Q14" s="830" t="str">
        <f t="shared" si="1"/>
        <v/>
      </c>
      <c r="R14" s="831" t="str">
        <f t="shared" si="2"/>
        <v/>
      </c>
      <c r="S14" s="831">
        <f t="shared" si="3"/>
        <v>0</v>
      </c>
      <c r="T14" s="832">
        <f t="shared" si="4"/>
        <v>0</v>
      </c>
      <c r="U14" s="833" t="e">
        <f t="shared" si="5"/>
        <v>#VALUE!</v>
      </c>
      <c r="V14" s="834" t="e">
        <f t="shared" si="6"/>
        <v>#NUM!</v>
      </c>
      <c r="W14" s="831" t="e">
        <f t="shared" si="7"/>
        <v>#VALUE!</v>
      </c>
    </row>
    <row r="15" spans="1:29" ht="13.5" thickBot="1" x14ac:dyDescent="0.35">
      <c r="A15" s="847" t="str">
        <f>'Individual Measure List'!A17</f>
        <v/>
      </c>
      <c r="B15" s="848" t="str">
        <f>'Individual Measure List'!B17</f>
        <v/>
      </c>
      <c r="C15" s="849" t="str">
        <f>'EEM Data Entry'!D94</f>
        <v/>
      </c>
      <c r="D15" s="849" t="str">
        <f>'EEM Data Entry'!E94</f>
        <v/>
      </c>
      <c r="E15" s="848" t="str">
        <f>'EEM Data Entry'!G94</f>
        <v>N/A</v>
      </c>
      <c r="F15" s="849" t="str">
        <f>'EEM Data Entry'!F94</f>
        <v/>
      </c>
      <c r="G15" s="849">
        <f>'Individual Measure List'!F17</f>
        <v>0</v>
      </c>
      <c r="H15" s="850">
        <f>'Individual Measure List'!G17</f>
        <v>0</v>
      </c>
      <c r="I15" s="851" t="e">
        <f>'Individual Measure List'!H17</f>
        <v>#VALUE!</v>
      </c>
      <c r="J15" s="852" t="e">
        <f>'Individual Measure List'!J17</f>
        <v>#NUM!</v>
      </c>
      <c r="K15" s="849" t="e">
        <f>'Individual Measure List'!K17</f>
        <v>#VALUE!</v>
      </c>
      <c r="P15" s="847" t="str">
        <f t="shared" si="0"/>
        <v/>
      </c>
      <c r="Q15" s="848" t="str">
        <f t="shared" si="1"/>
        <v/>
      </c>
      <c r="R15" s="849" t="str">
        <f t="shared" si="2"/>
        <v/>
      </c>
      <c r="S15" s="849">
        <f t="shared" si="3"/>
        <v>0</v>
      </c>
      <c r="T15" s="850">
        <f t="shared" si="4"/>
        <v>0</v>
      </c>
      <c r="U15" s="851" t="e">
        <f t="shared" si="5"/>
        <v>#VALUE!</v>
      </c>
      <c r="V15" s="852" t="e">
        <f t="shared" si="6"/>
        <v>#NUM!</v>
      </c>
      <c r="W15" s="849" t="e">
        <f t="shared" si="7"/>
        <v>#VALUE!</v>
      </c>
    </row>
    <row r="16" spans="1:29" ht="14.5" customHeight="1" thickBot="1" x14ac:dyDescent="0.35">
      <c r="A16" s="970" t="s">
        <v>381</v>
      </c>
      <c r="B16" s="971"/>
      <c r="C16" s="971"/>
      <c r="D16" s="971"/>
      <c r="E16" s="971"/>
      <c r="F16" s="971"/>
      <c r="G16" s="971"/>
      <c r="H16" s="971"/>
      <c r="I16" s="971"/>
      <c r="J16" s="971"/>
      <c r="K16" s="972"/>
      <c r="P16" s="970" t="s">
        <v>381</v>
      </c>
      <c r="Q16" s="971"/>
      <c r="R16" s="971"/>
      <c r="S16" s="971"/>
      <c r="T16" s="971"/>
      <c r="U16" s="971"/>
      <c r="V16" s="971"/>
      <c r="W16" s="972"/>
    </row>
    <row r="18" spans="1:23" x14ac:dyDescent="0.3">
      <c r="A18" s="826" t="s">
        <v>208</v>
      </c>
      <c r="P18" s="826" t="s">
        <v>208</v>
      </c>
    </row>
    <row r="19" spans="1:23" ht="13.5" thickBot="1" x14ac:dyDescent="0.35"/>
    <row r="20" spans="1:23" ht="39.5" thickBot="1" x14ac:dyDescent="0.35">
      <c r="A20" s="827" t="s">
        <v>144</v>
      </c>
      <c r="B20" s="828" t="s">
        <v>180</v>
      </c>
      <c r="C20" s="828" t="s">
        <v>129</v>
      </c>
      <c r="D20" s="828" t="s">
        <v>371</v>
      </c>
      <c r="E20" s="828" t="s">
        <v>377</v>
      </c>
      <c r="F20" s="828" t="s">
        <v>372</v>
      </c>
      <c r="G20" s="828" t="s">
        <v>178</v>
      </c>
      <c r="H20" s="828" t="s">
        <v>179</v>
      </c>
      <c r="I20" s="828" t="s">
        <v>183</v>
      </c>
      <c r="J20" s="828" t="s">
        <v>17</v>
      </c>
      <c r="K20" s="828" t="s">
        <v>22</v>
      </c>
      <c r="P20" s="827" t="str">
        <f t="shared" ref="P20:P27" si="8">A20</f>
        <v>EEM #</v>
      </c>
      <c r="Q20" s="828" t="str">
        <f t="shared" ref="Q20:Q27" si="9">B20</f>
        <v>Mechanical System Upgrades</v>
      </c>
      <c r="R20" s="828" t="str">
        <f t="shared" ref="R20:R27" si="10">C20</f>
        <v>Capital Investment</v>
      </c>
      <c r="S20" s="828" t="str">
        <f t="shared" ref="S20:W27" si="11">G20</f>
        <v>Annual Energy Cost Savings</v>
      </c>
      <c r="T20" s="828" t="str">
        <f t="shared" si="11"/>
        <v>Annual kBTU Savings</v>
      </c>
      <c r="U20" s="828" t="str">
        <f t="shared" si="11"/>
        <v>Simple Payback (Years)</v>
      </c>
      <c r="V20" s="828" t="str">
        <f t="shared" si="11"/>
        <v>IRR</v>
      </c>
      <c r="W20" s="828" t="str">
        <f t="shared" si="11"/>
        <v>NPV</v>
      </c>
    </row>
    <row r="21" spans="1:23" ht="13.5" thickBot="1" x14ac:dyDescent="0.35">
      <c r="A21" s="829" t="str">
        <f>'Individual Measure List'!A33</f>
        <v/>
      </c>
      <c r="B21" s="853" t="str">
        <f>'Individual Measure List'!B33</f>
        <v/>
      </c>
      <c r="C21" s="831" t="str">
        <f>'EEM Data Entry'!D110</f>
        <v/>
      </c>
      <c r="D21" s="831" t="str">
        <f>'EEM Data Entry'!E110</f>
        <v/>
      </c>
      <c r="E21" s="853" t="str">
        <f>'EEM Data Entry'!G110</f>
        <v>N/A</v>
      </c>
      <c r="F21" s="831" t="str">
        <f>'EEM Data Entry'!F110</f>
        <v/>
      </c>
      <c r="G21" s="831">
        <f>'Individual Measure List'!F33</f>
        <v>0</v>
      </c>
      <c r="H21" s="832">
        <f>'Individual Measure List'!G33</f>
        <v>0</v>
      </c>
      <c r="I21" s="833" t="e">
        <f>'Individual Measure List'!H33</f>
        <v>#VALUE!</v>
      </c>
      <c r="J21" s="834" t="e">
        <f>'Individual Measure List'!J33</f>
        <v>#NUM!</v>
      </c>
      <c r="K21" s="831" t="e">
        <f>'Individual Measure List'!K33</f>
        <v>#VALUE!</v>
      </c>
      <c r="P21" s="829" t="str">
        <f t="shared" si="8"/>
        <v/>
      </c>
      <c r="Q21" s="853" t="str">
        <f t="shared" si="9"/>
        <v/>
      </c>
      <c r="R21" s="831" t="str">
        <f t="shared" si="10"/>
        <v/>
      </c>
      <c r="S21" s="831">
        <f t="shared" si="11"/>
        <v>0</v>
      </c>
      <c r="T21" s="832">
        <f t="shared" si="11"/>
        <v>0</v>
      </c>
      <c r="U21" s="833" t="e">
        <f t="shared" si="11"/>
        <v>#VALUE!</v>
      </c>
      <c r="V21" s="834" t="e">
        <f t="shared" si="11"/>
        <v>#NUM!</v>
      </c>
      <c r="W21" s="831" t="e">
        <f t="shared" si="11"/>
        <v>#VALUE!</v>
      </c>
    </row>
    <row r="22" spans="1:23" ht="13.5" thickBot="1" x14ac:dyDescent="0.35">
      <c r="A22" s="835" t="str">
        <f>'Individual Measure List'!A34</f>
        <v/>
      </c>
      <c r="B22" s="854" t="str">
        <f>'Individual Measure List'!B34</f>
        <v/>
      </c>
      <c r="C22" s="837" t="str">
        <f>'EEM Data Entry'!D111</f>
        <v/>
      </c>
      <c r="D22" s="837" t="str">
        <f>'EEM Data Entry'!E111</f>
        <v/>
      </c>
      <c r="E22" s="854" t="str">
        <f>'EEM Data Entry'!G111</f>
        <v>N/A</v>
      </c>
      <c r="F22" s="837" t="str">
        <f>'EEM Data Entry'!F111</f>
        <v/>
      </c>
      <c r="G22" s="837">
        <f>'Individual Measure List'!F34</f>
        <v>0</v>
      </c>
      <c r="H22" s="838">
        <f>'Individual Measure List'!G34</f>
        <v>0</v>
      </c>
      <c r="I22" s="839" t="e">
        <f>'Individual Measure List'!H34</f>
        <v>#VALUE!</v>
      </c>
      <c r="J22" s="840" t="e">
        <f>'Individual Measure List'!J34</f>
        <v>#NUM!</v>
      </c>
      <c r="K22" s="837" t="e">
        <f>'Individual Measure List'!K34</f>
        <v>#VALUE!</v>
      </c>
      <c r="P22" s="835" t="str">
        <f t="shared" si="8"/>
        <v/>
      </c>
      <c r="Q22" s="854" t="str">
        <f t="shared" si="9"/>
        <v/>
      </c>
      <c r="R22" s="837" t="str">
        <f t="shared" si="10"/>
        <v/>
      </c>
      <c r="S22" s="837">
        <f t="shared" si="11"/>
        <v>0</v>
      </c>
      <c r="T22" s="838">
        <f t="shared" si="11"/>
        <v>0</v>
      </c>
      <c r="U22" s="839" t="e">
        <f t="shared" si="11"/>
        <v>#VALUE!</v>
      </c>
      <c r="V22" s="840" t="e">
        <f t="shared" si="11"/>
        <v>#NUM!</v>
      </c>
      <c r="W22" s="837" t="e">
        <f t="shared" si="11"/>
        <v>#VALUE!</v>
      </c>
    </row>
    <row r="23" spans="1:23" ht="13.5" thickBot="1" x14ac:dyDescent="0.35">
      <c r="A23" s="829" t="str">
        <f>'Individual Measure List'!A35</f>
        <v/>
      </c>
      <c r="B23" s="853" t="str">
        <f>'Individual Measure List'!B35</f>
        <v/>
      </c>
      <c r="C23" s="831" t="str">
        <f>'EEM Data Entry'!D112</f>
        <v/>
      </c>
      <c r="D23" s="831" t="str">
        <f>'EEM Data Entry'!E112</f>
        <v/>
      </c>
      <c r="E23" s="853" t="str">
        <f>'EEM Data Entry'!G112</f>
        <v>N/A</v>
      </c>
      <c r="F23" s="831" t="str">
        <f>'EEM Data Entry'!F112</f>
        <v/>
      </c>
      <c r="G23" s="831">
        <f>'Individual Measure List'!F35</f>
        <v>0</v>
      </c>
      <c r="H23" s="832">
        <f>'Individual Measure List'!G35</f>
        <v>0</v>
      </c>
      <c r="I23" s="833" t="e">
        <f>'Individual Measure List'!H35</f>
        <v>#VALUE!</v>
      </c>
      <c r="J23" s="834" t="e">
        <f>'Individual Measure List'!J35</f>
        <v>#NUM!</v>
      </c>
      <c r="K23" s="831" t="e">
        <f>'Individual Measure List'!K35</f>
        <v>#VALUE!</v>
      </c>
      <c r="P23" s="829" t="str">
        <f t="shared" si="8"/>
        <v/>
      </c>
      <c r="Q23" s="853" t="str">
        <f t="shared" si="9"/>
        <v/>
      </c>
      <c r="R23" s="831" t="str">
        <f t="shared" si="10"/>
        <v/>
      </c>
      <c r="S23" s="831">
        <f t="shared" si="11"/>
        <v>0</v>
      </c>
      <c r="T23" s="832">
        <f t="shared" si="11"/>
        <v>0</v>
      </c>
      <c r="U23" s="833" t="e">
        <f t="shared" si="11"/>
        <v>#VALUE!</v>
      </c>
      <c r="V23" s="834" t="e">
        <f t="shared" si="11"/>
        <v>#NUM!</v>
      </c>
      <c r="W23" s="831" t="e">
        <f t="shared" si="11"/>
        <v>#VALUE!</v>
      </c>
    </row>
    <row r="24" spans="1:23" ht="13.5" thickBot="1" x14ac:dyDescent="0.35">
      <c r="A24" s="835" t="str">
        <f>'Individual Measure List'!A36</f>
        <v/>
      </c>
      <c r="B24" s="854" t="str">
        <f>'Individual Measure List'!B36</f>
        <v/>
      </c>
      <c r="C24" s="837" t="str">
        <f>'EEM Data Entry'!D113</f>
        <v/>
      </c>
      <c r="D24" s="837" t="str">
        <f>'EEM Data Entry'!E113</f>
        <v/>
      </c>
      <c r="E24" s="854" t="str">
        <f>'EEM Data Entry'!G113</f>
        <v>N/A</v>
      </c>
      <c r="F24" s="837" t="str">
        <f>'EEM Data Entry'!F113</f>
        <v/>
      </c>
      <c r="G24" s="837">
        <f>'Individual Measure List'!F36</f>
        <v>0</v>
      </c>
      <c r="H24" s="838">
        <f>'Individual Measure List'!G36</f>
        <v>0</v>
      </c>
      <c r="I24" s="839" t="e">
        <f>'Individual Measure List'!H36</f>
        <v>#VALUE!</v>
      </c>
      <c r="J24" s="840" t="e">
        <f>'Individual Measure List'!J36</f>
        <v>#NUM!</v>
      </c>
      <c r="K24" s="837" t="e">
        <f>'Individual Measure List'!K36</f>
        <v>#VALUE!</v>
      </c>
      <c r="P24" s="835" t="str">
        <f t="shared" si="8"/>
        <v/>
      </c>
      <c r="Q24" s="854" t="str">
        <f t="shared" si="9"/>
        <v/>
      </c>
      <c r="R24" s="837" t="str">
        <f t="shared" si="10"/>
        <v/>
      </c>
      <c r="S24" s="837">
        <f t="shared" si="11"/>
        <v>0</v>
      </c>
      <c r="T24" s="838">
        <f t="shared" si="11"/>
        <v>0</v>
      </c>
      <c r="U24" s="839" t="e">
        <f t="shared" si="11"/>
        <v>#VALUE!</v>
      </c>
      <c r="V24" s="840" t="e">
        <f t="shared" si="11"/>
        <v>#NUM!</v>
      </c>
      <c r="W24" s="837" t="e">
        <f t="shared" si="11"/>
        <v>#VALUE!</v>
      </c>
    </row>
    <row r="25" spans="1:23" ht="13.5" thickBot="1" x14ac:dyDescent="0.35">
      <c r="A25" s="829" t="str">
        <f>'Individual Measure List'!A37</f>
        <v/>
      </c>
      <c r="B25" s="853" t="str">
        <f>'Individual Measure List'!B37</f>
        <v/>
      </c>
      <c r="C25" s="831" t="str">
        <f>'EEM Data Entry'!D114</f>
        <v/>
      </c>
      <c r="D25" s="831" t="str">
        <f>'EEM Data Entry'!E114</f>
        <v/>
      </c>
      <c r="E25" s="853" t="str">
        <f>'EEM Data Entry'!G114</f>
        <v>N/A</v>
      </c>
      <c r="F25" s="831" t="str">
        <f>'EEM Data Entry'!F114</f>
        <v/>
      </c>
      <c r="G25" s="831">
        <f>'Individual Measure List'!F37</f>
        <v>0</v>
      </c>
      <c r="H25" s="832">
        <f>'Individual Measure List'!G37</f>
        <v>0</v>
      </c>
      <c r="I25" s="833" t="e">
        <f>'Individual Measure List'!H37</f>
        <v>#VALUE!</v>
      </c>
      <c r="J25" s="834" t="e">
        <f>'Individual Measure List'!J37</f>
        <v>#NUM!</v>
      </c>
      <c r="K25" s="831" t="e">
        <f>'Individual Measure List'!K37</f>
        <v>#VALUE!</v>
      </c>
      <c r="P25" s="829" t="str">
        <f t="shared" si="8"/>
        <v/>
      </c>
      <c r="Q25" s="853" t="str">
        <f t="shared" si="9"/>
        <v/>
      </c>
      <c r="R25" s="831" t="str">
        <f t="shared" si="10"/>
        <v/>
      </c>
      <c r="S25" s="831">
        <f t="shared" si="11"/>
        <v>0</v>
      </c>
      <c r="T25" s="832">
        <f t="shared" si="11"/>
        <v>0</v>
      </c>
      <c r="U25" s="833" t="e">
        <f t="shared" si="11"/>
        <v>#VALUE!</v>
      </c>
      <c r="V25" s="834" t="e">
        <f t="shared" si="11"/>
        <v>#NUM!</v>
      </c>
      <c r="W25" s="831" t="e">
        <f t="shared" si="11"/>
        <v>#VALUE!</v>
      </c>
    </row>
    <row r="26" spans="1:23" ht="13.5" thickBot="1" x14ac:dyDescent="0.35">
      <c r="A26" s="835" t="str">
        <f>'Individual Measure List'!A38</f>
        <v/>
      </c>
      <c r="B26" s="854" t="str">
        <f>'Individual Measure List'!B38</f>
        <v/>
      </c>
      <c r="C26" s="837" t="str">
        <f>'EEM Data Entry'!D115</f>
        <v/>
      </c>
      <c r="D26" s="837" t="str">
        <f>'EEM Data Entry'!E115</f>
        <v/>
      </c>
      <c r="E26" s="854" t="str">
        <f>'EEM Data Entry'!G115</f>
        <v>N/A</v>
      </c>
      <c r="F26" s="837" t="str">
        <f>'EEM Data Entry'!F115</f>
        <v/>
      </c>
      <c r="G26" s="837">
        <f>'Individual Measure List'!F38</f>
        <v>0</v>
      </c>
      <c r="H26" s="838">
        <f>'Individual Measure List'!G38</f>
        <v>0</v>
      </c>
      <c r="I26" s="839" t="e">
        <f>'Individual Measure List'!H38</f>
        <v>#VALUE!</v>
      </c>
      <c r="J26" s="840" t="e">
        <f>'Individual Measure List'!J38</f>
        <v>#NUM!</v>
      </c>
      <c r="K26" s="837" t="e">
        <f>'Individual Measure List'!K38</f>
        <v>#VALUE!</v>
      </c>
      <c r="P26" s="835" t="str">
        <f t="shared" si="8"/>
        <v/>
      </c>
      <c r="Q26" s="854" t="str">
        <f t="shared" si="9"/>
        <v/>
      </c>
      <c r="R26" s="837" t="str">
        <f t="shared" si="10"/>
        <v/>
      </c>
      <c r="S26" s="837">
        <f t="shared" si="11"/>
        <v>0</v>
      </c>
      <c r="T26" s="838">
        <f t="shared" si="11"/>
        <v>0</v>
      </c>
      <c r="U26" s="839" t="e">
        <f t="shared" si="11"/>
        <v>#VALUE!</v>
      </c>
      <c r="V26" s="840" t="e">
        <f t="shared" si="11"/>
        <v>#NUM!</v>
      </c>
      <c r="W26" s="837" t="e">
        <f t="shared" si="11"/>
        <v>#VALUE!</v>
      </c>
    </row>
    <row r="27" spans="1:23" ht="13.5" thickBot="1" x14ac:dyDescent="0.35">
      <c r="A27" s="829" t="str">
        <f>'Individual Measure List'!A39</f>
        <v/>
      </c>
      <c r="B27" s="853" t="str">
        <f>'Individual Measure List'!B39</f>
        <v/>
      </c>
      <c r="C27" s="831" t="str">
        <f>'EEM Data Entry'!D116</f>
        <v/>
      </c>
      <c r="D27" s="831" t="str">
        <f>'EEM Data Entry'!E116</f>
        <v/>
      </c>
      <c r="E27" s="853" t="str">
        <f>'EEM Data Entry'!G116</f>
        <v>N/A</v>
      </c>
      <c r="F27" s="831" t="str">
        <f>'EEM Data Entry'!F116</f>
        <v/>
      </c>
      <c r="G27" s="831">
        <f>'Individual Measure List'!F39</f>
        <v>0</v>
      </c>
      <c r="H27" s="832">
        <f>'Individual Measure List'!G39</f>
        <v>0</v>
      </c>
      <c r="I27" s="833" t="e">
        <f>'Individual Measure List'!H39</f>
        <v>#VALUE!</v>
      </c>
      <c r="J27" s="834" t="e">
        <f>'Individual Measure List'!J39</f>
        <v>#NUM!</v>
      </c>
      <c r="K27" s="831" t="e">
        <f>'Individual Measure List'!K39</f>
        <v>#VALUE!</v>
      </c>
      <c r="P27" s="829" t="str">
        <f t="shared" si="8"/>
        <v/>
      </c>
      <c r="Q27" s="853" t="str">
        <f t="shared" si="9"/>
        <v/>
      </c>
      <c r="R27" s="831" t="str">
        <f t="shared" si="10"/>
        <v/>
      </c>
      <c r="S27" s="831">
        <f t="shared" si="11"/>
        <v>0</v>
      </c>
      <c r="T27" s="832">
        <f t="shared" si="11"/>
        <v>0</v>
      </c>
      <c r="U27" s="833" t="e">
        <f t="shared" si="11"/>
        <v>#VALUE!</v>
      </c>
      <c r="V27" s="834" t="e">
        <f t="shared" si="11"/>
        <v>#NUM!</v>
      </c>
      <c r="W27" s="831" t="e">
        <f t="shared" si="11"/>
        <v>#VALUE!</v>
      </c>
    </row>
    <row r="28" spans="1:23" ht="13.5" thickBot="1" x14ac:dyDescent="0.35">
      <c r="A28" s="835" t="str">
        <f>'Individual Measure List'!A40</f>
        <v/>
      </c>
      <c r="B28" s="854" t="str">
        <f>'Individual Measure List'!B40</f>
        <v/>
      </c>
      <c r="C28" s="837" t="str">
        <f>'EEM Data Entry'!D117</f>
        <v/>
      </c>
      <c r="D28" s="837" t="str">
        <f>'EEM Data Entry'!E117</f>
        <v/>
      </c>
      <c r="E28" s="854" t="str">
        <f>'EEM Data Entry'!G117</f>
        <v>N/A</v>
      </c>
      <c r="F28" s="837" t="str">
        <f>'EEM Data Entry'!F117</f>
        <v/>
      </c>
      <c r="G28" s="837">
        <f>'Individual Measure List'!F40</f>
        <v>0</v>
      </c>
      <c r="H28" s="838">
        <f>'Individual Measure List'!G40</f>
        <v>0</v>
      </c>
      <c r="I28" s="839" t="e">
        <f>'Individual Measure List'!H40</f>
        <v>#VALUE!</v>
      </c>
      <c r="J28" s="840" t="e">
        <f>'Individual Measure List'!J40</f>
        <v>#NUM!</v>
      </c>
      <c r="K28" s="837" t="e">
        <f>'Individual Measure List'!K40</f>
        <v>#VALUE!</v>
      </c>
      <c r="P28" s="835" t="str">
        <f t="shared" ref="P28:P30" si="12">A28</f>
        <v/>
      </c>
      <c r="Q28" s="854" t="str">
        <f t="shared" ref="Q28:Q30" si="13">B28</f>
        <v/>
      </c>
      <c r="R28" s="837" t="str">
        <f t="shared" ref="R28:R30" si="14">C28</f>
        <v/>
      </c>
      <c r="S28" s="837">
        <f t="shared" ref="S28:S30" si="15">G28</f>
        <v>0</v>
      </c>
      <c r="T28" s="838">
        <f t="shared" ref="T28:T30" si="16">H28</f>
        <v>0</v>
      </c>
      <c r="U28" s="839" t="e">
        <f t="shared" ref="U28:U30" si="17">I28</f>
        <v>#VALUE!</v>
      </c>
      <c r="V28" s="840" t="e">
        <f t="shared" ref="V28:V30" si="18">J28</f>
        <v>#NUM!</v>
      </c>
      <c r="W28" s="837" t="e">
        <f t="shared" ref="W28:W30" si="19">K28</f>
        <v>#VALUE!</v>
      </c>
    </row>
    <row r="29" spans="1:23" ht="13.5" thickBot="1" x14ac:dyDescent="0.35">
      <c r="A29" s="829" t="str">
        <f>'Individual Measure List'!A41</f>
        <v/>
      </c>
      <c r="B29" s="853" t="str">
        <f>'Individual Measure List'!B41</f>
        <v/>
      </c>
      <c r="C29" s="831" t="str">
        <f>'EEM Data Entry'!D118</f>
        <v/>
      </c>
      <c r="D29" s="831" t="str">
        <f>'EEM Data Entry'!E118</f>
        <v/>
      </c>
      <c r="E29" s="853" t="str">
        <f>'EEM Data Entry'!G118</f>
        <v>N/A</v>
      </c>
      <c r="F29" s="831" t="str">
        <f>'EEM Data Entry'!F118</f>
        <v/>
      </c>
      <c r="G29" s="831">
        <f>'Individual Measure List'!F41</f>
        <v>0</v>
      </c>
      <c r="H29" s="832">
        <f>'Individual Measure List'!G41</f>
        <v>0</v>
      </c>
      <c r="I29" s="833" t="e">
        <f>'Individual Measure List'!H41</f>
        <v>#VALUE!</v>
      </c>
      <c r="J29" s="834" t="e">
        <f>'Individual Measure List'!J41</f>
        <v>#NUM!</v>
      </c>
      <c r="K29" s="831" t="e">
        <f>'Individual Measure List'!K41</f>
        <v>#VALUE!</v>
      </c>
      <c r="P29" s="829" t="str">
        <f t="shared" si="12"/>
        <v/>
      </c>
      <c r="Q29" s="853" t="str">
        <f t="shared" si="13"/>
        <v/>
      </c>
      <c r="R29" s="831" t="str">
        <f t="shared" si="14"/>
        <v/>
      </c>
      <c r="S29" s="831">
        <f t="shared" si="15"/>
        <v>0</v>
      </c>
      <c r="T29" s="832">
        <f t="shared" si="16"/>
        <v>0</v>
      </c>
      <c r="U29" s="833" t="e">
        <f t="shared" si="17"/>
        <v>#VALUE!</v>
      </c>
      <c r="V29" s="834" t="e">
        <f t="shared" si="18"/>
        <v>#NUM!</v>
      </c>
      <c r="W29" s="831" t="e">
        <f t="shared" si="19"/>
        <v>#VALUE!</v>
      </c>
    </row>
    <row r="30" spans="1:23" ht="13.5" thickBot="1" x14ac:dyDescent="0.35">
      <c r="A30" s="847" t="str">
        <f>'Individual Measure List'!A42</f>
        <v/>
      </c>
      <c r="B30" s="855" t="str">
        <f>'Individual Measure List'!B42</f>
        <v/>
      </c>
      <c r="C30" s="849" t="str">
        <f>'EEM Data Entry'!D119</f>
        <v/>
      </c>
      <c r="D30" s="849" t="str">
        <f>'EEM Data Entry'!E119</f>
        <v/>
      </c>
      <c r="E30" s="855" t="str">
        <f>'EEM Data Entry'!G119</f>
        <v>N/A</v>
      </c>
      <c r="F30" s="849" t="str">
        <f>'EEM Data Entry'!F119</f>
        <v/>
      </c>
      <c r="G30" s="849">
        <f>'Individual Measure List'!F42</f>
        <v>0</v>
      </c>
      <c r="H30" s="850">
        <f>'Individual Measure List'!G42</f>
        <v>0</v>
      </c>
      <c r="I30" s="851" t="e">
        <f>'Individual Measure List'!H42</f>
        <v>#VALUE!</v>
      </c>
      <c r="J30" s="852" t="e">
        <f>'Individual Measure List'!J42</f>
        <v>#NUM!</v>
      </c>
      <c r="K30" s="849" t="e">
        <f>'Individual Measure List'!K42</f>
        <v>#VALUE!</v>
      </c>
      <c r="P30" s="847" t="str">
        <f t="shared" si="12"/>
        <v/>
      </c>
      <c r="Q30" s="855" t="str">
        <f t="shared" si="13"/>
        <v/>
      </c>
      <c r="R30" s="849" t="str">
        <f t="shared" si="14"/>
        <v/>
      </c>
      <c r="S30" s="849">
        <f t="shared" si="15"/>
        <v>0</v>
      </c>
      <c r="T30" s="850">
        <f t="shared" si="16"/>
        <v>0</v>
      </c>
      <c r="U30" s="851" t="e">
        <f t="shared" si="17"/>
        <v>#VALUE!</v>
      </c>
      <c r="V30" s="852" t="e">
        <f t="shared" si="18"/>
        <v>#NUM!</v>
      </c>
      <c r="W30" s="849" t="e">
        <f t="shared" si="19"/>
        <v>#VALUE!</v>
      </c>
    </row>
    <row r="31" spans="1:23" ht="14.5" customHeight="1" thickBot="1" x14ac:dyDescent="0.35">
      <c r="A31" s="970" t="s">
        <v>381</v>
      </c>
      <c r="B31" s="971"/>
      <c r="C31" s="971"/>
      <c r="D31" s="971"/>
      <c r="E31" s="971"/>
      <c r="F31" s="971"/>
      <c r="G31" s="971"/>
      <c r="H31" s="971"/>
      <c r="I31" s="971"/>
      <c r="J31" s="971"/>
      <c r="K31" s="972"/>
      <c r="P31" s="970" t="s">
        <v>381</v>
      </c>
      <c r="Q31" s="971"/>
      <c r="R31" s="971"/>
      <c r="S31" s="971"/>
      <c r="T31" s="971"/>
      <c r="U31" s="971"/>
      <c r="V31" s="971"/>
      <c r="W31" s="972"/>
    </row>
    <row r="33" spans="1:23" x14ac:dyDescent="0.3">
      <c r="A33" s="826" t="s">
        <v>405</v>
      </c>
      <c r="P33" s="826" t="s">
        <v>405</v>
      </c>
    </row>
    <row r="34" spans="1:23" ht="13.5" thickBot="1" x14ac:dyDescent="0.35"/>
    <row r="35" spans="1:23" ht="39.5" thickBot="1" x14ac:dyDescent="0.35">
      <c r="A35" s="827" t="s">
        <v>144</v>
      </c>
      <c r="B35" s="828" t="s">
        <v>409</v>
      </c>
      <c r="C35" s="828" t="s">
        <v>129</v>
      </c>
      <c r="D35" s="828" t="s">
        <v>371</v>
      </c>
      <c r="E35" s="828" t="s">
        <v>377</v>
      </c>
      <c r="F35" s="828" t="s">
        <v>372</v>
      </c>
      <c r="G35" s="828" t="s">
        <v>178</v>
      </c>
      <c r="H35" s="828" t="s">
        <v>179</v>
      </c>
      <c r="I35" s="828" t="s">
        <v>183</v>
      </c>
      <c r="J35" s="828" t="s">
        <v>17</v>
      </c>
      <c r="K35" s="828" t="s">
        <v>22</v>
      </c>
      <c r="P35" s="827" t="str">
        <f t="shared" ref="P35:P45" si="20">A35</f>
        <v>EEM #</v>
      </c>
      <c r="Q35" s="828" t="str">
        <f t="shared" ref="Q35:Q45" si="21">B35</f>
        <v>Appliances &amp; Lighting Upgrades</v>
      </c>
      <c r="R35" s="828" t="str">
        <f t="shared" ref="R35:R45" si="22">C35</f>
        <v>Capital Investment</v>
      </c>
      <c r="S35" s="828" t="str">
        <f t="shared" ref="S35:S45" si="23">G35</f>
        <v>Annual Energy Cost Savings</v>
      </c>
      <c r="T35" s="828" t="str">
        <f t="shared" ref="T35:T45" si="24">H35</f>
        <v>Annual kBTU Savings</v>
      </c>
      <c r="U35" s="828" t="str">
        <f t="shared" ref="U35:U45" si="25">I35</f>
        <v>Simple Payback (Years)</v>
      </c>
      <c r="V35" s="828" t="str">
        <f t="shared" ref="V35:V45" si="26">J35</f>
        <v>IRR</v>
      </c>
      <c r="W35" s="828" t="str">
        <f t="shared" ref="W35:W45" si="27">K35</f>
        <v>NPV</v>
      </c>
    </row>
    <row r="36" spans="1:23" ht="13.5" thickBot="1" x14ac:dyDescent="0.35">
      <c r="A36" s="829" t="str">
        <f>'Individual Measure List'!A49</f>
        <v/>
      </c>
      <c r="B36" s="830" t="str">
        <f>'Individual Measure List'!B49</f>
        <v/>
      </c>
      <c r="C36" s="831" t="str">
        <f>'EEM Data Entry'!D125</f>
        <v/>
      </c>
      <c r="D36" s="831" t="str">
        <f>'EEM Data Entry'!E125</f>
        <v/>
      </c>
      <c r="E36" s="830" t="str">
        <f>'EEM Data Entry'!G125</f>
        <v>N/A</v>
      </c>
      <c r="F36" s="831" t="str">
        <f>'EEM Data Entry'!F125</f>
        <v/>
      </c>
      <c r="G36" s="831">
        <f>'Individual Measure List'!F49</f>
        <v>0</v>
      </c>
      <c r="H36" s="832">
        <f>'Individual Measure List'!G49</f>
        <v>0</v>
      </c>
      <c r="I36" s="833" t="e">
        <f>'Individual Measure List'!H49</f>
        <v>#VALUE!</v>
      </c>
      <c r="J36" s="834" t="e">
        <f>'Individual Measure List'!J49</f>
        <v>#NUM!</v>
      </c>
      <c r="K36" s="831" t="e">
        <f>'Individual Measure List'!K49</f>
        <v>#VALUE!</v>
      </c>
      <c r="P36" s="829" t="str">
        <f t="shared" si="20"/>
        <v/>
      </c>
      <c r="Q36" s="830" t="str">
        <f t="shared" si="21"/>
        <v/>
      </c>
      <c r="R36" s="831" t="str">
        <f t="shared" si="22"/>
        <v/>
      </c>
      <c r="S36" s="831">
        <f t="shared" si="23"/>
        <v>0</v>
      </c>
      <c r="T36" s="832">
        <f t="shared" si="24"/>
        <v>0</v>
      </c>
      <c r="U36" s="833" t="e">
        <f t="shared" si="25"/>
        <v>#VALUE!</v>
      </c>
      <c r="V36" s="834" t="e">
        <f t="shared" si="26"/>
        <v>#NUM!</v>
      </c>
      <c r="W36" s="831" t="e">
        <f t="shared" si="27"/>
        <v>#VALUE!</v>
      </c>
    </row>
    <row r="37" spans="1:23" ht="13.5" thickBot="1" x14ac:dyDescent="0.35">
      <c r="A37" s="835" t="str">
        <f>'Individual Measure List'!A50</f>
        <v/>
      </c>
      <c r="B37" s="836" t="str">
        <f>'Individual Measure List'!B50</f>
        <v/>
      </c>
      <c r="C37" s="837" t="str">
        <f>'EEM Data Entry'!D126</f>
        <v/>
      </c>
      <c r="D37" s="837" t="str">
        <f>'EEM Data Entry'!E126</f>
        <v/>
      </c>
      <c r="E37" s="836" t="str">
        <f>'EEM Data Entry'!G126</f>
        <v>N/A</v>
      </c>
      <c r="F37" s="837" t="str">
        <f>'EEM Data Entry'!F126</f>
        <v/>
      </c>
      <c r="G37" s="837">
        <f>'Individual Measure List'!F50</f>
        <v>0</v>
      </c>
      <c r="H37" s="838">
        <f>'Individual Measure List'!G50</f>
        <v>0</v>
      </c>
      <c r="I37" s="839" t="e">
        <f>'Individual Measure List'!H50</f>
        <v>#VALUE!</v>
      </c>
      <c r="J37" s="840" t="e">
        <f>'Individual Measure List'!J50</f>
        <v>#NUM!</v>
      </c>
      <c r="K37" s="837" t="e">
        <f>'Individual Measure List'!K50</f>
        <v>#VALUE!</v>
      </c>
      <c r="P37" s="835" t="str">
        <f t="shared" si="20"/>
        <v/>
      </c>
      <c r="Q37" s="836" t="str">
        <f t="shared" si="21"/>
        <v/>
      </c>
      <c r="R37" s="837" t="str">
        <f t="shared" si="22"/>
        <v/>
      </c>
      <c r="S37" s="837">
        <f t="shared" si="23"/>
        <v>0</v>
      </c>
      <c r="T37" s="838">
        <f t="shared" si="24"/>
        <v>0</v>
      </c>
      <c r="U37" s="839" t="e">
        <f t="shared" si="25"/>
        <v>#VALUE!</v>
      </c>
      <c r="V37" s="840" t="e">
        <f t="shared" si="26"/>
        <v>#NUM!</v>
      </c>
      <c r="W37" s="837" t="e">
        <f t="shared" si="27"/>
        <v>#VALUE!</v>
      </c>
    </row>
    <row r="38" spans="1:23" ht="13.5" thickBot="1" x14ac:dyDescent="0.35">
      <c r="A38" s="829" t="str">
        <f>'Individual Measure List'!A51</f>
        <v/>
      </c>
      <c r="B38" s="830" t="str">
        <f>'Individual Measure List'!B51</f>
        <v/>
      </c>
      <c r="C38" s="831" t="str">
        <f>'EEM Data Entry'!D127</f>
        <v/>
      </c>
      <c r="D38" s="831" t="str">
        <f>'EEM Data Entry'!E127</f>
        <v/>
      </c>
      <c r="E38" s="830" t="str">
        <f>'EEM Data Entry'!G127</f>
        <v>N/A</v>
      </c>
      <c r="F38" s="831" t="str">
        <f>'EEM Data Entry'!F127</f>
        <v/>
      </c>
      <c r="G38" s="831">
        <f>'Individual Measure List'!F51</f>
        <v>0</v>
      </c>
      <c r="H38" s="832">
        <f>'Individual Measure List'!G51</f>
        <v>0</v>
      </c>
      <c r="I38" s="833" t="e">
        <f>'Individual Measure List'!H51</f>
        <v>#VALUE!</v>
      </c>
      <c r="J38" s="834" t="e">
        <f>'Individual Measure List'!J51</f>
        <v>#NUM!</v>
      </c>
      <c r="K38" s="831" t="e">
        <f>'Individual Measure List'!K51</f>
        <v>#VALUE!</v>
      </c>
      <c r="P38" s="829" t="str">
        <f t="shared" si="20"/>
        <v/>
      </c>
      <c r="Q38" s="830" t="str">
        <f t="shared" si="21"/>
        <v/>
      </c>
      <c r="R38" s="831" t="str">
        <f t="shared" si="22"/>
        <v/>
      </c>
      <c r="S38" s="831">
        <f t="shared" si="23"/>
        <v>0</v>
      </c>
      <c r="T38" s="832">
        <f t="shared" si="24"/>
        <v>0</v>
      </c>
      <c r="U38" s="833" t="e">
        <f t="shared" si="25"/>
        <v>#VALUE!</v>
      </c>
      <c r="V38" s="834" t="e">
        <f t="shared" si="26"/>
        <v>#NUM!</v>
      </c>
      <c r="W38" s="831" t="e">
        <f t="shared" si="27"/>
        <v>#VALUE!</v>
      </c>
    </row>
    <row r="39" spans="1:23" ht="13.5" thickBot="1" x14ac:dyDescent="0.35">
      <c r="A39" s="835" t="str">
        <f>'Individual Measure List'!A52</f>
        <v/>
      </c>
      <c r="B39" s="836" t="str">
        <f>'Individual Measure List'!B52</f>
        <v/>
      </c>
      <c r="C39" s="837" t="str">
        <f>'EEM Data Entry'!D128</f>
        <v/>
      </c>
      <c r="D39" s="837" t="str">
        <f>'EEM Data Entry'!E128</f>
        <v/>
      </c>
      <c r="E39" s="836" t="str">
        <f>'EEM Data Entry'!G128</f>
        <v>N/A</v>
      </c>
      <c r="F39" s="837" t="str">
        <f>'EEM Data Entry'!F128</f>
        <v/>
      </c>
      <c r="G39" s="837">
        <f>'Individual Measure List'!F52</f>
        <v>0</v>
      </c>
      <c r="H39" s="838">
        <f>'Individual Measure List'!G52</f>
        <v>0</v>
      </c>
      <c r="I39" s="839" t="e">
        <f>'Individual Measure List'!H52</f>
        <v>#VALUE!</v>
      </c>
      <c r="J39" s="840" t="e">
        <f>'Individual Measure List'!J52</f>
        <v>#NUM!</v>
      </c>
      <c r="K39" s="837" t="e">
        <f>'Individual Measure List'!K52</f>
        <v>#VALUE!</v>
      </c>
      <c r="P39" s="835" t="str">
        <f t="shared" si="20"/>
        <v/>
      </c>
      <c r="Q39" s="836" t="str">
        <f t="shared" si="21"/>
        <v/>
      </c>
      <c r="R39" s="837" t="str">
        <f t="shared" si="22"/>
        <v/>
      </c>
      <c r="S39" s="837">
        <f t="shared" si="23"/>
        <v>0</v>
      </c>
      <c r="T39" s="838">
        <f t="shared" si="24"/>
        <v>0</v>
      </c>
      <c r="U39" s="839" t="e">
        <f t="shared" si="25"/>
        <v>#VALUE!</v>
      </c>
      <c r="V39" s="840" t="e">
        <f t="shared" si="26"/>
        <v>#NUM!</v>
      </c>
      <c r="W39" s="837" t="e">
        <f t="shared" si="27"/>
        <v>#VALUE!</v>
      </c>
    </row>
    <row r="40" spans="1:23" ht="13.5" thickBot="1" x14ac:dyDescent="0.35">
      <c r="A40" s="829" t="str">
        <f>'Individual Measure List'!A53</f>
        <v/>
      </c>
      <c r="B40" s="830" t="str">
        <f>'Individual Measure List'!B53</f>
        <v/>
      </c>
      <c r="C40" s="831" t="str">
        <f>'EEM Data Entry'!D129</f>
        <v/>
      </c>
      <c r="D40" s="831" t="str">
        <f>'EEM Data Entry'!E129</f>
        <v/>
      </c>
      <c r="E40" s="830" t="str">
        <f>'EEM Data Entry'!G129</f>
        <v>N/A</v>
      </c>
      <c r="F40" s="831" t="str">
        <f>'EEM Data Entry'!F129</f>
        <v/>
      </c>
      <c r="G40" s="831">
        <f>'Individual Measure List'!F53</f>
        <v>0</v>
      </c>
      <c r="H40" s="832">
        <f>'Individual Measure List'!G53</f>
        <v>0</v>
      </c>
      <c r="I40" s="833" t="e">
        <f>'Individual Measure List'!H53</f>
        <v>#VALUE!</v>
      </c>
      <c r="J40" s="834" t="e">
        <f>'Individual Measure List'!J53</f>
        <v>#NUM!</v>
      </c>
      <c r="K40" s="831" t="e">
        <f>'Individual Measure List'!K53</f>
        <v>#VALUE!</v>
      </c>
      <c r="P40" s="829" t="str">
        <f t="shared" si="20"/>
        <v/>
      </c>
      <c r="Q40" s="830" t="str">
        <f t="shared" si="21"/>
        <v/>
      </c>
      <c r="R40" s="831" t="str">
        <f t="shared" si="22"/>
        <v/>
      </c>
      <c r="S40" s="831">
        <f t="shared" si="23"/>
        <v>0</v>
      </c>
      <c r="T40" s="832">
        <f t="shared" si="24"/>
        <v>0</v>
      </c>
      <c r="U40" s="833" t="e">
        <f t="shared" si="25"/>
        <v>#VALUE!</v>
      </c>
      <c r="V40" s="834" t="e">
        <f t="shared" si="26"/>
        <v>#NUM!</v>
      </c>
      <c r="W40" s="831" t="e">
        <f t="shared" si="27"/>
        <v>#VALUE!</v>
      </c>
    </row>
    <row r="41" spans="1:23" ht="13.5" thickBot="1" x14ac:dyDescent="0.35">
      <c r="A41" s="835" t="str">
        <f>'Individual Measure List'!A54</f>
        <v/>
      </c>
      <c r="B41" s="836" t="str">
        <f>'Individual Measure List'!B54</f>
        <v/>
      </c>
      <c r="C41" s="837" t="str">
        <f>'EEM Data Entry'!D130</f>
        <v/>
      </c>
      <c r="D41" s="837" t="str">
        <f>'EEM Data Entry'!E130</f>
        <v/>
      </c>
      <c r="E41" s="836" t="str">
        <f>'EEM Data Entry'!G130</f>
        <v>N/A</v>
      </c>
      <c r="F41" s="837" t="str">
        <f>'EEM Data Entry'!F130</f>
        <v/>
      </c>
      <c r="G41" s="837">
        <f>'Individual Measure List'!F54</f>
        <v>0</v>
      </c>
      <c r="H41" s="838">
        <f>'Individual Measure List'!G54</f>
        <v>0</v>
      </c>
      <c r="I41" s="839" t="e">
        <f>'Individual Measure List'!H54</f>
        <v>#VALUE!</v>
      </c>
      <c r="J41" s="840" t="e">
        <f>'Individual Measure List'!J54</f>
        <v>#NUM!</v>
      </c>
      <c r="K41" s="837" t="e">
        <f>'Individual Measure List'!K54</f>
        <v>#VALUE!</v>
      </c>
      <c r="P41" s="835" t="str">
        <f t="shared" si="20"/>
        <v/>
      </c>
      <c r="Q41" s="836" t="str">
        <f t="shared" si="21"/>
        <v/>
      </c>
      <c r="R41" s="837" t="str">
        <f t="shared" si="22"/>
        <v/>
      </c>
      <c r="S41" s="837">
        <f t="shared" si="23"/>
        <v>0</v>
      </c>
      <c r="T41" s="838">
        <f t="shared" si="24"/>
        <v>0</v>
      </c>
      <c r="U41" s="839" t="e">
        <f t="shared" si="25"/>
        <v>#VALUE!</v>
      </c>
      <c r="V41" s="840" t="e">
        <f t="shared" si="26"/>
        <v>#NUM!</v>
      </c>
      <c r="W41" s="837" t="e">
        <f t="shared" si="27"/>
        <v>#VALUE!</v>
      </c>
    </row>
    <row r="42" spans="1:23" ht="13.5" thickBot="1" x14ac:dyDescent="0.35">
      <c r="A42" s="829" t="str">
        <f>'Individual Measure List'!A55</f>
        <v/>
      </c>
      <c r="B42" s="830" t="str">
        <f>'Individual Measure List'!B55</f>
        <v/>
      </c>
      <c r="C42" s="831" t="str">
        <f>'EEM Data Entry'!D131</f>
        <v/>
      </c>
      <c r="D42" s="831" t="str">
        <f>'EEM Data Entry'!E131</f>
        <v/>
      </c>
      <c r="E42" s="830" t="str">
        <f>'EEM Data Entry'!G131</f>
        <v>N/A</v>
      </c>
      <c r="F42" s="831" t="str">
        <f>'EEM Data Entry'!F131</f>
        <v/>
      </c>
      <c r="G42" s="831">
        <f>'Individual Measure List'!F55</f>
        <v>0</v>
      </c>
      <c r="H42" s="832">
        <f>'Individual Measure List'!G55</f>
        <v>0</v>
      </c>
      <c r="I42" s="833" t="e">
        <f>'Individual Measure List'!H55</f>
        <v>#VALUE!</v>
      </c>
      <c r="J42" s="834" t="e">
        <f>'Individual Measure List'!J55</f>
        <v>#NUM!</v>
      </c>
      <c r="K42" s="831" t="e">
        <f>'Individual Measure List'!K55</f>
        <v>#VALUE!</v>
      </c>
      <c r="P42" s="829" t="str">
        <f t="shared" si="20"/>
        <v/>
      </c>
      <c r="Q42" s="830" t="str">
        <f t="shared" si="21"/>
        <v/>
      </c>
      <c r="R42" s="831" t="str">
        <f t="shared" si="22"/>
        <v/>
      </c>
      <c r="S42" s="831">
        <f t="shared" si="23"/>
        <v>0</v>
      </c>
      <c r="T42" s="832">
        <f t="shared" si="24"/>
        <v>0</v>
      </c>
      <c r="U42" s="833" t="e">
        <f t="shared" si="25"/>
        <v>#VALUE!</v>
      </c>
      <c r="V42" s="834" t="e">
        <f t="shared" si="26"/>
        <v>#NUM!</v>
      </c>
      <c r="W42" s="831" t="e">
        <f t="shared" si="27"/>
        <v>#VALUE!</v>
      </c>
    </row>
    <row r="43" spans="1:23" ht="13.5" thickBot="1" x14ac:dyDescent="0.35">
      <c r="A43" s="835" t="str">
        <f>'Individual Measure List'!A56</f>
        <v/>
      </c>
      <c r="B43" s="836" t="str">
        <f>'Individual Measure List'!B56</f>
        <v/>
      </c>
      <c r="C43" s="837" t="str">
        <f>'EEM Data Entry'!D132</f>
        <v/>
      </c>
      <c r="D43" s="837" t="str">
        <f>'EEM Data Entry'!E132</f>
        <v/>
      </c>
      <c r="E43" s="836" t="str">
        <f>'EEM Data Entry'!G132</f>
        <v>N/A</v>
      </c>
      <c r="F43" s="837" t="str">
        <f>'EEM Data Entry'!F132</f>
        <v/>
      </c>
      <c r="G43" s="837">
        <f>'Individual Measure List'!F56</f>
        <v>0</v>
      </c>
      <c r="H43" s="838">
        <f>'Individual Measure List'!G56</f>
        <v>0</v>
      </c>
      <c r="I43" s="839" t="e">
        <f>'Individual Measure List'!H56</f>
        <v>#VALUE!</v>
      </c>
      <c r="J43" s="840" t="e">
        <f>'Individual Measure List'!J56</f>
        <v>#NUM!</v>
      </c>
      <c r="K43" s="837" t="e">
        <f>'Individual Measure List'!K56</f>
        <v>#VALUE!</v>
      </c>
      <c r="P43" s="835" t="str">
        <f t="shared" si="20"/>
        <v/>
      </c>
      <c r="Q43" s="836" t="str">
        <f t="shared" si="21"/>
        <v/>
      </c>
      <c r="R43" s="837" t="str">
        <f t="shared" si="22"/>
        <v/>
      </c>
      <c r="S43" s="837">
        <f t="shared" si="23"/>
        <v>0</v>
      </c>
      <c r="T43" s="838">
        <f t="shared" si="24"/>
        <v>0</v>
      </c>
      <c r="U43" s="839" t="e">
        <f t="shared" si="25"/>
        <v>#VALUE!</v>
      </c>
      <c r="V43" s="840" t="e">
        <f t="shared" si="26"/>
        <v>#NUM!</v>
      </c>
      <c r="W43" s="837" t="e">
        <f t="shared" si="27"/>
        <v>#VALUE!</v>
      </c>
    </row>
    <row r="44" spans="1:23" ht="13.5" thickBot="1" x14ac:dyDescent="0.35">
      <c r="A44" s="829" t="str">
        <f>'Individual Measure List'!A57</f>
        <v/>
      </c>
      <c r="B44" s="830" t="str">
        <f>'Individual Measure List'!B57</f>
        <v/>
      </c>
      <c r="C44" s="831" t="str">
        <f>'EEM Data Entry'!D133</f>
        <v/>
      </c>
      <c r="D44" s="831" t="str">
        <f>'EEM Data Entry'!E133</f>
        <v/>
      </c>
      <c r="E44" s="830" t="str">
        <f>'EEM Data Entry'!G133</f>
        <v>N/A</v>
      </c>
      <c r="F44" s="831" t="str">
        <f>'EEM Data Entry'!F133</f>
        <v/>
      </c>
      <c r="G44" s="831">
        <f>'Individual Measure List'!F57</f>
        <v>0</v>
      </c>
      <c r="H44" s="832">
        <f>'Individual Measure List'!G57</f>
        <v>0</v>
      </c>
      <c r="I44" s="833" t="e">
        <f>'Individual Measure List'!H57</f>
        <v>#VALUE!</v>
      </c>
      <c r="J44" s="834" t="e">
        <f>'Individual Measure List'!J57</f>
        <v>#NUM!</v>
      </c>
      <c r="K44" s="831" t="e">
        <f>'Individual Measure List'!K57</f>
        <v>#VALUE!</v>
      </c>
      <c r="P44" s="829" t="str">
        <f t="shared" si="20"/>
        <v/>
      </c>
      <c r="Q44" s="830" t="str">
        <f t="shared" si="21"/>
        <v/>
      </c>
      <c r="R44" s="831" t="str">
        <f t="shared" si="22"/>
        <v/>
      </c>
      <c r="S44" s="831">
        <f t="shared" si="23"/>
        <v>0</v>
      </c>
      <c r="T44" s="832">
        <f t="shared" si="24"/>
        <v>0</v>
      </c>
      <c r="U44" s="833" t="e">
        <f t="shared" si="25"/>
        <v>#VALUE!</v>
      </c>
      <c r="V44" s="834" t="e">
        <f t="shared" si="26"/>
        <v>#NUM!</v>
      </c>
      <c r="W44" s="831" t="e">
        <f t="shared" si="27"/>
        <v>#VALUE!</v>
      </c>
    </row>
    <row r="45" spans="1:23" ht="13.5" thickBot="1" x14ac:dyDescent="0.35">
      <c r="A45" s="847" t="str">
        <f>'Individual Measure List'!A58</f>
        <v/>
      </c>
      <c r="B45" s="848" t="str">
        <f>'Individual Measure List'!B58</f>
        <v/>
      </c>
      <c r="C45" s="849" t="str">
        <f>'EEM Data Entry'!D134</f>
        <v/>
      </c>
      <c r="D45" s="849" t="str">
        <f>'EEM Data Entry'!E134</f>
        <v/>
      </c>
      <c r="E45" s="848" t="str">
        <f>'EEM Data Entry'!G134</f>
        <v>N/A</v>
      </c>
      <c r="F45" s="849" t="str">
        <f>'EEM Data Entry'!F134</f>
        <v/>
      </c>
      <c r="G45" s="849">
        <f>'Individual Measure List'!F58</f>
        <v>0</v>
      </c>
      <c r="H45" s="850">
        <f>'Individual Measure List'!G58</f>
        <v>0</v>
      </c>
      <c r="I45" s="851" t="e">
        <f>'Individual Measure List'!H58</f>
        <v>#VALUE!</v>
      </c>
      <c r="J45" s="852" t="e">
        <f>'Individual Measure List'!J58</f>
        <v>#NUM!</v>
      </c>
      <c r="K45" s="849" t="e">
        <f>'Individual Measure List'!K58</f>
        <v>#VALUE!</v>
      </c>
      <c r="P45" s="847" t="str">
        <f t="shared" si="20"/>
        <v/>
      </c>
      <c r="Q45" s="848" t="str">
        <f t="shared" si="21"/>
        <v/>
      </c>
      <c r="R45" s="849" t="str">
        <f t="shared" si="22"/>
        <v/>
      </c>
      <c r="S45" s="849">
        <f t="shared" si="23"/>
        <v>0</v>
      </c>
      <c r="T45" s="850">
        <f t="shared" si="24"/>
        <v>0</v>
      </c>
      <c r="U45" s="851" t="e">
        <f t="shared" si="25"/>
        <v>#VALUE!</v>
      </c>
      <c r="V45" s="852" t="e">
        <f t="shared" si="26"/>
        <v>#NUM!</v>
      </c>
      <c r="W45" s="849" t="e">
        <f t="shared" si="27"/>
        <v>#VALUE!</v>
      </c>
    </row>
    <row r="46" spans="1:23" ht="14.5" customHeight="1" thickBot="1" x14ac:dyDescent="0.35">
      <c r="A46" s="970" t="s">
        <v>381</v>
      </c>
      <c r="B46" s="971"/>
      <c r="C46" s="971"/>
      <c r="D46" s="971"/>
      <c r="E46" s="971"/>
      <c r="F46" s="971"/>
      <c r="G46" s="971"/>
      <c r="H46" s="971"/>
      <c r="I46" s="971"/>
      <c r="J46" s="971"/>
      <c r="K46" s="972"/>
      <c r="P46" s="970" t="s">
        <v>381</v>
      </c>
      <c r="Q46" s="971"/>
      <c r="R46" s="971"/>
      <c r="S46" s="971"/>
      <c r="T46" s="971"/>
      <c r="U46" s="971"/>
      <c r="V46" s="971"/>
      <c r="W46" s="972"/>
    </row>
    <row r="48" spans="1:23" x14ac:dyDescent="0.3">
      <c r="A48" s="826" t="s">
        <v>210</v>
      </c>
      <c r="P48" s="826" t="s">
        <v>210</v>
      </c>
    </row>
    <row r="49" spans="1:23" ht="13.5" thickBot="1" x14ac:dyDescent="0.35"/>
    <row r="50" spans="1:23" ht="39.5" thickBot="1" x14ac:dyDescent="0.35">
      <c r="A50" s="827" t="s">
        <v>144</v>
      </c>
      <c r="B50" s="828" t="s">
        <v>181</v>
      </c>
      <c r="C50" s="828" t="s">
        <v>129</v>
      </c>
      <c r="D50" s="828" t="s">
        <v>371</v>
      </c>
      <c r="E50" s="828" t="s">
        <v>377</v>
      </c>
      <c r="F50" s="828" t="s">
        <v>372</v>
      </c>
      <c r="G50" s="828" t="s">
        <v>178</v>
      </c>
      <c r="H50" s="828" t="s">
        <v>179</v>
      </c>
      <c r="I50" s="828" t="s">
        <v>183</v>
      </c>
      <c r="J50" s="828" t="s">
        <v>17</v>
      </c>
      <c r="K50" s="828" t="s">
        <v>22</v>
      </c>
      <c r="P50" s="827" t="str">
        <f t="shared" ref="P50:P60" si="28">A50</f>
        <v>EEM #</v>
      </c>
      <c r="Q50" s="828" t="str">
        <f t="shared" ref="Q50:Q60" si="29">B50</f>
        <v>Renewable System Upgrades</v>
      </c>
      <c r="R50" s="828" t="str">
        <f t="shared" ref="R50:R60" si="30">C50</f>
        <v>Capital Investment</v>
      </c>
      <c r="S50" s="828" t="str">
        <f t="shared" ref="S50:S60" si="31">G50</f>
        <v>Annual Energy Cost Savings</v>
      </c>
      <c r="T50" s="828" t="str">
        <f t="shared" ref="T50:T60" si="32">H50</f>
        <v>Annual kBTU Savings</v>
      </c>
      <c r="U50" s="828" t="str">
        <f t="shared" ref="U50:U60" si="33">I50</f>
        <v>Simple Payback (Years)</v>
      </c>
      <c r="V50" s="828" t="str">
        <f t="shared" ref="V50:V60" si="34">J50</f>
        <v>IRR</v>
      </c>
      <c r="W50" s="828" t="str">
        <f t="shared" ref="W50:W60" si="35">K50</f>
        <v>NPV</v>
      </c>
    </row>
    <row r="51" spans="1:23" ht="13.5" thickBot="1" x14ac:dyDescent="0.35">
      <c r="A51" s="829" t="str">
        <f>'Individual Measure List'!A66</f>
        <v/>
      </c>
      <c r="B51" s="830" t="str">
        <f>'Individual Measure List'!B66</f>
        <v/>
      </c>
      <c r="C51" s="831" t="str">
        <f>'EEM Data Entry'!D141</f>
        <v/>
      </c>
      <c r="D51" s="831" t="str">
        <f>'EEM Data Entry'!E141</f>
        <v/>
      </c>
      <c r="E51" s="830" t="str">
        <f>'EEM Data Entry'!G141</f>
        <v>N/A</v>
      </c>
      <c r="F51" s="831" t="str">
        <f>'EEM Data Entry'!F141</f>
        <v/>
      </c>
      <c r="G51" s="831">
        <f>'Individual Measure List'!F66</f>
        <v>0</v>
      </c>
      <c r="H51" s="832">
        <f>'Individual Measure List'!G66</f>
        <v>0</v>
      </c>
      <c r="I51" s="833" t="e">
        <f>'Individual Measure List'!H66</f>
        <v>#VALUE!</v>
      </c>
      <c r="J51" s="834" t="e">
        <f>'Individual Measure List'!J66</f>
        <v>#NUM!</v>
      </c>
      <c r="K51" s="831" t="e">
        <f>'Individual Measure List'!K66</f>
        <v>#VALUE!</v>
      </c>
      <c r="P51" s="829" t="str">
        <f t="shared" si="28"/>
        <v/>
      </c>
      <c r="Q51" s="830" t="str">
        <f t="shared" si="29"/>
        <v/>
      </c>
      <c r="R51" s="831" t="str">
        <f t="shared" si="30"/>
        <v/>
      </c>
      <c r="S51" s="831">
        <f t="shared" si="31"/>
        <v>0</v>
      </c>
      <c r="T51" s="832">
        <f t="shared" si="32"/>
        <v>0</v>
      </c>
      <c r="U51" s="833" t="e">
        <f t="shared" si="33"/>
        <v>#VALUE!</v>
      </c>
      <c r="V51" s="834" t="e">
        <f t="shared" si="34"/>
        <v>#NUM!</v>
      </c>
      <c r="W51" s="831" t="e">
        <f t="shared" si="35"/>
        <v>#VALUE!</v>
      </c>
    </row>
    <row r="52" spans="1:23" ht="13.5" thickBot="1" x14ac:dyDescent="0.35">
      <c r="A52" s="835" t="str">
        <f>'Individual Measure List'!A67</f>
        <v/>
      </c>
      <c r="B52" s="836" t="str">
        <f>'Individual Measure List'!B67</f>
        <v/>
      </c>
      <c r="C52" s="837" t="str">
        <f>'EEM Data Entry'!D142</f>
        <v/>
      </c>
      <c r="D52" s="837" t="str">
        <f>'EEM Data Entry'!E142</f>
        <v/>
      </c>
      <c r="E52" s="836" t="str">
        <f>'EEM Data Entry'!G142</f>
        <v>N/A</v>
      </c>
      <c r="F52" s="837" t="str">
        <f>'EEM Data Entry'!F142</f>
        <v/>
      </c>
      <c r="G52" s="837">
        <f>'Individual Measure List'!F67</f>
        <v>0</v>
      </c>
      <c r="H52" s="838">
        <f>'Individual Measure List'!G67</f>
        <v>0</v>
      </c>
      <c r="I52" s="839" t="e">
        <f>'Individual Measure List'!H67</f>
        <v>#VALUE!</v>
      </c>
      <c r="J52" s="840" t="e">
        <f>'Individual Measure List'!J67</f>
        <v>#NUM!</v>
      </c>
      <c r="K52" s="837" t="e">
        <f>'Individual Measure List'!K67</f>
        <v>#VALUE!</v>
      </c>
      <c r="P52" s="835" t="str">
        <f t="shared" si="28"/>
        <v/>
      </c>
      <c r="Q52" s="836" t="str">
        <f t="shared" si="29"/>
        <v/>
      </c>
      <c r="R52" s="837" t="str">
        <f t="shared" si="30"/>
        <v/>
      </c>
      <c r="S52" s="837">
        <f t="shared" si="31"/>
        <v>0</v>
      </c>
      <c r="T52" s="838">
        <f t="shared" si="32"/>
        <v>0</v>
      </c>
      <c r="U52" s="839" t="e">
        <f t="shared" si="33"/>
        <v>#VALUE!</v>
      </c>
      <c r="V52" s="840" t="e">
        <f t="shared" si="34"/>
        <v>#NUM!</v>
      </c>
      <c r="W52" s="837" t="e">
        <f t="shared" si="35"/>
        <v>#VALUE!</v>
      </c>
    </row>
    <row r="53" spans="1:23" ht="13.5" thickBot="1" x14ac:dyDescent="0.35">
      <c r="A53" s="829" t="str">
        <f>'Individual Measure List'!A68</f>
        <v/>
      </c>
      <c r="B53" s="830" t="str">
        <f>'Individual Measure List'!B68</f>
        <v/>
      </c>
      <c r="C53" s="831" t="str">
        <f>'EEM Data Entry'!D143</f>
        <v/>
      </c>
      <c r="D53" s="831" t="str">
        <f>'EEM Data Entry'!E143</f>
        <v/>
      </c>
      <c r="E53" s="830" t="str">
        <f>'EEM Data Entry'!G143</f>
        <v>N/A</v>
      </c>
      <c r="F53" s="831" t="str">
        <f>'EEM Data Entry'!F143</f>
        <v/>
      </c>
      <c r="G53" s="831">
        <f>'Individual Measure List'!F68</f>
        <v>0</v>
      </c>
      <c r="H53" s="832">
        <f>'Individual Measure List'!G68</f>
        <v>0</v>
      </c>
      <c r="I53" s="833" t="e">
        <f>'Individual Measure List'!H68</f>
        <v>#VALUE!</v>
      </c>
      <c r="J53" s="834" t="e">
        <f>'Individual Measure List'!J68</f>
        <v>#NUM!</v>
      </c>
      <c r="K53" s="831" t="e">
        <f>'Individual Measure List'!K68</f>
        <v>#VALUE!</v>
      </c>
      <c r="P53" s="829" t="str">
        <f t="shared" si="28"/>
        <v/>
      </c>
      <c r="Q53" s="830" t="str">
        <f t="shared" si="29"/>
        <v/>
      </c>
      <c r="R53" s="831" t="str">
        <f t="shared" si="30"/>
        <v/>
      </c>
      <c r="S53" s="831">
        <f t="shared" si="31"/>
        <v>0</v>
      </c>
      <c r="T53" s="832">
        <f t="shared" si="32"/>
        <v>0</v>
      </c>
      <c r="U53" s="833" t="e">
        <f t="shared" si="33"/>
        <v>#VALUE!</v>
      </c>
      <c r="V53" s="834" t="e">
        <f t="shared" si="34"/>
        <v>#NUM!</v>
      </c>
      <c r="W53" s="831" t="e">
        <f t="shared" si="35"/>
        <v>#VALUE!</v>
      </c>
    </row>
    <row r="54" spans="1:23" ht="13.5" thickBot="1" x14ac:dyDescent="0.35">
      <c r="A54" s="835" t="str">
        <f>'Individual Measure List'!A69</f>
        <v/>
      </c>
      <c r="B54" s="836" t="str">
        <f>'Individual Measure List'!B69</f>
        <v/>
      </c>
      <c r="C54" s="837" t="str">
        <f>'EEM Data Entry'!D144</f>
        <v/>
      </c>
      <c r="D54" s="837" t="str">
        <f>'EEM Data Entry'!E144</f>
        <v/>
      </c>
      <c r="E54" s="836" t="str">
        <f>'EEM Data Entry'!G144</f>
        <v>N/A</v>
      </c>
      <c r="F54" s="837" t="str">
        <f>'EEM Data Entry'!F144</f>
        <v/>
      </c>
      <c r="G54" s="837">
        <f>'Individual Measure List'!F69</f>
        <v>0</v>
      </c>
      <c r="H54" s="838">
        <f>'Individual Measure List'!G69</f>
        <v>0</v>
      </c>
      <c r="I54" s="839" t="e">
        <f>'Individual Measure List'!H69</f>
        <v>#VALUE!</v>
      </c>
      <c r="J54" s="840" t="e">
        <f>'Individual Measure List'!J69</f>
        <v>#NUM!</v>
      </c>
      <c r="K54" s="837" t="e">
        <f>'Individual Measure List'!K69</f>
        <v>#VALUE!</v>
      </c>
      <c r="P54" s="835" t="str">
        <f t="shared" si="28"/>
        <v/>
      </c>
      <c r="Q54" s="836" t="str">
        <f t="shared" si="29"/>
        <v/>
      </c>
      <c r="R54" s="837" t="str">
        <f t="shared" si="30"/>
        <v/>
      </c>
      <c r="S54" s="837">
        <f t="shared" si="31"/>
        <v>0</v>
      </c>
      <c r="T54" s="838">
        <f t="shared" si="32"/>
        <v>0</v>
      </c>
      <c r="U54" s="839" t="e">
        <f t="shared" si="33"/>
        <v>#VALUE!</v>
      </c>
      <c r="V54" s="840" t="e">
        <f t="shared" si="34"/>
        <v>#NUM!</v>
      </c>
      <c r="W54" s="837" t="e">
        <f t="shared" si="35"/>
        <v>#VALUE!</v>
      </c>
    </row>
    <row r="55" spans="1:23" ht="13.5" thickBot="1" x14ac:dyDescent="0.35">
      <c r="A55" s="829" t="str">
        <f>'Individual Measure List'!A70</f>
        <v/>
      </c>
      <c r="B55" s="830" t="str">
        <f>'Individual Measure List'!B70</f>
        <v/>
      </c>
      <c r="C55" s="831" t="str">
        <f>'EEM Data Entry'!D145</f>
        <v/>
      </c>
      <c r="D55" s="831" t="str">
        <f>'EEM Data Entry'!E145</f>
        <v/>
      </c>
      <c r="E55" s="830" t="str">
        <f>'EEM Data Entry'!G145</f>
        <v>N/A</v>
      </c>
      <c r="F55" s="831" t="str">
        <f>'EEM Data Entry'!F145</f>
        <v/>
      </c>
      <c r="G55" s="831">
        <f>'Individual Measure List'!F70</f>
        <v>0</v>
      </c>
      <c r="H55" s="832">
        <f>'Individual Measure List'!G70</f>
        <v>0</v>
      </c>
      <c r="I55" s="833" t="e">
        <f>'Individual Measure List'!H70</f>
        <v>#VALUE!</v>
      </c>
      <c r="J55" s="834" t="e">
        <f>'Individual Measure List'!J70</f>
        <v>#NUM!</v>
      </c>
      <c r="K55" s="831" t="e">
        <f>'Individual Measure List'!K70</f>
        <v>#VALUE!</v>
      </c>
      <c r="P55" s="829" t="str">
        <f t="shared" si="28"/>
        <v/>
      </c>
      <c r="Q55" s="830" t="str">
        <f t="shared" si="29"/>
        <v/>
      </c>
      <c r="R55" s="831" t="str">
        <f t="shared" si="30"/>
        <v/>
      </c>
      <c r="S55" s="831">
        <f t="shared" si="31"/>
        <v>0</v>
      </c>
      <c r="T55" s="832">
        <f t="shared" si="32"/>
        <v>0</v>
      </c>
      <c r="U55" s="833" t="e">
        <f t="shared" si="33"/>
        <v>#VALUE!</v>
      </c>
      <c r="V55" s="834" t="e">
        <f t="shared" si="34"/>
        <v>#NUM!</v>
      </c>
      <c r="W55" s="831" t="e">
        <f t="shared" si="35"/>
        <v>#VALUE!</v>
      </c>
    </row>
    <row r="56" spans="1:23" ht="13.5" thickBot="1" x14ac:dyDescent="0.35">
      <c r="A56" s="835" t="str">
        <f>'Individual Measure List'!A71</f>
        <v/>
      </c>
      <c r="B56" s="836" t="str">
        <f>'Individual Measure List'!B71</f>
        <v/>
      </c>
      <c r="C56" s="837" t="str">
        <f>'EEM Data Entry'!D146</f>
        <v/>
      </c>
      <c r="D56" s="837" t="str">
        <f>'EEM Data Entry'!E146</f>
        <v/>
      </c>
      <c r="E56" s="836" t="str">
        <f>'EEM Data Entry'!G146</f>
        <v>N/A</v>
      </c>
      <c r="F56" s="837" t="str">
        <f>'EEM Data Entry'!F146</f>
        <v/>
      </c>
      <c r="G56" s="837">
        <f>'Individual Measure List'!F71</f>
        <v>0</v>
      </c>
      <c r="H56" s="838">
        <f>'Individual Measure List'!G71</f>
        <v>0</v>
      </c>
      <c r="I56" s="839" t="e">
        <f>'Individual Measure List'!H71</f>
        <v>#VALUE!</v>
      </c>
      <c r="J56" s="840" t="e">
        <f>'Individual Measure List'!J71</f>
        <v>#NUM!</v>
      </c>
      <c r="K56" s="837" t="e">
        <f>'Individual Measure List'!K71</f>
        <v>#VALUE!</v>
      </c>
      <c r="P56" s="835" t="str">
        <f t="shared" si="28"/>
        <v/>
      </c>
      <c r="Q56" s="836" t="str">
        <f t="shared" si="29"/>
        <v/>
      </c>
      <c r="R56" s="837" t="str">
        <f t="shared" si="30"/>
        <v/>
      </c>
      <c r="S56" s="837">
        <f t="shared" si="31"/>
        <v>0</v>
      </c>
      <c r="T56" s="838">
        <f t="shared" si="32"/>
        <v>0</v>
      </c>
      <c r="U56" s="839" t="e">
        <f t="shared" si="33"/>
        <v>#VALUE!</v>
      </c>
      <c r="V56" s="840" t="e">
        <f t="shared" si="34"/>
        <v>#NUM!</v>
      </c>
      <c r="W56" s="837" t="e">
        <f t="shared" si="35"/>
        <v>#VALUE!</v>
      </c>
    </row>
    <row r="57" spans="1:23" ht="13.5" thickBot="1" x14ac:dyDescent="0.35">
      <c r="A57" s="829" t="str">
        <f>'Individual Measure List'!A72</f>
        <v/>
      </c>
      <c r="B57" s="830" t="str">
        <f>'Individual Measure List'!B72</f>
        <v/>
      </c>
      <c r="C57" s="831" t="str">
        <f>'EEM Data Entry'!D147</f>
        <v/>
      </c>
      <c r="D57" s="831" t="str">
        <f>'EEM Data Entry'!E147</f>
        <v/>
      </c>
      <c r="E57" s="830" t="str">
        <f>'EEM Data Entry'!G147</f>
        <v>N/A</v>
      </c>
      <c r="F57" s="831" t="str">
        <f>'EEM Data Entry'!F147</f>
        <v/>
      </c>
      <c r="G57" s="831">
        <f>'Individual Measure List'!F72</f>
        <v>0</v>
      </c>
      <c r="H57" s="832">
        <f>'Individual Measure List'!G72</f>
        <v>0</v>
      </c>
      <c r="I57" s="833" t="e">
        <f>'Individual Measure List'!H72</f>
        <v>#VALUE!</v>
      </c>
      <c r="J57" s="834" t="e">
        <f>'Individual Measure List'!J72</f>
        <v>#NUM!</v>
      </c>
      <c r="K57" s="831" t="e">
        <f>'Individual Measure List'!K72</f>
        <v>#VALUE!</v>
      </c>
      <c r="P57" s="829" t="str">
        <f t="shared" si="28"/>
        <v/>
      </c>
      <c r="Q57" s="830" t="str">
        <f t="shared" si="29"/>
        <v/>
      </c>
      <c r="R57" s="831" t="str">
        <f t="shared" si="30"/>
        <v/>
      </c>
      <c r="S57" s="831">
        <f t="shared" si="31"/>
        <v>0</v>
      </c>
      <c r="T57" s="832">
        <f t="shared" si="32"/>
        <v>0</v>
      </c>
      <c r="U57" s="833" t="e">
        <f t="shared" si="33"/>
        <v>#VALUE!</v>
      </c>
      <c r="V57" s="834" t="e">
        <f t="shared" si="34"/>
        <v>#NUM!</v>
      </c>
      <c r="W57" s="831" t="e">
        <f t="shared" si="35"/>
        <v>#VALUE!</v>
      </c>
    </row>
    <row r="58" spans="1:23" ht="13.5" thickBot="1" x14ac:dyDescent="0.35">
      <c r="A58" s="835" t="str">
        <f>'Individual Measure List'!A73</f>
        <v/>
      </c>
      <c r="B58" s="836" t="str">
        <f>'Individual Measure List'!B73</f>
        <v/>
      </c>
      <c r="C58" s="837" t="str">
        <f>'EEM Data Entry'!D148</f>
        <v/>
      </c>
      <c r="D58" s="837" t="str">
        <f>'EEM Data Entry'!E148</f>
        <v/>
      </c>
      <c r="E58" s="836" t="str">
        <f>'EEM Data Entry'!G148</f>
        <v>N/A</v>
      </c>
      <c r="F58" s="837" t="str">
        <f>'EEM Data Entry'!F148</f>
        <v/>
      </c>
      <c r="G58" s="837">
        <f>'Individual Measure List'!F73</f>
        <v>0</v>
      </c>
      <c r="H58" s="838">
        <f>'Individual Measure List'!G73</f>
        <v>0</v>
      </c>
      <c r="I58" s="839" t="e">
        <f>'Individual Measure List'!H73</f>
        <v>#VALUE!</v>
      </c>
      <c r="J58" s="840" t="e">
        <f>'Individual Measure List'!J73</f>
        <v>#NUM!</v>
      </c>
      <c r="K58" s="837" t="e">
        <f>'Individual Measure List'!K73</f>
        <v>#VALUE!</v>
      </c>
      <c r="P58" s="835" t="str">
        <f t="shared" si="28"/>
        <v/>
      </c>
      <c r="Q58" s="836" t="str">
        <f t="shared" si="29"/>
        <v/>
      </c>
      <c r="R58" s="837" t="str">
        <f t="shared" si="30"/>
        <v/>
      </c>
      <c r="S58" s="837">
        <f t="shared" si="31"/>
        <v>0</v>
      </c>
      <c r="T58" s="838">
        <f t="shared" si="32"/>
        <v>0</v>
      </c>
      <c r="U58" s="839" t="e">
        <f t="shared" si="33"/>
        <v>#VALUE!</v>
      </c>
      <c r="V58" s="840" t="e">
        <f t="shared" si="34"/>
        <v>#NUM!</v>
      </c>
      <c r="W58" s="837" t="e">
        <f t="shared" si="35"/>
        <v>#VALUE!</v>
      </c>
    </row>
    <row r="59" spans="1:23" ht="13.5" thickBot="1" x14ac:dyDescent="0.35">
      <c r="A59" s="829" t="str">
        <f>'Individual Measure List'!A74</f>
        <v/>
      </c>
      <c r="B59" s="830" t="str">
        <f>'Individual Measure List'!B74</f>
        <v/>
      </c>
      <c r="C59" s="831" t="str">
        <f>'EEM Data Entry'!D149</f>
        <v/>
      </c>
      <c r="D59" s="831" t="str">
        <f>'EEM Data Entry'!E149</f>
        <v/>
      </c>
      <c r="E59" s="830" t="str">
        <f>'EEM Data Entry'!G149</f>
        <v>N/A</v>
      </c>
      <c r="F59" s="831" t="str">
        <f>'EEM Data Entry'!F149</f>
        <v/>
      </c>
      <c r="G59" s="831">
        <f>'Individual Measure List'!F74</f>
        <v>0</v>
      </c>
      <c r="H59" s="832">
        <f>'Individual Measure List'!G74</f>
        <v>0</v>
      </c>
      <c r="I59" s="833" t="e">
        <f>'Individual Measure List'!H74</f>
        <v>#VALUE!</v>
      </c>
      <c r="J59" s="834" t="e">
        <f>'Individual Measure List'!J74</f>
        <v>#NUM!</v>
      </c>
      <c r="K59" s="831" t="e">
        <f>'Individual Measure List'!K74</f>
        <v>#VALUE!</v>
      </c>
      <c r="P59" s="829" t="str">
        <f t="shared" si="28"/>
        <v/>
      </c>
      <c r="Q59" s="830" t="str">
        <f t="shared" si="29"/>
        <v/>
      </c>
      <c r="R59" s="831" t="str">
        <f t="shared" si="30"/>
        <v/>
      </c>
      <c r="S59" s="831">
        <f t="shared" si="31"/>
        <v>0</v>
      </c>
      <c r="T59" s="832">
        <f t="shared" si="32"/>
        <v>0</v>
      </c>
      <c r="U59" s="833" t="e">
        <f t="shared" si="33"/>
        <v>#VALUE!</v>
      </c>
      <c r="V59" s="834" t="e">
        <f t="shared" si="34"/>
        <v>#NUM!</v>
      </c>
      <c r="W59" s="831" t="e">
        <f t="shared" si="35"/>
        <v>#VALUE!</v>
      </c>
    </row>
    <row r="60" spans="1:23" ht="13.5" thickBot="1" x14ac:dyDescent="0.35">
      <c r="A60" s="847" t="str">
        <f>'Individual Measure List'!A75</f>
        <v/>
      </c>
      <c r="B60" s="848" t="str">
        <f>'Individual Measure List'!B75</f>
        <v/>
      </c>
      <c r="C60" s="849" t="str">
        <f>'EEM Data Entry'!D150</f>
        <v/>
      </c>
      <c r="D60" s="849" t="str">
        <f>'EEM Data Entry'!E150</f>
        <v/>
      </c>
      <c r="E60" s="848" t="str">
        <f>'EEM Data Entry'!G150</f>
        <v>N/A</v>
      </c>
      <c r="F60" s="849" t="str">
        <f>'EEM Data Entry'!F150</f>
        <v/>
      </c>
      <c r="G60" s="849">
        <f>'Individual Measure List'!F75</f>
        <v>0</v>
      </c>
      <c r="H60" s="850">
        <f>'Individual Measure List'!G75</f>
        <v>0</v>
      </c>
      <c r="I60" s="851" t="e">
        <f>'Individual Measure List'!H75</f>
        <v>#VALUE!</v>
      </c>
      <c r="J60" s="852" t="e">
        <f>'Individual Measure List'!J75</f>
        <v>#NUM!</v>
      </c>
      <c r="K60" s="849" t="e">
        <f>'Individual Measure List'!K75</f>
        <v>#VALUE!</v>
      </c>
      <c r="P60" s="847" t="str">
        <f t="shared" si="28"/>
        <v/>
      </c>
      <c r="Q60" s="848" t="str">
        <f t="shared" si="29"/>
        <v/>
      </c>
      <c r="R60" s="849" t="str">
        <f t="shared" si="30"/>
        <v/>
      </c>
      <c r="S60" s="849">
        <f t="shared" si="31"/>
        <v>0</v>
      </c>
      <c r="T60" s="850">
        <f t="shared" si="32"/>
        <v>0</v>
      </c>
      <c r="U60" s="851" t="e">
        <f t="shared" si="33"/>
        <v>#VALUE!</v>
      </c>
      <c r="V60" s="852" t="e">
        <f t="shared" si="34"/>
        <v>#NUM!</v>
      </c>
      <c r="W60" s="849" t="e">
        <f t="shared" si="35"/>
        <v>#VALUE!</v>
      </c>
    </row>
    <row r="61" spans="1:23" ht="14.5" customHeight="1" thickBot="1" x14ac:dyDescent="0.35">
      <c r="A61" s="970" t="s">
        <v>381</v>
      </c>
      <c r="B61" s="971"/>
      <c r="C61" s="971"/>
      <c r="D61" s="971"/>
      <c r="E61" s="971"/>
      <c r="F61" s="971"/>
      <c r="G61" s="971"/>
      <c r="H61" s="971"/>
      <c r="I61" s="971"/>
      <c r="J61" s="971"/>
      <c r="K61" s="972"/>
      <c r="P61" s="970" t="s">
        <v>381</v>
      </c>
      <c r="Q61" s="971"/>
      <c r="R61" s="971"/>
      <c r="S61" s="971"/>
      <c r="T61" s="971"/>
      <c r="U61" s="971"/>
      <c r="V61" s="971"/>
      <c r="W61" s="972"/>
    </row>
    <row r="63" spans="1:23" x14ac:dyDescent="0.3">
      <c r="A63" s="826" t="s">
        <v>211</v>
      </c>
      <c r="P63" s="826" t="s">
        <v>211</v>
      </c>
    </row>
    <row r="64" spans="1:23" ht="13.5" thickBot="1" x14ac:dyDescent="0.35"/>
    <row r="65" spans="2:23" ht="39.5" thickBot="1" x14ac:dyDescent="0.35">
      <c r="B65" s="827"/>
      <c r="C65" s="828" t="s">
        <v>129</v>
      </c>
      <c r="D65" s="828" t="s">
        <v>371</v>
      </c>
      <c r="E65" s="828" t="s">
        <v>377</v>
      </c>
      <c r="F65" s="828" t="s">
        <v>372</v>
      </c>
      <c r="G65" s="828" t="s">
        <v>178</v>
      </c>
      <c r="H65" s="828" t="s">
        <v>179</v>
      </c>
      <c r="I65" s="828" t="s">
        <v>183</v>
      </c>
      <c r="J65" s="828" t="s">
        <v>17</v>
      </c>
      <c r="K65" s="828" t="s">
        <v>22</v>
      </c>
      <c r="Q65" s="827"/>
      <c r="R65" s="828" t="str">
        <f t="shared" ref="R65:R66" si="36">C65</f>
        <v>Capital Investment</v>
      </c>
      <c r="S65" s="828" t="str">
        <f t="shared" ref="S65:W66" si="37">G65</f>
        <v>Annual Energy Cost Savings</v>
      </c>
      <c r="T65" s="828" t="str">
        <f t="shared" si="37"/>
        <v>Annual kBTU Savings</v>
      </c>
      <c r="U65" s="828" t="str">
        <f t="shared" si="37"/>
        <v>Simple Payback (Years)</v>
      </c>
      <c r="V65" s="828" t="str">
        <f t="shared" si="37"/>
        <v>IRR</v>
      </c>
      <c r="W65" s="828" t="str">
        <f t="shared" si="37"/>
        <v>NPV</v>
      </c>
    </row>
    <row r="66" spans="2:23" ht="78" customHeight="1" thickBot="1" x14ac:dyDescent="0.35">
      <c r="B66" s="856" t="str">
        <f>'Packaged EEMs'!B82</f>
        <v>RECOMMENDED PACKAGE: Example</v>
      </c>
      <c r="C66" s="857">
        <f>SUM('EEM Data Entry'!D85:D108,'EEM Data Entry'!D110:D123,'EEM Data Entry'!D125:D139,'EEM Data Entry'!D141:D154)</f>
        <v>0</v>
      </c>
      <c r="D66" s="857">
        <f>SUM('EEM Data Entry'!E85:E108,'EEM Data Entry'!E110:E123,'EEM Data Entry'!E125:E139,'EEM Data Entry'!E141:E154)</f>
        <v>0</v>
      </c>
      <c r="E66" s="857"/>
      <c r="F66" s="857">
        <f>SUM('EEM Data Entry'!F85:F108,'EEM Data Entry'!F110:F123,'EEM Data Entry'!F125:F139,'EEM Data Entry'!F141:F154)</f>
        <v>0</v>
      </c>
      <c r="G66" s="857">
        <f>'Packaged EEMs'!F82</f>
        <v>0</v>
      </c>
      <c r="H66" s="858">
        <f>'Packaged EEMs'!G82</f>
        <v>0</v>
      </c>
      <c r="I66" s="859" t="e">
        <f>'Packaged EEMs'!H82</f>
        <v>#DIV/0!</v>
      </c>
      <c r="J66" s="860" t="e">
        <f>'Packaged EEMs'!J82</f>
        <v>#NUM!</v>
      </c>
      <c r="K66" s="857">
        <f>'Packaged EEMs'!K82</f>
        <v>0</v>
      </c>
      <c r="Q66" s="856" t="str">
        <f t="shared" ref="Q66" si="38">B66</f>
        <v>RECOMMENDED PACKAGE: Example</v>
      </c>
      <c r="R66" s="857">
        <f t="shared" si="36"/>
        <v>0</v>
      </c>
      <c r="S66" s="857">
        <f t="shared" si="37"/>
        <v>0</v>
      </c>
      <c r="T66" s="858">
        <f t="shared" si="37"/>
        <v>0</v>
      </c>
      <c r="U66" s="859" t="e">
        <f t="shared" si="37"/>
        <v>#DIV/0!</v>
      </c>
      <c r="V66" s="860" t="e">
        <f t="shared" si="37"/>
        <v>#NUM!</v>
      </c>
      <c r="W66" s="857">
        <f t="shared" si="37"/>
        <v>0</v>
      </c>
    </row>
    <row r="67" spans="2:23" ht="14.5" customHeight="1" thickBot="1" x14ac:dyDescent="0.4">
      <c r="B67" s="967" t="s">
        <v>378</v>
      </c>
      <c r="C67" s="968"/>
      <c r="D67" s="968"/>
      <c r="E67" s="968"/>
      <c r="F67" s="968"/>
      <c r="G67" s="968"/>
      <c r="H67" s="968"/>
      <c r="I67" s="968"/>
      <c r="J67" s="968"/>
      <c r="K67" s="969"/>
      <c r="Q67" s="967" t="s">
        <v>378</v>
      </c>
      <c r="R67" s="968"/>
      <c r="S67" s="968"/>
      <c r="T67" s="968"/>
      <c r="U67" s="968"/>
      <c r="V67" s="968"/>
      <c r="W67" s="969"/>
    </row>
  </sheetData>
  <mergeCells count="14">
    <mergeCell ref="Q67:W67"/>
    <mergeCell ref="A61:K61"/>
    <mergeCell ref="B67:K67"/>
    <mergeCell ref="M6:N6"/>
    <mergeCell ref="A1:N1"/>
    <mergeCell ref="M11:N12"/>
    <mergeCell ref="A16:K16"/>
    <mergeCell ref="A31:K31"/>
    <mergeCell ref="A46:K46"/>
    <mergeCell ref="P1:W1"/>
    <mergeCell ref="P16:W16"/>
    <mergeCell ref="P31:W31"/>
    <mergeCell ref="P46:W46"/>
    <mergeCell ref="P61:W61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B997-3DC3-44EC-BADA-B8248BF3F7DC}">
  <sheetPr>
    <tabColor rgb="FF00B0F0"/>
  </sheetPr>
  <dimension ref="A1:AP67"/>
  <sheetViews>
    <sheetView topLeftCell="C20" zoomScale="130" zoomScaleNormal="130" workbookViewId="0">
      <selection activeCell="D35" sqref="D35"/>
    </sheetView>
  </sheetViews>
  <sheetFormatPr defaultColWidth="8.7265625" defaultRowHeight="13" x14ac:dyDescent="0.3"/>
  <cols>
    <col min="1" max="2" width="0" style="825" hidden="1" customWidth="1"/>
    <col min="3" max="3" width="7.08984375" style="825" customWidth="1"/>
    <col min="4" max="4" width="24.81640625" style="825" customWidth="1"/>
    <col min="5" max="5" width="10.6328125" style="825" customWidth="1"/>
    <col min="6" max="8" width="9.08984375" style="825" customWidth="1"/>
    <col min="9" max="16" width="8.08984375" style="825" customWidth="1"/>
    <col min="17" max="17" width="8.7265625" style="825"/>
    <col min="18" max="18" width="29.54296875" style="825" customWidth="1"/>
    <col min="19" max="19" width="21.6328125" style="825" customWidth="1"/>
    <col min="20" max="21" width="12.26953125" style="825" customWidth="1"/>
    <col min="22" max="22" width="24.81640625" style="825" customWidth="1"/>
    <col min="23" max="31" width="9.6328125" style="825" customWidth="1"/>
    <col min="32" max="41" width="12.26953125" style="825" customWidth="1"/>
    <col min="42" max="42" width="11.36328125" style="825" customWidth="1"/>
    <col min="43" max="16384" width="8.7265625" style="825"/>
  </cols>
  <sheetData>
    <row r="1" spans="1:42" s="861" customFormat="1" ht="27" customHeight="1" x14ac:dyDescent="0.5">
      <c r="C1" s="960" t="s">
        <v>212</v>
      </c>
      <c r="D1" s="960"/>
      <c r="E1" s="960"/>
      <c r="F1" s="960"/>
      <c r="G1" s="960"/>
      <c r="H1" s="960"/>
      <c r="I1" s="960"/>
      <c r="J1" s="960"/>
      <c r="K1" s="960"/>
      <c r="L1" s="960"/>
      <c r="M1" s="960"/>
      <c r="N1" s="960"/>
      <c r="O1" s="960"/>
      <c r="P1" s="960"/>
      <c r="Q1" s="862"/>
      <c r="R1" s="862"/>
      <c r="S1" s="862"/>
      <c r="U1" s="960" t="s">
        <v>380</v>
      </c>
      <c r="V1" s="960"/>
      <c r="W1" s="960"/>
      <c r="X1" s="960"/>
      <c r="Y1" s="960"/>
      <c r="Z1" s="960"/>
      <c r="AA1" s="960"/>
      <c r="AB1" s="960"/>
      <c r="AC1" s="960"/>
      <c r="AD1" s="960"/>
      <c r="AE1" s="960"/>
      <c r="AP1" s="862"/>
    </row>
    <row r="3" spans="1:42" ht="26" x14ac:dyDescent="0.3">
      <c r="C3" s="826" t="s">
        <v>207</v>
      </c>
      <c r="I3" s="865" t="s">
        <v>379</v>
      </c>
      <c r="J3" s="865">
        <v>0.29307103000000001</v>
      </c>
      <c r="K3" s="865">
        <v>7.2790267245E-3</v>
      </c>
      <c r="L3" s="865">
        <v>0.01</v>
      </c>
      <c r="M3" s="865">
        <v>1.09289613E-2</v>
      </c>
      <c r="U3" s="826" t="s">
        <v>207</v>
      </c>
      <c r="X3" s="865" t="s">
        <v>379</v>
      </c>
      <c r="Y3" s="865">
        <v>0.29307103000000001</v>
      </c>
      <c r="Z3" s="865">
        <v>7.2790267245E-3</v>
      </c>
      <c r="AA3" s="865">
        <v>0.01</v>
      </c>
      <c r="AB3" s="865">
        <v>1.09289613E-2</v>
      </c>
    </row>
    <row r="4" spans="1:42" ht="13.5" thickBot="1" x14ac:dyDescent="0.35"/>
    <row r="5" spans="1:42" ht="52.5" thickBot="1" x14ac:dyDescent="0.35">
      <c r="C5" s="827" t="s">
        <v>144</v>
      </c>
      <c r="D5" s="828" t="s">
        <v>177</v>
      </c>
      <c r="E5" s="828" t="s">
        <v>129</v>
      </c>
      <c r="F5" s="828" t="s">
        <v>371</v>
      </c>
      <c r="G5" s="828" t="s">
        <v>377</v>
      </c>
      <c r="H5" s="828" t="s">
        <v>372</v>
      </c>
      <c r="I5" s="828" t="s">
        <v>178</v>
      </c>
      <c r="J5" s="828" t="s">
        <v>373</v>
      </c>
      <c r="K5" s="828" t="s">
        <v>374</v>
      </c>
      <c r="L5" s="828" t="s">
        <v>375</v>
      </c>
      <c r="M5" s="828" t="s">
        <v>376</v>
      </c>
      <c r="N5" s="828" t="s">
        <v>183</v>
      </c>
      <c r="O5" s="828" t="s">
        <v>17</v>
      </c>
      <c r="P5" s="828" t="s">
        <v>22</v>
      </c>
      <c r="U5" s="827" t="str">
        <f t="shared" ref="U5:U15" si="0">C5</f>
        <v>EEM #</v>
      </c>
      <c r="V5" s="828" t="str">
        <f t="shared" ref="V5:V15" si="1">D5</f>
        <v>Building Envelope Upgrades</v>
      </c>
      <c r="W5" s="828" t="str">
        <f t="shared" ref="W5:W15" si="2">E5</f>
        <v>Capital Investment</v>
      </c>
      <c r="X5" s="828" t="str">
        <f t="shared" ref="X5:X15" si="3">I5</f>
        <v>Annual Energy Cost Savings</v>
      </c>
      <c r="Y5" s="828" t="str">
        <f t="shared" ref="Y5:Y15" si="4">J5</f>
        <v>Annual Electric Savings (kWh)</v>
      </c>
      <c r="Z5" s="828" t="str">
        <f t="shared" ref="Z5:Z15" si="5">K5</f>
        <v>Annual Oil Savings (Gal)</v>
      </c>
      <c r="AA5" s="828" t="str">
        <f t="shared" ref="AA5:AA15" si="6">L5</f>
        <v>Annual Nat. Gas Savings (Therms)</v>
      </c>
      <c r="AB5" s="828" t="str">
        <f t="shared" ref="AB5:AB15" si="7">M5</f>
        <v>Annual Propane Savings (Gal)</v>
      </c>
      <c r="AC5" s="828" t="str">
        <f t="shared" ref="AC5:AC15" si="8">N5</f>
        <v>Simple Payback (Years)</v>
      </c>
      <c r="AD5" s="828" t="str">
        <f t="shared" ref="AD5:AD15" si="9">O5</f>
        <v>IRR</v>
      </c>
      <c r="AE5" s="828" t="str">
        <f t="shared" ref="AE5:AE15" si="10">P5</f>
        <v>NPV</v>
      </c>
      <c r="AP5" s="828" t="s">
        <v>179</v>
      </c>
    </row>
    <row r="6" spans="1:42" ht="16" customHeight="1" thickBot="1" x14ac:dyDescent="0.35">
      <c r="A6" s="825">
        <f>SUM(B6)</f>
        <v>1</v>
      </c>
      <c r="B6" s="825">
        <f>IF(ISTEXT(D6)=TRUE,1,0)</f>
        <v>1</v>
      </c>
      <c r="C6" s="829" t="str">
        <f>'Individual Measure List'!A8</f>
        <v/>
      </c>
      <c r="D6" s="830" t="str">
        <f>'Individual Measure List'!B8</f>
        <v/>
      </c>
      <c r="E6" s="831" t="str">
        <f>'EEM Data Entry'!D85</f>
        <v/>
      </c>
      <c r="F6" s="831" t="str">
        <f>'EEM Data Entry'!E85</f>
        <v/>
      </c>
      <c r="G6" s="853" t="str">
        <f>'EEM Data Entry'!G85</f>
        <v>N/A</v>
      </c>
      <c r="H6" s="831" t="str">
        <f>'EEM Data Entry'!F85</f>
        <v/>
      </c>
      <c r="I6" s="831">
        <f>'Individual Measure List'!F8</f>
        <v>0</v>
      </c>
      <c r="J6" s="833" t="str">
        <f>IF('Savings Summary'!D7=0,"",'Savings Summary'!D7)</f>
        <v/>
      </c>
      <c r="K6" s="833" t="str">
        <f>IF('Savings Summary'!F7=0,"",'Savings Summary'!F7)</f>
        <v/>
      </c>
      <c r="L6" s="833" t="str">
        <f>IF('Savings Summary'!H7=0,"",'Savings Summary'!H7)</f>
        <v/>
      </c>
      <c r="M6" s="833" t="str">
        <f>IF('Savings Summary'!J7=0,"",'Savings Summary'!J7)</f>
        <v/>
      </c>
      <c r="N6" s="833" t="e">
        <f>'Individual Measure List'!H8</f>
        <v>#VALUE!</v>
      </c>
      <c r="O6" s="834" t="e">
        <f>'Individual Measure List'!J8</f>
        <v>#NUM!</v>
      </c>
      <c r="P6" s="831" t="e">
        <f>'Individual Measure List'!K8</f>
        <v>#VALUE!</v>
      </c>
      <c r="R6" s="961" t="s">
        <v>197</v>
      </c>
      <c r="S6" s="962"/>
      <c r="U6" s="829" t="str">
        <f t="shared" si="0"/>
        <v/>
      </c>
      <c r="V6" s="830" t="str">
        <f t="shared" si="1"/>
        <v/>
      </c>
      <c r="W6" s="831" t="str">
        <f t="shared" si="2"/>
        <v/>
      </c>
      <c r="X6" s="831">
        <f t="shared" si="3"/>
        <v>0</v>
      </c>
      <c r="Y6" s="833" t="str">
        <f t="shared" si="4"/>
        <v/>
      </c>
      <c r="Z6" s="833" t="str">
        <f t="shared" si="5"/>
        <v/>
      </c>
      <c r="AA6" s="833" t="str">
        <f t="shared" si="6"/>
        <v/>
      </c>
      <c r="AB6" s="833" t="str">
        <f t="shared" si="7"/>
        <v/>
      </c>
      <c r="AC6" s="833" t="e">
        <f t="shared" si="8"/>
        <v>#VALUE!</v>
      </c>
      <c r="AD6" s="834" t="e">
        <f t="shared" si="9"/>
        <v>#NUM!</v>
      </c>
      <c r="AE6" s="831" t="e">
        <f t="shared" si="10"/>
        <v>#VALUE!</v>
      </c>
      <c r="AM6" s="866"/>
      <c r="AN6" s="866"/>
      <c r="AO6" s="866"/>
      <c r="AP6" s="832">
        <f>'Individual Measure List'!G8</f>
        <v>0</v>
      </c>
    </row>
    <row r="7" spans="1:42" ht="13.5" thickBot="1" x14ac:dyDescent="0.35">
      <c r="A7" s="825">
        <f>SUM(B6:B7)</f>
        <v>2</v>
      </c>
      <c r="B7" s="825">
        <f t="shared" ref="B7:B15" si="11">IF(ISTEXT(D7)=TRUE,1,0)</f>
        <v>1</v>
      </c>
      <c r="C7" s="835" t="str">
        <f>'Individual Measure List'!A9</f>
        <v/>
      </c>
      <c r="D7" s="836" t="str">
        <f>'Individual Measure List'!B9</f>
        <v/>
      </c>
      <c r="E7" s="837" t="str">
        <f>'EEM Data Entry'!D86</f>
        <v/>
      </c>
      <c r="F7" s="837" t="str">
        <f>'EEM Data Entry'!E86</f>
        <v/>
      </c>
      <c r="G7" s="854" t="str">
        <f>'EEM Data Entry'!G86</f>
        <v>N/A</v>
      </c>
      <c r="H7" s="837" t="str">
        <f>'EEM Data Entry'!F86</f>
        <v/>
      </c>
      <c r="I7" s="837">
        <f>'Individual Measure List'!F9</f>
        <v>0</v>
      </c>
      <c r="J7" s="839" t="str">
        <f>IF('Savings Summary'!D8=0,"",'Savings Summary'!D8)</f>
        <v/>
      </c>
      <c r="K7" s="839" t="str">
        <f>IF('Savings Summary'!F8=0,"",'Savings Summary'!F8)</f>
        <v/>
      </c>
      <c r="L7" s="839" t="str">
        <f>IF('Savings Summary'!H8=0,"",'Savings Summary'!H8)</f>
        <v/>
      </c>
      <c r="M7" s="839" t="str">
        <f>IF('Savings Summary'!J8=0,"",'Savings Summary'!J8)</f>
        <v/>
      </c>
      <c r="N7" s="839" t="e">
        <f>'Individual Measure List'!H9</f>
        <v>#VALUE!</v>
      </c>
      <c r="O7" s="840" t="e">
        <f>'Individual Measure List'!J9</f>
        <v>#NUM!</v>
      </c>
      <c r="P7" s="837" t="e">
        <f>'Individual Measure List'!K9</f>
        <v>#VALUE!</v>
      </c>
      <c r="R7" s="841" t="s">
        <v>184</v>
      </c>
      <c r="S7" s="842">
        <f>'Interest Rate'!C10</f>
        <v>3.4000000000000002E-2</v>
      </c>
      <c r="U7" s="835" t="str">
        <f t="shared" si="0"/>
        <v/>
      </c>
      <c r="V7" s="836" t="str">
        <f t="shared" si="1"/>
        <v/>
      </c>
      <c r="W7" s="837" t="str">
        <f t="shared" si="2"/>
        <v/>
      </c>
      <c r="X7" s="837">
        <f t="shared" si="3"/>
        <v>0</v>
      </c>
      <c r="Y7" s="839" t="str">
        <f t="shared" si="4"/>
        <v/>
      </c>
      <c r="Z7" s="839" t="str">
        <f t="shared" si="5"/>
        <v/>
      </c>
      <c r="AA7" s="839" t="str">
        <f t="shared" si="6"/>
        <v/>
      </c>
      <c r="AB7" s="839" t="str">
        <f t="shared" si="7"/>
        <v/>
      </c>
      <c r="AC7" s="839" t="e">
        <f t="shared" si="8"/>
        <v>#VALUE!</v>
      </c>
      <c r="AD7" s="840" t="e">
        <f t="shared" si="9"/>
        <v>#NUM!</v>
      </c>
      <c r="AE7" s="837" t="e">
        <f t="shared" si="10"/>
        <v>#VALUE!</v>
      </c>
      <c r="AM7" s="866"/>
      <c r="AN7" s="866"/>
      <c r="AO7" s="866"/>
      <c r="AP7" s="838">
        <f>'Individual Measure List'!G9</f>
        <v>0</v>
      </c>
    </row>
    <row r="8" spans="1:42" ht="13.5" thickBot="1" x14ac:dyDescent="0.35">
      <c r="A8" s="825">
        <f>SUM(B6:B8)</f>
        <v>3</v>
      </c>
      <c r="B8" s="825">
        <f t="shared" si="11"/>
        <v>1</v>
      </c>
      <c r="C8" s="829" t="str">
        <f>'Individual Measure List'!A10</f>
        <v/>
      </c>
      <c r="D8" s="830" t="str">
        <f>'Individual Measure List'!B10</f>
        <v/>
      </c>
      <c r="E8" s="831" t="str">
        <f>'EEM Data Entry'!D87</f>
        <v/>
      </c>
      <c r="F8" s="831" t="str">
        <f>'EEM Data Entry'!E87</f>
        <v/>
      </c>
      <c r="G8" s="853" t="str">
        <f>'EEM Data Entry'!G87</f>
        <v>N/A</v>
      </c>
      <c r="H8" s="831" t="str">
        <f>'EEM Data Entry'!F87</f>
        <v/>
      </c>
      <c r="I8" s="831">
        <f>'Individual Measure List'!F10</f>
        <v>0</v>
      </c>
      <c r="J8" s="833" t="str">
        <f>IF('Savings Summary'!D9=0,"",'Savings Summary'!D9)</f>
        <v/>
      </c>
      <c r="K8" s="833" t="str">
        <f>IF('Savings Summary'!F9=0,"",'Savings Summary'!F9)</f>
        <v/>
      </c>
      <c r="L8" s="833" t="str">
        <f>IF('Savings Summary'!H9=0,"",'Savings Summary'!H9)</f>
        <v/>
      </c>
      <c r="M8" s="833" t="str">
        <f>IF('Savings Summary'!J9=0,"",'Savings Summary'!J9)</f>
        <v/>
      </c>
      <c r="N8" s="833" t="e">
        <f>'Individual Measure List'!H10</f>
        <v>#VALUE!</v>
      </c>
      <c r="O8" s="834" t="e">
        <f>'Individual Measure List'!J10</f>
        <v>#NUM!</v>
      </c>
      <c r="P8" s="831" t="e">
        <f>'Individual Measure List'!K10</f>
        <v>#VALUE!</v>
      </c>
      <c r="R8" s="843" t="s">
        <v>196</v>
      </c>
      <c r="S8" s="844">
        <f>'Interest Rate'!C12</f>
        <v>0</v>
      </c>
      <c r="U8" s="829" t="str">
        <f t="shared" si="0"/>
        <v/>
      </c>
      <c r="V8" s="830" t="str">
        <f t="shared" si="1"/>
        <v/>
      </c>
      <c r="W8" s="831" t="str">
        <f t="shared" si="2"/>
        <v/>
      </c>
      <c r="X8" s="831">
        <f t="shared" si="3"/>
        <v>0</v>
      </c>
      <c r="Y8" s="833" t="str">
        <f t="shared" si="4"/>
        <v/>
      </c>
      <c r="Z8" s="833" t="str">
        <f t="shared" si="5"/>
        <v/>
      </c>
      <c r="AA8" s="833" t="str">
        <f t="shared" si="6"/>
        <v/>
      </c>
      <c r="AB8" s="833" t="str">
        <f t="shared" si="7"/>
        <v/>
      </c>
      <c r="AC8" s="833" t="e">
        <f t="shared" si="8"/>
        <v>#VALUE!</v>
      </c>
      <c r="AD8" s="834" t="e">
        <f t="shared" si="9"/>
        <v>#NUM!</v>
      </c>
      <c r="AE8" s="831" t="e">
        <f t="shared" si="10"/>
        <v>#VALUE!</v>
      </c>
      <c r="AM8" s="866"/>
      <c r="AN8" s="866"/>
      <c r="AO8" s="866"/>
      <c r="AP8" s="832">
        <f>'Individual Measure List'!G10</f>
        <v>0</v>
      </c>
    </row>
    <row r="9" spans="1:42" ht="13.5" thickBot="1" x14ac:dyDescent="0.35">
      <c r="A9" s="825">
        <f>SUM(B6:B9)</f>
        <v>4</v>
      </c>
      <c r="B9" s="825">
        <f t="shared" si="11"/>
        <v>1</v>
      </c>
      <c r="C9" s="835" t="str">
        <f>'Individual Measure List'!A11</f>
        <v/>
      </c>
      <c r="D9" s="836" t="str">
        <f>'Individual Measure List'!B11</f>
        <v/>
      </c>
      <c r="E9" s="837" t="str">
        <f>'EEM Data Entry'!D88</f>
        <v/>
      </c>
      <c r="F9" s="837" t="str">
        <f>'EEM Data Entry'!E88</f>
        <v/>
      </c>
      <c r="G9" s="854" t="str">
        <f>'EEM Data Entry'!G88</f>
        <v>N/A</v>
      </c>
      <c r="H9" s="837" t="str">
        <f>'EEM Data Entry'!F88</f>
        <v/>
      </c>
      <c r="I9" s="837">
        <f>'Individual Measure List'!F11</f>
        <v>0</v>
      </c>
      <c r="J9" s="839" t="str">
        <f>IF('Savings Summary'!D10=0,"",'Savings Summary'!D10)</f>
        <v/>
      </c>
      <c r="K9" s="839" t="str">
        <f>IF('Savings Summary'!F10=0,"",'Savings Summary'!F10)</f>
        <v/>
      </c>
      <c r="L9" s="839" t="str">
        <f>IF('Savings Summary'!H10=0,"",'Savings Summary'!H10)</f>
        <v/>
      </c>
      <c r="M9" s="839" t="str">
        <f>IF('Savings Summary'!J10=0,"",'Savings Summary'!J10)</f>
        <v/>
      </c>
      <c r="N9" s="839" t="e">
        <f>'Individual Measure List'!H11</f>
        <v>#VALUE!</v>
      </c>
      <c r="O9" s="840" t="e">
        <f>'Individual Measure List'!J11</f>
        <v>#NUM!</v>
      </c>
      <c r="P9" s="837" t="e">
        <f>'Individual Measure List'!K11</f>
        <v>#VALUE!</v>
      </c>
      <c r="R9" s="841" t="s">
        <v>197</v>
      </c>
      <c r="S9" s="842">
        <f>'Interest Rate'!C14</f>
        <v>0.05</v>
      </c>
      <c r="U9" s="835" t="str">
        <f t="shared" si="0"/>
        <v/>
      </c>
      <c r="V9" s="836" t="str">
        <f t="shared" si="1"/>
        <v/>
      </c>
      <c r="W9" s="837" t="str">
        <f t="shared" si="2"/>
        <v/>
      </c>
      <c r="X9" s="837">
        <f t="shared" si="3"/>
        <v>0</v>
      </c>
      <c r="Y9" s="839" t="str">
        <f t="shared" si="4"/>
        <v/>
      </c>
      <c r="Z9" s="839" t="str">
        <f t="shared" si="5"/>
        <v/>
      </c>
      <c r="AA9" s="839" t="str">
        <f t="shared" si="6"/>
        <v/>
      </c>
      <c r="AB9" s="839" t="str">
        <f t="shared" si="7"/>
        <v/>
      </c>
      <c r="AC9" s="839" t="e">
        <f t="shared" si="8"/>
        <v>#VALUE!</v>
      </c>
      <c r="AD9" s="840" t="e">
        <f t="shared" si="9"/>
        <v>#NUM!</v>
      </c>
      <c r="AE9" s="837" t="e">
        <f t="shared" si="10"/>
        <v>#VALUE!</v>
      </c>
      <c r="AM9" s="866"/>
      <c r="AN9" s="866"/>
      <c r="AO9" s="866"/>
      <c r="AP9" s="838">
        <f>'Individual Measure List'!G11</f>
        <v>0</v>
      </c>
    </row>
    <row r="10" spans="1:42" ht="13.5" thickBot="1" x14ac:dyDescent="0.35">
      <c r="A10" s="825">
        <f>SUM(B6:B10)</f>
        <v>5</v>
      </c>
      <c r="B10" s="825">
        <f t="shared" si="11"/>
        <v>1</v>
      </c>
      <c r="C10" s="829" t="str">
        <f>'Individual Measure List'!A12</f>
        <v/>
      </c>
      <c r="D10" s="830" t="str">
        <f>'Individual Measure List'!B12</f>
        <v/>
      </c>
      <c r="E10" s="831" t="str">
        <f>'EEM Data Entry'!D89</f>
        <v/>
      </c>
      <c r="F10" s="831" t="str">
        <f>'EEM Data Entry'!E89</f>
        <v/>
      </c>
      <c r="G10" s="853" t="str">
        <f>'EEM Data Entry'!G89</f>
        <v>N/A</v>
      </c>
      <c r="H10" s="831" t="str">
        <f>'EEM Data Entry'!F89</f>
        <v/>
      </c>
      <c r="I10" s="831">
        <f>'Individual Measure List'!F12</f>
        <v>0</v>
      </c>
      <c r="J10" s="833" t="str">
        <f>IF('Savings Summary'!D11=0,"",'Savings Summary'!D11)</f>
        <v/>
      </c>
      <c r="K10" s="833" t="str">
        <f>IF('Savings Summary'!F11=0,"",'Savings Summary'!F11)</f>
        <v/>
      </c>
      <c r="L10" s="833" t="str">
        <f>IF('Savings Summary'!H11=0,"",'Savings Summary'!H11)</f>
        <v/>
      </c>
      <c r="M10" s="833" t="str">
        <f>IF('Savings Summary'!J11=0,"",'Savings Summary'!J11)</f>
        <v/>
      </c>
      <c r="N10" s="833" t="e">
        <f>'Individual Measure List'!H12</f>
        <v>#VALUE!</v>
      </c>
      <c r="O10" s="834" t="e">
        <f>'Individual Measure List'!J12</f>
        <v>#NUM!</v>
      </c>
      <c r="P10" s="831" t="e">
        <f>'Individual Measure List'!K12</f>
        <v>#VALUE!</v>
      </c>
      <c r="R10" s="845" t="s">
        <v>198</v>
      </c>
      <c r="S10" s="846">
        <f>'Interest Rate'!B17</f>
        <v>5.0000000000000044E-2</v>
      </c>
      <c r="U10" s="829" t="str">
        <f t="shared" si="0"/>
        <v/>
      </c>
      <c r="V10" s="830" t="str">
        <f t="shared" si="1"/>
        <v/>
      </c>
      <c r="W10" s="831" t="str">
        <f t="shared" si="2"/>
        <v/>
      </c>
      <c r="X10" s="831">
        <f t="shared" si="3"/>
        <v>0</v>
      </c>
      <c r="Y10" s="833" t="str">
        <f t="shared" si="4"/>
        <v/>
      </c>
      <c r="Z10" s="833" t="str">
        <f t="shared" si="5"/>
        <v/>
      </c>
      <c r="AA10" s="833" t="str">
        <f t="shared" si="6"/>
        <v/>
      </c>
      <c r="AB10" s="833" t="str">
        <f t="shared" si="7"/>
        <v/>
      </c>
      <c r="AC10" s="833" t="e">
        <f t="shared" si="8"/>
        <v>#VALUE!</v>
      </c>
      <c r="AD10" s="834" t="e">
        <f t="shared" si="9"/>
        <v>#NUM!</v>
      </c>
      <c r="AE10" s="831" t="e">
        <f t="shared" si="10"/>
        <v>#VALUE!</v>
      </c>
      <c r="AM10" s="866"/>
      <c r="AN10" s="866"/>
      <c r="AO10" s="866"/>
      <c r="AP10" s="832">
        <f>'Individual Measure List'!G12</f>
        <v>0</v>
      </c>
    </row>
    <row r="11" spans="1:42" ht="16" customHeight="1" thickBot="1" x14ac:dyDescent="0.35">
      <c r="A11" s="825">
        <f>SUM(B6:B11)</f>
        <v>6</v>
      </c>
      <c r="B11" s="825">
        <f t="shared" si="11"/>
        <v>1</v>
      </c>
      <c r="C11" s="835" t="str">
        <f>'Individual Measure List'!A13</f>
        <v/>
      </c>
      <c r="D11" s="836" t="str">
        <f>'Individual Measure List'!B13</f>
        <v/>
      </c>
      <c r="E11" s="837" t="str">
        <f>'EEM Data Entry'!D90</f>
        <v/>
      </c>
      <c r="F11" s="837" t="str">
        <f>'EEM Data Entry'!E90</f>
        <v/>
      </c>
      <c r="G11" s="854" t="str">
        <f>'EEM Data Entry'!G90</f>
        <v>N/A</v>
      </c>
      <c r="H11" s="837" t="str">
        <f>'EEM Data Entry'!F90</f>
        <v/>
      </c>
      <c r="I11" s="837">
        <f>'Individual Measure List'!F13</f>
        <v>0</v>
      </c>
      <c r="J11" s="839" t="str">
        <f>IF('Savings Summary'!D12=0,"",'Savings Summary'!D12)</f>
        <v/>
      </c>
      <c r="K11" s="839" t="str">
        <f>IF('Savings Summary'!F12=0,"",'Savings Summary'!F12)</f>
        <v/>
      </c>
      <c r="L11" s="839" t="str">
        <f>IF('Savings Summary'!H12=0,"",'Savings Summary'!H12)</f>
        <v/>
      </c>
      <c r="M11" s="839" t="str">
        <f>IF('Savings Summary'!J12=0,"",'Savings Summary'!J12)</f>
        <v/>
      </c>
      <c r="N11" s="839" t="e">
        <f>'Individual Measure List'!H13</f>
        <v>#VALUE!</v>
      </c>
      <c r="O11" s="840" t="e">
        <f>'Individual Measure List'!J13</f>
        <v>#NUM!</v>
      </c>
      <c r="P11" s="837" t="e">
        <f>'Individual Measure List'!K13</f>
        <v>#VALUE!</v>
      </c>
      <c r="R11" s="963" t="s">
        <v>222</v>
      </c>
      <c r="S11" s="964"/>
      <c r="U11" s="835" t="str">
        <f t="shared" si="0"/>
        <v/>
      </c>
      <c r="V11" s="836" t="str">
        <f t="shared" si="1"/>
        <v/>
      </c>
      <c r="W11" s="837" t="str">
        <f t="shared" si="2"/>
        <v/>
      </c>
      <c r="X11" s="837">
        <f t="shared" si="3"/>
        <v>0</v>
      </c>
      <c r="Y11" s="839" t="str">
        <f t="shared" si="4"/>
        <v/>
      </c>
      <c r="Z11" s="839" t="str">
        <f t="shared" si="5"/>
        <v/>
      </c>
      <c r="AA11" s="839" t="str">
        <f t="shared" si="6"/>
        <v/>
      </c>
      <c r="AB11" s="839" t="str">
        <f t="shared" si="7"/>
        <v/>
      </c>
      <c r="AC11" s="839" t="e">
        <f t="shared" si="8"/>
        <v>#VALUE!</v>
      </c>
      <c r="AD11" s="840" t="e">
        <f t="shared" si="9"/>
        <v>#NUM!</v>
      </c>
      <c r="AE11" s="837" t="e">
        <f t="shared" si="10"/>
        <v>#VALUE!</v>
      </c>
      <c r="AP11" s="838">
        <f>'Individual Measure List'!G13</f>
        <v>0</v>
      </c>
    </row>
    <row r="12" spans="1:42" ht="13.5" thickBot="1" x14ac:dyDescent="0.35">
      <c r="A12" s="825">
        <f>SUM(B6:B12)</f>
        <v>7</v>
      </c>
      <c r="B12" s="825">
        <f t="shared" si="11"/>
        <v>1</v>
      </c>
      <c r="C12" s="829" t="str">
        <f>'Individual Measure List'!A14</f>
        <v/>
      </c>
      <c r="D12" s="830" t="str">
        <f>'Individual Measure List'!B14</f>
        <v/>
      </c>
      <c r="E12" s="831" t="str">
        <f>'EEM Data Entry'!D91</f>
        <v/>
      </c>
      <c r="F12" s="831" t="str">
        <f>'EEM Data Entry'!E91</f>
        <v/>
      </c>
      <c r="G12" s="853" t="str">
        <f>'EEM Data Entry'!G91</f>
        <v>N/A</v>
      </c>
      <c r="H12" s="831" t="str">
        <f>'EEM Data Entry'!F91</f>
        <v/>
      </c>
      <c r="I12" s="831">
        <f>'Individual Measure List'!F14</f>
        <v>0</v>
      </c>
      <c r="J12" s="833" t="str">
        <f>IF('Savings Summary'!D13=0,"",'Savings Summary'!D13)</f>
        <v/>
      </c>
      <c r="K12" s="833" t="str">
        <f>IF('Savings Summary'!F13=0,"",'Savings Summary'!F13)</f>
        <v/>
      </c>
      <c r="L12" s="833" t="str">
        <f>IF('Savings Summary'!H13=0,"",'Savings Summary'!H13)</f>
        <v/>
      </c>
      <c r="M12" s="833" t="str">
        <f>IF('Savings Summary'!J13=0,"",'Savings Summary'!J13)</f>
        <v/>
      </c>
      <c r="N12" s="833" t="e">
        <f>'Individual Measure List'!H14</f>
        <v>#VALUE!</v>
      </c>
      <c r="O12" s="834" t="e">
        <f>'Individual Measure List'!J14</f>
        <v>#NUM!</v>
      </c>
      <c r="P12" s="831" t="e">
        <f>'Individual Measure List'!K14</f>
        <v>#VALUE!</v>
      </c>
      <c r="R12" s="965"/>
      <c r="S12" s="966"/>
      <c r="U12" s="829" t="str">
        <f t="shared" si="0"/>
        <v/>
      </c>
      <c r="V12" s="830" t="str">
        <f t="shared" si="1"/>
        <v/>
      </c>
      <c r="W12" s="831" t="str">
        <f t="shared" si="2"/>
        <v/>
      </c>
      <c r="X12" s="831">
        <f t="shared" si="3"/>
        <v>0</v>
      </c>
      <c r="Y12" s="833" t="str">
        <f t="shared" si="4"/>
        <v/>
      </c>
      <c r="Z12" s="833" t="str">
        <f t="shared" si="5"/>
        <v/>
      </c>
      <c r="AA12" s="833" t="str">
        <f t="shared" si="6"/>
        <v/>
      </c>
      <c r="AB12" s="833" t="str">
        <f t="shared" si="7"/>
        <v/>
      </c>
      <c r="AC12" s="833" t="e">
        <f t="shared" si="8"/>
        <v>#VALUE!</v>
      </c>
      <c r="AD12" s="834" t="e">
        <f t="shared" si="9"/>
        <v>#NUM!</v>
      </c>
      <c r="AE12" s="831" t="e">
        <f t="shared" si="10"/>
        <v>#VALUE!</v>
      </c>
      <c r="AP12" s="832">
        <f>'Individual Measure List'!G14</f>
        <v>0</v>
      </c>
    </row>
    <row r="13" spans="1:42" ht="13.5" thickBot="1" x14ac:dyDescent="0.35">
      <c r="A13" s="825">
        <f>SUM(B6:B13)</f>
        <v>8</v>
      </c>
      <c r="B13" s="825">
        <f t="shared" si="11"/>
        <v>1</v>
      </c>
      <c r="C13" s="835" t="str">
        <f>'Individual Measure List'!A15</f>
        <v/>
      </c>
      <c r="D13" s="836" t="str">
        <f>'Individual Measure List'!B15</f>
        <v/>
      </c>
      <c r="E13" s="837" t="str">
        <f>'EEM Data Entry'!D92</f>
        <v/>
      </c>
      <c r="F13" s="837" t="str">
        <f>'EEM Data Entry'!E92</f>
        <v/>
      </c>
      <c r="G13" s="854" t="str">
        <f>'EEM Data Entry'!G92</f>
        <v>N/A</v>
      </c>
      <c r="H13" s="837" t="str">
        <f>'EEM Data Entry'!F92</f>
        <v/>
      </c>
      <c r="I13" s="837">
        <f>'Individual Measure List'!F15</f>
        <v>0</v>
      </c>
      <c r="J13" s="839" t="str">
        <f>IF('Savings Summary'!D14=0,"",'Savings Summary'!D14)</f>
        <v/>
      </c>
      <c r="K13" s="839" t="str">
        <f>IF('Savings Summary'!F14=0,"",'Savings Summary'!F14)</f>
        <v/>
      </c>
      <c r="L13" s="839" t="str">
        <f>IF('Savings Summary'!H14=0,"",'Savings Summary'!H14)</f>
        <v/>
      </c>
      <c r="M13" s="839" t="str">
        <f>IF('Savings Summary'!J14=0,"",'Savings Summary'!J14)</f>
        <v/>
      </c>
      <c r="N13" s="839" t="e">
        <f>'Individual Measure List'!H15</f>
        <v>#VALUE!</v>
      </c>
      <c r="O13" s="840" t="e">
        <f>'Individual Measure List'!J15</f>
        <v>#NUM!</v>
      </c>
      <c r="P13" s="837" t="e">
        <f>'Individual Measure List'!K15</f>
        <v>#VALUE!</v>
      </c>
      <c r="U13" s="835" t="str">
        <f t="shared" si="0"/>
        <v/>
      </c>
      <c r="V13" s="836" t="str">
        <f t="shared" si="1"/>
        <v/>
      </c>
      <c r="W13" s="837" t="str">
        <f t="shared" si="2"/>
        <v/>
      </c>
      <c r="X13" s="837">
        <f t="shared" si="3"/>
        <v>0</v>
      </c>
      <c r="Y13" s="839" t="str">
        <f t="shared" si="4"/>
        <v/>
      </c>
      <c r="Z13" s="839" t="str">
        <f t="shared" si="5"/>
        <v/>
      </c>
      <c r="AA13" s="839" t="str">
        <f t="shared" si="6"/>
        <v/>
      </c>
      <c r="AB13" s="839" t="str">
        <f t="shared" si="7"/>
        <v/>
      </c>
      <c r="AC13" s="839" t="e">
        <f t="shared" si="8"/>
        <v>#VALUE!</v>
      </c>
      <c r="AD13" s="840" t="e">
        <f t="shared" si="9"/>
        <v>#NUM!</v>
      </c>
      <c r="AE13" s="837" t="e">
        <f t="shared" si="10"/>
        <v>#VALUE!</v>
      </c>
      <c r="AP13" s="838">
        <f>'Individual Measure List'!G15</f>
        <v>0</v>
      </c>
    </row>
    <row r="14" spans="1:42" ht="13.5" thickBot="1" x14ac:dyDescent="0.35">
      <c r="A14" s="825">
        <f>SUM(B6:B14)</f>
        <v>9</v>
      </c>
      <c r="B14" s="825">
        <f t="shared" si="11"/>
        <v>1</v>
      </c>
      <c r="C14" s="829" t="str">
        <f>'Individual Measure List'!A16</f>
        <v/>
      </c>
      <c r="D14" s="830" t="str">
        <f>'Individual Measure List'!B16</f>
        <v/>
      </c>
      <c r="E14" s="831" t="str">
        <f>'EEM Data Entry'!D93</f>
        <v/>
      </c>
      <c r="F14" s="831" t="str">
        <f>'EEM Data Entry'!E93</f>
        <v/>
      </c>
      <c r="G14" s="853" t="str">
        <f>'EEM Data Entry'!G93</f>
        <v>N/A</v>
      </c>
      <c r="H14" s="831" t="str">
        <f>'EEM Data Entry'!F93</f>
        <v/>
      </c>
      <c r="I14" s="831">
        <f>'Individual Measure List'!F16</f>
        <v>0</v>
      </c>
      <c r="J14" s="833" t="str">
        <f>IF('Savings Summary'!D15=0,"",'Savings Summary'!D15)</f>
        <v/>
      </c>
      <c r="K14" s="833" t="str">
        <f>IF('Savings Summary'!F15=0,"",'Savings Summary'!F15)</f>
        <v/>
      </c>
      <c r="L14" s="833" t="str">
        <f>IF('Savings Summary'!H15=0,"",'Savings Summary'!H15)</f>
        <v/>
      </c>
      <c r="M14" s="833" t="str">
        <f>IF('Savings Summary'!J15=0,"",'Savings Summary'!J15)</f>
        <v/>
      </c>
      <c r="N14" s="833" t="e">
        <f>'Individual Measure List'!H16</f>
        <v>#VALUE!</v>
      </c>
      <c r="O14" s="834" t="e">
        <f>'Individual Measure List'!J16</f>
        <v>#NUM!</v>
      </c>
      <c r="P14" s="831" t="e">
        <f>'Individual Measure List'!K16</f>
        <v>#VALUE!</v>
      </c>
      <c r="U14" s="829" t="str">
        <f t="shared" si="0"/>
        <v/>
      </c>
      <c r="V14" s="830" t="str">
        <f t="shared" si="1"/>
        <v/>
      </c>
      <c r="W14" s="831" t="str">
        <f t="shared" si="2"/>
        <v/>
      </c>
      <c r="X14" s="831">
        <f t="shared" si="3"/>
        <v>0</v>
      </c>
      <c r="Y14" s="833" t="str">
        <f t="shared" si="4"/>
        <v/>
      </c>
      <c r="Z14" s="833" t="str">
        <f t="shared" si="5"/>
        <v/>
      </c>
      <c r="AA14" s="833" t="str">
        <f t="shared" si="6"/>
        <v/>
      </c>
      <c r="AB14" s="833" t="str">
        <f t="shared" si="7"/>
        <v/>
      </c>
      <c r="AC14" s="833" t="e">
        <f t="shared" si="8"/>
        <v>#VALUE!</v>
      </c>
      <c r="AD14" s="834" t="e">
        <f t="shared" si="9"/>
        <v>#NUM!</v>
      </c>
      <c r="AE14" s="831" t="e">
        <f t="shared" si="10"/>
        <v>#VALUE!</v>
      </c>
      <c r="AP14" s="832">
        <f>'Individual Measure List'!G16</f>
        <v>0</v>
      </c>
    </row>
    <row r="15" spans="1:42" ht="13.5" thickBot="1" x14ac:dyDescent="0.35">
      <c r="A15" s="825">
        <f>SUM(B6:B15)</f>
        <v>10</v>
      </c>
      <c r="B15" s="825">
        <f t="shared" si="11"/>
        <v>1</v>
      </c>
      <c r="C15" s="835" t="str">
        <f>'Individual Measure List'!A17</f>
        <v/>
      </c>
      <c r="D15" s="836" t="str">
        <f>'Individual Measure List'!B17</f>
        <v/>
      </c>
      <c r="E15" s="837" t="str">
        <f>'EEM Data Entry'!D94</f>
        <v/>
      </c>
      <c r="F15" s="837" t="str">
        <f>'EEM Data Entry'!E94</f>
        <v/>
      </c>
      <c r="G15" s="854" t="str">
        <f>'EEM Data Entry'!G94</f>
        <v>N/A</v>
      </c>
      <c r="H15" s="837" t="str">
        <f>'EEM Data Entry'!F94</f>
        <v/>
      </c>
      <c r="I15" s="837">
        <f>'Individual Measure List'!F17</f>
        <v>0</v>
      </c>
      <c r="J15" s="839" t="str">
        <f>IF('Savings Summary'!D16=0,"",'Savings Summary'!D16)</f>
        <v/>
      </c>
      <c r="K15" s="839" t="str">
        <f>IF('Savings Summary'!F16=0,"",'Savings Summary'!F16)</f>
        <v/>
      </c>
      <c r="L15" s="839" t="str">
        <f>IF('Savings Summary'!H16=0,"",'Savings Summary'!H16)</f>
        <v/>
      </c>
      <c r="M15" s="839" t="str">
        <f>IF('Savings Summary'!J16=0,"",'Savings Summary'!J16)</f>
        <v/>
      </c>
      <c r="N15" s="839" t="e">
        <f>'Individual Measure List'!H17</f>
        <v>#VALUE!</v>
      </c>
      <c r="O15" s="840" t="e">
        <f>'Individual Measure List'!J17</f>
        <v>#NUM!</v>
      </c>
      <c r="P15" s="837" t="e">
        <f>'Individual Measure List'!K17</f>
        <v>#VALUE!</v>
      </c>
      <c r="U15" s="835" t="str">
        <f t="shared" si="0"/>
        <v/>
      </c>
      <c r="V15" s="836" t="str">
        <f t="shared" si="1"/>
        <v/>
      </c>
      <c r="W15" s="837" t="str">
        <f t="shared" si="2"/>
        <v/>
      </c>
      <c r="X15" s="837">
        <f t="shared" si="3"/>
        <v>0</v>
      </c>
      <c r="Y15" s="839" t="str">
        <f t="shared" si="4"/>
        <v/>
      </c>
      <c r="Z15" s="839" t="str">
        <f t="shared" si="5"/>
        <v/>
      </c>
      <c r="AA15" s="839" t="str">
        <f t="shared" si="6"/>
        <v/>
      </c>
      <c r="AB15" s="839" t="str">
        <f t="shared" si="7"/>
        <v/>
      </c>
      <c r="AC15" s="839" t="e">
        <f t="shared" si="8"/>
        <v>#VALUE!</v>
      </c>
      <c r="AD15" s="840" t="e">
        <f t="shared" si="9"/>
        <v>#NUM!</v>
      </c>
      <c r="AE15" s="837" t="e">
        <f t="shared" si="10"/>
        <v>#VALUE!</v>
      </c>
      <c r="AP15" s="838">
        <f>'Individual Measure List'!G17</f>
        <v>0</v>
      </c>
    </row>
    <row r="16" spans="1:42" ht="16" customHeight="1" thickBot="1" x14ac:dyDescent="0.35">
      <c r="C16" s="957" t="s">
        <v>381</v>
      </c>
      <c r="D16" s="958"/>
      <c r="E16" s="958"/>
      <c r="F16" s="958"/>
      <c r="G16" s="958"/>
      <c r="H16" s="958"/>
      <c r="I16" s="958"/>
      <c r="J16" s="958"/>
      <c r="K16" s="958"/>
      <c r="L16" s="958"/>
      <c r="M16" s="958"/>
      <c r="N16" s="958"/>
      <c r="O16" s="958"/>
      <c r="P16" s="959"/>
      <c r="U16" s="957" t="s">
        <v>381</v>
      </c>
      <c r="V16" s="958"/>
      <c r="W16" s="958"/>
      <c r="X16" s="958"/>
      <c r="Y16" s="958"/>
      <c r="Z16" s="958"/>
      <c r="AA16" s="958"/>
      <c r="AB16" s="958"/>
      <c r="AC16" s="958"/>
      <c r="AD16" s="958"/>
      <c r="AE16" s="959"/>
      <c r="AP16" s="867"/>
    </row>
    <row r="18" spans="1:42" x14ac:dyDescent="0.3">
      <c r="C18" s="826" t="s">
        <v>208</v>
      </c>
      <c r="U18" s="826" t="s">
        <v>208</v>
      </c>
    </row>
    <row r="19" spans="1:42" ht="13.5" thickBot="1" x14ac:dyDescent="0.35"/>
    <row r="20" spans="1:42" ht="52.5" thickBot="1" x14ac:dyDescent="0.35">
      <c r="C20" s="827" t="s">
        <v>144</v>
      </c>
      <c r="D20" s="828" t="s">
        <v>180</v>
      </c>
      <c r="E20" s="828" t="s">
        <v>129</v>
      </c>
      <c r="F20" s="828" t="s">
        <v>371</v>
      </c>
      <c r="G20" s="828" t="s">
        <v>377</v>
      </c>
      <c r="H20" s="828" t="s">
        <v>372</v>
      </c>
      <c r="I20" s="828" t="s">
        <v>178</v>
      </c>
      <c r="J20" s="828" t="s">
        <v>373</v>
      </c>
      <c r="K20" s="828" t="s">
        <v>374</v>
      </c>
      <c r="L20" s="828" t="s">
        <v>375</v>
      </c>
      <c r="M20" s="828" t="s">
        <v>376</v>
      </c>
      <c r="N20" s="828" t="s">
        <v>183</v>
      </c>
      <c r="O20" s="828" t="s">
        <v>17</v>
      </c>
      <c r="P20" s="828" t="s">
        <v>22</v>
      </c>
      <c r="U20" s="827" t="str">
        <f t="shared" ref="U20:U30" si="12">C20</f>
        <v>EEM #</v>
      </c>
      <c r="V20" s="828" t="str">
        <f t="shared" ref="V20:V30" si="13">D20</f>
        <v>Mechanical System Upgrades</v>
      </c>
      <c r="W20" s="828" t="str">
        <f t="shared" ref="W20:W30" si="14">E20</f>
        <v>Capital Investment</v>
      </c>
      <c r="X20" s="828" t="str">
        <f t="shared" ref="X20:X30" si="15">I20</f>
        <v>Annual Energy Cost Savings</v>
      </c>
      <c r="Y20" s="828" t="str">
        <f t="shared" ref="Y20:Y30" si="16">J20</f>
        <v>Annual Electric Savings (kWh)</v>
      </c>
      <c r="Z20" s="828" t="str">
        <f t="shared" ref="Z20:Z30" si="17">K20</f>
        <v>Annual Oil Savings (Gal)</v>
      </c>
      <c r="AA20" s="828" t="str">
        <f t="shared" ref="AA20:AA30" si="18">L20</f>
        <v>Annual Nat. Gas Savings (Therms)</v>
      </c>
      <c r="AB20" s="828" t="str">
        <f t="shared" ref="AB20:AB30" si="19">M20</f>
        <v>Annual Propane Savings (Gal)</v>
      </c>
      <c r="AC20" s="828" t="str">
        <f t="shared" ref="AC20:AC30" si="20">N20</f>
        <v>Simple Payback (Years)</v>
      </c>
      <c r="AD20" s="828" t="str">
        <f t="shared" ref="AD20:AD30" si="21">O20</f>
        <v>IRR</v>
      </c>
      <c r="AE20" s="828" t="str">
        <f t="shared" ref="AE20:AE30" si="22">P20</f>
        <v>NPV</v>
      </c>
      <c r="AP20" s="828" t="s">
        <v>179</v>
      </c>
    </row>
    <row r="21" spans="1:42" ht="13.5" thickBot="1" x14ac:dyDescent="0.35">
      <c r="A21" s="825">
        <f>SUM(B6:B21)</f>
        <v>11</v>
      </c>
      <c r="B21" s="825">
        <f t="shared" ref="B21:B30" si="23">IF(ISTEXT(D21)=TRUE,1,0)</f>
        <v>1</v>
      </c>
      <c r="C21" s="829" t="str">
        <f>'Individual Measure List'!A33</f>
        <v/>
      </c>
      <c r="D21" s="853" t="str">
        <f>'Individual Measure List'!B33</f>
        <v/>
      </c>
      <c r="E21" s="831" t="str">
        <f>'EEM Data Entry'!D110</f>
        <v/>
      </c>
      <c r="F21" s="831" t="str">
        <f>'EEM Data Entry'!E110</f>
        <v/>
      </c>
      <c r="G21" s="831" t="str">
        <f>'EEM Data Entry'!G110</f>
        <v>N/A</v>
      </c>
      <c r="H21" s="831" t="str">
        <f>'EEM Data Entry'!F110</f>
        <v/>
      </c>
      <c r="I21" s="831">
        <f>'Individual Measure List'!F33</f>
        <v>0</v>
      </c>
      <c r="J21" s="833" t="str">
        <f>IF('Savings Summary'!D34=0,"",'Savings Summary'!D34)</f>
        <v/>
      </c>
      <c r="K21" s="833" t="str">
        <f>IF('Savings Summary'!F34=0,"",'Savings Summary'!F34)</f>
        <v/>
      </c>
      <c r="L21" s="833" t="str">
        <f>IF('Savings Summary'!H34=0,"",'Savings Summary'!H34)</f>
        <v/>
      </c>
      <c r="M21" s="833" t="str">
        <f>IF('Savings Summary'!J34=0,"",'Savings Summary'!J34)</f>
        <v/>
      </c>
      <c r="N21" s="833" t="e">
        <f>'Individual Measure List'!H33</f>
        <v>#VALUE!</v>
      </c>
      <c r="O21" s="834" t="e">
        <f>'Individual Measure List'!J33</f>
        <v>#NUM!</v>
      </c>
      <c r="P21" s="831" t="e">
        <f>'Individual Measure List'!K33</f>
        <v>#VALUE!</v>
      </c>
      <c r="U21" s="829" t="str">
        <f t="shared" si="12"/>
        <v/>
      </c>
      <c r="V21" s="853" t="str">
        <f t="shared" si="13"/>
        <v/>
      </c>
      <c r="W21" s="831" t="str">
        <f t="shared" si="14"/>
        <v/>
      </c>
      <c r="X21" s="831">
        <f t="shared" si="15"/>
        <v>0</v>
      </c>
      <c r="Y21" s="833" t="str">
        <f t="shared" si="16"/>
        <v/>
      </c>
      <c r="Z21" s="833" t="str">
        <f t="shared" si="17"/>
        <v/>
      </c>
      <c r="AA21" s="833" t="str">
        <f t="shared" si="18"/>
        <v/>
      </c>
      <c r="AB21" s="833" t="str">
        <f t="shared" si="19"/>
        <v/>
      </c>
      <c r="AC21" s="833" t="e">
        <f t="shared" si="20"/>
        <v>#VALUE!</v>
      </c>
      <c r="AD21" s="834" t="e">
        <f t="shared" si="21"/>
        <v>#NUM!</v>
      </c>
      <c r="AE21" s="831" t="e">
        <f t="shared" si="22"/>
        <v>#VALUE!</v>
      </c>
      <c r="AP21" s="832">
        <f>'Individual Measure List'!G33</f>
        <v>0</v>
      </c>
    </row>
    <row r="22" spans="1:42" ht="13.5" thickBot="1" x14ac:dyDescent="0.35">
      <c r="A22" s="825">
        <f>SUM(B6:B22)</f>
        <v>12</v>
      </c>
      <c r="B22" s="825">
        <f t="shared" si="23"/>
        <v>1</v>
      </c>
      <c r="C22" s="835" t="str">
        <f>'Individual Measure List'!A34</f>
        <v/>
      </c>
      <c r="D22" s="854" t="str">
        <f>'Individual Measure List'!B34</f>
        <v/>
      </c>
      <c r="E22" s="837" t="str">
        <f>'EEM Data Entry'!D111</f>
        <v/>
      </c>
      <c r="F22" s="837" t="str">
        <f>'EEM Data Entry'!E111</f>
        <v/>
      </c>
      <c r="G22" s="837" t="str">
        <f>'EEM Data Entry'!G111</f>
        <v>N/A</v>
      </c>
      <c r="H22" s="837" t="str">
        <f>'EEM Data Entry'!F111</f>
        <v/>
      </c>
      <c r="I22" s="837">
        <f>'Individual Measure List'!F34</f>
        <v>0</v>
      </c>
      <c r="J22" s="839" t="str">
        <f>IF('Savings Summary'!D35=0,"",'Savings Summary'!D35)</f>
        <v/>
      </c>
      <c r="K22" s="839" t="str">
        <f>IF('Savings Summary'!F35=0,"",'Savings Summary'!F35)</f>
        <v/>
      </c>
      <c r="L22" s="839" t="str">
        <f>IF('Savings Summary'!H35=0,"",'Savings Summary'!H35)</f>
        <v/>
      </c>
      <c r="M22" s="839" t="str">
        <f>IF('Savings Summary'!J35=0,"",'Savings Summary'!J35)</f>
        <v/>
      </c>
      <c r="N22" s="839" t="e">
        <f>'Individual Measure List'!H34</f>
        <v>#VALUE!</v>
      </c>
      <c r="O22" s="840" t="e">
        <f>'Individual Measure List'!J34</f>
        <v>#NUM!</v>
      </c>
      <c r="P22" s="837" t="e">
        <f>'Individual Measure List'!K34</f>
        <v>#VALUE!</v>
      </c>
      <c r="U22" s="835" t="str">
        <f t="shared" si="12"/>
        <v/>
      </c>
      <c r="V22" s="854" t="str">
        <f t="shared" si="13"/>
        <v/>
      </c>
      <c r="W22" s="837" t="str">
        <f t="shared" si="14"/>
        <v/>
      </c>
      <c r="X22" s="837">
        <f t="shared" si="15"/>
        <v>0</v>
      </c>
      <c r="Y22" s="839" t="str">
        <f t="shared" si="16"/>
        <v/>
      </c>
      <c r="Z22" s="839" t="str">
        <f t="shared" si="17"/>
        <v/>
      </c>
      <c r="AA22" s="839" t="str">
        <f t="shared" si="18"/>
        <v/>
      </c>
      <c r="AB22" s="839" t="str">
        <f t="shared" si="19"/>
        <v/>
      </c>
      <c r="AC22" s="839" t="e">
        <f t="shared" si="20"/>
        <v>#VALUE!</v>
      </c>
      <c r="AD22" s="840" t="e">
        <f t="shared" si="21"/>
        <v>#NUM!</v>
      </c>
      <c r="AE22" s="837" t="e">
        <f t="shared" si="22"/>
        <v>#VALUE!</v>
      </c>
      <c r="AP22" s="838">
        <f>'Individual Measure List'!G34</f>
        <v>0</v>
      </c>
    </row>
    <row r="23" spans="1:42" ht="13.5" thickBot="1" x14ac:dyDescent="0.35">
      <c r="A23" s="825">
        <f>SUM(B6:B23)</f>
        <v>13</v>
      </c>
      <c r="B23" s="825">
        <f t="shared" si="23"/>
        <v>1</v>
      </c>
      <c r="C23" s="829" t="str">
        <f>'Individual Measure List'!A35</f>
        <v/>
      </c>
      <c r="D23" s="853" t="str">
        <f>'Individual Measure List'!B35</f>
        <v/>
      </c>
      <c r="E23" s="831" t="str">
        <f>'EEM Data Entry'!D112</f>
        <v/>
      </c>
      <c r="F23" s="831" t="str">
        <f>'EEM Data Entry'!E112</f>
        <v/>
      </c>
      <c r="G23" s="831" t="str">
        <f>'EEM Data Entry'!G112</f>
        <v>N/A</v>
      </c>
      <c r="H23" s="831" t="str">
        <f>'EEM Data Entry'!F112</f>
        <v/>
      </c>
      <c r="I23" s="831">
        <f>'Individual Measure List'!F35</f>
        <v>0</v>
      </c>
      <c r="J23" s="833" t="str">
        <f>IF('Savings Summary'!D36=0,"",'Savings Summary'!D36)</f>
        <v/>
      </c>
      <c r="K23" s="833" t="str">
        <f>IF('Savings Summary'!F36=0,"",'Savings Summary'!F36)</f>
        <v/>
      </c>
      <c r="L23" s="833" t="str">
        <f>IF('Savings Summary'!H36=0,"",'Savings Summary'!H36)</f>
        <v/>
      </c>
      <c r="M23" s="833" t="str">
        <f>IF('Savings Summary'!J36=0,"",'Savings Summary'!J36)</f>
        <v/>
      </c>
      <c r="N23" s="833" t="e">
        <f>'Individual Measure List'!H35</f>
        <v>#VALUE!</v>
      </c>
      <c r="O23" s="834" t="e">
        <f>'Individual Measure List'!J35</f>
        <v>#NUM!</v>
      </c>
      <c r="P23" s="831" t="e">
        <f>'Individual Measure List'!K35</f>
        <v>#VALUE!</v>
      </c>
      <c r="U23" s="829" t="str">
        <f t="shared" si="12"/>
        <v/>
      </c>
      <c r="V23" s="853" t="str">
        <f t="shared" si="13"/>
        <v/>
      </c>
      <c r="W23" s="831" t="str">
        <f t="shared" si="14"/>
        <v/>
      </c>
      <c r="X23" s="831">
        <f t="shared" si="15"/>
        <v>0</v>
      </c>
      <c r="Y23" s="833" t="str">
        <f t="shared" si="16"/>
        <v/>
      </c>
      <c r="Z23" s="833" t="str">
        <f t="shared" si="17"/>
        <v/>
      </c>
      <c r="AA23" s="833" t="str">
        <f t="shared" si="18"/>
        <v/>
      </c>
      <c r="AB23" s="833" t="str">
        <f t="shared" si="19"/>
        <v/>
      </c>
      <c r="AC23" s="833" t="e">
        <f t="shared" si="20"/>
        <v>#VALUE!</v>
      </c>
      <c r="AD23" s="834" t="e">
        <f t="shared" si="21"/>
        <v>#NUM!</v>
      </c>
      <c r="AE23" s="831" t="e">
        <f t="shared" si="22"/>
        <v>#VALUE!</v>
      </c>
      <c r="AP23" s="832">
        <f>'Individual Measure List'!G35</f>
        <v>0</v>
      </c>
    </row>
    <row r="24" spans="1:42" ht="13.5" thickBot="1" x14ac:dyDescent="0.35">
      <c r="A24" s="825">
        <f>SUM(B6:B24)</f>
        <v>14</v>
      </c>
      <c r="B24" s="825">
        <f t="shared" si="23"/>
        <v>1</v>
      </c>
      <c r="C24" s="835" t="str">
        <f>'Individual Measure List'!A36</f>
        <v/>
      </c>
      <c r="D24" s="854" t="str">
        <f>'Individual Measure List'!B36</f>
        <v/>
      </c>
      <c r="E24" s="837" t="str">
        <f>'EEM Data Entry'!D113</f>
        <v/>
      </c>
      <c r="F24" s="837" t="str">
        <f>'EEM Data Entry'!E113</f>
        <v/>
      </c>
      <c r="G24" s="837" t="str">
        <f>'EEM Data Entry'!G113</f>
        <v>N/A</v>
      </c>
      <c r="H24" s="837" t="str">
        <f>'EEM Data Entry'!F113</f>
        <v/>
      </c>
      <c r="I24" s="837">
        <f>'Individual Measure List'!F36</f>
        <v>0</v>
      </c>
      <c r="J24" s="839" t="str">
        <f>IF('Savings Summary'!D37=0,"",'Savings Summary'!D37)</f>
        <v/>
      </c>
      <c r="K24" s="839" t="str">
        <f>IF('Savings Summary'!F37=0,"",'Savings Summary'!F37)</f>
        <v/>
      </c>
      <c r="L24" s="839" t="str">
        <f>IF('Savings Summary'!H37=0,"",'Savings Summary'!H37)</f>
        <v/>
      </c>
      <c r="M24" s="839" t="str">
        <f>IF('Savings Summary'!J37=0,"",'Savings Summary'!J37)</f>
        <v/>
      </c>
      <c r="N24" s="839" t="e">
        <f>'Individual Measure List'!H36</f>
        <v>#VALUE!</v>
      </c>
      <c r="O24" s="840" t="e">
        <f>'Individual Measure List'!J36</f>
        <v>#NUM!</v>
      </c>
      <c r="P24" s="837" t="e">
        <f>'Individual Measure List'!K36</f>
        <v>#VALUE!</v>
      </c>
      <c r="U24" s="835" t="str">
        <f t="shared" si="12"/>
        <v/>
      </c>
      <c r="V24" s="854" t="str">
        <f t="shared" si="13"/>
        <v/>
      </c>
      <c r="W24" s="837" t="str">
        <f t="shared" si="14"/>
        <v/>
      </c>
      <c r="X24" s="837">
        <f t="shared" si="15"/>
        <v>0</v>
      </c>
      <c r="Y24" s="839" t="str">
        <f t="shared" si="16"/>
        <v/>
      </c>
      <c r="Z24" s="839" t="str">
        <f t="shared" si="17"/>
        <v/>
      </c>
      <c r="AA24" s="839" t="str">
        <f t="shared" si="18"/>
        <v/>
      </c>
      <c r="AB24" s="839" t="str">
        <f t="shared" si="19"/>
        <v/>
      </c>
      <c r="AC24" s="839" t="e">
        <f t="shared" si="20"/>
        <v>#VALUE!</v>
      </c>
      <c r="AD24" s="840" t="e">
        <f t="shared" si="21"/>
        <v>#NUM!</v>
      </c>
      <c r="AE24" s="837" t="e">
        <f t="shared" si="22"/>
        <v>#VALUE!</v>
      </c>
      <c r="AP24" s="838">
        <f>'Individual Measure List'!G36</f>
        <v>0</v>
      </c>
    </row>
    <row r="25" spans="1:42" ht="13.5" thickBot="1" x14ac:dyDescent="0.35">
      <c r="A25" s="825">
        <f>SUM(B6:B25)</f>
        <v>15</v>
      </c>
      <c r="B25" s="825">
        <f t="shared" si="23"/>
        <v>1</v>
      </c>
      <c r="C25" s="829" t="str">
        <f>'Individual Measure List'!A37</f>
        <v/>
      </c>
      <c r="D25" s="853" t="str">
        <f>'Individual Measure List'!B37</f>
        <v/>
      </c>
      <c r="E25" s="831" t="str">
        <f>'EEM Data Entry'!D114</f>
        <v/>
      </c>
      <c r="F25" s="831" t="str">
        <f>'EEM Data Entry'!E114</f>
        <v/>
      </c>
      <c r="G25" s="831" t="str">
        <f>'EEM Data Entry'!G114</f>
        <v>N/A</v>
      </c>
      <c r="H25" s="831" t="str">
        <f>'EEM Data Entry'!F114</f>
        <v/>
      </c>
      <c r="I25" s="831">
        <f>'Individual Measure List'!F37</f>
        <v>0</v>
      </c>
      <c r="J25" s="833" t="str">
        <f>IF('Savings Summary'!D38=0,"",'Savings Summary'!D38)</f>
        <v/>
      </c>
      <c r="K25" s="833" t="str">
        <f>IF('Savings Summary'!F38=0,"",'Savings Summary'!F38)</f>
        <v/>
      </c>
      <c r="L25" s="833" t="str">
        <f>IF('Savings Summary'!H38=0,"",'Savings Summary'!H38)</f>
        <v/>
      </c>
      <c r="M25" s="833" t="str">
        <f>IF('Savings Summary'!J38=0,"",'Savings Summary'!J38)</f>
        <v/>
      </c>
      <c r="N25" s="833" t="e">
        <f>'Individual Measure List'!H37</f>
        <v>#VALUE!</v>
      </c>
      <c r="O25" s="834" t="e">
        <f>'Individual Measure List'!J37</f>
        <v>#NUM!</v>
      </c>
      <c r="P25" s="831" t="e">
        <f>'Individual Measure List'!K37</f>
        <v>#VALUE!</v>
      </c>
      <c r="U25" s="829" t="str">
        <f t="shared" si="12"/>
        <v/>
      </c>
      <c r="V25" s="853" t="str">
        <f t="shared" si="13"/>
        <v/>
      </c>
      <c r="W25" s="831" t="str">
        <f t="shared" si="14"/>
        <v/>
      </c>
      <c r="X25" s="831">
        <f t="shared" si="15"/>
        <v>0</v>
      </c>
      <c r="Y25" s="833" t="str">
        <f t="shared" si="16"/>
        <v/>
      </c>
      <c r="Z25" s="833" t="str">
        <f t="shared" si="17"/>
        <v/>
      </c>
      <c r="AA25" s="833" t="str">
        <f t="shared" si="18"/>
        <v/>
      </c>
      <c r="AB25" s="833" t="str">
        <f t="shared" si="19"/>
        <v/>
      </c>
      <c r="AC25" s="833" t="e">
        <f t="shared" si="20"/>
        <v>#VALUE!</v>
      </c>
      <c r="AD25" s="834" t="e">
        <f t="shared" si="21"/>
        <v>#NUM!</v>
      </c>
      <c r="AE25" s="831" t="e">
        <f t="shared" si="22"/>
        <v>#VALUE!</v>
      </c>
      <c r="AP25" s="832">
        <f>'Individual Measure List'!G37</f>
        <v>0</v>
      </c>
    </row>
    <row r="26" spans="1:42" ht="13.5" thickBot="1" x14ac:dyDescent="0.35">
      <c r="A26" s="825">
        <f>SUM(B6:B26)</f>
        <v>16</v>
      </c>
      <c r="B26" s="825">
        <f t="shared" si="23"/>
        <v>1</v>
      </c>
      <c r="C26" s="835" t="str">
        <f>'Individual Measure List'!A38</f>
        <v/>
      </c>
      <c r="D26" s="854" t="str">
        <f>'Individual Measure List'!B38</f>
        <v/>
      </c>
      <c r="E26" s="837" t="str">
        <f>'EEM Data Entry'!D115</f>
        <v/>
      </c>
      <c r="F26" s="837" t="str">
        <f>'EEM Data Entry'!E115</f>
        <v/>
      </c>
      <c r="G26" s="837" t="str">
        <f>'EEM Data Entry'!G115</f>
        <v>N/A</v>
      </c>
      <c r="H26" s="837" t="str">
        <f>'EEM Data Entry'!F115</f>
        <v/>
      </c>
      <c r="I26" s="837">
        <f>'Individual Measure List'!F38</f>
        <v>0</v>
      </c>
      <c r="J26" s="839" t="str">
        <f>IF('Savings Summary'!D39=0,"",'Savings Summary'!D39)</f>
        <v/>
      </c>
      <c r="K26" s="839" t="str">
        <f>IF('Savings Summary'!F39=0,"",'Savings Summary'!F39)</f>
        <v/>
      </c>
      <c r="L26" s="839" t="str">
        <f>IF('Savings Summary'!H39=0,"",'Savings Summary'!H39)</f>
        <v/>
      </c>
      <c r="M26" s="839" t="str">
        <f>IF('Savings Summary'!J39=0,"",'Savings Summary'!J39)</f>
        <v/>
      </c>
      <c r="N26" s="839" t="e">
        <f>'Individual Measure List'!H38</f>
        <v>#VALUE!</v>
      </c>
      <c r="O26" s="840" t="e">
        <f>'Individual Measure List'!J38</f>
        <v>#NUM!</v>
      </c>
      <c r="P26" s="837" t="e">
        <f>'Individual Measure List'!K38</f>
        <v>#VALUE!</v>
      </c>
      <c r="U26" s="835" t="str">
        <f t="shared" si="12"/>
        <v/>
      </c>
      <c r="V26" s="854" t="str">
        <f t="shared" si="13"/>
        <v/>
      </c>
      <c r="W26" s="837" t="str">
        <f t="shared" si="14"/>
        <v/>
      </c>
      <c r="X26" s="837">
        <f t="shared" si="15"/>
        <v>0</v>
      </c>
      <c r="Y26" s="839" t="str">
        <f t="shared" si="16"/>
        <v/>
      </c>
      <c r="Z26" s="839" t="str">
        <f t="shared" si="17"/>
        <v/>
      </c>
      <c r="AA26" s="839" t="str">
        <f t="shared" si="18"/>
        <v/>
      </c>
      <c r="AB26" s="839" t="str">
        <f t="shared" si="19"/>
        <v/>
      </c>
      <c r="AC26" s="839" t="e">
        <f t="shared" si="20"/>
        <v>#VALUE!</v>
      </c>
      <c r="AD26" s="840" t="e">
        <f t="shared" si="21"/>
        <v>#NUM!</v>
      </c>
      <c r="AE26" s="837" t="e">
        <f t="shared" si="22"/>
        <v>#VALUE!</v>
      </c>
      <c r="AP26" s="838">
        <f>'Individual Measure List'!G38</f>
        <v>0</v>
      </c>
    </row>
    <row r="27" spans="1:42" ht="13.5" thickBot="1" x14ac:dyDescent="0.35">
      <c r="A27" s="825">
        <f>SUM(B6:B27)</f>
        <v>17</v>
      </c>
      <c r="B27" s="825">
        <f t="shared" si="23"/>
        <v>1</v>
      </c>
      <c r="C27" s="829" t="str">
        <f>'Individual Measure List'!A39</f>
        <v/>
      </c>
      <c r="D27" s="853" t="str">
        <f>'Individual Measure List'!B39</f>
        <v/>
      </c>
      <c r="E27" s="831" t="str">
        <f>'EEM Data Entry'!D116</f>
        <v/>
      </c>
      <c r="F27" s="831" t="str">
        <f>'EEM Data Entry'!E116</f>
        <v/>
      </c>
      <c r="G27" s="831" t="str">
        <f>'EEM Data Entry'!G116</f>
        <v>N/A</v>
      </c>
      <c r="H27" s="831" t="str">
        <f>'EEM Data Entry'!F116</f>
        <v/>
      </c>
      <c r="I27" s="831">
        <f>'Individual Measure List'!F39</f>
        <v>0</v>
      </c>
      <c r="J27" s="833" t="str">
        <f>IF('Savings Summary'!D40=0,"",'Savings Summary'!D40)</f>
        <v/>
      </c>
      <c r="K27" s="833" t="str">
        <f>IF('Savings Summary'!F40=0,"",'Savings Summary'!F40)</f>
        <v/>
      </c>
      <c r="L27" s="833" t="str">
        <f>IF('Savings Summary'!H40=0,"",'Savings Summary'!H40)</f>
        <v/>
      </c>
      <c r="M27" s="833" t="str">
        <f>IF('Savings Summary'!J40=0,"",'Savings Summary'!J40)</f>
        <v/>
      </c>
      <c r="N27" s="833" t="e">
        <f>'Individual Measure List'!H39</f>
        <v>#VALUE!</v>
      </c>
      <c r="O27" s="834" t="e">
        <f>'Individual Measure List'!J39</f>
        <v>#NUM!</v>
      </c>
      <c r="P27" s="831" t="e">
        <f>'Individual Measure List'!K39</f>
        <v>#VALUE!</v>
      </c>
      <c r="U27" s="829" t="str">
        <f t="shared" si="12"/>
        <v/>
      </c>
      <c r="V27" s="853" t="str">
        <f t="shared" si="13"/>
        <v/>
      </c>
      <c r="W27" s="831" t="str">
        <f t="shared" si="14"/>
        <v/>
      </c>
      <c r="X27" s="831">
        <f t="shared" si="15"/>
        <v>0</v>
      </c>
      <c r="Y27" s="833" t="str">
        <f t="shared" si="16"/>
        <v/>
      </c>
      <c r="Z27" s="833" t="str">
        <f t="shared" si="17"/>
        <v/>
      </c>
      <c r="AA27" s="833" t="str">
        <f t="shared" si="18"/>
        <v/>
      </c>
      <c r="AB27" s="833" t="str">
        <f t="shared" si="19"/>
        <v/>
      </c>
      <c r="AC27" s="833" t="e">
        <f t="shared" si="20"/>
        <v>#VALUE!</v>
      </c>
      <c r="AD27" s="834" t="e">
        <f t="shared" si="21"/>
        <v>#NUM!</v>
      </c>
      <c r="AE27" s="831" t="e">
        <f t="shared" si="22"/>
        <v>#VALUE!</v>
      </c>
      <c r="AP27" s="832">
        <f>'Individual Measure List'!G39</f>
        <v>0</v>
      </c>
    </row>
    <row r="28" spans="1:42" ht="13.5" thickBot="1" x14ac:dyDescent="0.35">
      <c r="A28" s="825">
        <f>SUM(B6:B28)</f>
        <v>18</v>
      </c>
      <c r="B28" s="825">
        <f t="shared" si="23"/>
        <v>1</v>
      </c>
      <c r="C28" s="835" t="str">
        <f>'Individual Measure List'!A40</f>
        <v/>
      </c>
      <c r="D28" s="854" t="str">
        <f>'Individual Measure List'!B40</f>
        <v/>
      </c>
      <c r="E28" s="837" t="str">
        <f>'EEM Data Entry'!D117</f>
        <v/>
      </c>
      <c r="F28" s="837" t="str">
        <f>'EEM Data Entry'!E117</f>
        <v/>
      </c>
      <c r="G28" s="837" t="str">
        <f>'EEM Data Entry'!G117</f>
        <v>N/A</v>
      </c>
      <c r="H28" s="837" t="str">
        <f>'EEM Data Entry'!F117</f>
        <v/>
      </c>
      <c r="I28" s="837">
        <f>'Individual Measure List'!F40</f>
        <v>0</v>
      </c>
      <c r="J28" s="839" t="str">
        <f>IF('Savings Summary'!D41=0,"",'Savings Summary'!D41)</f>
        <v/>
      </c>
      <c r="K28" s="839" t="str">
        <f>IF('Savings Summary'!F41=0,"",'Savings Summary'!F41)</f>
        <v/>
      </c>
      <c r="L28" s="839" t="str">
        <f>IF('Savings Summary'!H41=0,"",'Savings Summary'!H41)</f>
        <v/>
      </c>
      <c r="M28" s="839" t="str">
        <f>IF('Savings Summary'!J41=0,"",'Savings Summary'!J41)</f>
        <v/>
      </c>
      <c r="N28" s="839" t="e">
        <f>'Individual Measure List'!H40</f>
        <v>#VALUE!</v>
      </c>
      <c r="O28" s="840" t="e">
        <f>'Individual Measure List'!J40</f>
        <v>#NUM!</v>
      </c>
      <c r="P28" s="837" t="e">
        <f>'Individual Measure List'!K40</f>
        <v>#VALUE!</v>
      </c>
      <c r="U28" s="835" t="str">
        <f t="shared" si="12"/>
        <v/>
      </c>
      <c r="V28" s="854" t="str">
        <f t="shared" si="13"/>
        <v/>
      </c>
      <c r="W28" s="837" t="str">
        <f t="shared" si="14"/>
        <v/>
      </c>
      <c r="X28" s="837">
        <f t="shared" si="15"/>
        <v>0</v>
      </c>
      <c r="Y28" s="839" t="str">
        <f t="shared" si="16"/>
        <v/>
      </c>
      <c r="Z28" s="839" t="str">
        <f t="shared" si="17"/>
        <v/>
      </c>
      <c r="AA28" s="839" t="str">
        <f t="shared" si="18"/>
        <v/>
      </c>
      <c r="AB28" s="839" t="str">
        <f t="shared" si="19"/>
        <v/>
      </c>
      <c r="AC28" s="839" t="e">
        <f t="shared" si="20"/>
        <v>#VALUE!</v>
      </c>
      <c r="AD28" s="840" t="e">
        <f t="shared" si="21"/>
        <v>#NUM!</v>
      </c>
      <c r="AE28" s="837" t="e">
        <f t="shared" si="22"/>
        <v>#VALUE!</v>
      </c>
      <c r="AP28" s="838">
        <f>'Individual Measure List'!G40</f>
        <v>0</v>
      </c>
    </row>
    <row r="29" spans="1:42" ht="13.5" thickBot="1" x14ac:dyDescent="0.35">
      <c r="A29" s="825">
        <f>SUM(B6:B29)</f>
        <v>19</v>
      </c>
      <c r="B29" s="825">
        <f t="shared" si="23"/>
        <v>1</v>
      </c>
      <c r="C29" s="829" t="str">
        <f>'Individual Measure List'!A41</f>
        <v/>
      </c>
      <c r="D29" s="853" t="str">
        <f>'Individual Measure List'!B41</f>
        <v/>
      </c>
      <c r="E29" s="831" t="str">
        <f>'EEM Data Entry'!D118</f>
        <v/>
      </c>
      <c r="F29" s="831" t="str">
        <f>'EEM Data Entry'!E118</f>
        <v/>
      </c>
      <c r="G29" s="831" t="str">
        <f>'EEM Data Entry'!G118</f>
        <v>N/A</v>
      </c>
      <c r="H29" s="831" t="str">
        <f>'EEM Data Entry'!F118</f>
        <v/>
      </c>
      <c r="I29" s="831">
        <f>'Individual Measure List'!F41</f>
        <v>0</v>
      </c>
      <c r="J29" s="833" t="str">
        <f>IF('Savings Summary'!D42=0,"",'Savings Summary'!D42)</f>
        <v/>
      </c>
      <c r="K29" s="833" t="str">
        <f>IF('Savings Summary'!F42=0,"",'Savings Summary'!F42)</f>
        <v/>
      </c>
      <c r="L29" s="833" t="str">
        <f>IF('Savings Summary'!H42=0,"",'Savings Summary'!H42)</f>
        <v/>
      </c>
      <c r="M29" s="833" t="str">
        <f>IF('Savings Summary'!J42=0,"",'Savings Summary'!J42)</f>
        <v/>
      </c>
      <c r="N29" s="833" t="e">
        <f>'Individual Measure List'!H41</f>
        <v>#VALUE!</v>
      </c>
      <c r="O29" s="834" t="e">
        <f>'Individual Measure List'!J41</f>
        <v>#NUM!</v>
      </c>
      <c r="P29" s="831" t="e">
        <f>'Individual Measure List'!K41</f>
        <v>#VALUE!</v>
      </c>
      <c r="U29" s="829" t="str">
        <f t="shared" si="12"/>
        <v/>
      </c>
      <c r="V29" s="853" t="str">
        <f t="shared" si="13"/>
        <v/>
      </c>
      <c r="W29" s="831" t="str">
        <f t="shared" si="14"/>
        <v/>
      </c>
      <c r="X29" s="831">
        <f t="shared" si="15"/>
        <v>0</v>
      </c>
      <c r="Y29" s="833" t="str">
        <f t="shared" si="16"/>
        <v/>
      </c>
      <c r="Z29" s="833" t="str">
        <f t="shared" si="17"/>
        <v/>
      </c>
      <c r="AA29" s="833" t="str">
        <f t="shared" si="18"/>
        <v/>
      </c>
      <c r="AB29" s="833" t="str">
        <f t="shared" si="19"/>
        <v/>
      </c>
      <c r="AC29" s="833" t="e">
        <f t="shared" si="20"/>
        <v>#VALUE!</v>
      </c>
      <c r="AD29" s="834" t="e">
        <f t="shared" si="21"/>
        <v>#NUM!</v>
      </c>
      <c r="AE29" s="831" t="e">
        <f t="shared" si="22"/>
        <v>#VALUE!</v>
      </c>
      <c r="AP29" s="832">
        <f>'Individual Measure List'!G41</f>
        <v>0</v>
      </c>
    </row>
    <row r="30" spans="1:42" ht="13.5" thickBot="1" x14ac:dyDescent="0.35">
      <c r="A30" s="825">
        <f>SUM(B6:B30)</f>
        <v>20</v>
      </c>
      <c r="B30" s="825">
        <f t="shared" si="23"/>
        <v>1</v>
      </c>
      <c r="C30" s="835" t="str">
        <f>'Individual Measure List'!A42</f>
        <v/>
      </c>
      <c r="D30" s="854" t="str">
        <f>'Individual Measure List'!B42</f>
        <v/>
      </c>
      <c r="E30" s="837" t="str">
        <f>'EEM Data Entry'!D119</f>
        <v/>
      </c>
      <c r="F30" s="837" t="str">
        <f>'EEM Data Entry'!E119</f>
        <v/>
      </c>
      <c r="G30" s="837" t="str">
        <f>'EEM Data Entry'!G119</f>
        <v>N/A</v>
      </c>
      <c r="H30" s="837" t="str">
        <f>'EEM Data Entry'!F119</f>
        <v/>
      </c>
      <c r="I30" s="837">
        <f>'Individual Measure List'!F42</f>
        <v>0</v>
      </c>
      <c r="J30" s="839" t="str">
        <f>IF('Savings Summary'!D43=0,"",'Savings Summary'!D43)</f>
        <v/>
      </c>
      <c r="K30" s="839" t="str">
        <f>IF('Savings Summary'!F43=0,"",'Savings Summary'!F43)</f>
        <v/>
      </c>
      <c r="L30" s="839" t="str">
        <f>IF('Savings Summary'!H43=0,"",'Savings Summary'!H43)</f>
        <v/>
      </c>
      <c r="M30" s="839" t="str">
        <f>IF('Savings Summary'!J43=0,"",'Savings Summary'!J43)</f>
        <v/>
      </c>
      <c r="N30" s="839" t="e">
        <f>'Individual Measure List'!H42</f>
        <v>#VALUE!</v>
      </c>
      <c r="O30" s="840" t="e">
        <f>'Individual Measure List'!J42</f>
        <v>#NUM!</v>
      </c>
      <c r="P30" s="837" t="e">
        <f>'Individual Measure List'!K42</f>
        <v>#VALUE!</v>
      </c>
      <c r="U30" s="835" t="str">
        <f t="shared" si="12"/>
        <v/>
      </c>
      <c r="V30" s="854" t="str">
        <f t="shared" si="13"/>
        <v/>
      </c>
      <c r="W30" s="837" t="str">
        <f t="shared" si="14"/>
        <v/>
      </c>
      <c r="X30" s="837">
        <f t="shared" si="15"/>
        <v>0</v>
      </c>
      <c r="Y30" s="839" t="str">
        <f t="shared" si="16"/>
        <v/>
      </c>
      <c r="Z30" s="839" t="str">
        <f t="shared" si="17"/>
        <v/>
      </c>
      <c r="AA30" s="839" t="str">
        <f t="shared" si="18"/>
        <v/>
      </c>
      <c r="AB30" s="839" t="str">
        <f t="shared" si="19"/>
        <v/>
      </c>
      <c r="AC30" s="839" t="e">
        <f t="shared" si="20"/>
        <v>#VALUE!</v>
      </c>
      <c r="AD30" s="840" t="e">
        <f t="shared" si="21"/>
        <v>#NUM!</v>
      </c>
      <c r="AE30" s="837" t="e">
        <f t="shared" si="22"/>
        <v>#VALUE!</v>
      </c>
      <c r="AP30" s="838">
        <f>'Individual Measure List'!G42</f>
        <v>0</v>
      </c>
    </row>
    <row r="31" spans="1:42" ht="16" customHeight="1" thickBot="1" x14ac:dyDescent="0.35">
      <c r="C31" s="957" t="s">
        <v>381</v>
      </c>
      <c r="D31" s="958"/>
      <c r="E31" s="958"/>
      <c r="F31" s="958"/>
      <c r="G31" s="958"/>
      <c r="H31" s="958"/>
      <c r="I31" s="958"/>
      <c r="J31" s="958"/>
      <c r="K31" s="958"/>
      <c r="L31" s="958"/>
      <c r="M31" s="958"/>
      <c r="N31" s="958"/>
      <c r="O31" s="958"/>
      <c r="P31" s="959"/>
      <c r="U31" s="957" t="s">
        <v>381</v>
      </c>
      <c r="V31" s="958"/>
      <c r="W31" s="958"/>
      <c r="X31" s="958"/>
      <c r="Y31" s="958"/>
      <c r="Z31" s="958"/>
      <c r="AA31" s="958"/>
      <c r="AB31" s="958"/>
      <c r="AC31" s="958"/>
      <c r="AD31" s="958"/>
      <c r="AE31" s="959"/>
      <c r="AP31" s="867"/>
    </row>
    <row r="33" spans="1:42" x14ac:dyDescent="0.3">
      <c r="C33" s="826" t="s">
        <v>405</v>
      </c>
      <c r="U33" s="826" t="s">
        <v>405</v>
      </c>
    </row>
    <row r="34" spans="1:42" ht="13.5" thickBot="1" x14ac:dyDescent="0.35"/>
    <row r="35" spans="1:42" ht="52.5" thickBot="1" x14ac:dyDescent="0.35">
      <c r="C35" s="827" t="s">
        <v>144</v>
      </c>
      <c r="D35" s="828" t="s">
        <v>409</v>
      </c>
      <c r="E35" s="828" t="s">
        <v>129</v>
      </c>
      <c r="F35" s="828" t="s">
        <v>371</v>
      </c>
      <c r="G35" s="828" t="s">
        <v>377</v>
      </c>
      <c r="H35" s="828" t="s">
        <v>372</v>
      </c>
      <c r="I35" s="828" t="s">
        <v>178</v>
      </c>
      <c r="J35" s="828" t="s">
        <v>373</v>
      </c>
      <c r="K35" s="828" t="s">
        <v>374</v>
      </c>
      <c r="L35" s="828" t="s">
        <v>375</v>
      </c>
      <c r="M35" s="828" t="s">
        <v>376</v>
      </c>
      <c r="N35" s="828" t="s">
        <v>183</v>
      </c>
      <c r="O35" s="828" t="s">
        <v>17</v>
      </c>
      <c r="P35" s="828" t="s">
        <v>22</v>
      </c>
      <c r="U35" s="827" t="str">
        <f t="shared" ref="U35:U45" si="24">C35</f>
        <v>EEM #</v>
      </c>
      <c r="V35" s="828" t="str">
        <f t="shared" ref="V35:V45" si="25">D35</f>
        <v>Appliances &amp; Lighting Upgrades</v>
      </c>
      <c r="W35" s="828" t="str">
        <f t="shared" ref="W35:W45" si="26">E35</f>
        <v>Capital Investment</v>
      </c>
      <c r="X35" s="828" t="str">
        <f t="shared" ref="X35:X45" si="27">I35</f>
        <v>Annual Energy Cost Savings</v>
      </c>
      <c r="Y35" s="828" t="str">
        <f t="shared" ref="Y35:Y45" si="28">J35</f>
        <v>Annual Electric Savings (kWh)</v>
      </c>
      <c r="Z35" s="828" t="str">
        <f t="shared" ref="Z35:Z45" si="29">K35</f>
        <v>Annual Oil Savings (Gal)</v>
      </c>
      <c r="AA35" s="828" t="str">
        <f t="shared" ref="AA35:AA45" si="30">L35</f>
        <v>Annual Nat. Gas Savings (Therms)</v>
      </c>
      <c r="AB35" s="828" t="str">
        <f t="shared" ref="AB35:AB45" si="31">M35</f>
        <v>Annual Propane Savings (Gal)</v>
      </c>
      <c r="AC35" s="828" t="str">
        <f t="shared" ref="AC35:AC45" si="32">N35</f>
        <v>Simple Payback (Years)</v>
      </c>
      <c r="AD35" s="828" t="str">
        <f t="shared" ref="AD35:AD45" si="33">O35</f>
        <v>IRR</v>
      </c>
      <c r="AE35" s="828" t="str">
        <f t="shared" ref="AE35:AE45" si="34">P35</f>
        <v>NPV</v>
      </c>
      <c r="AP35" s="828" t="s">
        <v>179</v>
      </c>
    </row>
    <row r="36" spans="1:42" ht="13.5" thickBot="1" x14ac:dyDescent="0.35">
      <c r="A36" s="825">
        <f>SUM(B6:B36)</f>
        <v>21</v>
      </c>
      <c r="B36" s="825">
        <f t="shared" ref="B36:B45" si="35">IF(ISTEXT(D36)=TRUE,1,0)</f>
        <v>1</v>
      </c>
      <c r="C36" s="829" t="str">
        <f>'Individual Measure List'!A49</f>
        <v/>
      </c>
      <c r="D36" s="830" t="str">
        <f>'Individual Measure List'!B49</f>
        <v/>
      </c>
      <c r="E36" s="831" t="str">
        <f>'EEM Data Entry'!D125</f>
        <v/>
      </c>
      <c r="F36" s="831" t="str">
        <f>'EEM Data Entry'!E125</f>
        <v/>
      </c>
      <c r="G36" s="831" t="str">
        <f>'EEM Data Entry'!G125</f>
        <v>N/A</v>
      </c>
      <c r="H36" s="831" t="str">
        <f>'EEM Data Entry'!F125</f>
        <v/>
      </c>
      <c r="I36" s="831">
        <f>'Individual Measure List'!F49</f>
        <v>0</v>
      </c>
      <c r="J36" s="833" t="str">
        <f>IF('Savings Summary'!D51=0,"",'Savings Summary'!D51)</f>
        <v/>
      </c>
      <c r="K36" s="833" t="str">
        <f>IF('Savings Summary'!F51=0,"",'Savings Summary'!F51)</f>
        <v/>
      </c>
      <c r="L36" s="833" t="str">
        <f>IF('Savings Summary'!H51=0,"",'Savings Summary'!H51)</f>
        <v/>
      </c>
      <c r="M36" s="833" t="str">
        <f>IF('Savings Summary'!J51=0,"",'Savings Summary'!J51)</f>
        <v/>
      </c>
      <c r="N36" s="833" t="e">
        <f>'Individual Measure List'!H49</f>
        <v>#VALUE!</v>
      </c>
      <c r="O36" s="834" t="e">
        <f>'Individual Measure List'!J49</f>
        <v>#NUM!</v>
      </c>
      <c r="P36" s="831" t="e">
        <f>'Individual Measure List'!K49</f>
        <v>#VALUE!</v>
      </c>
      <c r="U36" s="829" t="str">
        <f t="shared" si="24"/>
        <v/>
      </c>
      <c r="V36" s="830" t="str">
        <f t="shared" si="25"/>
        <v/>
      </c>
      <c r="W36" s="831" t="str">
        <f t="shared" si="26"/>
        <v/>
      </c>
      <c r="X36" s="831">
        <f t="shared" si="27"/>
        <v>0</v>
      </c>
      <c r="Y36" s="833" t="str">
        <f t="shared" si="28"/>
        <v/>
      </c>
      <c r="Z36" s="833" t="str">
        <f t="shared" si="29"/>
        <v/>
      </c>
      <c r="AA36" s="833" t="str">
        <f t="shared" si="30"/>
        <v/>
      </c>
      <c r="AB36" s="833" t="str">
        <f t="shared" si="31"/>
        <v/>
      </c>
      <c r="AC36" s="833" t="e">
        <f t="shared" si="32"/>
        <v>#VALUE!</v>
      </c>
      <c r="AD36" s="834" t="e">
        <f t="shared" si="33"/>
        <v>#NUM!</v>
      </c>
      <c r="AE36" s="831" t="e">
        <f t="shared" si="34"/>
        <v>#VALUE!</v>
      </c>
      <c r="AP36" s="832">
        <f>'Individual Measure List'!G49</f>
        <v>0</v>
      </c>
    </row>
    <row r="37" spans="1:42" ht="13.5" thickBot="1" x14ac:dyDescent="0.35">
      <c r="A37" s="825">
        <f>SUM(B6:B37)</f>
        <v>22</v>
      </c>
      <c r="B37" s="825">
        <f t="shared" si="35"/>
        <v>1</v>
      </c>
      <c r="C37" s="835" t="str">
        <f>'Individual Measure List'!A50</f>
        <v/>
      </c>
      <c r="D37" s="836" t="str">
        <f>'Individual Measure List'!B50</f>
        <v/>
      </c>
      <c r="E37" s="837" t="str">
        <f>'EEM Data Entry'!D126</f>
        <v/>
      </c>
      <c r="F37" s="837" t="str">
        <f>'EEM Data Entry'!E126</f>
        <v/>
      </c>
      <c r="G37" s="837" t="str">
        <f>'EEM Data Entry'!G126</f>
        <v>N/A</v>
      </c>
      <c r="H37" s="837" t="str">
        <f>'EEM Data Entry'!F126</f>
        <v/>
      </c>
      <c r="I37" s="837">
        <f>'Individual Measure List'!F50</f>
        <v>0</v>
      </c>
      <c r="J37" s="839" t="str">
        <f>IF('Savings Summary'!D52=0,"",'Savings Summary'!D52)</f>
        <v/>
      </c>
      <c r="K37" s="839" t="str">
        <f>IF('Savings Summary'!F52=0,"",'Savings Summary'!F52)</f>
        <v/>
      </c>
      <c r="L37" s="839" t="str">
        <f>IF('Savings Summary'!H52=0,"",'Savings Summary'!H52)</f>
        <v/>
      </c>
      <c r="M37" s="839" t="str">
        <f>IF('Savings Summary'!J52=0,"",'Savings Summary'!J52)</f>
        <v/>
      </c>
      <c r="N37" s="839" t="e">
        <f>'Individual Measure List'!H50</f>
        <v>#VALUE!</v>
      </c>
      <c r="O37" s="840" t="e">
        <f>'Individual Measure List'!J50</f>
        <v>#NUM!</v>
      </c>
      <c r="P37" s="837" t="e">
        <f>'Individual Measure List'!K50</f>
        <v>#VALUE!</v>
      </c>
      <c r="U37" s="835" t="str">
        <f t="shared" si="24"/>
        <v/>
      </c>
      <c r="V37" s="836" t="str">
        <f t="shared" si="25"/>
        <v/>
      </c>
      <c r="W37" s="837" t="str">
        <f t="shared" si="26"/>
        <v/>
      </c>
      <c r="X37" s="837">
        <f t="shared" si="27"/>
        <v>0</v>
      </c>
      <c r="Y37" s="839" t="str">
        <f t="shared" si="28"/>
        <v/>
      </c>
      <c r="Z37" s="839" t="str">
        <f t="shared" si="29"/>
        <v/>
      </c>
      <c r="AA37" s="839" t="str">
        <f t="shared" si="30"/>
        <v/>
      </c>
      <c r="AB37" s="839" t="str">
        <f t="shared" si="31"/>
        <v/>
      </c>
      <c r="AC37" s="839" t="e">
        <f t="shared" si="32"/>
        <v>#VALUE!</v>
      </c>
      <c r="AD37" s="840" t="e">
        <f t="shared" si="33"/>
        <v>#NUM!</v>
      </c>
      <c r="AE37" s="837" t="e">
        <f t="shared" si="34"/>
        <v>#VALUE!</v>
      </c>
      <c r="AP37" s="838">
        <f>'Individual Measure List'!G50</f>
        <v>0</v>
      </c>
    </row>
    <row r="38" spans="1:42" ht="13.5" thickBot="1" x14ac:dyDescent="0.35">
      <c r="A38" s="825">
        <f>SUM(B6:B38)</f>
        <v>23</v>
      </c>
      <c r="B38" s="825">
        <f t="shared" si="35"/>
        <v>1</v>
      </c>
      <c r="C38" s="829" t="str">
        <f>'Individual Measure List'!A51</f>
        <v/>
      </c>
      <c r="D38" s="830" t="str">
        <f>'Individual Measure List'!B51</f>
        <v/>
      </c>
      <c r="E38" s="831" t="str">
        <f>'EEM Data Entry'!D127</f>
        <v/>
      </c>
      <c r="F38" s="831" t="str">
        <f>'EEM Data Entry'!E127</f>
        <v/>
      </c>
      <c r="G38" s="831" t="str">
        <f>'EEM Data Entry'!G127</f>
        <v>N/A</v>
      </c>
      <c r="H38" s="831" t="str">
        <f>'EEM Data Entry'!F127</f>
        <v/>
      </c>
      <c r="I38" s="831">
        <f>'Individual Measure List'!F51</f>
        <v>0</v>
      </c>
      <c r="J38" s="833" t="str">
        <f>IF('Savings Summary'!D53=0,"",'Savings Summary'!D53)</f>
        <v/>
      </c>
      <c r="K38" s="833" t="str">
        <f>IF('Savings Summary'!F53=0,"",'Savings Summary'!F53)</f>
        <v/>
      </c>
      <c r="L38" s="833" t="str">
        <f>IF('Savings Summary'!H53=0,"",'Savings Summary'!H53)</f>
        <v/>
      </c>
      <c r="M38" s="833" t="str">
        <f>IF('Savings Summary'!J53=0,"",'Savings Summary'!J53)</f>
        <v/>
      </c>
      <c r="N38" s="833" t="e">
        <f>'Individual Measure List'!H51</f>
        <v>#VALUE!</v>
      </c>
      <c r="O38" s="834" t="e">
        <f>'Individual Measure List'!J51</f>
        <v>#NUM!</v>
      </c>
      <c r="P38" s="831" t="e">
        <f>'Individual Measure List'!K51</f>
        <v>#VALUE!</v>
      </c>
      <c r="U38" s="829" t="str">
        <f t="shared" si="24"/>
        <v/>
      </c>
      <c r="V38" s="830" t="str">
        <f t="shared" si="25"/>
        <v/>
      </c>
      <c r="W38" s="831" t="str">
        <f t="shared" si="26"/>
        <v/>
      </c>
      <c r="X38" s="831">
        <f t="shared" si="27"/>
        <v>0</v>
      </c>
      <c r="Y38" s="833" t="str">
        <f t="shared" si="28"/>
        <v/>
      </c>
      <c r="Z38" s="833" t="str">
        <f t="shared" si="29"/>
        <v/>
      </c>
      <c r="AA38" s="833" t="str">
        <f t="shared" si="30"/>
        <v/>
      </c>
      <c r="AB38" s="833" t="str">
        <f t="shared" si="31"/>
        <v/>
      </c>
      <c r="AC38" s="833" t="e">
        <f t="shared" si="32"/>
        <v>#VALUE!</v>
      </c>
      <c r="AD38" s="834" t="e">
        <f t="shared" si="33"/>
        <v>#NUM!</v>
      </c>
      <c r="AE38" s="831" t="e">
        <f t="shared" si="34"/>
        <v>#VALUE!</v>
      </c>
      <c r="AP38" s="832">
        <f>'Individual Measure List'!G51</f>
        <v>0</v>
      </c>
    </row>
    <row r="39" spans="1:42" ht="13.5" thickBot="1" x14ac:dyDescent="0.35">
      <c r="A39" s="825">
        <f>SUM(B6:B39)</f>
        <v>24</v>
      </c>
      <c r="B39" s="825">
        <f t="shared" si="35"/>
        <v>1</v>
      </c>
      <c r="C39" s="835" t="str">
        <f>'Individual Measure List'!A52</f>
        <v/>
      </c>
      <c r="D39" s="836" t="str">
        <f>'Individual Measure List'!B52</f>
        <v/>
      </c>
      <c r="E39" s="837" t="str">
        <f>'EEM Data Entry'!D128</f>
        <v/>
      </c>
      <c r="F39" s="837" t="str">
        <f>'EEM Data Entry'!E128</f>
        <v/>
      </c>
      <c r="G39" s="837" t="str">
        <f>'EEM Data Entry'!G128</f>
        <v>N/A</v>
      </c>
      <c r="H39" s="837" t="str">
        <f>'EEM Data Entry'!F128</f>
        <v/>
      </c>
      <c r="I39" s="837">
        <f>'Individual Measure List'!F52</f>
        <v>0</v>
      </c>
      <c r="J39" s="839" t="str">
        <f>IF('Savings Summary'!D54=0,"",'Savings Summary'!D54)</f>
        <v/>
      </c>
      <c r="K39" s="839" t="str">
        <f>IF('Savings Summary'!F54=0,"",'Savings Summary'!F54)</f>
        <v/>
      </c>
      <c r="L39" s="839" t="str">
        <f>IF('Savings Summary'!H54=0,"",'Savings Summary'!H54)</f>
        <v/>
      </c>
      <c r="M39" s="839" t="str">
        <f>IF('Savings Summary'!J54=0,"",'Savings Summary'!J54)</f>
        <v/>
      </c>
      <c r="N39" s="839" t="e">
        <f>'Individual Measure List'!H52</f>
        <v>#VALUE!</v>
      </c>
      <c r="O39" s="840" t="e">
        <f>'Individual Measure List'!J52</f>
        <v>#NUM!</v>
      </c>
      <c r="P39" s="837" t="e">
        <f>'Individual Measure List'!K52</f>
        <v>#VALUE!</v>
      </c>
      <c r="U39" s="835" t="str">
        <f t="shared" si="24"/>
        <v/>
      </c>
      <c r="V39" s="836" t="str">
        <f t="shared" si="25"/>
        <v/>
      </c>
      <c r="W39" s="837" t="str">
        <f t="shared" si="26"/>
        <v/>
      </c>
      <c r="X39" s="837">
        <f t="shared" si="27"/>
        <v>0</v>
      </c>
      <c r="Y39" s="839" t="str">
        <f t="shared" si="28"/>
        <v/>
      </c>
      <c r="Z39" s="839" t="str">
        <f t="shared" si="29"/>
        <v/>
      </c>
      <c r="AA39" s="839" t="str">
        <f t="shared" si="30"/>
        <v/>
      </c>
      <c r="AB39" s="839" t="str">
        <f t="shared" si="31"/>
        <v/>
      </c>
      <c r="AC39" s="839" t="e">
        <f t="shared" si="32"/>
        <v>#VALUE!</v>
      </c>
      <c r="AD39" s="840" t="e">
        <f t="shared" si="33"/>
        <v>#NUM!</v>
      </c>
      <c r="AE39" s="837" t="e">
        <f t="shared" si="34"/>
        <v>#VALUE!</v>
      </c>
      <c r="AP39" s="838">
        <f>'Individual Measure List'!G52</f>
        <v>0</v>
      </c>
    </row>
    <row r="40" spans="1:42" ht="13.5" thickBot="1" x14ac:dyDescent="0.35">
      <c r="A40" s="825">
        <f>SUM(B6:B40)</f>
        <v>25</v>
      </c>
      <c r="B40" s="825">
        <f t="shared" si="35"/>
        <v>1</v>
      </c>
      <c r="C40" s="829" t="str">
        <f>'Individual Measure List'!A53</f>
        <v/>
      </c>
      <c r="D40" s="830" t="str">
        <f>'Individual Measure List'!B53</f>
        <v/>
      </c>
      <c r="E40" s="831" t="str">
        <f>'EEM Data Entry'!D129</f>
        <v/>
      </c>
      <c r="F40" s="831" t="str">
        <f>'EEM Data Entry'!E129</f>
        <v/>
      </c>
      <c r="G40" s="831" t="str">
        <f>'EEM Data Entry'!G129</f>
        <v>N/A</v>
      </c>
      <c r="H40" s="831" t="str">
        <f>'EEM Data Entry'!F129</f>
        <v/>
      </c>
      <c r="I40" s="831">
        <f>'Individual Measure List'!F53</f>
        <v>0</v>
      </c>
      <c r="J40" s="833" t="str">
        <f>IF('Savings Summary'!D55=0,"",'Savings Summary'!D55)</f>
        <v/>
      </c>
      <c r="K40" s="833" t="str">
        <f>IF('Savings Summary'!F55=0,"",'Savings Summary'!F55)</f>
        <v/>
      </c>
      <c r="L40" s="833" t="str">
        <f>IF('Savings Summary'!H55=0,"",'Savings Summary'!H55)</f>
        <v/>
      </c>
      <c r="M40" s="833" t="str">
        <f>IF('Savings Summary'!J55=0,"",'Savings Summary'!J55)</f>
        <v/>
      </c>
      <c r="N40" s="833" t="e">
        <f>'Individual Measure List'!H53</f>
        <v>#VALUE!</v>
      </c>
      <c r="O40" s="834" t="e">
        <f>'Individual Measure List'!J53</f>
        <v>#NUM!</v>
      </c>
      <c r="P40" s="831" t="e">
        <f>'Individual Measure List'!K53</f>
        <v>#VALUE!</v>
      </c>
      <c r="U40" s="829" t="str">
        <f t="shared" si="24"/>
        <v/>
      </c>
      <c r="V40" s="830" t="str">
        <f t="shared" si="25"/>
        <v/>
      </c>
      <c r="W40" s="831" t="str">
        <f t="shared" si="26"/>
        <v/>
      </c>
      <c r="X40" s="831">
        <f t="shared" si="27"/>
        <v>0</v>
      </c>
      <c r="Y40" s="833" t="str">
        <f t="shared" si="28"/>
        <v/>
      </c>
      <c r="Z40" s="833" t="str">
        <f t="shared" si="29"/>
        <v/>
      </c>
      <c r="AA40" s="833" t="str">
        <f t="shared" si="30"/>
        <v/>
      </c>
      <c r="AB40" s="833" t="str">
        <f t="shared" si="31"/>
        <v/>
      </c>
      <c r="AC40" s="833" t="e">
        <f t="shared" si="32"/>
        <v>#VALUE!</v>
      </c>
      <c r="AD40" s="834" t="e">
        <f t="shared" si="33"/>
        <v>#NUM!</v>
      </c>
      <c r="AE40" s="831" t="e">
        <f t="shared" si="34"/>
        <v>#VALUE!</v>
      </c>
      <c r="AP40" s="832">
        <f>'Individual Measure List'!G53</f>
        <v>0</v>
      </c>
    </row>
    <row r="41" spans="1:42" ht="13.5" thickBot="1" x14ac:dyDescent="0.35">
      <c r="A41" s="825">
        <f>SUM(B6:B41)</f>
        <v>26</v>
      </c>
      <c r="B41" s="825">
        <f t="shared" si="35"/>
        <v>1</v>
      </c>
      <c r="C41" s="835" t="str">
        <f>'Individual Measure List'!A54</f>
        <v/>
      </c>
      <c r="D41" s="836" t="str">
        <f>'Individual Measure List'!B54</f>
        <v/>
      </c>
      <c r="E41" s="837" t="str">
        <f>'EEM Data Entry'!D130</f>
        <v/>
      </c>
      <c r="F41" s="837" t="str">
        <f>'EEM Data Entry'!E130</f>
        <v/>
      </c>
      <c r="G41" s="837" t="str">
        <f>'EEM Data Entry'!G130</f>
        <v>N/A</v>
      </c>
      <c r="H41" s="837" t="str">
        <f>'EEM Data Entry'!F130</f>
        <v/>
      </c>
      <c r="I41" s="837">
        <f>'Individual Measure List'!F54</f>
        <v>0</v>
      </c>
      <c r="J41" s="839" t="str">
        <f>IF('Savings Summary'!D56=0,"",'Savings Summary'!D56)</f>
        <v/>
      </c>
      <c r="K41" s="839" t="str">
        <f>IF('Savings Summary'!F56=0,"",'Savings Summary'!F56)</f>
        <v/>
      </c>
      <c r="L41" s="839" t="str">
        <f>IF('Savings Summary'!H56=0,"",'Savings Summary'!H56)</f>
        <v/>
      </c>
      <c r="M41" s="839" t="str">
        <f>IF('Savings Summary'!J56=0,"",'Savings Summary'!J56)</f>
        <v/>
      </c>
      <c r="N41" s="839" t="e">
        <f>'Individual Measure List'!H54</f>
        <v>#VALUE!</v>
      </c>
      <c r="O41" s="840" t="e">
        <f>'Individual Measure List'!J54</f>
        <v>#NUM!</v>
      </c>
      <c r="P41" s="837" t="e">
        <f>'Individual Measure List'!K54</f>
        <v>#VALUE!</v>
      </c>
      <c r="U41" s="835" t="str">
        <f t="shared" si="24"/>
        <v/>
      </c>
      <c r="V41" s="836" t="str">
        <f t="shared" si="25"/>
        <v/>
      </c>
      <c r="W41" s="837" t="str">
        <f t="shared" si="26"/>
        <v/>
      </c>
      <c r="X41" s="837">
        <f t="shared" si="27"/>
        <v>0</v>
      </c>
      <c r="Y41" s="839" t="str">
        <f t="shared" si="28"/>
        <v/>
      </c>
      <c r="Z41" s="839" t="str">
        <f t="shared" si="29"/>
        <v/>
      </c>
      <c r="AA41" s="839" t="str">
        <f t="shared" si="30"/>
        <v/>
      </c>
      <c r="AB41" s="839" t="str">
        <f t="shared" si="31"/>
        <v/>
      </c>
      <c r="AC41" s="839" t="e">
        <f t="shared" si="32"/>
        <v>#VALUE!</v>
      </c>
      <c r="AD41" s="840" t="e">
        <f t="shared" si="33"/>
        <v>#NUM!</v>
      </c>
      <c r="AE41" s="837" t="e">
        <f t="shared" si="34"/>
        <v>#VALUE!</v>
      </c>
      <c r="AP41" s="838">
        <f>'Individual Measure List'!G54</f>
        <v>0</v>
      </c>
    </row>
    <row r="42" spans="1:42" ht="13.5" thickBot="1" x14ac:dyDescent="0.35">
      <c r="A42" s="825">
        <f>SUM(B6:B42)</f>
        <v>27</v>
      </c>
      <c r="B42" s="825">
        <f t="shared" si="35"/>
        <v>1</v>
      </c>
      <c r="C42" s="829" t="str">
        <f>'Individual Measure List'!A55</f>
        <v/>
      </c>
      <c r="D42" s="830" t="str">
        <f>'Individual Measure List'!B55</f>
        <v/>
      </c>
      <c r="E42" s="831" t="str">
        <f>'EEM Data Entry'!D131</f>
        <v/>
      </c>
      <c r="F42" s="831" t="str">
        <f>'EEM Data Entry'!E131</f>
        <v/>
      </c>
      <c r="G42" s="831" t="str">
        <f>'EEM Data Entry'!G131</f>
        <v>N/A</v>
      </c>
      <c r="H42" s="831" t="str">
        <f>'EEM Data Entry'!F131</f>
        <v/>
      </c>
      <c r="I42" s="831">
        <f>'Individual Measure List'!F55</f>
        <v>0</v>
      </c>
      <c r="J42" s="833" t="str">
        <f>IF('Savings Summary'!D57=0,"",'Savings Summary'!D57)</f>
        <v/>
      </c>
      <c r="K42" s="833" t="str">
        <f>IF('Savings Summary'!F57=0,"",'Savings Summary'!F57)</f>
        <v/>
      </c>
      <c r="L42" s="833" t="str">
        <f>IF('Savings Summary'!H57=0,"",'Savings Summary'!H57)</f>
        <v/>
      </c>
      <c r="M42" s="833" t="str">
        <f>IF('Savings Summary'!J57=0,"",'Savings Summary'!J57)</f>
        <v/>
      </c>
      <c r="N42" s="833" t="e">
        <f>'Individual Measure List'!H55</f>
        <v>#VALUE!</v>
      </c>
      <c r="O42" s="834" t="e">
        <f>'Individual Measure List'!J55</f>
        <v>#NUM!</v>
      </c>
      <c r="P42" s="831" t="e">
        <f>'Individual Measure List'!K55</f>
        <v>#VALUE!</v>
      </c>
      <c r="U42" s="829" t="str">
        <f t="shared" si="24"/>
        <v/>
      </c>
      <c r="V42" s="830" t="str">
        <f t="shared" si="25"/>
        <v/>
      </c>
      <c r="W42" s="831" t="str">
        <f t="shared" si="26"/>
        <v/>
      </c>
      <c r="X42" s="831">
        <f t="shared" si="27"/>
        <v>0</v>
      </c>
      <c r="Y42" s="833" t="str">
        <f t="shared" si="28"/>
        <v/>
      </c>
      <c r="Z42" s="833" t="str">
        <f t="shared" si="29"/>
        <v/>
      </c>
      <c r="AA42" s="833" t="str">
        <f t="shared" si="30"/>
        <v/>
      </c>
      <c r="AB42" s="833" t="str">
        <f t="shared" si="31"/>
        <v/>
      </c>
      <c r="AC42" s="833" t="e">
        <f t="shared" si="32"/>
        <v>#VALUE!</v>
      </c>
      <c r="AD42" s="834" t="e">
        <f t="shared" si="33"/>
        <v>#NUM!</v>
      </c>
      <c r="AE42" s="831" t="e">
        <f t="shared" si="34"/>
        <v>#VALUE!</v>
      </c>
      <c r="AP42" s="832">
        <f>'Individual Measure List'!G55</f>
        <v>0</v>
      </c>
    </row>
    <row r="43" spans="1:42" ht="13.5" thickBot="1" x14ac:dyDescent="0.35">
      <c r="A43" s="825">
        <f>SUM(B6:B43)</f>
        <v>28</v>
      </c>
      <c r="B43" s="825">
        <f t="shared" si="35"/>
        <v>1</v>
      </c>
      <c r="C43" s="835" t="str">
        <f>'Individual Measure List'!A56</f>
        <v/>
      </c>
      <c r="D43" s="836" t="str">
        <f>'Individual Measure List'!B56</f>
        <v/>
      </c>
      <c r="E43" s="837" t="str">
        <f>'EEM Data Entry'!D132</f>
        <v/>
      </c>
      <c r="F43" s="837" t="str">
        <f>'EEM Data Entry'!E132</f>
        <v/>
      </c>
      <c r="G43" s="837" t="str">
        <f>'EEM Data Entry'!G132</f>
        <v>N/A</v>
      </c>
      <c r="H43" s="837" t="str">
        <f>'EEM Data Entry'!F132</f>
        <v/>
      </c>
      <c r="I43" s="837">
        <f>'Individual Measure List'!F56</f>
        <v>0</v>
      </c>
      <c r="J43" s="839" t="str">
        <f>IF('Savings Summary'!D58=0,"",'Savings Summary'!D58)</f>
        <v/>
      </c>
      <c r="K43" s="839" t="str">
        <f>IF('Savings Summary'!F58=0,"",'Savings Summary'!F58)</f>
        <v/>
      </c>
      <c r="L43" s="839" t="str">
        <f>IF('Savings Summary'!H58=0,"",'Savings Summary'!H58)</f>
        <v/>
      </c>
      <c r="M43" s="839" t="str">
        <f>IF('Savings Summary'!J58=0,"",'Savings Summary'!J58)</f>
        <v/>
      </c>
      <c r="N43" s="839" t="e">
        <f>'Individual Measure List'!H56</f>
        <v>#VALUE!</v>
      </c>
      <c r="O43" s="840" t="e">
        <f>'Individual Measure List'!J56</f>
        <v>#NUM!</v>
      </c>
      <c r="P43" s="837" t="e">
        <f>'Individual Measure List'!K56</f>
        <v>#VALUE!</v>
      </c>
      <c r="U43" s="835" t="str">
        <f t="shared" si="24"/>
        <v/>
      </c>
      <c r="V43" s="836" t="str">
        <f t="shared" si="25"/>
        <v/>
      </c>
      <c r="W43" s="837" t="str">
        <f t="shared" si="26"/>
        <v/>
      </c>
      <c r="X43" s="837">
        <f t="shared" si="27"/>
        <v>0</v>
      </c>
      <c r="Y43" s="839" t="str">
        <f t="shared" si="28"/>
        <v/>
      </c>
      <c r="Z43" s="839" t="str">
        <f t="shared" si="29"/>
        <v/>
      </c>
      <c r="AA43" s="839" t="str">
        <f t="shared" si="30"/>
        <v/>
      </c>
      <c r="AB43" s="839" t="str">
        <f t="shared" si="31"/>
        <v/>
      </c>
      <c r="AC43" s="839" t="e">
        <f t="shared" si="32"/>
        <v>#VALUE!</v>
      </c>
      <c r="AD43" s="840" t="e">
        <f t="shared" si="33"/>
        <v>#NUM!</v>
      </c>
      <c r="AE43" s="837" t="e">
        <f t="shared" si="34"/>
        <v>#VALUE!</v>
      </c>
      <c r="AP43" s="838">
        <f>'Individual Measure List'!G56</f>
        <v>0</v>
      </c>
    </row>
    <row r="44" spans="1:42" ht="13.5" thickBot="1" x14ac:dyDescent="0.35">
      <c r="A44" s="825">
        <f>SUM(B6:B44)</f>
        <v>29</v>
      </c>
      <c r="B44" s="825">
        <f t="shared" si="35"/>
        <v>1</v>
      </c>
      <c r="C44" s="829" t="str">
        <f>'Individual Measure List'!A57</f>
        <v/>
      </c>
      <c r="D44" s="830" t="str">
        <f>'Individual Measure List'!B57</f>
        <v/>
      </c>
      <c r="E44" s="831" t="str">
        <f>'EEM Data Entry'!D133</f>
        <v/>
      </c>
      <c r="F44" s="831" t="str">
        <f>'EEM Data Entry'!E133</f>
        <v/>
      </c>
      <c r="G44" s="831" t="str">
        <f>'EEM Data Entry'!G133</f>
        <v>N/A</v>
      </c>
      <c r="H44" s="831" t="str">
        <f>'EEM Data Entry'!F133</f>
        <v/>
      </c>
      <c r="I44" s="831">
        <f>'Individual Measure List'!F57</f>
        <v>0</v>
      </c>
      <c r="J44" s="833" t="str">
        <f>IF('Savings Summary'!D59=0,"",'Savings Summary'!D59)</f>
        <v/>
      </c>
      <c r="K44" s="833" t="str">
        <f>IF('Savings Summary'!F59=0,"",'Savings Summary'!F59)</f>
        <v/>
      </c>
      <c r="L44" s="833" t="str">
        <f>IF('Savings Summary'!H59=0,"",'Savings Summary'!H59)</f>
        <v/>
      </c>
      <c r="M44" s="833" t="str">
        <f>IF('Savings Summary'!J59=0,"",'Savings Summary'!J59)</f>
        <v/>
      </c>
      <c r="N44" s="833" t="e">
        <f>'Individual Measure List'!H57</f>
        <v>#VALUE!</v>
      </c>
      <c r="O44" s="834" t="e">
        <f>'Individual Measure List'!J57</f>
        <v>#NUM!</v>
      </c>
      <c r="P44" s="831" t="e">
        <f>'Individual Measure List'!K57</f>
        <v>#VALUE!</v>
      </c>
      <c r="U44" s="829" t="str">
        <f t="shared" si="24"/>
        <v/>
      </c>
      <c r="V44" s="830" t="str">
        <f t="shared" si="25"/>
        <v/>
      </c>
      <c r="W44" s="831" t="str">
        <f t="shared" si="26"/>
        <v/>
      </c>
      <c r="X44" s="831">
        <f t="shared" si="27"/>
        <v>0</v>
      </c>
      <c r="Y44" s="833" t="str">
        <f t="shared" si="28"/>
        <v/>
      </c>
      <c r="Z44" s="833" t="str">
        <f t="shared" si="29"/>
        <v/>
      </c>
      <c r="AA44" s="833" t="str">
        <f t="shared" si="30"/>
        <v/>
      </c>
      <c r="AB44" s="833" t="str">
        <f t="shared" si="31"/>
        <v/>
      </c>
      <c r="AC44" s="833" t="e">
        <f t="shared" si="32"/>
        <v>#VALUE!</v>
      </c>
      <c r="AD44" s="834" t="e">
        <f t="shared" si="33"/>
        <v>#NUM!</v>
      </c>
      <c r="AE44" s="831" t="e">
        <f t="shared" si="34"/>
        <v>#VALUE!</v>
      </c>
      <c r="AP44" s="832">
        <f>'Individual Measure List'!G57</f>
        <v>0</v>
      </c>
    </row>
    <row r="45" spans="1:42" ht="13.5" thickBot="1" x14ac:dyDescent="0.35">
      <c r="A45" s="825">
        <f>SUM(B6:B45)</f>
        <v>30</v>
      </c>
      <c r="B45" s="825">
        <f t="shared" si="35"/>
        <v>1</v>
      </c>
      <c r="C45" s="835" t="str">
        <f>'Individual Measure List'!A58</f>
        <v/>
      </c>
      <c r="D45" s="836" t="str">
        <f>'Individual Measure List'!B58</f>
        <v/>
      </c>
      <c r="E45" s="837" t="str">
        <f>'EEM Data Entry'!D134</f>
        <v/>
      </c>
      <c r="F45" s="837" t="str">
        <f>'EEM Data Entry'!E134</f>
        <v/>
      </c>
      <c r="G45" s="837" t="str">
        <f>'EEM Data Entry'!G134</f>
        <v>N/A</v>
      </c>
      <c r="H45" s="837" t="str">
        <f>'EEM Data Entry'!F134</f>
        <v/>
      </c>
      <c r="I45" s="837">
        <f>'Individual Measure List'!F58</f>
        <v>0</v>
      </c>
      <c r="J45" s="839" t="str">
        <f>IF('Savings Summary'!D60=0,"",'Savings Summary'!D60)</f>
        <v/>
      </c>
      <c r="K45" s="839" t="str">
        <f>IF('Savings Summary'!F60=0,"",'Savings Summary'!F60)</f>
        <v/>
      </c>
      <c r="L45" s="839" t="str">
        <f>IF('Savings Summary'!H60=0,"",'Savings Summary'!H60)</f>
        <v/>
      </c>
      <c r="M45" s="839" t="str">
        <f>IF('Savings Summary'!J60=0,"",'Savings Summary'!J60)</f>
        <v/>
      </c>
      <c r="N45" s="839" t="e">
        <f>'Individual Measure List'!H58</f>
        <v>#VALUE!</v>
      </c>
      <c r="O45" s="840" t="e">
        <f>'Individual Measure List'!J58</f>
        <v>#NUM!</v>
      </c>
      <c r="P45" s="837" t="e">
        <f>'Individual Measure List'!K58</f>
        <v>#VALUE!</v>
      </c>
      <c r="U45" s="835" t="str">
        <f t="shared" si="24"/>
        <v/>
      </c>
      <c r="V45" s="836" t="str">
        <f t="shared" si="25"/>
        <v/>
      </c>
      <c r="W45" s="837" t="str">
        <f t="shared" si="26"/>
        <v/>
      </c>
      <c r="X45" s="837">
        <f t="shared" si="27"/>
        <v>0</v>
      </c>
      <c r="Y45" s="839" t="str">
        <f t="shared" si="28"/>
        <v/>
      </c>
      <c r="Z45" s="839" t="str">
        <f t="shared" si="29"/>
        <v/>
      </c>
      <c r="AA45" s="839" t="str">
        <f t="shared" si="30"/>
        <v/>
      </c>
      <c r="AB45" s="839" t="str">
        <f t="shared" si="31"/>
        <v/>
      </c>
      <c r="AC45" s="839" t="e">
        <f t="shared" si="32"/>
        <v>#VALUE!</v>
      </c>
      <c r="AD45" s="840" t="e">
        <f t="shared" si="33"/>
        <v>#NUM!</v>
      </c>
      <c r="AE45" s="837" t="e">
        <f t="shared" si="34"/>
        <v>#VALUE!</v>
      </c>
      <c r="AP45" s="838">
        <f>'Individual Measure List'!G58</f>
        <v>0</v>
      </c>
    </row>
    <row r="46" spans="1:42" ht="16" customHeight="1" thickBot="1" x14ac:dyDescent="0.35">
      <c r="C46" s="957" t="s">
        <v>381</v>
      </c>
      <c r="D46" s="958"/>
      <c r="E46" s="958"/>
      <c r="F46" s="958"/>
      <c r="G46" s="958"/>
      <c r="H46" s="958"/>
      <c r="I46" s="958"/>
      <c r="J46" s="958"/>
      <c r="K46" s="958"/>
      <c r="L46" s="958"/>
      <c r="M46" s="958"/>
      <c r="N46" s="958"/>
      <c r="O46" s="958"/>
      <c r="P46" s="959"/>
      <c r="U46" s="957" t="s">
        <v>381</v>
      </c>
      <c r="V46" s="958"/>
      <c r="W46" s="958"/>
      <c r="X46" s="958"/>
      <c r="Y46" s="958"/>
      <c r="Z46" s="958"/>
      <c r="AA46" s="958"/>
      <c r="AB46" s="958"/>
      <c r="AC46" s="958"/>
      <c r="AD46" s="958"/>
      <c r="AE46" s="959"/>
      <c r="AP46" s="867"/>
    </row>
    <row r="48" spans="1:42" x14ac:dyDescent="0.3">
      <c r="C48" s="826" t="s">
        <v>210</v>
      </c>
      <c r="U48" s="826" t="s">
        <v>210</v>
      </c>
    </row>
    <row r="49" spans="1:42" ht="13.5" thickBot="1" x14ac:dyDescent="0.35"/>
    <row r="50" spans="1:42" ht="52.5" thickBot="1" x14ac:dyDescent="0.35">
      <c r="C50" s="827" t="s">
        <v>144</v>
      </c>
      <c r="D50" s="828" t="s">
        <v>181</v>
      </c>
      <c r="E50" s="828" t="s">
        <v>129</v>
      </c>
      <c r="F50" s="828" t="s">
        <v>371</v>
      </c>
      <c r="G50" s="828" t="s">
        <v>377</v>
      </c>
      <c r="H50" s="828" t="s">
        <v>372</v>
      </c>
      <c r="I50" s="828" t="s">
        <v>178</v>
      </c>
      <c r="J50" s="828" t="s">
        <v>373</v>
      </c>
      <c r="K50" s="828" t="s">
        <v>374</v>
      </c>
      <c r="L50" s="828" t="s">
        <v>375</v>
      </c>
      <c r="M50" s="828" t="s">
        <v>376</v>
      </c>
      <c r="N50" s="828" t="s">
        <v>183</v>
      </c>
      <c r="O50" s="828" t="s">
        <v>17</v>
      </c>
      <c r="P50" s="828" t="s">
        <v>22</v>
      </c>
      <c r="U50" s="827" t="str">
        <f t="shared" ref="U50:U60" si="36">C50</f>
        <v>EEM #</v>
      </c>
      <c r="V50" s="828" t="str">
        <f t="shared" ref="V50:V60" si="37">D50</f>
        <v>Renewable System Upgrades</v>
      </c>
      <c r="W50" s="828" t="str">
        <f t="shared" ref="W50:W60" si="38">E50</f>
        <v>Capital Investment</v>
      </c>
      <c r="X50" s="828" t="str">
        <f t="shared" ref="X50:X60" si="39">I50</f>
        <v>Annual Energy Cost Savings</v>
      </c>
      <c r="Y50" s="828" t="str">
        <f t="shared" ref="Y50:Y60" si="40">J50</f>
        <v>Annual Electric Savings (kWh)</v>
      </c>
      <c r="Z50" s="828" t="str">
        <f t="shared" ref="Z50:Z60" si="41">K50</f>
        <v>Annual Oil Savings (Gal)</v>
      </c>
      <c r="AA50" s="828" t="str">
        <f t="shared" ref="AA50:AA60" si="42">L50</f>
        <v>Annual Nat. Gas Savings (Therms)</v>
      </c>
      <c r="AB50" s="828" t="str">
        <f t="shared" ref="AB50:AB60" si="43">M50</f>
        <v>Annual Propane Savings (Gal)</v>
      </c>
      <c r="AC50" s="828" t="str">
        <f t="shared" ref="AC50:AC60" si="44">N50</f>
        <v>Simple Payback (Years)</v>
      </c>
      <c r="AD50" s="828" t="str">
        <f t="shared" ref="AD50:AD60" si="45">O50</f>
        <v>IRR</v>
      </c>
      <c r="AE50" s="828" t="str">
        <f t="shared" ref="AE50:AE60" si="46">P50</f>
        <v>NPV</v>
      </c>
      <c r="AP50" s="828" t="s">
        <v>179</v>
      </c>
    </row>
    <row r="51" spans="1:42" ht="13.5" thickBot="1" x14ac:dyDescent="0.35">
      <c r="A51" s="825">
        <f>SUM(B6:B51)</f>
        <v>31</v>
      </c>
      <c r="B51" s="825">
        <f t="shared" ref="B51:B60" si="47">IF(ISTEXT(D51)=TRUE,1,0)</f>
        <v>1</v>
      </c>
      <c r="C51" s="829" t="str">
        <f>'Individual Measure List'!A66</f>
        <v/>
      </c>
      <c r="D51" s="830" t="str">
        <f>'Individual Measure List'!B66</f>
        <v/>
      </c>
      <c r="E51" s="831" t="str">
        <f>'EEM Data Entry'!D141</f>
        <v/>
      </c>
      <c r="F51" s="831" t="str">
        <f>'EEM Data Entry'!E141</f>
        <v/>
      </c>
      <c r="G51" s="831" t="str">
        <f>'EEM Data Entry'!G141</f>
        <v>N/A</v>
      </c>
      <c r="H51" s="831" t="str">
        <f>'EEM Data Entry'!F141</f>
        <v/>
      </c>
      <c r="I51" s="831">
        <f>'Individual Measure List'!F66</f>
        <v>0</v>
      </c>
      <c r="J51" s="833" t="str">
        <f>IF('Savings Summary'!D69=0,"",'Savings Summary'!D69)</f>
        <v/>
      </c>
      <c r="K51" s="833" t="str">
        <f>IF('Savings Summary'!F69=0,"",'Savings Summary'!F69)</f>
        <v/>
      </c>
      <c r="L51" s="833" t="str">
        <f>IF('Savings Summary'!H69=0,"",'Savings Summary'!H69)</f>
        <v/>
      </c>
      <c r="M51" s="833" t="str">
        <f>IF('Savings Summary'!J69=0,"",'Savings Summary'!J69)</f>
        <v/>
      </c>
      <c r="N51" s="833" t="e">
        <f>'Individual Measure List'!H66</f>
        <v>#VALUE!</v>
      </c>
      <c r="O51" s="834" t="e">
        <f>'Individual Measure List'!J66</f>
        <v>#NUM!</v>
      </c>
      <c r="P51" s="831" t="e">
        <f>'Individual Measure List'!K66</f>
        <v>#VALUE!</v>
      </c>
      <c r="U51" s="829" t="str">
        <f t="shared" si="36"/>
        <v/>
      </c>
      <c r="V51" s="830" t="str">
        <f t="shared" si="37"/>
        <v/>
      </c>
      <c r="W51" s="831" t="str">
        <f t="shared" si="38"/>
        <v/>
      </c>
      <c r="X51" s="831">
        <f t="shared" si="39"/>
        <v>0</v>
      </c>
      <c r="Y51" s="833" t="str">
        <f t="shared" si="40"/>
        <v/>
      </c>
      <c r="Z51" s="833" t="str">
        <f t="shared" si="41"/>
        <v/>
      </c>
      <c r="AA51" s="833" t="str">
        <f t="shared" si="42"/>
        <v/>
      </c>
      <c r="AB51" s="833" t="str">
        <f t="shared" si="43"/>
        <v/>
      </c>
      <c r="AC51" s="833" t="e">
        <f t="shared" si="44"/>
        <v>#VALUE!</v>
      </c>
      <c r="AD51" s="834" t="e">
        <f t="shared" si="45"/>
        <v>#NUM!</v>
      </c>
      <c r="AE51" s="831" t="e">
        <f t="shared" si="46"/>
        <v>#VALUE!</v>
      </c>
      <c r="AP51" s="832">
        <f>'Individual Measure List'!G66</f>
        <v>0</v>
      </c>
    </row>
    <row r="52" spans="1:42" ht="13.5" thickBot="1" x14ac:dyDescent="0.35">
      <c r="A52" s="825">
        <f>SUM(B6:B52)</f>
        <v>32</v>
      </c>
      <c r="B52" s="825">
        <f t="shared" si="47"/>
        <v>1</v>
      </c>
      <c r="C52" s="835" t="str">
        <f>'Individual Measure List'!A67</f>
        <v/>
      </c>
      <c r="D52" s="836" t="str">
        <f>'Individual Measure List'!B67</f>
        <v/>
      </c>
      <c r="E52" s="837" t="str">
        <f>'EEM Data Entry'!D142</f>
        <v/>
      </c>
      <c r="F52" s="837" t="str">
        <f>'EEM Data Entry'!E142</f>
        <v/>
      </c>
      <c r="G52" s="837" t="str">
        <f>'EEM Data Entry'!G142</f>
        <v>N/A</v>
      </c>
      <c r="H52" s="837" t="str">
        <f>'EEM Data Entry'!F142</f>
        <v/>
      </c>
      <c r="I52" s="837">
        <f>'Individual Measure List'!F67</f>
        <v>0</v>
      </c>
      <c r="J52" s="839" t="str">
        <f>IF('Savings Summary'!D70=0,"",'Savings Summary'!D70)</f>
        <v/>
      </c>
      <c r="K52" s="839" t="str">
        <f>IF('Savings Summary'!F70=0,"",'Savings Summary'!F70)</f>
        <v/>
      </c>
      <c r="L52" s="839" t="str">
        <f>IF('Savings Summary'!H70=0,"",'Savings Summary'!H70)</f>
        <v/>
      </c>
      <c r="M52" s="839" t="str">
        <f>IF('Savings Summary'!J70=0,"",'Savings Summary'!J70)</f>
        <v/>
      </c>
      <c r="N52" s="839" t="e">
        <f>'Individual Measure List'!H67</f>
        <v>#VALUE!</v>
      </c>
      <c r="O52" s="840" t="e">
        <f>'Individual Measure List'!J67</f>
        <v>#NUM!</v>
      </c>
      <c r="P52" s="837" t="e">
        <f>'Individual Measure List'!K67</f>
        <v>#VALUE!</v>
      </c>
      <c r="U52" s="835" t="str">
        <f t="shared" si="36"/>
        <v/>
      </c>
      <c r="V52" s="836" t="str">
        <f t="shared" si="37"/>
        <v/>
      </c>
      <c r="W52" s="837" t="str">
        <f t="shared" si="38"/>
        <v/>
      </c>
      <c r="X52" s="837">
        <f t="shared" si="39"/>
        <v>0</v>
      </c>
      <c r="Y52" s="839" t="str">
        <f t="shared" si="40"/>
        <v/>
      </c>
      <c r="Z52" s="839" t="str">
        <f t="shared" si="41"/>
        <v/>
      </c>
      <c r="AA52" s="839" t="str">
        <f t="shared" si="42"/>
        <v/>
      </c>
      <c r="AB52" s="839" t="str">
        <f t="shared" si="43"/>
        <v/>
      </c>
      <c r="AC52" s="839" t="e">
        <f t="shared" si="44"/>
        <v>#VALUE!</v>
      </c>
      <c r="AD52" s="840" t="e">
        <f t="shared" si="45"/>
        <v>#NUM!</v>
      </c>
      <c r="AE52" s="837" t="e">
        <f t="shared" si="46"/>
        <v>#VALUE!</v>
      </c>
      <c r="AP52" s="838">
        <f>'Individual Measure List'!G67</f>
        <v>0</v>
      </c>
    </row>
    <row r="53" spans="1:42" ht="13.5" thickBot="1" x14ac:dyDescent="0.35">
      <c r="A53" s="825">
        <f>SUM(B6:B53)</f>
        <v>33</v>
      </c>
      <c r="B53" s="825">
        <f t="shared" si="47"/>
        <v>1</v>
      </c>
      <c r="C53" s="829" t="str">
        <f>'Individual Measure List'!A68</f>
        <v/>
      </c>
      <c r="D53" s="830" t="str">
        <f>'Individual Measure List'!B68</f>
        <v/>
      </c>
      <c r="E53" s="831" t="str">
        <f>'EEM Data Entry'!D143</f>
        <v/>
      </c>
      <c r="F53" s="831" t="str">
        <f>'EEM Data Entry'!E143</f>
        <v/>
      </c>
      <c r="G53" s="831" t="str">
        <f>'EEM Data Entry'!G143</f>
        <v>N/A</v>
      </c>
      <c r="H53" s="831" t="str">
        <f>'EEM Data Entry'!F143</f>
        <v/>
      </c>
      <c r="I53" s="831">
        <f>'Individual Measure List'!F68</f>
        <v>0</v>
      </c>
      <c r="J53" s="833" t="str">
        <f>IF('Savings Summary'!D71=0,"",'Savings Summary'!D71)</f>
        <v/>
      </c>
      <c r="K53" s="833" t="str">
        <f>IF('Savings Summary'!F71=0,"",'Savings Summary'!F71)</f>
        <v/>
      </c>
      <c r="L53" s="833" t="str">
        <f>IF('Savings Summary'!H71=0,"",'Savings Summary'!H71)</f>
        <v/>
      </c>
      <c r="M53" s="833" t="str">
        <f>IF('Savings Summary'!J71=0,"",'Savings Summary'!J71)</f>
        <v/>
      </c>
      <c r="N53" s="833" t="e">
        <f>'Individual Measure List'!H68</f>
        <v>#VALUE!</v>
      </c>
      <c r="O53" s="834" t="e">
        <f>'Individual Measure List'!J68</f>
        <v>#NUM!</v>
      </c>
      <c r="P53" s="831" t="e">
        <f>'Individual Measure List'!K68</f>
        <v>#VALUE!</v>
      </c>
      <c r="U53" s="829" t="str">
        <f t="shared" si="36"/>
        <v/>
      </c>
      <c r="V53" s="830" t="str">
        <f t="shared" si="37"/>
        <v/>
      </c>
      <c r="W53" s="831" t="str">
        <f t="shared" si="38"/>
        <v/>
      </c>
      <c r="X53" s="831">
        <f t="shared" si="39"/>
        <v>0</v>
      </c>
      <c r="Y53" s="833" t="str">
        <f t="shared" si="40"/>
        <v/>
      </c>
      <c r="Z53" s="833" t="str">
        <f t="shared" si="41"/>
        <v/>
      </c>
      <c r="AA53" s="833" t="str">
        <f t="shared" si="42"/>
        <v/>
      </c>
      <c r="AB53" s="833" t="str">
        <f t="shared" si="43"/>
        <v/>
      </c>
      <c r="AC53" s="833" t="e">
        <f t="shared" si="44"/>
        <v>#VALUE!</v>
      </c>
      <c r="AD53" s="834" t="e">
        <f t="shared" si="45"/>
        <v>#NUM!</v>
      </c>
      <c r="AE53" s="831" t="e">
        <f t="shared" si="46"/>
        <v>#VALUE!</v>
      </c>
      <c r="AP53" s="832">
        <f>'Individual Measure List'!G68</f>
        <v>0</v>
      </c>
    </row>
    <row r="54" spans="1:42" ht="13.5" thickBot="1" x14ac:dyDescent="0.35">
      <c r="A54" s="825">
        <f>SUM(B6:B54)</f>
        <v>34</v>
      </c>
      <c r="B54" s="825">
        <f t="shared" si="47"/>
        <v>1</v>
      </c>
      <c r="C54" s="835" t="str">
        <f>'Individual Measure List'!A69</f>
        <v/>
      </c>
      <c r="D54" s="836" t="str">
        <f>'Individual Measure List'!B69</f>
        <v/>
      </c>
      <c r="E54" s="837" t="str">
        <f>'EEM Data Entry'!D144</f>
        <v/>
      </c>
      <c r="F54" s="837" t="str">
        <f>'EEM Data Entry'!E144</f>
        <v/>
      </c>
      <c r="G54" s="837" t="str">
        <f>'EEM Data Entry'!G144</f>
        <v>N/A</v>
      </c>
      <c r="H54" s="837" t="str">
        <f>'EEM Data Entry'!F144</f>
        <v/>
      </c>
      <c r="I54" s="837">
        <f>'Individual Measure List'!F69</f>
        <v>0</v>
      </c>
      <c r="J54" s="839" t="str">
        <f>IF('Savings Summary'!D72=0,"",'Savings Summary'!D72)</f>
        <v/>
      </c>
      <c r="K54" s="839" t="str">
        <f>IF('Savings Summary'!F72=0,"",'Savings Summary'!F72)</f>
        <v/>
      </c>
      <c r="L54" s="839" t="str">
        <f>IF('Savings Summary'!H72=0,"",'Savings Summary'!H72)</f>
        <v/>
      </c>
      <c r="M54" s="839" t="str">
        <f>IF('Savings Summary'!J72=0,"",'Savings Summary'!J72)</f>
        <v/>
      </c>
      <c r="N54" s="839" t="e">
        <f>'Individual Measure List'!H69</f>
        <v>#VALUE!</v>
      </c>
      <c r="O54" s="840" t="e">
        <f>'Individual Measure List'!J69</f>
        <v>#NUM!</v>
      </c>
      <c r="P54" s="837" t="e">
        <f>'Individual Measure List'!K69</f>
        <v>#VALUE!</v>
      </c>
      <c r="U54" s="835" t="str">
        <f t="shared" si="36"/>
        <v/>
      </c>
      <c r="V54" s="836" t="str">
        <f t="shared" si="37"/>
        <v/>
      </c>
      <c r="W54" s="837" t="str">
        <f t="shared" si="38"/>
        <v/>
      </c>
      <c r="X54" s="837">
        <f t="shared" si="39"/>
        <v>0</v>
      </c>
      <c r="Y54" s="839" t="str">
        <f t="shared" si="40"/>
        <v/>
      </c>
      <c r="Z54" s="839" t="str">
        <f t="shared" si="41"/>
        <v/>
      </c>
      <c r="AA54" s="839" t="str">
        <f t="shared" si="42"/>
        <v/>
      </c>
      <c r="AB54" s="839" t="str">
        <f t="shared" si="43"/>
        <v/>
      </c>
      <c r="AC54" s="839" t="e">
        <f t="shared" si="44"/>
        <v>#VALUE!</v>
      </c>
      <c r="AD54" s="840" t="e">
        <f t="shared" si="45"/>
        <v>#NUM!</v>
      </c>
      <c r="AE54" s="837" t="e">
        <f t="shared" si="46"/>
        <v>#VALUE!</v>
      </c>
      <c r="AP54" s="838">
        <f>'Individual Measure List'!G69</f>
        <v>0</v>
      </c>
    </row>
    <row r="55" spans="1:42" ht="13.5" thickBot="1" x14ac:dyDescent="0.35">
      <c r="A55" s="825">
        <f>SUM(B6:B55)</f>
        <v>35</v>
      </c>
      <c r="B55" s="825">
        <f t="shared" si="47"/>
        <v>1</v>
      </c>
      <c r="C55" s="829" t="str">
        <f>'Individual Measure List'!A70</f>
        <v/>
      </c>
      <c r="D55" s="830" t="str">
        <f>'Individual Measure List'!B70</f>
        <v/>
      </c>
      <c r="E55" s="831" t="str">
        <f>'EEM Data Entry'!D145</f>
        <v/>
      </c>
      <c r="F55" s="831" t="str">
        <f>'EEM Data Entry'!E145</f>
        <v/>
      </c>
      <c r="G55" s="831" t="str">
        <f>'EEM Data Entry'!G145</f>
        <v>N/A</v>
      </c>
      <c r="H55" s="831" t="str">
        <f>'EEM Data Entry'!F145</f>
        <v/>
      </c>
      <c r="I55" s="831">
        <f>'Individual Measure List'!F70</f>
        <v>0</v>
      </c>
      <c r="J55" s="833" t="str">
        <f>IF('Savings Summary'!D73=0,"",'Savings Summary'!D73)</f>
        <v/>
      </c>
      <c r="K55" s="833" t="str">
        <f>IF('Savings Summary'!F73=0,"",'Savings Summary'!F73)</f>
        <v/>
      </c>
      <c r="L55" s="833" t="str">
        <f>IF('Savings Summary'!H73=0,"",'Savings Summary'!H73)</f>
        <v/>
      </c>
      <c r="M55" s="833" t="str">
        <f>IF('Savings Summary'!J73=0,"",'Savings Summary'!J73)</f>
        <v/>
      </c>
      <c r="N55" s="833" t="e">
        <f>'Individual Measure List'!H70</f>
        <v>#VALUE!</v>
      </c>
      <c r="O55" s="834" t="e">
        <f>'Individual Measure List'!J70</f>
        <v>#NUM!</v>
      </c>
      <c r="P55" s="831" t="e">
        <f>'Individual Measure List'!K70</f>
        <v>#VALUE!</v>
      </c>
      <c r="U55" s="829" t="str">
        <f t="shared" si="36"/>
        <v/>
      </c>
      <c r="V55" s="830" t="str">
        <f t="shared" si="37"/>
        <v/>
      </c>
      <c r="W55" s="831" t="str">
        <f t="shared" si="38"/>
        <v/>
      </c>
      <c r="X55" s="831">
        <f t="shared" si="39"/>
        <v>0</v>
      </c>
      <c r="Y55" s="833" t="str">
        <f t="shared" si="40"/>
        <v/>
      </c>
      <c r="Z55" s="833" t="str">
        <f t="shared" si="41"/>
        <v/>
      </c>
      <c r="AA55" s="833" t="str">
        <f t="shared" si="42"/>
        <v/>
      </c>
      <c r="AB55" s="833" t="str">
        <f t="shared" si="43"/>
        <v/>
      </c>
      <c r="AC55" s="833" t="e">
        <f t="shared" si="44"/>
        <v>#VALUE!</v>
      </c>
      <c r="AD55" s="834" t="e">
        <f t="shared" si="45"/>
        <v>#NUM!</v>
      </c>
      <c r="AE55" s="831" t="e">
        <f t="shared" si="46"/>
        <v>#VALUE!</v>
      </c>
      <c r="AP55" s="832">
        <f>'Individual Measure List'!G70</f>
        <v>0</v>
      </c>
    </row>
    <row r="56" spans="1:42" ht="13.5" thickBot="1" x14ac:dyDescent="0.35">
      <c r="A56" s="825">
        <f>SUM(B6:B56)</f>
        <v>36</v>
      </c>
      <c r="B56" s="825">
        <f t="shared" si="47"/>
        <v>1</v>
      </c>
      <c r="C56" s="835" t="str">
        <f>'Individual Measure List'!A71</f>
        <v/>
      </c>
      <c r="D56" s="836" t="str">
        <f>'Individual Measure List'!B71</f>
        <v/>
      </c>
      <c r="E56" s="837" t="str">
        <f>'EEM Data Entry'!D146</f>
        <v/>
      </c>
      <c r="F56" s="837" t="str">
        <f>'EEM Data Entry'!E146</f>
        <v/>
      </c>
      <c r="G56" s="837" t="str">
        <f>'EEM Data Entry'!G146</f>
        <v>N/A</v>
      </c>
      <c r="H56" s="837" t="str">
        <f>'EEM Data Entry'!F146</f>
        <v/>
      </c>
      <c r="I56" s="837">
        <f>'Individual Measure List'!F71</f>
        <v>0</v>
      </c>
      <c r="J56" s="839" t="str">
        <f>IF('Savings Summary'!D74=0,"",'Savings Summary'!D74)</f>
        <v/>
      </c>
      <c r="K56" s="839" t="str">
        <f>IF('Savings Summary'!F74=0,"",'Savings Summary'!F74)</f>
        <v/>
      </c>
      <c r="L56" s="839" t="str">
        <f>IF('Savings Summary'!H74=0,"",'Savings Summary'!H74)</f>
        <v/>
      </c>
      <c r="M56" s="839" t="str">
        <f>IF('Savings Summary'!J74=0,"",'Savings Summary'!J74)</f>
        <v/>
      </c>
      <c r="N56" s="839" t="e">
        <f>'Individual Measure List'!H71</f>
        <v>#VALUE!</v>
      </c>
      <c r="O56" s="840" t="e">
        <f>'Individual Measure List'!J71</f>
        <v>#NUM!</v>
      </c>
      <c r="P56" s="837" t="e">
        <f>'Individual Measure List'!K71</f>
        <v>#VALUE!</v>
      </c>
      <c r="U56" s="835" t="str">
        <f t="shared" si="36"/>
        <v/>
      </c>
      <c r="V56" s="836" t="str">
        <f t="shared" si="37"/>
        <v/>
      </c>
      <c r="W56" s="837" t="str">
        <f t="shared" si="38"/>
        <v/>
      </c>
      <c r="X56" s="837">
        <f t="shared" si="39"/>
        <v>0</v>
      </c>
      <c r="Y56" s="839" t="str">
        <f t="shared" si="40"/>
        <v/>
      </c>
      <c r="Z56" s="839" t="str">
        <f t="shared" si="41"/>
        <v/>
      </c>
      <c r="AA56" s="839" t="str">
        <f t="shared" si="42"/>
        <v/>
      </c>
      <c r="AB56" s="839" t="str">
        <f t="shared" si="43"/>
        <v/>
      </c>
      <c r="AC56" s="839" t="e">
        <f t="shared" si="44"/>
        <v>#VALUE!</v>
      </c>
      <c r="AD56" s="840" t="e">
        <f t="shared" si="45"/>
        <v>#NUM!</v>
      </c>
      <c r="AE56" s="837" t="e">
        <f t="shared" si="46"/>
        <v>#VALUE!</v>
      </c>
      <c r="AP56" s="838">
        <f>'Individual Measure List'!G71</f>
        <v>0</v>
      </c>
    </row>
    <row r="57" spans="1:42" ht="13.5" thickBot="1" x14ac:dyDescent="0.35">
      <c r="A57" s="825">
        <f>SUM(B6:B57)</f>
        <v>37</v>
      </c>
      <c r="B57" s="825">
        <f t="shared" si="47"/>
        <v>1</v>
      </c>
      <c r="C57" s="829" t="str">
        <f>'Individual Measure List'!A72</f>
        <v/>
      </c>
      <c r="D57" s="830" t="str">
        <f>'Individual Measure List'!B72</f>
        <v/>
      </c>
      <c r="E57" s="831" t="str">
        <f>'EEM Data Entry'!D147</f>
        <v/>
      </c>
      <c r="F57" s="831" t="str">
        <f>'EEM Data Entry'!E147</f>
        <v/>
      </c>
      <c r="G57" s="831" t="str">
        <f>'EEM Data Entry'!G147</f>
        <v>N/A</v>
      </c>
      <c r="H57" s="831" t="str">
        <f>'EEM Data Entry'!F147</f>
        <v/>
      </c>
      <c r="I57" s="831">
        <f>'Individual Measure List'!F72</f>
        <v>0</v>
      </c>
      <c r="J57" s="833" t="str">
        <f>IF('Savings Summary'!D75=0,"",'Savings Summary'!D75)</f>
        <v/>
      </c>
      <c r="K57" s="833" t="str">
        <f>IF('Savings Summary'!F75=0,"",'Savings Summary'!F75)</f>
        <v/>
      </c>
      <c r="L57" s="833" t="str">
        <f>IF('Savings Summary'!H75=0,"",'Savings Summary'!H75)</f>
        <v/>
      </c>
      <c r="M57" s="833" t="str">
        <f>IF('Savings Summary'!J75=0,"",'Savings Summary'!J75)</f>
        <v/>
      </c>
      <c r="N57" s="833" t="e">
        <f>'Individual Measure List'!H72</f>
        <v>#VALUE!</v>
      </c>
      <c r="O57" s="834" t="e">
        <f>'Individual Measure List'!J72</f>
        <v>#NUM!</v>
      </c>
      <c r="P57" s="831" t="e">
        <f>'Individual Measure List'!K72</f>
        <v>#VALUE!</v>
      </c>
      <c r="U57" s="829" t="str">
        <f t="shared" si="36"/>
        <v/>
      </c>
      <c r="V57" s="830" t="str">
        <f t="shared" si="37"/>
        <v/>
      </c>
      <c r="W57" s="831" t="str">
        <f t="shared" si="38"/>
        <v/>
      </c>
      <c r="X57" s="831">
        <f t="shared" si="39"/>
        <v>0</v>
      </c>
      <c r="Y57" s="833" t="str">
        <f t="shared" si="40"/>
        <v/>
      </c>
      <c r="Z57" s="833" t="str">
        <f t="shared" si="41"/>
        <v/>
      </c>
      <c r="AA57" s="833" t="str">
        <f t="shared" si="42"/>
        <v/>
      </c>
      <c r="AB57" s="833" t="str">
        <f t="shared" si="43"/>
        <v/>
      </c>
      <c r="AC57" s="833" t="e">
        <f t="shared" si="44"/>
        <v>#VALUE!</v>
      </c>
      <c r="AD57" s="834" t="e">
        <f t="shared" si="45"/>
        <v>#NUM!</v>
      </c>
      <c r="AE57" s="831" t="e">
        <f t="shared" si="46"/>
        <v>#VALUE!</v>
      </c>
      <c r="AP57" s="832">
        <f>'Individual Measure List'!G72</f>
        <v>0</v>
      </c>
    </row>
    <row r="58" spans="1:42" ht="13.5" thickBot="1" x14ac:dyDescent="0.35">
      <c r="A58" s="825">
        <f>SUM(B6:B58)</f>
        <v>38</v>
      </c>
      <c r="B58" s="825">
        <f t="shared" si="47"/>
        <v>1</v>
      </c>
      <c r="C58" s="835" t="str">
        <f>'Individual Measure List'!A73</f>
        <v/>
      </c>
      <c r="D58" s="836" t="str">
        <f>'Individual Measure List'!B73</f>
        <v/>
      </c>
      <c r="E58" s="837" t="str">
        <f>'EEM Data Entry'!D148</f>
        <v/>
      </c>
      <c r="F58" s="837" t="str">
        <f>'EEM Data Entry'!E148</f>
        <v/>
      </c>
      <c r="G58" s="837" t="str">
        <f>'EEM Data Entry'!G148</f>
        <v>N/A</v>
      </c>
      <c r="H58" s="837" t="str">
        <f>'EEM Data Entry'!F148</f>
        <v/>
      </c>
      <c r="I58" s="837">
        <f>'Individual Measure List'!F73</f>
        <v>0</v>
      </c>
      <c r="J58" s="839" t="str">
        <f>IF('Savings Summary'!D76=0,"",'Savings Summary'!D76)</f>
        <v/>
      </c>
      <c r="K58" s="839" t="str">
        <f>IF('Savings Summary'!F76=0,"",'Savings Summary'!F76)</f>
        <v/>
      </c>
      <c r="L58" s="839" t="str">
        <f>IF('Savings Summary'!H76=0,"",'Savings Summary'!H76)</f>
        <v/>
      </c>
      <c r="M58" s="839" t="str">
        <f>IF('Savings Summary'!J76=0,"",'Savings Summary'!J76)</f>
        <v/>
      </c>
      <c r="N58" s="839" t="e">
        <f>'Individual Measure List'!H73</f>
        <v>#VALUE!</v>
      </c>
      <c r="O58" s="840" t="e">
        <f>'Individual Measure List'!J73</f>
        <v>#NUM!</v>
      </c>
      <c r="P58" s="837" t="e">
        <f>'Individual Measure List'!K73</f>
        <v>#VALUE!</v>
      </c>
      <c r="U58" s="835" t="str">
        <f t="shared" si="36"/>
        <v/>
      </c>
      <c r="V58" s="836" t="str">
        <f t="shared" si="37"/>
        <v/>
      </c>
      <c r="W58" s="837" t="str">
        <f t="shared" si="38"/>
        <v/>
      </c>
      <c r="X58" s="837">
        <f t="shared" si="39"/>
        <v>0</v>
      </c>
      <c r="Y58" s="839" t="str">
        <f t="shared" si="40"/>
        <v/>
      </c>
      <c r="Z58" s="839" t="str">
        <f t="shared" si="41"/>
        <v/>
      </c>
      <c r="AA58" s="839" t="str">
        <f t="shared" si="42"/>
        <v/>
      </c>
      <c r="AB58" s="839" t="str">
        <f t="shared" si="43"/>
        <v/>
      </c>
      <c r="AC58" s="839" t="e">
        <f t="shared" si="44"/>
        <v>#VALUE!</v>
      </c>
      <c r="AD58" s="840" t="e">
        <f t="shared" si="45"/>
        <v>#NUM!</v>
      </c>
      <c r="AE58" s="837" t="e">
        <f t="shared" si="46"/>
        <v>#VALUE!</v>
      </c>
      <c r="AP58" s="838">
        <f>'Individual Measure List'!G73</f>
        <v>0</v>
      </c>
    </row>
    <row r="59" spans="1:42" ht="13.5" thickBot="1" x14ac:dyDescent="0.35">
      <c r="A59" s="825">
        <f>SUM(B6:B59)</f>
        <v>39</v>
      </c>
      <c r="B59" s="825">
        <f t="shared" si="47"/>
        <v>1</v>
      </c>
      <c r="C59" s="829" t="str">
        <f>'Individual Measure List'!A74</f>
        <v/>
      </c>
      <c r="D59" s="830" t="str">
        <f>'Individual Measure List'!B74</f>
        <v/>
      </c>
      <c r="E59" s="831" t="str">
        <f>'EEM Data Entry'!D149</f>
        <v/>
      </c>
      <c r="F59" s="831" t="str">
        <f>'EEM Data Entry'!E149</f>
        <v/>
      </c>
      <c r="G59" s="831" t="str">
        <f>'EEM Data Entry'!G149</f>
        <v>N/A</v>
      </c>
      <c r="H59" s="831" t="str">
        <f>'EEM Data Entry'!F149</f>
        <v/>
      </c>
      <c r="I59" s="831">
        <f>'Individual Measure List'!F74</f>
        <v>0</v>
      </c>
      <c r="J59" s="833" t="str">
        <f>IF('Savings Summary'!D77=0,"",'Savings Summary'!D77)</f>
        <v/>
      </c>
      <c r="K59" s="833" t="str">
        <f>IF('Savings Summary'!F77=0,"",'Savings Summary'!F77)</f>
        <v/>
      </c>
      <c r="L59" s="833" t="str">
        <f>IF('Savings Summary'!H77=0,"",'Savings Summary'!H77)</f>
        <v/>
      </c>
      <c r="M59" s="833" t="str">
        <f>IF('Savings Summary'!J77=0,"",'Savings Summary'!J77)</f>
        <v/>
      </c>
      <c r="N59" s="833" t="e">
        <f>'Individual Measure List'!H74</f>
        <v>#VALUE!</v>
      </c>
      <c r="O59" s="834" t="e">
        <f>'Individual Measure List'!J74</f>
        <v>#NUM!</v>
      </c>
      <c r="P59" s="831" t="e">
        <f>'Individual Measure List'!K74</f>
        <v>#VALUE!</v>
      </c>
      <c r="U59" s="829" t="str">
        <f t="shared" si="36"/>
        <v/>
      </c>
      <c r="V59" s="830" t="str">
        <f t="shared" si="37"/>
        <v/>
      </c>
      <c r="W59" s="831" t="str">
        <f t="shared" si="38"/>
        <v/>
      </c>
      <c r="X59" s="831">
        <f t="shared" si="39"/>
        <v>0</v>
      </c>
      <c r="Y59" s="833" t="str">
        <f t="shared" si="40"/>
        <v/>
      </c>
      <c r="Z59" s="833" t="str">
        <f t="shared" si="41"/>
        <v/>
      </c>
      <c r="AA59" s="833" t="str">
        <f t="shared" si="42"/>
        <v/>
      </c>
      <c r="AB59" s="833" t="str">
        <f t="shared" si="43"/>
        <v/>
      </c>
      <c r="AC59" s="833" t="e">
        <f t="shared" si="44"/>
        <v>#VALUE!</v>
      </c>
      <c r="AD59" s="834" t="e">
        <f t="shared" si="45"/>
        <v>#NUM!</v>
      </c>
      <c r="AE59" s="831" t="e">
        <f t="shared" si="46"/>
        <v>#VALUE!</v>
      </c>
      <c r="AP59" s="832">
        <f>'Individual Measure List'!G74</f>
        <v>0</v>
      </c>
    </row>
    <row r="60" spans="1:42" ht="13.5" thickBot="1" x14ac:dyDescent="0.35">
      <c r="A60" s="825">
        <f>SUM(B6:B60)</f>
        <v>40</v>
      </c>
      <c r="B60" s="825">
        <f t="shared" si="47"/>
        <v>1</v>
      </c>
      <c r="C60" s="835" t="str">
        <f>'Individual Measure List'!A75</f>
        <v/>
      </c>
      <c r="D60" s="836" t="str">
        <f>'Individual Measure List'!B75</f>
        <v/>
      </c>
      <c r="E60" s="837" t="str">
        <f>'EEM Data Entry'!D150</f>
        <v/>
      </c>
      <c r="F60" s="837" t="str">
        <f>'EEM Data Entry'!E150</f>
        <v/>
      </c>
      <c r="G60" s="837" t="str">
        <f>'EEM Data Entry'!G150</f>
        <v>N/A</v>
      </c>
      <c r="H60" s="837" t="str">
        <f>'EEM Data Entry'!F150</f>
        <v/>
      </c>
      <c r="I60" s="837">
        <f>'Individual Measure List'!F75</f>
        <v>0</v>
      </c>
      <c r="J60" s="839" t="str">
        <f>IF('Savings Summary'!D78=0,"",'Savings Summary'!D78)</f>
        <v/>
      </c>
      <c r="K60" s="839" t="str">
        <f>IF('Savings Summary'!F78=0,"",'Savings Summary'!F78)</f>
        <v/>
      </c>
      <c r="L60" s="839" t="str">
        <f>IF('Savings Summary'!H78=0,"",'Savings Summary'!H78)</f>
        <v/>
      </c>
      <c r="M60" s="839" t="str">
        <f>IF('Savings Summary'!J78=0,"",'Savings Summary'!J78)</f>
        <v/>
      </c>
      <c r="N60" s="839" t="e">
        <f>'Individual Measure List'!H75</f>
        <v>#VALUE!</v>
      </c>
      <c r="O60" s="840" t="e">
        <f>'Individual Measure List'!J75</f>
        <v>#NUM!</v>
      </c>
      <c r="P60" s="837" t="e">
        <f>'Individual Measure List'!K75</f>
        <v>#VALUE!</v>
      </c>
      <c r="U60" s="835" t="str">
        <f t="shared" si="36"/>
        <v/>
      </c>
      <c r="V60" s="836" t="str">
        <f t="shared" si="37"/>
        <v/>
      </c>
      <c r="W60" s="837" t="str">
        <f t="shared" si="38"/>
        <v/>
      </c>
      <c r="X60" s="837">
        <f t="shared" si="39"/>
        <v>0</v>
      </c>
      <c r="Y60" s="839" t="str">
        <f t="shared" si="40"/>
        <v/>
      </c>
      <c r="Z60" s="839" t="str">
        <f t="shared" si="41"/>
        <v/>
      </c>
      <c r="AA60" s="839" t="str">
        <f t="shared" si="42"/>
        <v/>
      </c>
      <c r="AB60" s="839" t="str">
        <f t="shared" si="43"/>
        <v/>
      </c>
      <c r="AC60" s="839" t="e">
        <f t="shared" si="44"/>
        <v>#VALUE!</v>
      </c>
      <c r="AD60" s="840" t="e">
        <f t="shared" si="45"/>
        <v>#NUM!</v>
      </c>
      <c r="AE60" s="837" t="e">
        <f t="shared" si="46"/>
        <v>#VALUE!</v>
      </c>
      <c r="AP60" s="838">
        <f>'Individual Measure List'!G75</f>
        <v>0</v>
      </c>
    </row>
    <row r="61" spans="1:42" ht="16" customHeight="1" thickBot="1" x14ac:dyDescent="0.35">
      <c r="C61" s="957" t="s">
        <v>381</v>
      </c>
      <c r="D61" s="958"/>
      <c r="E61" s="958"/>
      <c r="F61" s="958"/>
      <c r="G61" s="958"/>
      <c r="H61" s="958"/>
      <c r="I61" s="958"/>
      <c r="J61" s="958"/>
      <c r="K61" s="958"/>
      <c r="L61" s="958"/>
      <c r="M61" s="958"/>
      <c r="N61" s="958"/>
      <c r="O61" s="958"/>
      <c r="P61" s="959"/>
      <c r="U61" s="957" t="s">
        <v>381</v>
      </c>
      <c r="V61" s="958"/>
      <c r="W61" s="958"/>
      <c r="X61" s="958"/>
      <c r="Y61" s="958"/>
      <c r="Z61" s="958"/>
      <c r="AA61" s="958"/>
      <c r="AB61" s="958"/>
      <c r="AC61" s="958"/>
      <c r="AD61" s="958"/>
      <c r="AE61" s="959"/>
      <c r="AP61" s="867"/>
    </row>
    <row r="63" spans="1:42" x14ac:dyDescent="0.3">
      <c r="C63" s="826" t="s">
        <v>211</v>
      </c>
      <c r="U63" s="826" t="s">
        <v>211</v>
      </c>
    </row>
    <row r="64" spans="1:42" ht="13.5" thickBot="1" x14ac:dyDescent="0.35"/>
    <row r="65" spans="4:42" ht="52.5" thickBot="1" x14ac:dyDescent="0.35">
      <c r="D65" s="827"/>
      <c r="E65" s="828" t="s">
        <v>129</v>
      </c>
      <c r="F65" s="828" t="s">
        <v>371</v>
      </c>
      <c r="G65" s="828" t="s">
        <v>377</v>
      </c>
      <c r="H65" s="828" t="s">
        <v>372</v>
      </c>
      <c r="I65" s="828" t="s">
        <v>178</v>
      </c>
      <c r="J65" s="828" t="s">
        <v>373</v>
      </c>
      <c r="K65" s="828" t="s">
        <v>374</v>
      </c>
      <c r="L65" s="828" t="s">
        <v>375</v>
      </c>
      <c r="M65" s="828" t="s">
        <v>376</v>
      </c>
      <c r="N65" s="828" t="s">
        <v>183</v>
      </c>
      <c r="O65" s="828" t="s">
        <v>17</v>
      </c>
      <c r="P65" s="828" t="s">
        <v>22</v>
      </c>
      <c r="V65" s="827"/>
      <c r="W65" s="828" t="str">
        <f t="shared" ref="V65:W67" si="48">E65</f>
        <v>Capital Investment</v>
      </c>
      <c r="X65" s="828" t="str">
        <f t="shared" ref="X65:AB67" si="49">I65</f>
        <v>Annual Energy Cost Savings</v>
      </c>
      <c r="Y65" s="828" t="str">
        <f t="shared" si="49"/>
        <v>Annual Electric Savings (kWh)</v>
      </c>
      <c r="Z65" s="828" t="str">
        <f t="shared" si="49"/>
        <v>Annual Oil Savings (Gal)</v>
      </c>
      <c r="AA65" s="828" t="str">
        <f t="shared" si="49"/>
        <v>Annual Nat. Gas Savings (Therms)</v>
      </c>
      <c r="AB65" s="828" t="str">
        <f t="shared" si="49"/>
        <v>Annual Propane Savings (Gal)</v>
      </c>
      <c r="AC65" s="828" t="str">
        <f t="shared" ref="AC65:AE67" si="50">N65</f>
        <v>Simple Payback (Years)</v>
      </c>
      <c r="AD65" s="828" t="str">
        <f t="shared" si="50"/>
        <v>IRR</v>
      </c>
      <c r="AE65" s="828" t="str">
        <f t="shared" si="50"/>
        <v>NPV</v>
      </c>
      <c r="AP65" s="828" t="s">
        <v>179</v>
      </c>
    </row>
    <row r="66" spans="4:42" ht="78" customHeight="1" thickBot="1" x14ac:dyDescent="0.35">
      <c r="D66" s="829" t="str">
        <f>'Packaged EEMs'!B82</f>
        <v>RECOMMENDED PACKAGE: Example</v>
      </c>
      <c r="E66" s="831">
        <f>SUM('EEM Data Entry'!D85:D108,'EEM Data Entry'!D110:D123,'EEM Data Entry'!D125:D139,'EEM Data Entry'!D141:D154)</f>
        <v>0</v>
      </c>
      <c r="F66" s="831">
        <f>SUM('EEM Data Entry'!E85:E108,'EEM Data Entry'!E110:E123,'EEM Data Entry'!E125:E139,'EEM Data Entry'!E141:E154)</f>
        <v>0</v>
      </c>
      <c r="G66" s="831"/>
      <c r="H66" s="831">
        <f>SUM('EEM Data Entry'!F85:F108,'EEM Data Entry'!F110:F123,'EEM Data Entry'!F125:F139,'EEM Data Entry'!F141:F154)</f>
        <v>0</v>
      </c>
      <c r="I66" s="831">
        <f>'Packaged EEMs'!F82</f>
        <v>0</v>
      </c>
      <c r="J66" s="868">
        <f>'Cascading Savings'!D87</f>
        <v>0</v>
      </c>
      <c r="K66" s="868">
        <f>'Cascading Savings'!F87</f>
        <v>0</v>
      </c>
      <c r="L66" s="868">
        <f>'Cascading Savings'!H87</f>
        <v>0</v>
      </c>
      <c r="M66" s="868">
        <f>'Cascading Savings'!J87</f>
        <v>0</v>
      </c>
      <c r="N66" s="833" t="e">
        <f>'Packaged EEMs'!H82</f>
        <v>#DIV/0!</v>
      </c>
      <c r="O66" s="834" t="e">
        <f>'Packaged EEMs'!J82</f>
        <v>#NUM!</v>
      </c>
      <c r="P66" s="831">
        <f>'Packaged EEMs'!K82</f>
        <v>0</v>
      </c>
      <c r="V66" s="829" t="str">
        <f t="shared" si="48"/>
        <v>RECOMMENDED PACKAGE: Example</v>
      </c>
      <c r="W66" s="831">
        <f t="shared" si="48"/>
        <v>0</v>
      </c>
      <c r="X66" s="831">
        <f t="shared" si="49"/>
        <v>0</v>
      </c>
      <c r="Y66" s="868">
        <f t="shared" si="49"/>
        <v>0</v>
      </c>
      <c r="Z66" s="868">
        <f t="shared" si="49"/>
        <v>0</v>
      </c>
      <c r="AA66" s="868">
        <f t="shared" si="49"/>
        <v>0</v>
      </c>
      <c r="AB66" s="868">
        <f t="shared" si="49"/>
        <v>0</v>
      </c>
      <c r="AC66" s="833" t="e">
        <f t="shared" si="50"/>
        <v>#DIV/0!</v>
      </c>
      <c r="AD66" s="834" t="e">
        <f t="shared" si="50"/>
        <v>#NUM!</v>
      </c>
      <c r="AE66" s="831">
        <f t="shared" si="50"/>
        <v>0</v>
      </c>
      <c r="AP66" s="832">
        <f>'Packaged EEMs'!G82</f>
        <v>0</v>
      </c>
    </row>
    <row r="67" spans="4:42" ht="16" customHeight="1" thickBot="1" x14ac:dyDescent="0.4">
      <c r="D67" s="954" t="s">
        <v>378</v>
      </c>
      <c r="E67" s="955"/>
      <c r="F67" s="955"/>
      <c r="G67" s="955"/>
      <c r="H67" s="955"/>
      <c r="I67" s="955"/>
      <c r="J67" s="955"/>
      <c r="K67" s="955"/>
      <c r="L67" s="955"/>
      <c r="M67" s="955"/>
      <c r="N67" s="955"/>
      <c r="O67" s="955"/>
      <c r="P67" s="956"/>
      <c r="V67" s="954" t="str">
        <f t="shared" si="48"/>
        <v>*Please see "Note Regarding Incentives" on first page of financial modeling section</v>
      </c>
      <c r="W67" s="955">
        <f t="shared" si="48"/>
        <v>0</v>
      </c>
      <c r="X67" s="955">
        <f t="shared" si="49"/>
        <v>0</v>
      </c>
      <c r="Y67" s="955">
        <f t="shared" si="49"/>
        <v>0</v>
      </c>
      <c r="Z67" s="955">
        <f t="shared" si="49"/>
        <v>0</v>
      </c>
      <c r="AA67" s="955">
        <f t="shared" si="49"/>
        <v>0</v>
      </c>
      <c r="AB67" s="955">
        <f t="shared" si="49"/>
        <v>0</v>
      </c>
      <c r="AC67" s="955">
        <f t="shared" si="50"/>
        <v>0</v>
      </c>
      <c r="AD67" s="955">
        <f t="shared" si="50"/>
        <v>0</v>
      </c>
      <c r="AE67" s="956">
        <f t="shared" si="50"/>
        <v>0</v>
      </c>
    </row>
  </sheetData>
  <mergeCells count="14">
    <mergeCell ref="V67:AE67"/>
    <mergeCell ref="C46:P46"/>
    <mergeCell ref="C61:P61"/>
    <mergeCell ref="D67:P67"/>
    <mergeCell ref="C1:P1"/>
    <mergeCell ref="R6:S6"/>
    <mergeCell ref="R11:S12"/>
    <mergeCell ref="C16:P16"/>
    <mergeCell ref="C31:P31"/>
    <mergeCell ref="U1:AE1"/>
    <mergeCell ref="U16:AE16"/>
    <mergeCell ref="U31:AE31"/>
    <mergeCell ref="U46:AE46"/>
    <mergeCell ref="U61:AE61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B4D1-0D5E-47B9-AADC-4128D9798B07}">
  <sheetPr>
    <tabColor rgb="FF00B0F0"/>
  </sheetPr>
  <dimension ref="A1:I24"/>
  <sheetViews>
    <sheetView workbookViewId="0">
      <selection activeCell="K29" sqref="K29"/>
    </sheetView>
  </sheetViews>
  <sheetFormatPr defaultRowHeight="12.5" x14ac:dyDescent="0.25"/>
  <cols>
    <col min="1" max="1" width="40.90625" customWidth="1"/>
    <col min="2" max="2" width="11.36328125" customWidth="1"/>
    <col min="3" max="3" width="11.1796875" bestFit="1" customWidth="1"/>
    <col min="4" max="4" width="9.90625" customWidth="1"/>
  </cols>
  <sheetData>
    <row r="1" spans="1:9" ht="52.5" thickBot="1" x14ac:dyDescent="0.35">
      <c r="A1" s="877" t="s">
        <v>237</v>
      </c>
      <c r="B1" s="877" t="s">
        <v>388</v>
      </c>
      <c r="C1" s="877" t="s">
        <v>373</v>
      </c>
      <c r="D1" s="877" t="s">
        <v>391</v>
      </c>
      <c r="E1" s="877" t="s">
        <v>382</v>
      </c>
      <c r="F1" s="877" t="s">
        <v>389</v>
      </c>
      <c r="G1" s="877" t="s">
        <v>383</v>
      </c>
      <c r="I1" s="876" t="s">
        <v>393</v>
      </c>
    </row>
    <row r="2" spans="1:9" ht="13.5" thickBot="1" x14ac:dyDescent="0.35">
      <c r="A2" s="878" t="str">
        <f>IFERROR(_xlfn.CONCAT("ECM-",'RESULTS Eversource'!$I2,": ",VLOOKUP($I2,'RESULTS by Fuel'!$A$6:$P$60,4,FALSE)),"")</f>
        <v xml:space="preserve">ECM-1: </v>
      </c>
      <c r="B2" s="879" t="str">
        <f>IFERROR(VLOOKUP($I2,'RESULTS by Fuel'!$A$6:$P$60,8,FALSE),"")</f>
        <v/>
      </c>
      <c r="C2" s="880" t="str">
        <f>IFERROR(VLOOKUP($I2,'RESULTS by Fuel'!$A$6:$P$60,10,FALSE),"")</f>
        <v/>
      </c>
      <c r="D2" s="880" t="str">
        <f>IFERROR(VLOOKUP($I2,'RESULTS by Fuel'!$A$6:$P$60,12,FALSE),"")</f>
        <v/>
      </c>
      <c r="E2" s="881">
        <f>IFERROR(VLOOKUP($I2,'RESULTS by Fuel'!$A$6:$P$60,9,FALSE),"")</f>
        <v>0</v>
      </c>
      <c r="F2" s="882" t="str">
        <f>IFERROR(VLOOKUP($I2,'RESULTS by Fuel'!$A$6:$P$60,14,FALSE),"")</f>
        <v/>
      </c>
      <c r="G2" s="883"/>
      <c r="I2" s="876">
        <v>1</v>
      </c>
    </row>
    <row r="3" spans="1:9" ht="13.5" thickBot="1" x14ac:dyDescent="0.35">
      <c r="A3" s="884" t="str">
        <f>IFERROR(_xlfn.CONCAT("ECM-",'RESULTS Eversource'!$I3,": ",VLOOKUP($I3,'RESULTS by Fuel'!$A$6:$P$60,4,FALSE)),"")</f>
        <v xml:space="preserve">ECM-2: </v>
      </c>
      <c r="B3" s="885" t="str">
        <f>IFERROR(VLOOKUP($I3,'RESULTS by Fuel'!$A$6:$P$60,8,FALSE),"")</f>
        <v/>
      </c>
      <c r="C3" s="886" t="str">
        <f>IFERROR(VLOOKUP($I3,'RESULTS by Fuel'!$A$6:$P$60,10,FALSE),"")</f>
        <v/>
      </c>
      <c r="D3" s="886" t="str">
        <f>IFERROR(VLOOKUP($I3,'RESULTS by Fuel'!$A$6:$P$60,12,FALSE),"")</f>
        <v/>
      </c>
      <c r="E3" s="887">
        <f>IFERROR(VLOOKUP($I3,'RESULTS by Fuel'!$A$6:$P$60,9,FALSE),"")</f>
        <v>0</v>
      </c>
      <c r="F3" s="888" t="str">
        <f>IFERROR(VLOOKUP($I3,'RESULTS by Fuel'!$A$6:$P$60,14,FALSE),"")</f>
        <v/>
      </c>
      <c r="G3" s="889"/>
      <c r="I3" s="876">
        <v>2</v>
      </c>
    </row>
    <row r="4" spans="1:9" ht="13.5" thickBot="1" x14ac:dyDescent="0.35">
      <c r="A4" s="878" t="str">
        <f>IFERROR(_xlfn.CONCAT("ECM-",'RESULTS Eversource'!$I4,": ",VLOOKUP($I4,'RESULTS by Fuel'!$A$6:$P$60,4,FALSE)),"")</f>
        <v xml:space="preserve">ECM-3: </v>
      </c>
      <c r="B4" s="879" t="str">
        <f>IFERROR(VLOOKUP($I4,'RESULTS by Fuel'!$A$6:$P$60,8,FALSE),"")</f>
        <v/>
      </c>
      <c r="C4" s="880" t="str">
        <f>IFERROR(VLOOKUP($I4,'RESULTS by Fuel'!$A$6:$P$60,10,FALSE),"")</f>
        <v/>
      </c>
      <c r="D4" s="880" t="str">
        <f>IFERROR(VLOOKUP($I4,'RESULTS by Fuel'!$A$6:$P$60,12,FALSE),"")</f>
        <v/>
      </c>
      <c r="E4" s="881">
        <f>IFERROR(VLOOKUP($I4,'RESULTS by Fuel'!$A$6:$P$60,9,FALSE),"")</f>
        <v>0</v>
      </c>
      <c r="F4" s="882" t="str">
        <f>IFERROR(VLOOKUP($I4,'RESULTS by Fuel'!$A$6:$P$60,14,FALSE),"")</f>
        <v/>
      </c>
      <c r="G4" s="883"/>
      <c r="I4" s="876">
        <v>3</v>
      </c>
    </row>
    <row r="5" spans="1:9" ht="13.5" thickBot="1" x14ac:dyDescent="0.35">
      <c r="A5" s="884" t="str">
        <f>IFERROR(_xlfn.CONCAT("ECM-",'RESULTS Eversource'!$I5,": ",VLOOKUP($I5,'RESULTS by Fuel'!$A$6:$P$60,4,FALSE)),"")</f>
        <v xml:space="preserve">ECM-4: </v>
      </c>
      <c r="B5" s="885" t="str">
        <f>IFERROR(VLOOKUP($I5,'RESULTS by Fuel'!$A$6:$P$60,8,FALSE),"")</f>
        <v/>
      </c>
      <c r="C5" s="886" t="str">
        <f>IFERROR(VLOOKUP($I5,'RESULTS by Fuel'!$A$6:$P$60,10,FALSE),"")</f>
        <v/>
      </c>
      <c r="D5" s="886" t="str">
        <f>IFERROR(VLOOKUP($I5,'RESULTS by Fuel'!$A$6:$P$60,12,FALSE),"")</f>
        <v/>
      </c>
      <c r="E5" s="887">
        <f>IFERROR(VLOOKUP($I5,'RESULTS by Fuel'!$A$6:$P$60,9,FALSE),"")</f>
        <v>0</v>
      </c>
      <c r="F5" s="888" t="str">
        <f>IFERROR(VLOOKUP($I5,'RESULTS by Fuel'!$A$6:$P$60,14,FALSE),"")</f>
        <v/>
      </c>
      <c r="G5" s="889"/>
      <c r="I5" s="876">
        <v>4</v>
      </c>
    </row>
    <row r="6" spans="1:9" ht="13.5" thickBot="1" x14ac:dyDescent="0.35">
      <c r="A6" s="878" t="str">
        <f>IFERROR(_xlfn.CONCAT("ECM-",'RESULTS Eversource'!$I6,": ",VLOOKUP($I6,'RESULTS by Fuel'!$A$6:$P$60,4,FALSE)),"")</f>
        <v xml:space="preserve">ECM-5: </v>
      </c>
      <c r="B6" s="879" t="str">
        <f>IFERROR(VLOOKUP($I6,'RESULTS by Fuel'!$A$6:$P$60,8,FALSE),"")</f>
        <v/>
      </c>
      <c r="C6" s="880" t="str">
        <f>IFERROR(VLOOKUP($I6,'RESULTS by Fuel'!$A$6:$P$60,10,FALSE),"")</f>
        <v/>
      </c>
      <c r="D6" s="880" t="str">
        <f>IFERROR(VLOOKUP($I6,'RESULTS by Fuel'!$A$6:$P$60,12,FALSE),"")</f>
        <v/>
      </c>
      <c r="E6" s="881">
        <f>IFERROR(VLOOKUP($I6,'RESULTS by Fuel'!$A$6:$P$60,9,FALSE),"")</f>
        <v>0</v>
      </c>
      <c r="F6" s="882" t="str">
        <f>IFERROR(VLOOKUP($I6,'RESULTS by Fuel'!$A$6:$P$60,14,FALSE),"")</f>
        <v/>
      </c>
      <c r="G6" s="883"/>
      <c r="I6" s="876">
        <v>5</v>
      </c>
    </row>
    <row r="7" spans="1:9" ht="13.5" thickBot="1" x14ac:dyDescent="0.35">
      <c r="A7" s="884" t="s">
        <v>392</v>
      </c>
      <c r="B7" s="890">
        <f>IFERROR('RESULTS by Fuel'!E66,"")</f>
        <v>0</v>
      </c>
      <c r="C7" s="886">
        <f>IFERROR('RESULTS by Fuel'!J66,"")</f>
        <v>0</v>
      </c>
      <c r="D7" s="886">
        <f>IFERROR('RESULTS by Fuel'!L66,"")</f>
        <v>0</v>
      </c>
      <c r="E7" s="891">
        <f>IFERROR('RESULTS by Fuel'!I66,"")</f>
        <v>0</v>
      </c>
      <c r="F7" s="888" t="str">
        <f>IFERROR('RESULTS by Fuel'!N66,"")</f>
        <v/>
      </c>
      <c r="G7" s="892" t="s">
        <v>384</v>
      </c>
      <c r="I7" s="875"/>
    </row>
    <row r="8" spans="1:9" ht="13.5" x14ac:dyDescent="0.25">
      <c r="A8" s="977" t="s">
        <v>394</v>
      </c>
      <c r="B8" s="977"/>
      <c r="C8" s="977"/>
      <c r="D8" s="977"/>
      <c r="E8" s="977"/>
      <c r="F8" s="977"/>
      <c r="G8" s="977"/>
    </row>
    <row r="9" spans="1:9" ht="14.5" x14ac:dyDescent="0.25">
      <c r="A9" s="978" t="s">
        <v>385</v>
      </c>
      <c r="B9" s="978"/>
      <c r="C9" s="978"/>
      <c r="D9" s="978"/>
      <c r="E9" s="978"/>
      <c r="F9" s="978"/>
      <c r="G9" s="978"/>
    </row>
    <row r="10" spans="1:9" ht="13.5" x14ac:dyDescent="0.25">
      <c r="A10" s="977" t="s">
        <v>386</v>
      </c>
      <c r="B10" s="977"/>
      <c r="C10" s="977"/>
      <c r="D10" s="977"/>
      <c r="E10" s="977"/>
      <c r="F10" s="977"/>
      <c r="G10" s="977"/>
    </row>
    <row r="11" spans="1:9" ht="28.5" customHeight="1" x14ac:dyDescent="0.25">
      <c r="A11" s="978" t="s">
        <v>387</v>
      </c>
      <c r="B11" s="978"/>
      <c r="C11" s="978"/>
      <c r="D11" s="978"/>
      <c r="E11" s="978"/>
      <c r="F11" s="978"/>
      <c r="G11" s="978"/>
    </row>
    <row r="13" spans="1:9" ht="13" thickBot="1" x14ac:dyDescent="0.3"/>
    <row r="14" spans="1:9" ht="52" x14ac:dyDescent="0.3">
      <c r="A14" s="871" t="s">
        <v>237</v>
      </c>
      <c r="B14" s="872" t="s">
        <v>388</v>
      </c>
      <c r="C14" s="873" t="s">
        <v>373</v>
      </c>
      <c r="D14" s="873" t="s">
        <v>391</v>
      </c>
      <c r="E14" s="873" t="s">
        <v>382</v>
      </c>
      <c r="F14" s="872" t="s">
        <v>389</v>
      </c>
      <c r="G14" s="874" t="s">
        <v>383</v>
      </c>
    </row>
    <row r="15" spans="1:9" ht="13.5" thickBot="1" x14ac:dyDescent="0.3">
      <c r="A15" s="869" t="str">
        <f t="shared" ref="A15:A20" si="0">A2</f>
        <v xml:space="preserve">ECM-1: </v>
      </c>
      <c r="B15" s="869" t="str">
        <f t="shared" ref="B15:G15" si="1">B2</f>
        <v/>
      </c>
      <c r="C15" s="869" t="str">
        <f t="shared" si="1"/>
        <v/>
      </c>
      <c r="D15" s="869" t="str">
        <f t="shared" si="1"/>
        <v/>
      </c>
      <c r="E15" s="869">
        <f t="shared" si="1"/>
        <v>0</v>
      </c>
      <c r="F15" s="869" t="str">
        <f t="shared" si="1"/>
        <v/>
      </c>
      <c r="G15" s="869">
        <f t="shared" si="1"/>
        <v>0</v>
      </c>
    </row>
    <row r="16" spans="1:9" ht="13.5" thickBot="1" x14ac:dyDescent="0.3">
      <c r="A16" s="870" t="str">
        <f t="shared" si="0"/>
        <v xml:space="preserve">ECM-2: </v>
      </c>
      <c r="B16" s="870" t="str">
        <f t="shared" ref="B16:G16" si="2">B3</f>
        <v/>
      </c>
      <c r="C16" s="870" t="str">
        <f t="shared" si="2"/>
        <v/>
      </c>
      <c r="D16" s="870" t="str">
        <f t="shared" si="2"/>
        <v/>
      </c>
      <c r="E16" s="870">
        <f t="shared" si="2"/>
        <v>0</v>
      </c>
      <c r="F16" s="870" t="str">
        <f t="shared" si="2"/>
        <v/>
      </c>
      <c r="G16" s="870">
        <f t="shared" si="2"/>
        <v>0</v>
      </c>
    </row>
    <row r="17" spans="1:7" ht="13.5" thickBot="1" x14ac:dyDescent="0.3">
      <c r="A17" s="869" t="str">
        <f t="shared" si="0"/>
        <v xml:space="preserve">ECM-3: </v>
      </c>
      <c r="B17" s="869" t="str">
        <f t="shared" ref="B17:G17" si="3">B4</f>
        <v/>
      </c>
      <c r="C17" s="869" t="str">
        <f t="shared" si="3"/>
        <v/>
      </c>
      <c r="D17" s="869" t="str">
        <f t="shared" si="3"/>
        <v/>
      </c>
      <c r="E17" s="869">
        <f t="shared" si="3"/>
        <v>0</v>
      </c>
      <c r="F17" s="869" t="str">
        <f t="shared" si="3"/>
        <v/>
      </c>
      <c r="G17" s="869">
        <f t="shared" si="3"/>
        <v>0</v>
      </c>
    </row>
    <row r="18" spans="1:7" ht="13.5" thickBot="1" x14ac:dyDescent="0.3">
      <c r="A18" s="870" t="str">
        <f t="shared" si="0"/>
        <v xml:space="preserve">ECM-4: </v>
      </c>
      <c r="B18" s="870" t="str">
        <f t="shared" ref="B18:G18" si="4">B5</f>
        <v/>
      </c>
      <c r="C18" s="870" t="str">
        <f t="shared" si="4"/>
        <v/>
      </c>
      <c r="D18" s="870" t="str">
        <f t="shared" si="4"/>
        <v/>
      </c>
      <c r="E18" s="870">
        <f t="shared" si="4"/>
        <v>0</v>
      </c>
      <c r="F18" s="870" t="str">
        <f t="shared" si="4"/>
        <v/>
      </c>
      <c r="G18" s="870">
        <f t="shared" si="4"/>
        <v>0</v>
      </c>
    </row>
    <row r="19" spans="1:7" ht="13.5" thickBot="1" x14ac:dyDescent="0.3">
      <c r="A19" s="869" t="str">
        <f t="shared" si="0"/>
        <v xml:space="preserve">ECM-5: </v>
      </c>
      <c r="B19" s="869" t="str">
        <f t="shared" ref="B19:G19" si="5">B6</f>
        <v/>
      </c>
      <c r="C19" s="869" t="str">
        <f t="shared" si="5"/>
        <v/>
      </c>
      <c r="D19" s="869" t="str">
        <f t="shared" si="5"/>
        <v/>
      </c>
      <c r="E19" s="869">
        <f t="shared" si="5"/>
        <v>0</v>
      </c>
      <c r="F19" s="869" t="str">
        <f t="shared" si="5"/>
        <v/>
      </c>
      <c r="G19" s="869">
        <f t="shared" si="5"/>
        <v>0</v>
      </c>
    </row>
    <row r="20" spans="1:7" ht="13.5" thickBot="1" x14ac:dyDescent="0.3">
      <c r="A20" s="870" t="str">
        <f t="shared" si="0"/>
        <v>Packaged Results</v>
      </c>
      <c r="B20" s="870">
        <f t="shared" ref="B20:G20" si="6">B7</f>
        <v>0</v>
      </c>
      <c r="C20" s="870">
        <f t="shared" si="6"/>
        <v>0</v>
      </c>
      <c r="D20" s="870">
        <f t="shared" si="6"/>
        <v>0</v>
      </c>
      <c r="E20" s="870">
        <f t="shared" si="6"/>
        <v>0</v>
      </c>
      <c r="F20" s="870" t="str">
        <f t="shared" si="6"/>
        <v/>
      </c>
      <c r="G20" s="870" t="str">
        <f t="shared" si="6"/>
        <v>---</v>
      </c>
    </row>
    <row r="21" spans="1:7" ht="13.5" x14ac:dyDescent="0.25">
      <c r="A21" s="979" t="s">
        <v>390</v>
      </c>
      <c r="B21" s="980"/>
      <c r="C21" s="980"/>
      <c r="D21" s="980"/>
      <c r="E21" s="980"/>
      <c r="F21" s="980"/>
      <c r="G21" s="981"/>
    </row>
    <row r="22" spans="1:7" ht="14.5" x14ac:dyDescent="0.25">
      <c r="A22" s="982" t="s">
        <v>385</v>
      </c>
      <c r="B22" s="983"/>
      <c r="C22" s="983"/>
      <c r="D22" s="983"/>
      <c r="E22" s="983"/>
      <c r="F22" s="983"/>
      <c r="G22" s="984"/>
    </row>
    <row r="23" spans="1:7" ht="13.5" x14ac:dyDescent="0.25">
      <c r="A23" s="985" t="s">
        <v>386</v>
      </c>
      <c r="B23" s="986"/>
      <c r="C23" s="986"/>
      <c r="D23" s="986"/>
      <c r="E23" s="986"/>
      <c r="F23" s="986"/>
      <c r="G23" s="987"/>
    </row>
    <row r="24" spans="1:7" ht="28" customHeight="1" thickBot="1" x14ac:dyDescent="0.3">
      <c r="A24" s="974" t="s">
        <v>387</v>
      </c>
      <c r="B24" s="975"/>
      <c r="C24" s="975"/>
      <c r="D24" s="975"/>
      <c r="E24" s="975"/>
      <c r="F24" s="975"/>
      <c r="G24" s="976"/>
    </row>
  </sheetData>
  <mergeCells count="8">
    <mergeCell ref="A24:G24"/>
    <mergeCell ref="A10:G10"/>
    <mergeCell ref="A11:G11"/>
    <mergeCell ref="A8:G8"/>
    <mergeCell ref="A9:G9"/>
    <mergeCell ref="A21:G21"/>
    <mergeCell ref="A22:G22"/>
    <mergeCell ref="A23:G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tabColor rgb="FF92D050"/>
  </sheetPr>
  <dimension ref="A1:DM102"/>
  <sheetViews>
    <sheetView workbookViewId="0">
      <selection activeCell="B48" sqref="B48"/>
    </sheetView>
  </sheetViews>
  <sheetFormatPr defaultColWidth="8.90625" defaultRowHeight="13" x14ac:dyDescent="0.3"/>
  <cols>
    <col min="1" max="1" width="10.26953125" style="568" customWidth="1"/>
    <col min="2" max="2" width="72.7265625" style="568" customWidth="1"/>
    <col min="3" max="3" width="23.7265625" style="572" customWidth="1"/>
    <col min="4" max="4" width="18.26953125" style="572" customWidth="1"/>
    <col min="5" max="5" width="22.6328125" style="572" customWidth="1"/>
    <col min="6" max="6" width="23" style="572" customWidth="1"/>
    <col min="7" max="7" width="22.26953125" style="572" customWidth="1"/>
    <col min="8" max="8" width="15.81640625" style="572" customWidth="1"/>
    <col min="9" max="9" width="12" style="572" customWidth="1"/>
    <col min="10" max="10" width="19.26953125" style="572" customWidth="1"/>
    <col min="11" max="11" width="16" style="572" customWidth="1"/>
    <col min="12" max="12" width="12.7265625" style="568" customWidth="1"/>
    <col min="13" max="16" width="14.6328125" style="568" customWidth="1"/>
    <col min="17" max="17" width="22.26953125" style="568" customWidth="1"/>
    <col min="18" max="18" width="18.36328125" style="568" customWidth="1"/>
    <col min="19" max="19" width="10" style="568" customWidth="1"/>
    <col min="20" max="20" width="10.26953125" style="568" bestFit="1" customWidth="1"/>
    <col min="21" max="21" width="10" style="568" bestFit="1" customWidth="1"/>
    <col min="22" max="22" width="12.7265625" style="568" customWidth="1"/>
    <col min="23" max="23" width="12.26953125" style="568" customWidth="1"/>
    <col min="24" max="24" width="10.26953125" style="568" bestFit="1" customWidth="1"/>
    <col min="25" max="26" width="10.6328125" style="568" bestFit="1" customWidth="1"/>
    <col min="27" max="27" width="10.26953125" style="568" bestFit="1" customWidth="1"/>
    <col min="28" max="29" width="10.6328125" style="568" bestFit="1" customWidth="1"/>
    <col min="30" max="30" width="10.26953125" style="568" bestFit="1" customWidth="1"/>
    <col min="31" max="32" width="10.6328125" style="568" bestFit="1" customWidth="1"/>
    <col min="33" max="33" width="10.26953125" style="568" bestFit="1" customWidth="1"/>
    <col min="34" max="36" width="10.6328125" style="568" bestFit="1" customWidth="1"/>
    <col min="37" max="37" width="10.26953125" style="568" bestFit="1" customWidth="1"/>
    <col min="38" max="47" width="10.6328125" style="568" bestFit="1" customWidth="1"/>
    <col min="48" max="16384" width="8.90625" style="568"/>
  </cols>
  <sheetData>
    <row r="1" spans="1:117" ht="18.75" customHeight="1" x14ac:dyDescent="0.35">
      <c r="C1" s="576" t="s">
        <v>146</v>
      </c>
      <c r="D1" s="988" t="s">
        <v>0</v>
      </c>
      <c r="E1" s="988"/>
      <c r="F1" s="988" t="s">
        <v>1</v>
      </c>
      <c r="G1" s="988"/>
      <c r="H1" s="988" t="s">
        <v>2</v>
      </c>
      <c r="I1" s="988"/>
      <c r="J1" s="988" t="s">
        <v>3</v>
      </c>
      <c r="K1" s="988"/>
      <c r="L1" s="989" t="s">
        <v>175</v>
      </c>
      <c r="M1" s="989"/>
      <c r="N1" s="796"/>
      <c r="O1" s="796"/>
      <c r="P1" s="796"/>
      <c r="Q1" s="989" t="s">
        <v>23</v>
      </c>
      <c r="R1" s="989"/>
      <c r="S1" s="989" t="s">
        <v>26</v>
      </c>
      <c r="T1" s="989"/>
      <c r="U1" s="989" t="s">
        <v>176</v>
      </c>
      <c r="V1" s="990"/>
      <c r="W1" s="988" t="s">
        <v>4</v>
      </c>
      <c r="X1" s="992"/>
      <c r="Y1" s="991"/>
      <c r="Z1" s="991"/>
    </row>
    <row r="2" spans="1:117" ht="12.75" customHeight="1" x14ac:dyDescent="0.3">
      <c r="A2" s="577"/>
      <c r="C2" s="578" t="s">
        <v>20</v>
      </c>
      <c r="D2" s="579">
        <f>'Savings Summary'!D3</f>
        <v>0</v>
      </c>
      <c r="E2" s="579" t="str">
        <f>'Savings Summary'!E3</f>
        <v>kWH</v>
      </c>
      <c r="F2" s="579">
        <f>'Savings Summary'!F3</f>
        <v>0</v>
      </c>
      <c r="G2" s="579" t="str">
        <f>'Savings Summary'!G3</f>
        <v>Gallons</v>
      </c>
      <c r="H2" s="579">
        <f>'Savings Summary'!H3</f>
        <v>0</v>
      </c>
      <c r="I2" s="579" t="str">
        <f>'Savings Summary'!I3</f>
        <v>Therms</v>
      </c>
      <c r="J2" s="579">
        <f>'Savings Summary'!J3</f>
        <v>0</v>
      </c>
      <c r="K2" s="579" t="str">
        <f>'Savings Summary'!K3</f>
        <v>gallons</v>
      </c>
      <c r="L2" s="579">
        <f>'Savings Summary'!L3</f>
        <v>0</v>
      </c>
      <c r="M2" s="579" t="str">
        <f>'Savings Summary'!M3</f>
        <v>kPounds</v>
      </c>
      <c r="N2" s="579"/>
      <c r="O2" s="579"/>
      <c r="P2" s="579"/>
      <c r="Q2" s="579">
        <f>'Savings Summary'!N3</f>
        <v>0</v>
      </c>
      <c r="R2" s="579" t="str">
        <f>'Savings Summary'!O3</f>
        <v>tons</v>
      </c>
      <c r="S2" s="579">
        <f>'Savings Summary'!P3</f>
        <v>0</v>
      </c>
      <c r="T2" s="579" t="str">
        <f>'Savings Summary'!Q3</f>
        <v>tons</v>
      </c>
      <c r="U2" s="579">
        <f>'Savings Summary'!R3</f>
        <v>0</v>
      </c>
      <c r="V2" s="579" t="str">
        <f>'Savings Summary'!S3</f>
        <v>kGallons</v>
      </c>
      <c r="W2" s="579">
        <f>'Savings Summary'!T3</f>
        <v>0</v>
      </c>
      <c r="X2" s="579" t="str">
        <f>'Savings Summary'!U3</f>
        <v>kBTU</v>
      </c>
    </row>
    <row r="3" spans="1:117" ht="12.75" customHeight="1" x14ac:dyDescent="0.3">
      <c r="A3" s="577"/>
      <c r="C3" s="580" t="s">
        <v>147</v>
      </c>
      <c r="D3" s="581">
        <f>'Savings Summary'!D4</f>
        <v>0</v>
      </c>
      <c r="E3" s="581" t="str">
        <f>'Savings Summary'!E4</f>
        <v>(elect.)</v>
      </c>
      <c r="F3" s="581">
        <f>'Savings Summary'!F4</f>
        <v>0</v>
      </c>
      <c r="G3" s="581">
        <f>'Savings Summary'!G4</f>
        <v>0</v>
      </c>
      <c r="H3" s="581">
        <f>'Savings Summary'!H4</f>
        <v>0</v>
      </c>
      <c r="I3" s="581">
        <f>'Savings Summary'!I4</f>
        <v>0</v>
      </c>
      <c r="J3" s="581">
        <f>'Savings Summary'!J4</f>
        <v>0</v>
      </c>
      <c r="K3" s="581">
        <f>'Savings Summary'!K4</f>
        <v>0</v>
      </c>
      <c r="L3" s="581">
        <f>'Savings Summary'!L4</f>
        <v>0</v>
      </c>
      <c r="M3" s="581">
        <f>'Savings Summary'!M4</f>
        <v>0</v>
      </c>
      <c r="N3" s="581"/>
      <c r="O3" s="581"/>
      <c r="P3" s="581"/>
      <c r="Q3" s="581">
        <f>'Savings Summary'!N4</f>
        <v>0</v>
      </c>
      <c r="R3" s="581">
        <f>'Savings Summary'!O4</f>
        <v>0</v>
      </c>
      <c r="S3" s="581">
        <f>'Savings Summary'!P4</f>
        <v>0</v>
      </c>
      <c r="T3" s="581">
        <f>'Savings Summary'!Q4</f>
        <v>0</v>
      </c>
      <c r="U3" s="581">
        <f>'Savings Summary'!R4</f>
        <v>0</v>
      </c>
      <c r="V3" s="581">
        <f>'Savings Summary'!S4</f>
        <v>0</v>
      </c>
      <c r="W3" s="582">
        <f>'Savings Summary'!T4</f>
        <v>0</v>
      </c>
      <c r="X3" s="579" t="s">
        <v>166</v>
      </c>
    </row>
    <row r="4" spans="1:117" ht="12.75" customHeight="1" x14ac:dyDescent="0.3">
      <c r="A4" s="577"/>
      <c r="C4" s="583" t="s">
        <v>11</v>
      </c>
      <c r="D4" s="584">
        <f>'Savings Summary'!D5</f>
        <v>0</v>
      </c>
      <c r="E4" s="584" t="str">
        <f>'Savings Summary'!E5</f>
        <v>($/kWh)</v>
      </c>
      <c r="F4" s="584">
        <f>'Savings Summary'!F5</f>
        <v>0</v>
      </c>
      <c r="G4" s="584" t="str">
        <f>'Savings Summary'!G5</f>
        <v>($/gal.)</v>
      </c>
      <c r="H4" s="584">
        <f>'Savings Summary'!H5</f>
        <v>0</v>
      </c>
      <c r="I4" s="584" t="str">
        <f>'Savings Summary'!I5</f>
        <v>($/therm)</v>
      </c>
      <c r="J4" s="584">
        <f>'Savings Summary'!J5</f>
        <v>0</v>
      </c>
      <c r="K4" s="584" t="str">
        <f>'Savings Summary'!K5</f>
        <v>($/gal.)</v>
      </c>
      <c r="L4" s="584">
        <f>'Savings Summary'!L5</f>
        <v>0</v>
      </c>
      <c r="M4" s="584" t="str">
        <f>'Savings Summary'!M5</f>
        <v>($/kLbs..)</v>
      </c>
      <c r="N4" s="584"/>
      <c r="O4" s="584"/>
      <c r="P4" s="584"/>
      <c r="Q4" s="584">
        <f>'Savings Summary'!N5</f>
        <v>0</v>
      </c>
      <c r="R4" s="584" t="str">
        <f>'Savings Summary'!O5</f>
        <v>($/ton)</v>
      </c>
      <c r="S4" s="584">
        <f>'Savings Summary'!P5</f>
        <v>0</v>
      </c>
      <c r="T4" s="584" t="str">
        <f>'Savings Summary'!Q5</f>
        <v>($/ton)</v>
      </c>
      <c r="U4" s="584">
        <f>'Savings Summary'!R5</f>
        <v>0</v>
      </c>
      <c r="V4" s="584" t="str">
        <f>'Savings Summary'!S5</f>
        <v>($/gal.)</v>
      </c>
      <c r="W4" s="579">
        <f>'Savings Summary'!T5</f>
        <v>0</v>
      </c>
      <c r="X4" s="579">
        <f>'Savings Summary'!U5</f>
        <v>0</v>
      </c>
    </row>
    <row r="5" spans="1:117" ht="12.75" customHeight="1" x14ac:dyDescent="0.3">
      <c r="A5" s="577"/>
      <c r="B5" s="585"/>
      <c r="C5" s="586"/>
      <c r="D5" s="587"/>
      <c r="E5" s="588"/>
      <c r="F5" s="587"/>
      <c r="G5" s="589"/>
      <c r="H5" s="590"/>
      <c r="J5" s="591"/>
    </row>
    <row r="6" spans="1:117" ht="31.5" customHeight="1" x14ac:dyDescent="0.45">
      <c r="A6" s="592" t="s">
        <v>149</v>
      </c>
      <c r="H6" s="593"/>
    </row>
    <row r="7" spans="1:117" ht="27.75" customHeight="1" x14ac:dyDescent="0.3">
      <c r="A7" s="594" t="s">
        <v>144</v>
      </c>
      <c r="B7" s="595" t="s">
        <v>42</v>
      </c>
      <c r="C7" s="596" t="s">
        <v>35</v>
      </c>
      <c r="D7" s="596" t="s">
        <v>90</v>
      </c>
      <c r="E7" s="596" t="s">
        <v>119</v>
      </c>
      <c r="F7" s="596" t="s">
        <v>118</v>
      </c>
      <c r="G7" s="596" t="s">
        <v>121</v>
      </c>
      <c r="H7" s="596" t="s">
        <v>117</v>
      </c>
      <c r="I7" s="596" t="s">
        <v>135</v>
      </c>
      <c r="J7" s="597" t="s">
        <v>17</v>
      </c>
      <c r="K7" s="597" t="s">
        <v>22</v>
      </c>
      <c r="L7" s="596" t="s">
        <v>158</v>
      </c>
      <c r="M7" s="596" t="s">
        <v>159</v>
      </c>
      <c r="N7" s="596"/>
      <c r="O7" s="596"/>
      <c r="P7" s="596"/>
      <c r="Q7" s="598" t="s">
        <v>166</v>
      </c>
      <c r="R7" s="599">
        <v>1</v>
      </c>
      <c r="S7" s="599">
        <v>2</v>
      </c>
      <c r="T7" s="599">
        <v>3</v>
      </c>
      <c r="U7" s="599">
        <v>4</v>
      </c>
      <c r="V7" s="599">
        <v>5</v>
      </c>
      <c r="W7" s="599">
        <v>6</v>
      </c>
      <c r="X7" s="599">
        <v>7</v>
      </c>
      <c r="Y7" s="599">
        <v>8</v>
      </c>
      <c r="Z7" s="599">
        <v>9</v>
      </c>
      <c r="AA7" s="599">
        <v>10</v>
      </c>
      <c r="AB7" s="599">
        <v>11</v>
      </c>
      <c r="AC7" s="599">
        <v>12</v>
      </c>
      <c r="AD7" s="599">
        <v>13</v>
      </c>
      <c r="AE7" s="599">
        <v>14</v>
      </c>
      <c r="AF7" s="599">
        <v>15</v>
      </c>
      <c r="AG7" s="599">
        <v>16</v>
      </c>
      <c r="AH7" s="599">
        <v>17</v>
      </c>
      <c r="AI7" s="599">
        <v>18</v>
      </c>
      <c r="AJ7" s="599">
        <v>19</v>
      </c>
      <c r="AK7" s="599">
        <v>20</v>
      </c>
      <c r="AL7" s="599">
        <v>21</v>
      </c>
      <c r="AM7" s="599">
        <v>22</v>
      </c>
      <c r="AN7" s="599">
        <v>23</v>
      </c>
      <c r="AO7" s="599">
        <v>24</v>
      </c>
      <c r="AP7" s="599">
        <v>25</v>
      </c>
      <c r="AQ7" s="599">
        <v>26</v>
      </c>
      <c r="AR7" s="599">
        <v>27</v>
      </c>
      <c r="AS7" s="599">
        <v>28</v>
      </c>
      <c r="AT7" s="599">
        <v>29</v>
      </c>
      <c r="AU7" s="599">
        <v>30</v>
      </c>
      <c r="AV7" s="599">
        <v>31</v>
      </c>
      <c r="AW7" s="599">
        <v>32</v>
      </c>
      <c r="AX7" s="599">
        <v>33</v>
      </c>
      <c r="AY7" s="599">
        <v>34</v>
      </c>
      <c r="AZ7" s="599">
        <v>35</v>
      </c>
      <c r="BA7" s="599">
        <v>36</v>
      </c>
      <c r="BB7" s="599">
        <v>37</v>
      </c>
      <c r="BC7" s="599">
        <v>38</v>
      </c>
      <c r="BD7" s="599">
        <v>39</v>
      </c>
      <c r="BE7" s="599">
        <v>40</v>
      </c>
      <c r="BF7" s="599">
        <v>41</v>
      </c>
      <c r="BG7" s="599">
        <v>42</v>
      </c>
      <c r="BH7" s="599">
        <v>43</v>
      </c>
      <c r="BI7" s="599">
        <v>44</v>
      </c>
      <c r="BJ7" s="599">
        <v>45</v>
      </c>
      <c r="BK7" s="599">
        <v>46</v>
      </c>
      <c r="BL7" s="599">
        <v>47</v>
      </c>
      <c r="BM7" s="599">
        <v>48</v>
      </c>
      <c r="BN7" s="599">
        <v>49</v>
      </c>
      <c r="BO7" s="599">
        <v>50</v>
      </c>
      <c r="BP7" s="599">
        <v>51</v>
      </c>
      <c r="BQ7" s="599">
        <v>52</v>
      </c>
      <c r="BR7" s="599">
        <v>53</v>
      </c>
      <c r="BS7" s="599">
        <v>54</v>
      </c>
      <c r="BT7" s="599">
        <v>55</v>
      </c>
      <c r="BU7" s="599">
        <v>56</v>
      </c>
      <c r="BV7" s="599">
        <v>57</v>
      </c>
      <c r="BW7" s="599">
        <v>58</v>
      </c>
      <c r="BX7" s="599">
        <v>59</v>
      </c>
      <c r="BY7" s="599">
        <v>60</v>
      </c>
      <c r="BZ7" s="599">
        <v>61</v>
      </c>
      <c r="CA7" s="599">
        <v>62</v>
      </c>
      <c r="CB7" s="599">
        <v>63</v>
      </c>
      <c r="CC7" s="599">
        <v>64</v>
      </c>
      <c r="CD7" s="599">
        <v>65</v>
      </c>
      <c r="CE7" s="599">
        <v>66</v>
      </c>
      <c r="CF7" s="599">
        <v>67</v>
      </c>
      <c r="CG7" s="599">
        <v>68</v>
      </c>
      <c r="CH7" s="599">
        <v>69</v>
      </c>
      <c r="CI7" s="599">
        <v>70</v>
      </c>
      <c r="CJ7" s="599">
        <v>71</v>
      </c>
      <c r="CK7" s="599">
        <v>72</v>
      </c>
      <c r="CL7" s="599">
        <v>73</v>
      </c>
      <c r="CM7" s="599">
        <v>74</v>
      </c>
      <c r="CN7" s="599">
        <v>75</v>
      </c>
      <c r="CO7" s="599">
        <v>76</v>
      </c>
      <c r="CP7" s="599">
        <v>77</v>
      </c>
      <c r="CQ7" s="599">
        <v>78</v>
      </c>
      <c r="CR7" s="599">
        <v>79</v>
      </c>
      <c r="CS7" s="599">
        <v>80</v>
      </c>
      <c r="CT7" s="599">
        <v>81</v>
      </c>
      <c r="CU7" s="599">
        <v>82</v>
      </c>
      <c r="CV7" s="599">
        <v>83</v>
      </c>
      <c r="CW7" s="599">
        <v>84</v>
      </c>
      <c r="CX7" s="599">
        <v>85</v>
      </c>
      <c r="CY7" s="599">
        <v>86</v>
      </c>
      <c r="CZ7" s="599">
        <v>87</v>
      </c>
      <c r="DA7" s="599">
        <v>88</v>
      </c>
      <c r="DB7" s="599">
        <v>89</v>
      </c>
      <c r="DC7" s="599">
        <v>90</v>
      </c>
      <c r="DD7" s="599">
        <v>91</v>
      </c>
      <c r="DE7" s="599">
        <v>92</v>
      </c>
      <c r="DF7" s="599">
        <v>93</v>
      </c>
      <c r="DG7" s="599">
        <v>94</v>
      </c>
      <c r="DH7" s="599">
        <v>95</v>
      </c>
      <c r="DI7" s="599">
        <v>96</v>
      </c>
      <c r="DJ7" s="599">
        <v>97</v>
      </c>
      <c r="DK7" s="599">
        <v>98</v>
      </c>
      <c r="DL7" s="599">
        <v>99</v>
      </c>
      <c r="DM7" s="599">
        <v>100</v>
      </c>
    </row>
    <row r="8" spans="1:117" ht="27.75" customHeight="1" x14ac:dyDescent="0.3">
      <c r="A8" s="600" t="str">
        <f>'EEM Data Entry'!A85</f>
        <v/>
      </c>
      <c r="B8" s="601" t="str">
        <f>'EEM Data Entry'!B85</f>
        <v/>
      </c>
      <c r="C8" s="602" t="str">
        <f>'EEM Data Entry'!F85</f>
        <v/>
      </c>
      <c r="D8" s="602">
        <v>0</v>
      </c>
      <c r="E8" s="602" t="e">
        <f>C8-D8</f>
        <v>#VALUE!</v>
      </c>
      <c r="F8" s="602">
        <f>('Savings Summary'!D7*'Savings Summary'!D$5)+('Savings Summary'!F7*'Savings Summary'!F$5)+('Savings Summary'!H7*'Savings Summary'!H$5)+('Savings Summary'!J7*'Savings Summary'!J$5)+('Savings Summary'!L7*'Savings Summary'!L$5)+('Savings Summary'!N7*'Savings Summary'!N$5)+('Savings Summary'!P7*'Savings Summary'!P$5)+('Savings Summary'!R7*'Savings Summary'!R$5)</f>
        <v>0</v>
      </c>
      <c r="G8" s="603">
        <f>'Savings Summary'!T7</f>
        <v>0</v>
      </c>
      <c r="H8" s="604" t="e">
        <f>IF(C8=0,"n/a",E8/F8)</f>
        <v>#VALUE!</v>
      </c>
      <c r="I8" s="600" t="e">
        <f>IF(H8=0, "n/a", IF(H8&gt;100, "no",IF(H8&lt;0, "no", "yes")))</f>
        <v>#VALUE!</v>
      </c>
      <c r="J8" s="605" t="e">
        <f>IRR(Q8:DM8,0.1)</f>
        <v>#NUM!</v>
      </c>
      <c r="K8" s="606" t="e">
        <f>PV('Interest Rate'!$B$17,Table6[[#This Row],[LIFETIME]],-Table6[[#This Row],[ANNUAL ENERGY COST SAVINGS]],Table6[[#This Row],[END-OF-LIFE]],0)-Table6[[#This Row],[CAPITAL INVESTMENT]]</f>
        <v>#VALUE!</v>
      </c>
      <c r="L8" s="600" t="str">
        <f>'EEM Data Entry'!C85</f>
        <v/>
      </c>
      <c r="M8" s="607" t="e">
        <f>Table6[[#This Row],[ANNUAL ENERGY COST SAVINGS]]/Table6[[#This Row],[CAPITAL INVESTMENT]]</f>
        <v>#VALUE!</v>
      </c>
      <c r="N8" s="804" t="str">
        <f>Table6[[#This Row],[LIFETIME]]</f>
        <v/>
      </c>
      <c r="O8" s="607"/>
      <c r="P8" s="607"/>
      <c r="Q8" s="608" t="str">
        <f>IF(ISNUMBER(E8)=TRUE,-E8,"")</f>
        <v/>
      </c>
      <c r="R8" s="609">
        <f>F8</f>
        <v>0</v>
      </c>
      <c r="S8" s="609">
        <f>IF(S$7&gt;$N8,0,R8*(1-'Interest Rate'!$B$17))</f>
        <v>0</v>
      </c>
      <c r="T8" s="609">
        <f>IF(T$7&gt;$N8,0,S8*(1-'Interest Rate'!$B$17))</f>
        <v>0</v>
      </c>
      <c r="U8" s="609">
        <f>IF(U$7&gt;$N8,0,T8*(1-'Interest Rate'!$B$17))</f>
        <v>0</v>
      </c>
      <c r="V8" s="609">
        <f>IF(V$7&gt;$N8,0,U8*(1-'Interest Rate'!$B$17))</f>
        <v>0</v>
      </c>
      <c r="W8" s="609">
        <f>IF(W$7&gt;$N8,0,V8*(1-'Interest Rate'!$B$17))</f>
        <v>0</v>
      </c>
      <c r="X8" s="609">
        <f>IF(X$7&gt;$N8,0,W8*(1-'Interest Rate'!$B$17))</f>
        <v>0</v>
      </c>
      <c r="Y8" s="609">
        <f>IF(Y$7&gt;$N8,0,X8*(1-'Interest Rate'!$B$17))</f>
        <v>0</v>
      </c>
      <c r="Z8" s="609">
        <f>IF(Z$7&gt;$N8,0,Y8*(1-'Interest Rate'!$B$17))</f>
        <v>0</v>
      </c>
      <c r="AA8" s="609">
        <f>IF(AA$7&gt;$N8,0,Z8*(1-'Interest Rate'!$B$17))</f>
        <v>0</v>
      </c>
      <c r="AB8" s="609">
        <f>IF(AB$7&gt;$N8,0,AA8*(1-'Interest Rate'!$B$17))</f>
        <v>0</v>
      </c>
      <c r="AC8" s="609">
        <f>IF(AC$7&gt;$N8,0,AB8*(1-'Interest Rate'!$B$17))</f>
        <v>0</v>
      </c>
      <c r="AD8" s="609">
        <f>IF(AD$7&gt;$N8,0,AC8*(1-'Interest Rate'!$B$17))</f>
        <v>0</v>
      </c>
      <c r="AE8" s="609">
        <f>IF(AE$7&gt;$N8,0,AD8*(1-'Interest Rate'!$B$17))</f>
        <v>0</v>
      </c>
      <c r="AF8" s="609">
        <f>IF(AF$7&gt;$N8,0,AE8*(1-'Interest Rate'!$B$17))</f>
        <v>0</v>
      </c>
      <c r="AG8" s="609">
        <f>IF(AG$7&gt;$N8,0,AF8*(1-'Interest Rate'!$B$17))</f>
        <v>0</v>
      </c>
      <c r="AH8" s="609">
        <f>IF(AH$7&gt;$N8,0,AG8*(1-'Interest Rate'!$B$17))</f>
        <v>0</v>
      </c>
      <c r="AI8" s="609">
        <f>IF(AI$7&gt;$N8,0,AH8*(1-'Interest Rate'!$B$17))</f>
        <v>0</v>
      </c>
      <c r="AJ8" s="609">
        <f>IF(AJ$7&gt;$N8,0,AI8*(1-'Interest Rate'!$B$17))</f>
        <v>0</v>
      </c>
      <c r="AK8" s="609">
        <f>IF(AK$7&gt;$N8,0,AJ8*(1-'Interest Rate'!$B$17))</f>
        <v>0</v>
      </c>
      <c r="AL8" s="609">
        <f>IF(AL$7&gt;$N8,0,AK8*(1-'Interest Rate'!$B$17))</f>
        <v>0</v>
      </c>
      <c r="AM8" s="609">
        <f>IF(AM$7&gt;$N8,0,AL8*(1-'Interest Rate'!$B$17))</f>
        <v>0</v>
      </c>
      <c r="AN8" s="609">
        <f>IF(AN$7&gt;$N8,0,AM8*(1-'Interest Rate'!$B$17))</f>
        <v>0</v>
      </c>
      <c r="AO8" s="609">
        <f>IF(AO$7&gt;$N8,0,AN8*(1-'Interest Rate'!$B$17))</f>
        <v>0</v>
      </c>
      <c r="AP8" s="609">
        <f>IF(AP$7&gt;$N8,0,AO8*(1-'Interest Rate'!$B$17))</f>
        <v>0</v>
      </c>
      <c r="AQ8" s="609">
        <f>IF(AQ$7&gt;$N8,0,AP8*(1-'Interest Rate'!$B$17))</f>
        <v>0</v>
      </c>
      <c r="AR8" s="609">
        <f>IF(AR$7&gt;$N8,0,AQ8*(1-'Interest Rate'!$B$17))</f>
        <v>0</v>
      </c>
      <c r="AS8" s="609">
        <f>IF(AS$7&gt;$N8,0,AR8*(1-'Interest Rate'!$B$17))</f>
        <v>0</v>
      </c>
      <c r="AT8" s="609">
        <f>IF(AT$7&gt;$N8,0,AS8*(1-'Interest Rate'!$B$17))</f>
        <v>0</v>
      </c>
      <c r="AU8" s="609">
        <f>IF(AU$7&gt;$N8,0,AT8*(1-'Interest Rate'!$B$17))</f>
        <v>0</v>
      </c>
      <c r="AV8" s="609">
        <f>IF(AV$7&gt;$N8,0,AU8*(1-'Interest Rate'!$B$17))</f>
        <v>0</v>
      </c>
      <c r="AW8" s="609">
        <f>IF(AW$7&gt;$N8,0,AV8*(1-'Interest Rate'!$B$17))</f>
        <v>0</v>
      </c>
      <c r="AX8" s="609">
        <f>IF(AX$7&gt;$N8,0,AW8*(1-'Interest Rate'!$B$17))</f>
        <v>0</v>
      </c>
      <c r="AY8" s="609">
        <f>IF(AY$7&gt;$N8,0,AX8*(1-'Interest Rate'!$B$17))</f>
        <v>0</v>
      </c>
      <c r="AZ8" s="609">
        <f>IF(AZ$7&gt;$N8,0,AY8*(1-'Interest Rate'!$B$17))</f>
        <v>0</v>
      </c>
      <c r="BA8" s="609">
        <f>IF(BA$7&gt;$N8,0,AZ8*(1-'Interest Rate'!$B$17))</f>
        <v>0</v>
      </c>
      <c r="BB8" s="609">
        <f>IF(BB$7&gt;$N8,0,BA8*(1-'Interest Rate'!$B$17))</f>
        <v>0</v>
      </c>
      <c r="BC8" s="609">
        <f>IF(BC$7&gt;$N8,0,BB8*(1-'Interest Rate'!$B$17))</f>
        <v>0</v>
      </c>
      <c r="BD8" s="609">
        <f>IF(BD$7&gt;$N8,0,BC8*(1-'Interest Rate'!$B$17))</f>
        <v>0</v>
      </c>
      <c r="BE8" s="609">
        <f>IF(BE$7&gt;$N8,0,BD8*(1-'Interest Rate'!$B$17))</f>
        <v>0</v>
      </c>
      <c r="BF8" s="609">
        <f>IF(BF$7&gt;$N8,0,BE8*(1-'Interest Rate'!$B$17))</f>
        <v>0</v>
      </c>
      <c r="BG8" s="609">
        <f>IF(BG$7&gt;$N8,0,BF8*(1-'Interest Rate'!$B$17))</f>
        <v>0</v>
      </c>
      <c r="BH8" s="609">
        <f>IF(BH$7&gt;$N8,0,BG8*(1-'Interest Rate'!$B$17))</f>
        <v>0</v>
      </c>
      <c r="BI8" s="609">
        <f>IF(BI$7&gt;$N8,0,BH8*(1-'Interest Rate'!$B$17))</f>
        <v>0</v>
      </c>
      <c r="BJ8" s="609">
        <f>IF(BJ$7&gt;$N8,0,BI8*(1-'Interest Rate'!$B$17))</f>
        <v>0</v>
      </c>
      <c r="BK8" s="609">
        <f>IF(BK$7&gt;$N8,0,BJ8*(1-'Interest Rate'!$B$17))</f>
        <v>0</v>
      </c>
      <c r="BL8" s="609">
        <f>IF(BL$7&gt;$N8,0,BK8*(1-'Interest Rate'!$B$17))</f>
        <v>0</v>
      </c>
      <c r="BM8" s="609">
        <f>IF(BM$7&gt;$N8,0,BL8*(1-'Interest Rate'!$B$17))</f>
        <v>0</v>
      </c>
      <c r="BN8" s="609">
        <f>IF(BN$7&gt;$N8,0,BM8*(1-'Interest Rate'!$B$17))</f>
        <v>0</v>
      </c>
      <c r="BO8" s="609">
        <f>IF(BO$7&gt;$N8,0,BN8*(1-'Interest Rate'!$B$17))</f>
        <v>0</v>
      </c>
      <c r="BP8" s="609">
        <f>IF(BP$7&gt;$N8,0,BO8*(1-'Interest Rate'!$B$17))</f>
        <v>0</v>
      </c>
      <c r="BQ8" s="609">
        <f>IF(BQ$7&gt;$N8,0,BP8*(1-'Interest Rate'!$B$17))</f>
        <v>0</v>
      </c>
      <c r="BR8" s="609">
        <f>IF(BR$7&gt;$N8,0,BQ8*(1-'Interest Rate'!$B$17))</f>
        <v>0</v>
      </c>
      <c r="BS8" s="609">
        <f>IF(BS$7&gt;$N8,0,BR8*(1-'Interest Rate'!$B$17))</f>
        <v>0</v>
      </c>
      <c r="BT8" s="609">
        <f>IF(BT$7&gt;$N8,0,BS8*(1-'Interest Rate'!$B$17))</f>
        <v>0</v>
      </c>
      <c r="BU8" s="609">
        <f>IF(BU$7&gt;$N8,0,BT8*(1-'Interest Rate'!$B$17))</f>
        <v>0</v>
      </c>
      <c r="BV8" s="609">
        <f>IF(BV$7&gt;$N8,0,BU8*(1-'Interest Rate'!$B$17))</f>
        <v>0</v>
      </c>
      <c r="BW8" s="609">
        <f>IF(BW$7&gt;$N8,0,BV8*(1-'Interest Rate'!$B$17))</f>
        <v>0</v>
      </c>
      <c r="BX8" s="609">
        <f>IF(BX$7&gt;$N8,0,BW8*(1-'Interest Rate'!$B$17))</f>
        <v>0</v>
      </c>
      <c r="BY8" s="609">
        <f>IF(BY$7&gt;$N8,0,BX8*(1-'Interest Rate'!$B$17))</f>
        <v>0</v>
      </c>
      <c r="BZ8" s="609">
        <f>IF(BZ$7&gt;$N8,0,BY8*(1-'Interest Rate'!$B$17))</f>
        <v>0</v>
      </c>
      <c r="CA8" s="609">
        <f>IF(CA$7&gt;$N8,0,BZ8*(1-'Interest Rate'!$B$17))</f>
        <v>0</v>
      </c>
      <c r="CB8" s="609">
        <f>IF(CB$7&gt;$N8,0,CA8*(1-'Interest Rate'!$B$17))</f>
        <v>0</v>
      </c>
      <c r="CC8" s="609">
        <f>IF(CC$7&gt;$N8,0,CB8*(1-'Interest Rate'!$B$17))</f>
        <v>0</v>
      </c>
      <c r="CD8" s="609">
        <f>IF(CD$7&gt;$N8,0,CC8*(1-'Interest Rate'!$B$17))</f>
        <v>0</v>
      </c>
      <c r="CE8" s="609">
        <f>IF(CE$7&gt;$N8,0,CD8*(1-'Interest Rate'!$B$17))</f>
        <v>0</v>
      </c>
      <c r="CF8" s="609">
        <f>IF(CF$7&gt;$N8,0,CE8*(1-'Interest Rate'!$B$17))</f>
        <v>0</v>
      </c>
      <c r="CG8" s="609">
        <f>IF(CG$7&gt;$N8,0,CF8*(1-'Interest Rate'!$B$17))</f>
        <v>0</v>
      </c>
      <c r="CH8" s="609">
        <f>IF(CH$7&gt;$N8,0,CG8*(1-'Interest Rate'!$B$17))</f>
        <v>0</v>
      </c>
      <c r="CI8" s="609">
        <f>IF(CI$7&gt;$N8,0,CH8*(1-'Interest Rate'!$B$17))</f>
        <v>0</v>
      </c>
      <c r="CJ8" s="609">
        <f>IF(CJ$7&gt;$N8,0,CI8*(1-'Interest Rate'!$B$17))</f>
        <v>0</v>
      </c>
      <c r="CK8" s="609">
        <f>IF(CK$7&gt;$N8,0,CJ8*(1-'Interest Rate'!$B$17))</f>
        <v>0</v>
      </c>
      <c r="CL8" s="609">
        <f>IF(CL$7&gt;$N8,0,CK8*(1-'Interest Rate'!$B$17))</f>
        <v>0</v>
      </c>
      <c r="CM8" s="609">
        <f>IF(CM$7&gt;$N8,0,CL8*(1-'Interest Rate'!$B$17))</f>
        <v>0</v>
      </c>
      <c r="CN8" s="609">
        <f>IF(CN$7&gt;$N8,0,CM8*(1-'Interest Rate'!$B$17))</f>
        <v>0</v>
      </c>
      <c r="CO8" s="609">
        <f>IF(CO$7&gt;$N8,0,CN8*(1-'Interest Rate'!$B$17))</f>
        <v>0</v>
      </c>
      <c r="CP8" s="609">
        <f>IF(CP$7&gt;$N8,0,CO8*(1-'Interest Rate'!$B$17))</f>
        <v>0</v>
      </c>
      <c r="CQ8" s="609">
        <f>IF(CQ$7&gt;$N8,0,CP8*(1-'Interest Rate'!$B$17))</f>
        <v>0</v>
      </c>
      <c r="CR8" s="609">
        <f>IF(CR$7&gt;$N8,0,CQ8*(1-'Interest Rate'!$B$17))</f>
        <v>0</v>
      </c>
      <c r="CS8" s="609">
        <f>IF(CS$7&gt;$N8,0,CR8*(1-'Interest Rate'!$B$17))</f>
        <v>0</v>
      </c>
      <c r="CT8" s="609">
        <f>IF(CT$7&gt;$N8,0,CS8*(1-'Interest Rate'!$B$17))</f>
        <v>0</v>
      </c>
      <c r="CU8" s="609">
        <f>IF(CU$7&gt;$N8,0,CT8*(1-'Interest Rate'!$B$17))</f>
        <v>0</v>
      </c>
      <c r="CV8" s="609">
        <f>IF(CV$7&gt;$N8,0,CU8*(1-'Interest Rate'!$B$17))</f>
        <v>0</v>
      </c>
      <c r="CW8" s="609">
        <f>IF(CW$7&gt;$N8,0,CV8*(1-'Interest Rate'!$B$17))</f>
        <v>0</v>
      </c>
      <c r="CX8" s="609">
        <f>IF(CX$7&gt;$N8,0,CW8*(1-'Interest Rate'!$B$17))</f>
        <v>0</v>
      </c>
      <c r="CY8" s="609">
        <f>IF(CY$7&gt;$N8,0,CX8*(1-'Interest Rate'!$B$17))</f>
        <v>0</v>
      </c>
      <c r="CZ8" s="609">
        <f>IF(CZ$7&gt;$N8,0,CY8*(1-'Interest Rate'!$B$17))</f>
        <v>0</v>
      </c>
      <c r="DA8" s="609">
        <f>IF(DA$7&gt;$N8,0,CZ8*(1-'Interest Rate'!$B$17))</f>
        <v>0</v>
      </c>
      <c r="DB8" s="609">
        <f>IF(DB$7&gt;$N8,0,DA8*(1-'Interest Rate'!$B$17))</f>
        <v>0</v>
      </c>
      <c r="DC8" s="609">
        <f>IF(DC$7&gt;$N8,0,DB8*(1-'Interest Rate'!$B$17))</f>
        <v>0</v>
      </c>
      <c r="DD8" s="609">
        <f>IF(DD$7&gt;$N8,0,DC8*(1-'Interest Rate'!$B$17))</f>
        <v>0</v>
      </c>
      <c r="DE8" s="609">
        <f>IF(DE$7&gt;$N8,0,DD8*(1-'Interest Rate'!$B$17))</f>
        <v>0</v>
      </c>
      <c r="DF8" s="609">
        <f>IF(DF$7&gt;$N8,0,DE8*(1-'Interest Rate'!$B$17))</f>
        <v>0</v>
      </c>
      <c r="DG8" s="609">
        <f>IF(DG$7&gt;$N8,0,DF8*(1-'Interest Rate'!$B$17))</f>
        <v>0</v>
      </c>
      <c r="DH8" s="609">
        <f>IF(DH$7&gt;$N8,0,DG8*(1-'Interest Rate'!$B$17))</f>
        <v>0</v>
      </c>
      <c r="DI8" s="609">
        <f>IF(DI$7&gt;$N8,0,DH8*(1-'Interest Rate'!$B$17))</f>
        <v>0</v>
      </c>
      <c r="DJ8" s="609">
        <f>IF(DJ$7&gt;$N8,0,DI8*(1-'Interest Rate'!$B$17))</f>
        <v>0</v>
      </c>
      <c r="DK8" s="609">
        <f>IF(DK$7&gt;$N8,0,DJ8*(1-'Interest Rate'!$B$17))</f>
        <v>0</v>
      </c>
      <c r="DL8" s="609">
        <f>IF(DL$7&gt;$N8,0,DK8*(1-'Interest Rate'!$B$17))</f>
        <v>0</v>
      </c>
      <c r="DM8" s="609">
        <f>IF(DM$7&gt;$N8,0,DL8*(1-'Interest Rate'!$B$17))</f>
        <v>0</v>
      </c>
    </row>
    <row r="9" spans="1:117" ht="27.75" customHeight="1" x14ac:dyDescent="0.3">
      <c r="A9" s="600" t="str">
        <f>'EEM Data Entry'!A86</f>
        <v/>
      </c>
      <c r="B9" s="601" t="str">
        <f>'EEM Data Entry'!B86</f>
        <v/>
      </c>
      <c r="C9" s="602" t="str">
        <f>'EEM Data Entry'!F86</f>
        <v/>
      </c>
      <c r="D9" s="602">
        <v>0</v>
      </c>
      <c r="E9" s="602" t="e">
        <f t="shared" ref="E9:E14" si="0">C9-D9</f>
        <v>#VALUE!</v>
      </c>
      <c r="F9" s="602">
        <f>('Savings Summary'!D8*'Savings Summary'!D$5)+('Savings Summary'!F8*'Savings Summary'!F$5)+('Savings Summary'!H8*'Savings Summary'!H$5)+('Savings Summary'!J8*'Savings Summary'!J$5)+('Savings Summary'!L8*'Savings Summary'!L$5)+('Savings Summary'!N8*'Savings Summary'!N$5)+('Savings Summary'!P8*'Savings Summary'!P$5)+('Savings Summary'!R8*'Savings Summary'!R$5)</f>
        <v>0</v>
      </c>
      <c r="G9" s="603">
        <f>'Savings Summary'!T8</f>
        <v>0</v>
      </c>
      <c r="H9" s="604" t="e">
        <f t="shared" ref="H9:H14" si="1">IF(C9=0,"n/a",E9/F9)</f>
        <v>#VALUE!</v>
      </c>
      <c r="I9" s="600" t="e">
        <f t="shared" ref="I9:I14" si="2">IF(H9=0, "n/a", IF(H9&gt;100, "no",IF(H9&lt;0, "no", "yes")))</f>
        <v>#VALUE!</v>
      </c>
      <c r="J9" s="605" t="e">
        <f t="shared" ref="J9:J31" si="3">IRR(Q9:DM9,0.1)</f>
        <v>#NUM!</v>
      </c>
      <c r="K9" s="606" t="e">
        <f>PV('Interest Rate'!$B$17,Table6[[#This Row],[LIFETIME]],-Table6[[#This Row],[ANNUAL ENERGY COST SAVINGS]],Table6[[#This Row],[END-OF-LIFE]],0)-Table6[[#This Row],[CAPITAL INVESTMENT]]</f>
        <v>#VALUE!</v>
      </c>
      <c r="L9" s="600" t="str">
        <f>'EEM Data Entry'!C86</f>
        <v/>
      </c>
      <c r="M9" s="607" t="e">
        <f>Table6[[#This Row],[ANNUAL ENERGY COST SAVINGS]]/Table6[[#This Row],[CAPITAL INVESTMENT]]</f>
        <v>#VALUE!</v>
      </c>
      <c r="N9" s="804" t="str">
        <f>Table6[[#This Row],[LIFETIME]]</f>
        <v/>
      </c>
      <c r="O9" s="607"/>
      <c r="P9" s="607"/>
      <c r="Q9" s="608" t="str">
        <f t="shared" ref="Q9:Q46" si="4">IF(ISNUMBER(E9)=TRUE,-E9,"")</f>
        <v/>
      </c>
      <c r="R9" s="609">
        <f t="shared" ref="R9:R31" si="5">F9</f>
        <v>0</v>
      </c>
      <c r="S9" s="609">
        <f>IF(S$7&gt;$N9,0,R9*(1-'Interest Rate'!$B$17))</f>
        <v>0</v>
      </c>
      <c r="T9" s="609">
        <f>IF(T$7&gt;$N9,0,S9*(1-'Interest Rate'!$B$17))</f>
        <v>0</v>
      </c>
      <c r="U9" s="609">
        <f>IF(U$7&gt;$N9,0,T9*(1-'Interest Rate'!$B$17))</f>
        <v>0</v>
      </c>
      <c r="V9" s="609">
        <f>IF(V$7&gt;$N9,0,U9*(1-'Interest Rate'!$B$17))</f>
        <v>0</v>
      </c>
      <c r="W9" s="609">
        <f>IF(W$7&gt;$N9,0,V9*(1-'Interest Rate'!$B$17))</f>
        <v>0</v>
      </c>
      <c r="X9" s="609">
        <f>IF(X$7&gt;$N9,0,W9*(1-'Interest Rate'!$B$17))</f>
        <v>0</v>
      </c>
      <c r="Y9" s="609">
        <f>IF(Y$7&gt;$N9,0,X9*(1-'Interest Rate'!$B$17))</f>
        <v>0</v>
      </c>
      <c r="Z9" s="609">
        <f>IF(Z$7&gt;$N9,0,Y9*(1-'Interest Rate'!$B$17))</f>
        <v>0</v>
      </c>
      <c r="AA9" s="609">
        <f>IF(AA$7&gt;$N9,0,Z9*(1-'Interest Rate'!$B$17))</f>
        <v>0</v>
      </c>
      <c r="AB9" s="609">
        <f>IF(AB$7&gt;$N9,0,AA9*(1-'Interest Rate'!$B$17))</f>
        <v>0</v>
      </c>
      <c r="AC9" s="609">
        <f>IF(AC$7&gt;$N9,0,AB9*(1-'Interest Rate'!$B$17))</f>
        <v>0</v>
      </c>
      <c r="AD9" s="609">
        <f>IF(AD$7&gt;$N9,0,AC9*(1-'Interest Rate'!$B$17))</f>
        <v>0</v>
      </c>
      <c r="AE9" s="609">
        <f>IF(AE$7&gt;$N9,0,AD9*(1-'Interest Rate'!$B$17))</f>
        <v>0</v>
      </c>
      <c r="AF9" s="609">
        <f>IF(AF$7&gt;$N9,0,AE9*(1-'Interest Rate'!$B$17))</f>
        <v>0</v>
      </c>
      <c r="AG9" s="609">
        <f>IF(AG$7&gt;$N9,0,AF9*(1-'Interest Rate'!$B$17))</f>
        <v>0</v>
      </c>
      <c r="AH9" s="609">
        <f>IF(AH$7&gt;$N9,0,AG9*(1-'Interest Rate'!$B$17))</f>
        <v>0</v>
      </c>
      <c r="AI9" s="609">
        <f>IF(AI$7&gt;$N9,0,AH9*(1-'Interest Rate'!$B$17))</f>
        <v>0</v>
      </c>
      <c r="AJ9" s="609">
        <f>IF(AJ$7&gt;$N9,0,AI9*(1-'Interest Rate'!$B$17))</f>
        <v>0</v>
      </c>
      <c r="AK9" s="609">
        <f>IF(AK$7&gt;$N9,0,AJ9*(1-'Interest Rate'!$B$17))</f>
        <v>0</v>
      </c>
      <c r="AL9" s="609">
        <f>IF(AL$7&gt;$N9,0,AK9*(1-'Interest Rate'!$B$17))</f>
        <v>0</v>
      </c>
      <c r="AM9" s="609">
        <f>IF(AM$7&gt;$N9,0,AL9*(1-'Interest Rate'!$B$17))</f>
        <v>0</v>
      </c>
      <c r="AN9" s="609">
        <f>IF(AN$7&gt;$N9,0,AM9*(1-'Interest Rate'!$B$17))</f>
        <v>0</v>
      </c>
      <c r="AO9" s="609">
        <f>IF(AO$7&gt;$N9,0,AN9*(1-'Interest Rate'!$B$17))</f>
        <v>0</v>
      </c>
      <c r="AP9" s="609">
        <f>IF(AP$7&gt;$N9,0,AO9*(1-'Interest Rate'!$B$17))</f>
        <v>0</v>
      </c>
      <c r="AQ9" s="609">
        <f>IF(AQ$7&gt;$N9,0,AP9*(1-'Interest Rate'!$B$17))</f>
        <v>0</v>
      </c>
      <c r="AR9" s="609">
        <f>IF(AR$7&gt;$N9,0,AQ9*(1-'Interest Rate'!$B$17))</f>
        <v>0</v>
      </c>
      <c r="AS9" s="609">
        <f>IF(AS$7&gt;$N9,0,AR9*(1-'Interest Rate'!$B$17))</f>
        <v>0</v>
      </c>
      <c r="AT9" s="609">
        <f>IF(AT$7&gt;$N9,0,AS9*(1-'Interest Rate'!$B$17))</f>
        <v>0</v>
      </c>
      <c r="AU9" s="609">
        <f>IF(AU$7&gt;$N9,0,AT9*(1-'Interest Rate'!$B$17))</f>
        <v>0</v>
      </c>
      <c r="AV9" s="609">
        <f>IF(AV$7&gt;$N9,0,AU9*(1-'Interest Rate'!$B$17))</f>
        <v>0</v>
      </c>
      <c r="AW9" s="609">
        <f>IF(AW$7&gt;$N9,0,AV9*(1-'Interest Rate'!$B$17))</f>
        <v>0</v>
      </c>
      <c r="AX9" s="609">
        <f>IF(AX$7&gt;$N9,0,AW9*(1-'Interest Rate'!$B$17))</f>
        <v>0</v>
      </c>
      <c r="AY9" s="609">
        <f>IF(AY$7&gt;$N9,0,AX9*(1-'Interest Rate'!$B$17))</f>
        <v>0</v>
      </c>
      <c r="AZ9" s="609">
        <f>IF(AZ$7&gt;$N9,0,AY9*(1-'Interest Rate'!$B$17))</f>
        <v>0</v>
      </c>
      <c r="BA9" s="609">
        <f>IF(BA$7&gt;$N9,0,AZ9*(1-'Interest Rate'!$B$17))</f>
        <v>0</v>
      </c>
      <c r="BB9" s="609">
        <f>IF(BB$7&gt;$N9,0,BA9*(1-'Interest Rate'!$B$17))</f>
        <v>0</v>
      </c>
      <c r="BC9" s="609">
        <f>IF(BC$7&gt;$N9,0,BB9*(1-'Interest Rate'!$B$17))</f>
        <v>0</v>
      </c>
      <c r="BD9" s="609">
        <f>IF(BD$7&gt;$N9,0,BC9*(1-'Interest Rate'!$B$17))</f>
        <v>0</v>
      </c>
      <c r="BE9" s="609">
        <f>IF(BE$7&gt;$N9,0,BD9*(1-'Interest Rate'!$B$17))</f>
        <v>0</v>
      </c>
      <c r="BF9" s="609">
        <f>IF(BF$7&gt;$N9,0,BE9*(1-'Interest Rate'!$B$17))</f>
        <v>0</v>
      </c>
      <c r="BG9" s="609">
        <f>IF(BG$7&gt;$N9,0,BF9*(1-'Interest Rate'!$B$17))</f>
        <v>0</v>
      </c>
      <c r="BH9" s="609">
        <f>IF(BH$7&gt;$N9,0,BG9*(1-'Interest Rate'!$B$17))</f>
        <v>0</v>
      </c>
      <c r="BI9" s="609">
        <f>IF(BI$7&gt;$N9,0,BH9*(1-'Interest Rate'!$B$17))</f>
        <v>0</v>
      </c>
      <c r="BJ9" s="609">
        <f>IF(BJ$7&gt;$N9,0,BI9*(1-'Interest Rate'!$B$17))</f>
        <v>0</v>
      </c>
      <c r="BK9" s="609">
        <f>IF(BK$7&gt;$N9,0,BJ9*(1-'Interest Rate'!$B$17))</f>
        <v>0</v>
      </c>
      <c r="BL9" s="609">
        <f>IF(BL$7&gt;$N9,0,BK9*(1-'Interest Rate'!$B$17))</f>
        <v>0</v>
      </c>
      <c r="BM9" s="609">
        <f>IF(BM$7&gt;$N9,0,BL9*(1-'Interest Rate'!$B$17))</f>
        <v>0</v>
      </c>
      <c r="BN9" s="609">
        <f>IF(BN$7&gt;$N9,0,BM9*(1-'Interest Rate'!$B$17))</f>
        <v>0</v>
      </c>
      <c r="BO9" s="609">
        <f>IF(BO$7&gt;$N9,0,BN9*(1-'Interest Rate'!$B$17))</f>
        <v>0</v>
      </c>
      <c r="BP9" s="609">
        <f>IF(BP$7&gt;$N9,0,BO9*(1-'Interest Rate'!$B$17))</f>
        <v>0</v>
      </c>
      <c r="BQ9" s="609">
        <f>IF(BQ$7&gt;$N9,0,BP9*(1-'Interest Rate'!$B$17))</f>
        <v>0</v>
      </c>
      <c r="BR9" s="609">
        <f>IF(BR$7&gt;$N9,0,BQ9*(1-'Interest Rate'!$B$17))</f>
        <v>0</v>
      </c>
      <c r="BS9" s="609">
        <f>IF(BS$7&gt;$N9,0,BR9*(1-'Interest Rate'!$B$17))</f>
        <v>0</v>
      </c>
      <c r="BT9" s="609">
        <f>IF(BT$7&gt;$N9,0,BS9*(1-'Interest Rate'!$B$17))</f>
        <v>0</v>
      </c>
      <c r="BU9" s="609">
        <f>IF(BU$7&gt;$N9,0,BT9*(1-'Interest Rate'!$B$17))</f>
        <v>0</v>
      </c>
      <c r="BV9" s="609">
        <f>IF(BV$7&gt;$N9,0,BU9*(1-'Interest Rate'!$B$17))</f>
        <v>0</v>
      </c>
      <c r="BW9" s="609">
        <f>IF(BW$7&gt;$N9,0,BV9*(1-'Interest Rate'!$B$17))</f>
        <v>0</v>
      </c>
      <c r="BX9" s="609">
        <f>IF(BX$7&gt;$N9,0,BW9*(1-'Interest Rate'!$B$17))</f>
        <v>0</v>
      </c>
      <c r="BY9" s="609">
        <f>IF(BY$7&gt;$N9,0,BX9*(1-'Interest Rate'!$B$17))</f>
        <v>0</v>
      </c>
      <c r="BZ9" s="609">
        <f>IF(BZ$7&gt;$N9,0,BY9*(1-'Interest Rate'!$B$17))</f>
        <v>0</v>
      </c>
      <c r="CA9" s="609">
        <f>IF(CA$7&gt;$N9,0,BZ9*(1-'Interest Rate'!$B$17))</f>
        <v>0</v>
      </c>
      <c r="CB9" s="609">
        <f>IF(CB$7&gt;$N9,0,CA9*(1-'Interest Rate'!$B$17))</f>
        <v>0</v>
      </c>
      <c r="CC9" s="609">
        <f>IF(CC$7&gt;$N9,0,CB9*(1-'Interest Rate'!$B$17))</f>
        <v>0</v>
      </c>
      <c r="CD9" s="609">
        <f>IF(CD$7&gt;$N9,0,CC9*(1-'Interest Rate'!$B$17))</f>
        <v>0</v>
      </c>
      <c r="CE9" s="609">
        <f>IF(CE$7&gt;$N9,0,CD9*(1-'Interest Rate'!$B$17))</f>
        <v>0</v>
      </c>
      <c r="CF9" s="609">
        <f>IF(CF$7&gt;$N9,0,CE9*(1-'Interest Rate'!$B$17))</f>
        <v>0</v>
      </c>
      <c r="CG9" s="609">
        <f>IF(CG$7&gt;$N9,0,CF9*(1-'Interest Rate'!$B$17))</f>
        <v>0</v>
      </c>
      <c r="CH9" s="609">
        <f>IF(CH$7&gt;$N9,0,CG9*(1-'Interest Rate'!$B$17))</f>
        <v>0</v>
      </c>
      <c r="CI9" s="609">
        <f>IF(CI$7&gt;$N9,0,CH9*(1-'Interest Rate'!$B$17))</f>
        <v>0</v>
      </c>
      <c r="CJ9" s="609">
        <f>IF(CJ$7&gt;$N9,0,CI9*(1-'Interest Rate'!$B$17))</f>
        <v>0</v>
      </c>
      <c r="CK9" s="609">
        <f>IF(CK$7&gt;$N9,0,CJ9*(1-'Interest Rate'!$B$17))</f>
        <v>0</v>
      </c>
      <c r="CL9" s="609">
        <f>IF(CL$7&gt;$N9,0,CK9*(1-'Interest Rate'!$B$17))</f>
        <v>0</v>
      </c>
      <c r="CM9" s="609">
        <f>IF(CM$7&gt;$N9,0,CL9*(1-'Interest Rate'!$B$17))</f>
        <v>0</v>
      </c>
      <c r="CN9" s="609">
        <f>IF(CN$7&gt;$N9,0,CM9*(1-'Interest Rate'!$B$17))</f>
        <v>0</v>
      </c>
      <c r="CO9" s="609">
        <f>IF(CO$7&gt;$N9,0,CN9*(1-'Interest Rate'!$B$17))</f>
        <v>0</v>
      </c>
      <c r="CP9" s="609">
        <f>IF(CP$7&gt;$N9,0,CO9*(1-'Interest Rate'!$B$17))</f>
        <v>0</v>
      </c>
      <c r="CQ9" s="609">
        <f>IF(CQ$7&gt;$N9,0,CP9*(1-'Interest Rate'!$B$17))</f>
        <v>0</v>
      </c>
      <c r="CR9" s="609">
        <f>IF(CR$7&gt;$N9,0,CQ9*(1-'Interest Rate'!$B$17))</f>
        <v>0</v>
      </c>
      <c r="CS9" s="609">
        <f>IF(CS$7&gt;$N9,0,CR9*(1-'Interest Rate'!$B$17))</f>
        <v>0</v>
      </c>
      <c r="CT9" s="609">
        <f>IF(CT$7&gt;$N9,0,CS9*(1-'Interest Rate'!$B$17))</f>
        <v>0</v>
      </c>
      <c r="CU9" s="609">
        <f>IF(CU$7&gt;$N9,0,CT9*(1-'Interest Rate'!$B$17))</f>
        <v>0</v>
      </c>
      <c r="CV9" s="609">
        <f>IF(CV$7&gt;$N9,0,CU9*(1-'Interest Rate'!$B$17))</f>
        <v>0</v>
      </c>
      <c r="CW9" s="609">
        <f>IF(CW$7&gt;$N9,0,CV9*(1-'Interest Rate'!$B$17))</f>
        <v>0</v>
      </c>
      <c r="CX9" s="609">
        <f>IF(CX$7&gt;$N9,0,CW9*(1-'Interest Rate'!$B$17))</f>
        <v>0</v>
      </c>
      <c r="CY9" s="609">
        <f>IF(CY$7&gt;$N9,0,CX9*(1-'Interest Rate'!$B$17))</f>
        <v>0</v>
      </c>
      <c r="CZ9" s="609">
        <f>IF(CZ$7&gt;$N9,0,CY9*(1-'Interest Rate'!$B$17))</f>
        <v>0</v>
      </c>
      <c r="DA9" s="609">
        <f>IF(DA$7&gt;$N9,0,CZ9*(1-'Interest Rate'!$B$17))</f>
        <v>0</v>
      </c>
      <c r="DB9" s="609">
        <f>IF(DB$7&gt;$N9,0,DA9*(1-'Interest Rate'!$B$17))</f>
        <v>0</v>
      </c>
      <c r="DC9" s="609">
        <f>IF(DC$7&gt;$N9,0,DB9*(1-'Interest Rate'!$B$17))</f>
        <v>0</v>
      </c>
      <c r="DD9" s="609">
        <f>IF(DD$7&gt;$N9,0,DC9*(1-'Interest Rate'!$B$17))</f>
        <v>0</v>
      </c>
      <c r="DE9" s="609">
        <f>IF(DE$7&gt;$N9,0,DD9*(1-'Interest Rate'!$B$17))</f>
        <v>0</v>
      </c>
      <c r="DF9" s="609">
        <f>IF(DF$7&gt;$N9,0,DE9*(1-'Interest Rate'!$B$17))</f>
        <v>0</v>
      </c>
      <c r="DG9" s="609">
        <f>IF(DG$7&gt;$N9,0,DF9*(1-'Interest Rate'!$B$17))</f>
        <v>0</v>
      </c>
      <c r="DH9" s="609">
        <f>IF(DH$7&gt;$N9,0,DG9*(1-'Interest Rate'!$B$17))</f>
        <v>0</v>
      </c>
      <c r="DI9" s="609">
        <f>IF(DI$7&gt;$N9,0,DH9*(1-'Interest Rate'!$B$17))</f>
        <v>0</v>
      </c>
      <c r="DJ9" s="609">
        <f>IF(DJ$7&gt;$N9,0,DI9*(1-'Interest Rate'!$B$17))</f>
        <v>0</v>
      </c>
      <c r="DK9" s="609">
        <f>IF(DK$7&gt;$N9,0,DJ9*(1-'Interest Rate'!$B$17))</f>
        <v>0</v>
      </c>
      <c r="DL9" s="609">
        <f>IF(DL$7&gt;$N9,0,DK9*(1-'Interest Rate'!$B$17))</f>
        <v>0</v>
      </c>
      <c r="DM9" s="609">
        <f>IF(DM$7&gt;$N9,0,DL9*(1-'Interest Rate'!$B$17))</f>
        <v>0</v>
      </c>
    </row>
    <row r="10" spans="1:117" ht="27.75" customHeight="1" x14ac:dyDescent="0.3">
      <c r="A10" s="600" t="str">
        <f>'EEM Data Entry'!A87</f>
        <v/>
      </c>
      <c r="B10" s="601" t="str">
        <f>'EEM Data Entry'!B87</f>
        <v/>
      </c>
      <c r="C10" s="602" t="str">
        <f>'EEM Data Entry'!F87</f>
        <v/>
      </c>
      <c r="D10" s="602">
        <v>0</v>
      </c>
      <c r="E10" s="602" t="e">
        <f t="shared" si="0"/>
        <v>#VALUE!</v>
      </c>
      <c r="F10" s="602">
        <f>('Savings Summary'!D9*'Savings Summary'!D$5)+('Savings Summary'!F9*'Savings Summary'!F$5)+('Savings Summary'!H9*'Savings Summary'!H$5)+('Savings Summary'!J9*'Savings Summary'!J$5)+('Savings Summary'!L9*'Savings Summary'!L$5)+('Savings Summary'!N9*'Savings Summary'!N$5)+('Savings Summary'!P9*'Savings Summary'!P$5)+('Savings Summary'!R9*'Savings Summary'!R$5)</f>
        <v>0</v>
      </c>
      <c r="G10" s="603">
        <f>'Savings Summary'!T9</f>
        <v>0</v>
      </c>
      <c r="H10" s="604" t="e">
        <f t="shared" si="1"/>
        <v>#VALUE!</v>
      </c>
      <c r="I10" s="600" t="e">
        <f t="shared" si="2"/>
        <v>#VALUE!</v>
      </c>
      <c r="J10" s="605" t="e">
        <f t="shared" si="3"/>
        <v>#NUM!</v>
      </c>
      <c r="K10" s="606" t="e">
        <f>PV('Interest Rate'!$B$17,Table6[[#This Row],[LIFETIME]],-Table6[[#This Row],[ANNUAL ENERGY COST SAVINGS]],Table6[[#This Row],[END-OF-LIFE]],0)-Table6[[#This Row],[CAPITAL INVESTMENT]]</f>
        <v>#VALUE!</v>
      </c>
      <c r="L10" s="600" t="str">
        <f>'EEM Data Entry'!C87</f>
        <v/>
      </c>
      <c r="M10" s="607" t="e">
        <f>Table6[[#This Row],[ANNUAL ENERGY COST SAVINGS]]/Table6[[#This Row],[CAPITAL INVESTMENT]]</f>
        <v>#VALUE!</v>
      </c>
      <c r="N10" s="804" t="str">
        <f>Table6[[#This Row],[LIFETIME]]</f>
        <v/>
      </c>
      <c r="O10" s="607"/>
      <c r="P10" s="607"/>
      <c r="Q10" s="608" t="str">
        <f t="shared" si="4"/>
        <v/>
      </c>
      <c r="R10" s="609">
        <f t="shared" si="5"/>
        <v>0</v>
      </c>
      <c r="S10" s="609">
        <f>IF(S$7&gt;$N10,0,R10*(1-'Interest Rate'!$B$17))</f>
        <v>0</v>
      </c>
      <c r="T10" s="609">
        <f>IF(T$7&gt;$N10,0,S10*(1-'Interest Rate'!$B$17))</f>
        <v>0</v>
      </c>
      <c r="U10" s="609">
        <f>IF(U$7&gt;$N10,0,T10*(1-'Interest Rate'!$B$17))</f>
        <v>0</v>
      </c>
      <c r="V10" s="609">
        <f>IF(V$7&gt;$N10,0,U10*(1-'Interest Rate'!$B$17))</f>
        <v>0</v>
      </c>
      <c r="W10" s="609">
        <f>IF(W$7&gt;$N10,0,V10*(1-'Interest Rate'!$B$17))</f>
        <v>0</v>
      </c>
      <c r="X10" s="609">
        <f>IF(X$7&gt;$N10,0,W10*(1-'Interest Rate'!$B$17))</f>
        <v>0</v>
      </c>
      <c r="Y10" s="609">
        <f>IF(Y$7&gt;$N10,0,X10*(1-'Interest Rate'!$B$17))</f>
        <v>0</v>
      </c>
      <c r="Z10" s="609">
        <f>IF(Z$7&gt;$N10,0,Y10*(1-'Interest Rate'!$B$17))</f>
        <v>0</v>
      </c>
      <c r="AA10" s="609">
        <f>IF(AA$7&gt;$N10,0,Z10*(1-'Interest Rate'!$B$17))</f>
        <v>0</v>
      </c>
      <c r="AB10" s="609">
        <f>IF(AB$7&gt;$N10,0,AA10*(1-'Interest Rate'!$B$17))</f>
        <v>0</v>
      </c>
      <c r="AC10" s="609">
        <f>IF(AC$7&gt;$N10,0,AB10*(1-'Interest Rate'!$B$17))</f>
        <v>0</v>
      </c>
      <c r="AD10" s="609">
        <f>IF(AD$7&gt;$N10,0,AC10*(1-'Interest Rate'!$B$17))</f>
        <v>0</v>
      </c>
      <c r="AE10" s="609">
        <f>IF(AE$7&gt;$N10,0,AD10*(1-'Interest Rate'!$B$17))</f>
        <v>0</v>
      </c>
      <c r="AF10" s="609">
        <f>IF(AF$7&gt;$N10,0,AE10*(1-'Interest Rate'!$B$17))</f>
        <v>0</v>
      </c>
      <c r="AG10" s="609">
        <f>IF(AG$7&gt;$N10,0,AF10*(1-'Interest Rate'!$B$17))</f>
        <v>0</v>
      </c>
      <c r="AH10" s="609">
        <f>IF(AH$7&gt;$N10,0,AG10*(1-'Interest Rate'!$B$17))</f>
        <v>0</v>
      </c>
      <c r="AI10" s="609">
        <f>IF(AI$7&gt;$N10,0,AH10*(1-'Interest Rate'!$B$17))</f>
        <v>0</v>
      </c>
      <c r="AJ10" s="609">
        <f>IF(AJ$7&gt;$N10,0,AI10*(1-'Interest Rate'!$B$17))</f>
        <v>0</v>
      </c>
      <c r="AK10" s="609">
        <f>IF(AK$7&gt;$N10,0,AJ10*(1-'Interest Rate'!$B$17))</f>
        <v>0</v>
      </c>
      <c r="AL10" s="609">
        <f>IF(AL$7&gt;$N10,0,AK10*(1-'Interest Rate'!$B$17))</f>
        <v>0</v>
      </c>
      <c r="AM10" s="609">
        <f>IF(AM$7&gt;$N10,0,AL10*(1-'Interest Rate'!$B$17))</f>
        <v>0</v>
      </c>
      <c r="AN10" s="609">
        <f>IF(AN$7&gt;$N10,0,AM10*(1-'Interest Rate'!$B$17))</f>
        <v>0</v>
      </c>
      <c r="AO10" s="609">
        <f>IF(AO$7&gt;$N10,0,AN10*(1-'Interest Rate'!$B$17))</f>
        <v>0</v>
      </c>
      <c r="AP10" s="609">
        <f>IF(AP$7&gt;$N10,0,AO10*(1-'Interest Rate'!$B$17))</f>
        <v>0</v>
      </c>
      <c r="AQ10" s="609">
        <f>IF(AQ$7&gt;$N10,0,AP10*(1-'Interest Rate'!$B$17))</f>
        <v>0</v>
      </c>
      <c r="AR10" s="609">
        <f>IF(AR$7&gt;$N10,0,AQ10*(1-'Interest Rate'!$B$17))</f>
        <v>0</v>
      </c>
      <c r="AS10" s="609">
        <f>IF(AS$7&gt;$N10,0,AR10*(1-'Interest Rate'!$B$17))</f>
        <v>0</v>
      </c>
      <c r="AT10" s="609">
        <f>IF(AT$7&gt;$N10,0,AS10*(1-'Interest Rate'!$B$17))</f>
        <v>0</v>
      </c>
      <c r="AU10" s="609">
        <f>IF(AU$7&gt;$N10,0,AT10*(1-'Interest Rate'!$B$17))</f>
        <v>0</v>
      </c>
      <c r="AV10" s="609">
        <f>IF(AV$7&gt;$N10,0,AU10*(1-'Interest Rate'!$B$17))</f>
        <v>0</v>
      </c>
      <c r="AW10" s="609">
        <f>IF(AW$7&gt;$N10,0,AV10*(1-'Interest Rate'!$B$17))</f>
        <v>0</v>
      </c>
      <c r="AX10" s="609">
        <f>IF(AX$7&gt;$N10,0,AW10*(1-'Interest Rate'!$B$17))</f>
        <v>0</v>
      </c>
      <c r="AY10" s="609">
        <f>IF(AY$7&gt;$N10,0,AX10*(1-'Interest Rate'!$B$17))</f>
        <v>0</v>
      </c>
      <c r="AZ10" s="609">
        <f>IF(AZ$7&gt;$N10,0,AY10*(1-'Interest Rate'!$B$17))</f>
        <v>0</v>
      </c>
      <c r="BA10" s="609">
        <f>IF(BA$7&gt;$N10,0,AZ10*(1-'Interest Rate'!$B$17))</f>
        <v>0</v>
      </c>
      <c r="BB10" s="609">
        <f>IF(BB$7&gt;$N10,0,BA10*(1-'Interest Rate'!$B$17))</f>
        <v>0</v>
      </c>
      <c r="BC10" s="609">
        <f>IF(BC$7&gt;$N10,0,BB10*(1-'Interest Rate'!$B$17))</f>
        <v>0</v>
      </c>
      <c r="BD10" s="609">
        <f>IF(BD$7&gt;$N10,0,BC10*(1-'Interest Rate'!$B$17))</f>
        <v>0</v>
      </c>
      <c r="BE10" s="609">
        <f>IF(BE$7&gt;$N10,0,BD10*(1-'Interest Rate'!$B$17))</f>
        <v>0</v>
      </c>
      <c r="BF10" s="609">
        <f>IF(BF$7&gt;$N10,0,BE10*(1-'Interest Rate'!$B$17))</f>
        <v>0</v>
      </c>
      <c r="BG10" s="609">
        <f>IF(BG$7&gt;$N10,0,BF10*(1-'Interest Rate'!$B$17))</f>
        <v>0</v>
      </c>
      <c r="BH10" s="609">
        <f>IF(BH$7&gt;$N10,0,BG10*(1-'Interest Rate'!$B$17))</f>
        <v>0</v>
      </c>
      <c r="BI10" s="609">
        <f>IF(BI$7&gt;$N10,0,BH10*(1-'Interest Rate'!$B$17))</f>
        <v>0</v>
      </c>
      <c r="BJ10" s="609">
        <f>IF(BJ$7&gt;$N10,0,BI10*(1-'Interest Rate'!$B$17))</f>
        <v>0</v>
      </c>
      <c r="BK10" s="609">
        <f>IF(BK$7&gt;$N10,0,BJ10*(1-'Interest Rate'!$B$17))</f>
        <v>0</v>
      </c>
      <c r="BL10" s="609">
        <f>IF(BL$7&gt;$N10,0,BK10*(1-'Interest Rate'!$B$17))</f>
        <v>0</v>
      </c>
      <c r="BM10" s="609">
        <f>IF(BM$7&gt;$N10,0,BL10*(1-'Interest Rate'!$B$17))</f>
        <v>0</v>
      </c>
      <c r="BN10" s="609">
        <f>IF(BN$7&gt;$N10,0,BM10*(1-'Interest Rate'!$B$17))</f>
        <v>0</v>
      </c>
      <c r="BO10" s="609">
        <f>IF(BO$7&gt;$N10,0,BN10*(1-'Interest Rate'!$B$17))</f>
        <v>0</v>
      </c>
      <c r="BP10" s="609">
        <f>IF(BP$7&gt;$N10,0,BO10*(1-'Interest Rate'!$B$17))</f>
        <v>0</v>
      </c>
      <c r="BQ10" s="609">
        <f>IF(BQ$7&gt;$N10,0,BP10*(1-'Interest Rate'!$B$17))</f>
        <v>0</v>
      </c>
      <c r="BR10" s="609">
        <f>IF(BR$7&gt;$N10,0,BQ10*(1-'Interest Rate'!$B$17))</f>
        <v>0</v>
      </c>
      <c r="BS10" s="609">
        <f>IF(BS$7&gt;$N10,0,BR10*(1-'Interest Rate'!$B$17))</f>
        <v>0</v>
      </c>
      <c r="BT10" s="609">
        <f>IF(BT$7&gt;$N10,0,BS10*(1-'Interest Rate'!$B$17))</f>
        <v>0</v>
      </c>
      <c r="BU10" s="609">
        <f>IF(BU$7&gt;$N10,0,BT10*(1-'Interest Rate'!$B$17))</f>
        <v>0</v>
      </c>
      <c r="BV10" s="609">
        <f>IF(BV$7&gt;$N10,0,BU10*(1-'Interest Rate'!$B$17))</f>
        <v>0</v>
      </c>
      <c r="BW10" s="609">
        <f>IF(BW$7&gt;$N10,0,BV10*(1-'Interest Rate'!$B$17))</f>
        <v>0</v>
      </c>
      <c r="BX10" s="609">
        <f>IF(BX$7&gt;$N10,0,BW10*(1-'Interest Rate'!$B$17))</f>
        <v>0</v>
      </c>
      <c r="BY10" s="609">
        <f>IF(BY$7&gt;$N10,0,BX10*(1-'Interest Rate'!$B$17))</f>
        <v>0</v>
      </c>
      <c r="BZ10" s="609">
        <f>IF(BZ$7&gt;$N10,0,BY10*(1-'Interest Rate'!$B$17))</f>
        <v>0</v>
      </c>
      <c r="CA10" s="609">
        <f>IF(CA$7&gt;$N10,0,BZ10*(1-'Interest Rate'!$B$17))</f>
        <v>0</v>
      </c>
      <c r="CB10" s="609">
        <f>IF(CB$7&gt;$N10,0,CA10*(1-'Interest Rate'!$B$17))</f>
        <v>0</v>
      </c>
      <c r="CC10" s="609">
        <f>IF(CC$7&gt;$N10,0,CB10*(1-'Interest Rate'!$B$17))</f>
        <v>0</v>
      </c>
      <c r="CD10" s="609">
        <f>IF(CD$7&gt;$N10,0,CC10*(1-'Interest Rate'!$B$17))</f>
        <v>0</v>
      </c>
      <c r="CE10" s="609">
        <f>IF(CE$7&gt;$N10,0,CD10*(1-'Interest Rate'!$B$17))</f>
        <v>0</v>
      </c>
      <c r="CF10" s="609">
        <f>IF(CF$7&gt;$N10,0,CE10*(1-'Interest Rate'!$B$17))</f>
        <v>0</v>
      </c>
      <c r="CG10" s="609">
        <f>IF(CG$7&gt;$N10,0,CF10*(1-'Interest Rate'!$B$17))</f>
        <v>0</v>
      </c>
      <c r="CH10" s="609">
        <f>IF(CH$7&gt;$N10,0,CG10*(1-'Interest Rate'!$B$17))</f>
        <v>0</v>
      </c>
      <c r="CI10" s="609">
        <f>IF(CI$7&gt;$N10,0,CH10*(1-'Interest Rate'!$B$17))</f>
        <v>0</v>
      </c>
      <c r="CJ10" s="609">
        <f>IF(CJ$7&gt;$N10,0,CI10*(1-'Interest Rate'!$B$17))</f>
        <v>0</v>
      </c>
      <c r="CK10" s="609">
        <f>IF(CK$7&gt;$N10,0,CJ10*(1-'Interest Rate'!$B$17))</f>
        <v>0</v>
      </c>
      <c r="CL10" s="609">
        <f>IF(CL$7&gt;$N10,0,CK10*(1-'Interest Rate'!$B$17))</f>
        <v>0</v>
      </c>
      <c r="CM10" s="609">
        <f>IF(CM$7&gt;$N10,0,CL10*(1-'Interest Rate'!$B$17))</f>
        <v>0</v>
      </c>
      <c r="CN10" s="609">
        <f>IF(CN$7&gt;$N10,0,CM10*(1-'Interest Rate'!$B$17))</f>
        <v>0</v>
      </c>
      <c r="CO10" s="609">
        <f>IF(CO$7&gt;$N10,0,CN10*(1-'Interest Rate'!$B$17))</f>
        <v>0</v>
      </c>
      <c r="CP10" s="609">
        <f>IF(CP$7&gt;$N10,0,CO10*(1-'Interest Rate'!$B$17))</f>
        <v>0</v>
      </c>
      <c r="CQ10" s="609">
        <f>IF(CQ$7&gt;$N10,0,CP10*(1-'Interest Rate'!$B$17))</f>
        <v>0</v>
      </c>
      <c r="CR10" s="609">
        <f>IF(CR$7&gt;$N10,0,CQ10*(1-'Interest Rate'!$B$17))</f>
        <v>0</v>
      </c>
      <c r="CS10" s="609">
        <f>IF(CS$7&gt;$N10,0,CR10*(1-'Interest Rate'!$B$17))</f>
        <v>0</v>
      </c>
      <c r="CT10" s="609">
        <f>IF(CT$7&gt;$N10,0,CS10*(1-'Interest Rate'!$B$17))</f>
        <v>0</v>
      </c>
      <c r="CU10" s="609">
        <f>IF(CU$7&gt;$N10,0,CT10*(1-'Interest Rate'!$B$17))</f>
        <v>0</v>
      </c>
      <c r="CV10" s="609">
        <f>IF(CV$7&gt;$N10,0,CU10*(1-'Interest Rate'!$B$17))</f>
        <v>0</v>
      </c>
      <c r="CW10" s="609">
        <f>IF(CW$7&gt;$N10,0,CV10*(1-'Interest Rate'!$B$17))</f>
        <v>0</v>
      </c>
      <c r="CX10" s="609">
        <f>IF(CX$7&gt;$N10,0,CW10*(1-'Interest Rate'!$B$17))</f>
        <v>0</v>
      </c>
      <c r="CY10" s="609">
        <f>IF(CY$7&gt;$N10,0,CX10*(1-'Interest Rate'!$B$17))</f>
        <v>0</v>
      </c>
      <c r="CZ10" s="609">
        <f>IF(CZ$7&gt;$N10,0,CY10*(1-'Interest Rate'!$B$17))</f>
        <v>0</v>
      </c>
      <c r="DA10" s="609">
        <f>IF(DA$7&gt;$N10,0,CZ10*(1-'Interest Rate'!$B$17))</f>
        <v>0</v>
      </c>
      <c r="DB10" s="609">
        <f>IF(DB$7&gt;$N10,0,DA10*(1-'Interest Rate'!$B$17))</f>
        <v>0</v>
      </c>
      <c r="DC10" s="609">
        <f>IF(DC$7&gt;$N10,0,DB10*(1-'Interest Rate'!$B$17))</f>
        <v>0</v>
      </c>
      <c r="DD10" s="609">
        <f>IF(DD$7&gt;$N10,0,DC10*(1-'Interest Rate'!$B$17))</f>
        <v>0</v>
      </c>
      <c r="DE10" s="609">
        <f>IF(DE$7&gt;$N10,0,DD10*(1-'Interest Rate'!$B$17))</f>
        <v>0</v>
      </c>
      <c r="DF10" s="609">
        <f>IF(DF$7&gt;$N10,0,DE10*(1-'Interest Rate'!$B$17))</f>
        <v>0</v>
      </c>
      <c r="DG10" s="609">
        <f>IF(DG$7&gt;$N10,0,DF10*(1-'Interest Rate'!$B$17))</f>
        <v>0</v>
      </c>
      <c r="DH10" s="609">
        <f>IF(DH$7&gt;$N10,0,DG10*(1-'Interest Rate'!$B$17))</f>
        <v>0</v>
      </c>
      <c r="DI10" s="609">
        <f>IF(DI$7&gt;$N10,0,DH10*(1-'Interest Rate'!$B$17))</f>
        <v>0</v>
      </c>
      <c r="DJ10" s="609">
        <f>IF(DJ$7&gt;$N10,0,DI10*(1-'Interest Rate'!$B$17))</f>
        <v>0</v>
      </c>
      <c r="DK10" s="609">
        <f>IF(DK$7&gt;$N10,0,DJ10*(1-'Interest Rate'!$B$17))</f>
        <v>0</v>
      </c>
      <c r="DL10" s="609">
        <f>IF(DL$7&gt;$N10,0,DK10*(1-'Interest Rate'!$B$17))</f>
        <v>0</v>
      </c>
      <c r="DM10" s="609">
        <f>IF(DM$7&gt;$N10,0,DL10*(1-'Interest Rate'!$B$17))</f>
        <v>0</v>
      </c>
    </row>
    <row r="11" spans="1:117" ht="27.75" customHeight="1" x14ac:dyDescent="0.3">
      <c r="A11" s="600" t="str">
        <f>'EEM Data Entry'!A88</f>
        <v/>
      </c>
      <c r="B11" s="601" t="str">
        <f>'EEM Data Entry'!B88</f>
        <v/>
      </c>
      <c r="C11" s="602" t="str">
        <f>'EEM Data Entry'!F88</f>
        <v/>
      </c>
      <c r="D11" s="602">
        <v>0</v>
      </c>
      <c r="E11" s="602" t="e">
        <f t="shared" si="0"/>
        <v>#VALUE!</v>
      </c>
      <c r="F11" s="602">
        <f>('Savings Summary'!D10*'Savings Summary'!D$5)+('Savings Summary'!F10*'Savings Summary'!F$5)+('Savings Summary'!H10*'Savings Summary'!H$5)+('Savings Summary'!J10*'Savings Summary'!J$5)+('Savings Summary'!L10*'Savings Summary'!L$5)+('Savings Summary'!N10*'Savings Summary'!N$5)+('Savings Summary'!P10*'Savings Summary'!P$5)+('Savings Summary'!R10*'Savings Summary'!R$5)</f>
        <v>0</v>
      </c>
      <c r="G11" s="603">
        <f>'Savings Summary'!T10</f>
        <v>0</v>
      </c>
      <c r="H11" s="604" t="e">
        <f t="shared" si="1"/>
        <v>#VALUE!</v>
      </c>
      <c r="I11" s="600" t="e">
        <f t="shared" si="2"/>
        <v>#VALUE!</v>
      </c>
      <c r="J11" s="605" t="e">
        <f t="shared" si="3"/>
        <v>#NUM!</v>
      </c>
      <c r="K11" s="606" t="e">
        <f>PV('Interest Rate'!$B$17,Table6[[#This Row],[LIFETIME]],-Table6[[#This Row],[ANNUAL ENERGY COST SAVINGS]],Table6[[#This Row],[END-OF-LIFE]],0)-Table6[[#This Row],[CAPITAL INVESTMENT]]</f>
        <v>#VALUE!</v>
      </c>
      <c r="L11" s="600" t="str">
        <f>'EEM Data Entry'!C88</f>
        <v/>
      </c>
      <c r="M11" s="607" t="e">
        <f>Table6[[#This Row],[ANNUAL ENERGY COST SAVINGS]]/Table6[[#This Row],[CAPITAL INVESTMENT]]</f>
        <v>#VALUE!</v>
      </c>
      <c r="N11" s="804" t="str">
        <f>Table6[[#This Row],[LIFETIME]]</f>
        <v/>
      </c>
      <c r="O11" s="607"/>
      <c r="P11" s="607"/>
      <c r="Q11" s="608" t="str">
        <f t="shared" si="4"/>
        <v/>
      </c>
      <c r="R11" s="609">
        <f t="shared" si="5"/>
        <v>0</v>
      </c>
      <c r="S11" s="609">
        <f>IF(S$7&gt;$N11,0,R11*(1-'Interest Rate'!$B$17))</f>
        <v>0</v>
      </c>
      <c r="T11" s="609">
        <f>IF(T$7&gt;$N11,0,S11*(1-'Interest Rate'!$B$17))</f>
        <v>0</v>
      </c>
      <c r="U11" s="609">
        <f>IF(U$7&gt;$N11,0,T11*(1-'Interest Rate'!$B$17))</f>
        <v>0</v>
      </c>
      <c r="V11" s="609">
        <f>IF(V$7&gt;$N11,0,U11*(1-'Interest Rate'!$B$17))</f>
        <v>0</v>
      </c>
      <c r="W11" s="609">
        <f>IF(W$7&gt;$N11,0,V11*(1-'Interest Rate'!$B$17))</f>
        <v>0</v>
      </c>
      <c r="X11" s="609">
        <f>IF(X$7&gt;$N11,0,W11*(1-'Interest Rate'!$B$17))</f>
        <v>0</v>
      </c>
      <c r="Y11" s="609">
        <f>IF(Y$7&gt;$N11,0,X11*(1-'Interest Rate'!$B$17))</f>
        <v>0</v>
      </c>
      <c r="Z11" s="609">
        <f>IF(Z$7&gt;$N11,0,Y11*(1-'Interest Rate'!$B$17))</f>
        <v>0</v>
      </c>
      <c r="AA11" s="609">
        <f>IF(AA$7&gt;$N11,0,Z11*(1-'Interest Rate'!$B$17))</f>
        <v>0</v>
      </c>
      <c r="AB11" s="609">
        <f>IF(AB$7&gt;$N11,0,AA11*(1-'Interest Rate'!$B$17))</f>
        <v>0</v>
      </c>
      <c r="AC11" s="609">
        <f>IF(AC$7&gt;$N11,0,AB11*(1-'Interest Rate'!$B$17))</f>
        <v>0</v>
      </c>
      <c r="AD11" s="609">
        <f>IF(AD$7&gt;$N11,0,AC11*(1-'Interest Rate'!$B$17))</f>
        <v>0</v>
      </c>
      <c r="AE11" s="609">
        <f>IF(AE$7&gt;$N11,0,AD11*(1-'Interest Rate'!$B$17))</f>
        <v>0</v>
      </c>
      <c r="AF11" s="609">
        <f>IF(AF$7&gt;$N11,0,AE11*(1-'Interest Rate'!$B$17))</f>
        <v>0</v>
      </c>
      <c r="AG11" s="609">
        <f>IF(AG$7&gt;$N11,0,AF11*(1-'Interest Rate'!$B$17))</f>
        <v>0</v>
      </c>
      <c r="AH11" s="609">
        <f>IF(AH$7&gt;$N11,0,AG11*(1-'Interest Rate'!$B$17))</f>
        <v>0</v>
      </c>
      <c r="AI11" s="609">
        <f>IF(AI$7&gt;$N11,0,AH11*(1-'Interest Rate'!$B$17))</f>
        <v>0</v>
      </c>
      <c r="AJ11" s="609">
        <f>IF(AJ$7&gt;$N11,0,AI11*(1-'Interest Rate'!$B$17))</f>
        <v>0</v>
      </c>
      <c r="AK11" s="609">
        <f>IF(AK$7&gt;$N11,0,AJ11*(1-'Interest Rate'!$B$17))</f>
        <v>0</v>
      </c>
      <c r="AL11" s="609">
        <f>IF(AL$7&gt;$N11,0,AK11*(1-'Interest Rate'!$B$17))</f>
        <v>0</v>
      </c>
      <c r="AM11" s="609">
        <f>IF(AM$7&gt;$N11,0,AL11*(1-'Interest Rate'!$B$17))</f>
        <v>0</v>
      </c>
      <c r="AN11" s="609">
        <f>IF(AN$7&gt;$N11,0,AM11*(1-'Interest Rate'!$B$17))</f>
        <v>0</v>
      </c>
      <c r="AO11" s="609">
        <f>IF(AO$7&gt;$N11,0,AN11*(1-'Interest Rate'!$B$17))</f>
        <v>0</v>
      </c>
      <c r="AP11" s="609">
        <f>IF(AP$7&gt;$N11,0,AO11*(1-'Interest Rate'!$B$17))</f>
        <v>0</v>
      </c>
      <c r="AQ11" s="609">
        <f>IF(AQ$7&gt;$N11,0,AP11*(1-'Interest Rate'!$B$17))</f>
        <v>0</v>
      </c>
      <c r="AR11" s="609">
        <f>IF(AR$7&gt;$N11,0,AQ11*(1-'Interest Rate'!$B$17))</f>
        <v>0</v>
      </c>
      <c r="AS11" s="609">
        <f>IF(AS$7&gt;$N11,0,AR11*(1-'Interest Rate'!$B$17))</f>
        <v>0</v>
      </c>
      <c r="AT11" s="609">
        <f>IF(AT$7&gt;$N11,0,AS11*(1-'Interest Rate'!$B$17))</f>
        <v>0</v>
      </c>
      <c r="AU11" s="609">
        <f>IF(AU$7&gt;$N11,0,AT11*(1-'Interest Rate'!$B$17))</f>
        <v>0</v>
      </c>
      <c r="AV11" s="609">
        <f>IF(AV$7&gt;$N11,0,AU11*(1-'Interest Rate'!$B$17))</f>
        <v>0</v>
      </c>
      <c r="AW11" s="609">
        <f>IF(AW$7&gt;$N11,0,AV11*(1-'Interest Rate'!$B$17))</f>
        <v>0</v>
      </c>
      <c r="AX11" s="609">
        <f>IF(AX$7&gt;$N11,0,AW11*(1-'Interest Rate'!$B$17))</f>
        <v>0</v>
      </c>
      <c r="AY11" s="609">
        <f>IF(AY$7&gt;$N11,0,AX11*(1-'Interest Rate'!$B$17))</f>
        <v>0</v>
      </c>
      <c r="AZ11" s="609">
        <f>IF(AZ$7&gt;$N11,0,AY11*(1-'Interest Rate'!$B$17))</f>
        <v>0</v>
      </c>
      <c r="BA11" s="609">
        <f>IF(BA$7&gt;$N11,0,AZ11*(1-'Interest Rate'!$B$17))</f>
        <v>0</v>
      </c>
      <c r="BB11" s="609">
        <f>IF(BB$7&gt;$N11,0,BA11*(1-'Interest Rate'!$B$17))</f>
        <v>0</v>
      </c>
      <c r="BC11" s="609">
        <f>IF(BC$7&gt;$N11,0,BB11*(1-'Interest Rate'!$B$17))</f>
        <v>0</v>
      </c>
      <c r="BD11" s="609">
        <f>IF(BD$7&gt;$N11,0,BC11*(1-'Interest Rate'!$B$17))</f>
        <v>0</v>
      </c>
      <c r="BE11" s="609">
        <f>IF(BE$7&gt;$N11,0,BD11*(1-'Interest Rate'!$B$17))</f>
        <v>0</v>
      </c>
      <c r="BF11" s="609">
        <f>IF(BF$7&gt;$N11,0,BE11*(1-'Interest Rate'!$B$17))</f>
        <v>0</v>
      </c>
      <c r="BG11" s="609">
        <f>IF(BG$7&gt;$N11,0,BF11*(1-'Interest Rate'!$B$17))</f>
        <v>0</v>
      </c>
      <c r="BH11" s="609">
        <f>IF(BH$7&gt;$N11,0,BG11*(1-'Interest Rate'!$B$17))</f>
        <v>0</v>
      </c>
      <c r="BI11" s="609">
        <f>IF(BI$7&gt;$N11,0,BH11*(1-'Interest Rate'!$B$17))</f>
        <v>0</v>
      </c>
      <c r="BJ11" s="609">
        <f>IF(BJ$7&gt;$N11,0,BI11*(1-'Interest Rate'!$B$17))</f>
        <v>0</v>
      </c>
      <c r="BK11" s="609">
        <f>IF(BK$7&gt;$N11,0,BJ11*(1-'Interest Rate'!$B$17))</f>
        <v>0</v>
      </c>
      <c r="BL11" s="609">
        <f>IF(BL$7&gt;$N11,0,BK11*(1-'Interest Rate'!$B$17))</f>
        <v>0</v>
      </c>
      <c r="BM11" s="609">
        <f>IF(BM$7&gt;$N11,0,BL11*(1-'Interest Rate'!$B$17))</f>
        <v>0</v>
      </c>
      <c r="BN11" s="609">
        <f>IF(BN$7&gt;$N11,0,BM11*(1-'Interest Rate'!$B$17))</f>
        <v>0</v>
      </c>
      <c r="BO11" s="609">
        <f>IF(BO$7&gt;$N11,0,BN11*(1-'Interest Rate'!$B$17))</f>
        <v>0</v>
      </c>
      <c r="BP11" s="609">
        <f>IF(BP$7&gt;$N11,0,BO11*(1-'Interest Rate'!$B$17))</f>
        <v>0</v>
      </c>
      <c r="BQ11" s="609">
        <f>IF(BQ$7&gt;$N11,0,BP11*(1-'Interest Rate'!$B$17))</f>
        <v>0</v>
      </c>
      <c r="BR11" s="609">
        <f>IF(BR$7&gt;$N11,0,BQ11*(1-'Interest Rate'!$B$17))</f>
        <v>0</v>
      </c>
      <c r="BS11" s="609">
        <f>IF(BS$7&gt;$N11,0,BR11*(1-'Interest Rate'!$B$17))</f>
        <v>0</v>
      </c>
      <c r="BT11" s="609">
        <f>IF(BT$7&gt;$N11,0,BS11*(1-'Interest Rate'!$B$17))</f>
        <v>0</v>
      </c>
      <c r="BU11" s="609">
        <f>IF(BU$7&gt;$N11,0,BT11*(1-'Interest Rate'!$B$17))</f>
        <v>0</v>
      </c>
      <c r="BV11" s="609">
        <f>IF(BV$7&gt;$N11,0,BU11*(1-'Interest Rate'!$B$17))</f>
        <v>0</v>
      </c>
      <c r="BW11" s="609">
        <f>IF(BW$7&gt;$N11,0,BV11*(1-'Interest Rate'!$B$17))</f>
        <v>0</v>
      </c>
      <c r="BX11" s="609">
        <f>IF(BX$7&gt;$N11,0,BW11*(1-'Interest Rate'!$B$17))</f>
        <v>0</v>
      </c>
      <c r="BY11" s="609">
        <f>IF(BY$7&gt;$N11,0,BX11*(1-'Interest Rate'!$B$17))</f>
        <v>0</v>
      </c>
      <c r="BZ11" s="609">
        <f>IF(BZ$7&gt;$N11,0,BY11*(1-'Interest Rate'!$B$17))</f>
        <v>0</v>
      </c>
      <c r="CA11" s="609">
        <f>IF(CA$7&gt;$N11,0,BZ11*(1-'Interest Rate'!$B$17))</f>
        <v>0</v>
      </c>
      <c r="CB11" s="609">
        <f>IF(CB$7&gt;$N11,0,CA11*(1-'Interest Rate'!$B$17))</f>
        <v>0</v>
      </c>
      <c r="CC11" s="609">
        <f>IF(CC$7&gt;$N11,0,CB11*(1-'Interest Rate'!$B$17))</f>
        <v>0</v>
      </c>
      <c r="CD11" s="609">
        <f>IF(CD$7&gt;$N11,0,CC11*(1-'Interest Rate'!$B$17))</f>
        <v>0</v>
      </c>
      <c r="CE11" s="609">
        <f>IF(CE$7&gt;$N11,0,CD11*(1-'Interest Rate'!$B$17))</f>
        <v>0</v>
      </c>
      <c r="CF11" s="609">
        <f>IF(CF$7&gt;$N11,0,CE11*(1-'Interest Rate'!$B$17))</f>
        <v>0</v>
      </c>
      <c r="CG11" s="609">
        <f>IF(CG$7&gt;$N11,0,CF11*(1-'Interest Rate'!$B$17))</f>
        <v>0</v>
      </c>
      <c r="CH11" s="609">
        <f>IF(CH$7&gt;$N11,0,CG11*(1-'Interest Rate'!$B$17))</f>
        <v>0</v>
      </c>
      <c r="CI11" s="609">
        <f>IF(CI$7&gt;$N11,0,CH11*(1-'Interest Rate'!$B$17))</f>
        <v>0</v>
      </c>
      <c r="CJ11" s="609">
        <f>IF(CJ$7&gt;$N11,0,CI11*(1-'Interest Rate'!$B$17))</f>
        <v>0</v>
      </c>
      <c r="CK11" s="609">
        <f>IF(CK$7&gt;$N11,0,CJ11*(1-'Interest Rate'!$B$17))</f>
        <v>0</v>
      </c>
      <c r="CL11" s="609">
        <f>IF(CL$7&gt;$N11,0,CK11*(1-'Interest Rate'!$B$17))</f>
        <v>0</v>
      </c>
      <c r="CM11" s="609">
        <f>IF(CM$7&gt;$N11,0,CL11*(1-'Interest Rate'!$B$17))</f>
        <v>0</v>
      </c>
      <c r="CN11" s="609">
        <f>IF(CN$7&gt;$N11,0,CM11*(1-'Interest Rate'!$B$17))</f>
        <v>0</v>
      </c>
      <c r="CO11" s="609">
        <f>IF(CO$7&gt;$N11,0,CN11*(1-'Interest Rate'!$B$17))</f>
        <v>0</v>
      </c>
      <c r="CP11" s="609">
        <f>IF(CP$7&gt;$N11,0,CO11*(1-'Interest Rate'!$B$17))</f>
        <v>0</v>
      </c>
      <c r="CQ11" s="609">
        <f>IF(CQ$7&gt;$N11,0,CP11*(1-'Interest Rate'!$B$17))</f>
        <v>0</v>
      </c>
      <c r="CR11" s="609">
        <f>IF(CR$7&gt;$N11,0,CQ11*(1-'Interest Rate'!$B$17))</f>
        <v>0</v>
      </c>
      <c r="CS11" s="609">
        <f>IF(CS$7&gt;$N11,0,CR11*(1-'Interest Rate'!$B$17))</f>
        <v>0</v>
      </c>
      <c r="CT11" s="609">
        <f>IF(CT$7&gt;$N11,0,CS11*(1-'Interest Rate'!$B$17))</f>
        <v>0</v>
      </c>
      <c r="CU11" s="609">
        <f>IF(CU$7&gt;$N11,0,CT11*(1-'Interest Rate'!$B$17))</f>
        <v>0</v>
      </c>
      <c r="CV11" s="609">
        <f>IF(CV$7&gt;$N11,0,CU11*(1-'Interest Rate'!$B$17))</f>
        <v>0</v>
      </c>
      <c r="CW11" s="609">
        <f>IF(CW$7&gt;$N11,0,CV11*(1-'Interest Rate'!$B$17))</f>
        <v>0</v>
      </c>
      <c r="CX11" s="609">
        <f>IF(CX$7&gt;$N11,0,CW11*(1-'Interest Rate'!$B$17))</f>
        <v>0</v>
      </c>
      <c r="CY11" s="609">
        <f>IF(CY$7&gt;$N11,0,CX11*(1-'Interest Rate'!$B$17))</f>
        <v>0</v>
      </c>
      <c r="CZ11" s="609">
        <f>IF(CZ$7&gt;$N11,0,CY11*(1-'Interest Rate'!$B$17))</f>
        <v>0</v>
      </c>
      <c r="DA11" s="609">
        <f>IF(DA$7&gt;$N11,0,CZ11*(1-'Interest Rate'!$B$17))</f>
        <v>0</v>
      </c>
      <c r="DB11" s="609">
        <f>IF(DB$7&gt;$N11,0,DA11*(1-'Interest Rate'!$B$17))</f>
        <v>0</v>
      </c>
      <c r="DC11" s="609">
        <f>IF(DC$7&gt;$N11,0,DB11*(1-'Interest Rate'!$B$17))</f>
        <v>0</v>
      </c>
      <c r="DD11" s="609">
        <f>IF(DD$7&gt;$N11,0,DC11*(1-'Interest Rate'!$B$17))</f>
        <v>0</v>
      </c>
      <c r="DE11" s="609">
        <f>IF(DE$7&gt;$N11,0,DD11*(1-'Interest Rate'!$B$17))</f>
        <v>0</v>
      </c>
      <c r="DF11" s="609">
        <f>IF(DF$7&gt;$N11,0,DE11*(1-'Interest Rate'!$B$17))</f>
        <v>0</v>
      </c>
      <c r="DG11" s="609">
        <f>IF(DG$7&gt;$N11,0,DF11*(1-'Interest Rate'!$B$17))</f>
        <v>0</v>
      </c>
      <c r="DH11" s="609">
        <f>IF(DH$7&gt;$N11,0,DG11*(1-'Interest Rate'!$B$17))</f>
        <v>0</v>
      </c>
      <c r="DI11" s="609">
        <f>IF(DI$7&gt;$N11,0,DH11*(1-'Interest Rate'!$B$17))</f>
        <v>0</v>
      </c>
      <c r="DJ11" s="609">
        <f>IF(DJ$7&gt;$N11,0,DI11*(1-'Interest Rate'!$B$17))</f>
        <v>0</v>
      </c>
      <c r="DK11" s="609">
        <f>IF(DK$7&gt;$N11,0,DJ11*(1-'Interest Rate'!$B$17))</f>
        <v>0</v>
      </c>
      <c r="DL11" s="609">
        <f>IF(DL$7&gt;$N11,0,DK11*(1-'Interest Rate'!$B$17))</f>
        <v>0</v>
      </c>
      <c r="DM11" s="609">
        <f>IF(DM$7&gt;$N11,0,DL11*(1-'Interest Rate'!$B$17))</f>
        <v>0</v>
      </c>
    </row>
    <row r="12" spans="1:117" ht="27.75" customHeight="1" x14ac:dyDescent="0.3">
      <c r="A12" s="600" t="str">
        <f>'EEM Data Entry'!A89</f>
        <v/>
      </c>
      <c r="B12" s="601" t="str">
        <f>'EEM Data Entry'!B89</f>
        <v/>
      </c>
      <c r="C12" s="602" t="str">
        <f>'EEM Data Entry'!F89</f>
        <v/>
      </c>
      <c r="D12" s="602">
        <v>0</v>
      </c>
      <c r="E12" s="602" t="e">
        <f t="shared" si="0"/>
        <v>#VALUE!</v>
      </c>
      <c r="F12" s="602">
        <f>('Savings Summary'!D11*'Savings Summary'!D$5)+('Savings Summary'!F11*'Savings Summary'!F$5)+('Savings Summary'!H11*'Savings Summary'!H$5)+('Savings Summary'!J11*'Savings Summary'!J$5)+('Savings Summary'!L11*'Savings Summary'!L$5)+('Savings Summary'!N11*'Savings Summary'!N$5)+('Savings Summary'!P11*'Savings Summary'!P$5)+('Savings Summary'!R11*'Savings Summary'!R$5)</f>
        <v>0</v>
      </c>
      <c r="G12" s="603">
        <f>'Savings Summary'!T11</f>
        <v>0</v>
      </c>
      <c r="H12" s="604" t="e">
        <f t="shared" si="1"/>
        <v>#VALUE!</v>
      </c>
      <c r="I12" s="600" t="e">
        <f t="shared" si="2"/>
        <v>#VALUE!</v>
      </c>
      <c r="J12" s="605" t="e">
        <f t="shared" si="3"/>
        <v>#NUM!</v>
      </c>
      <c r="K12" s="606" t="e">
        <f>PV('Interest Rate'!$B$17,Table6[[#This Row],[LIFETIME]],-Table6[[#This Row],[ANNUAL ENERGY COST SAVINGS]],Table6[[#This Row],[END-OF-LIFE]],0)-Table6[[#This Row],[CAPITAL INVESTMENT]]</f>
        <v>#VALUE!</v>
      </c>
      <c r="L12" s="600" t="str">
        <f>'EEM Data Entry'!C89</f>
        <v/>
      </c>
      <c r="M12" s="607" t="e">
        <f>Table6[[#This Row],[ANNUAL ENERGY COST SAVINGS]]/Table6[[#This Row],[CAPITAL INVESTMENT]]</f>
        <v>#VALUE!</v>
      </c>
      <c r="N12" s="804" t="str">
        <f>Table6[[#This Row],[LIFETIME]]</f>
        <v/>
      </c>
      <c r="O12" s="607"/>
      <c r="P12" s="607"/>
      <c r="Q12" s="608" t="str">
        <f t="shared" si="4"/>
        <v/>
      </c>
      <c r="R12" s="609">
        <f t="shared" si="5"/>
        <v>0</v>
      </c>
      <c r="S12" s="609">
        <f>IF(S$7&gt;$N12,0,R12*(1-'Interest Rate'!$B$17))</f>
        <v>0</v>
      </c>
      <c r="T12" s="609">
        <f>IF(T$7&gt;$N12,0,S12*(1-'Interest Rate'!$B$17))</f>
        <v>0</v>
      </c>
      <c r="U12" s="609">
        <f>IF(U$7&gt;$N12,0,T12*(1-'Interest Rate'!$B$17))</f>
        <v>0</v>
      </c>
      <c r="V12" s="609">
        <f>IF(V$7&gt;$N12,0,U12*(1-'Interest Rate'!$B$17))</f>
        <v>0</v>
      </c>
      <c r="W12" s="609">
        <f>IF(W$7&gt;$N12,0,V12*(1-'Interest Rate'!$B$17))</f>
        <v>0</v>
      </c>
      <c r="X12" s="609">
        <f>IF(X$7&gt;$N12,0,W12*(1-'Interest Rate'!$B$17))</f>
        <v>0</v>
      </c>
      <c r="Y12" s="609">
        <f>IF(Y$7&gt;$N12,0,X12*(1-'Interest Rate'!$B$17))</f>
        <v>0</v>
      </c>
      <c r="Z12" s="609">
        <f>IF(Z$7&gt;$N12,0,Y12*(1-'Interest Rate'!$B$17))</f>
        <v>0</v>
      </c>
      <c r="AA12" s="609">
        <f>IF(AA$7&gt;$N12,0,Z12*(1-'Interest Rate'!$B$17))</f>
        <v>0</v>
      </c>
      <c r="AB12" s="609">
        <f>IF(AB$7&gt;$N12,0,AA12*(1-'Interest Rate'!$B$17))</f>
        <v>0</v>
      </c>
      <c r="AC12" s="609">
        <f>IF(AC$7&gt;$N12,0,AB12*(1-'Interest Rate'!$B$17))</f>
        <v>0</v>
      </c>
      <c r="AD12" s="609">
        <f>IF(AD$7&gt;$N12,0,AC12*(1-'Interest Rate'!$B$17))</f>
        <v>0</v>
      </c>
      <c r="AE12" s="609">
        <f>IF(AE$7&gt;$N12,0,AD12*(1-'Interest Rate'!$B$17))</f>
        <v>0</v>
      </c>
      <c r="AF12" s="609">
        <f>IF(AF$7&gt;$N12,0,AE12*(1-'Interest Rate'!$B$17))</f>
        <v>0</v>
      </c>
      <c r="AG12" s="609">
        <f>IF(AG$7&gt;$N12,0,AF12*(1-'Interest Rate'!$B$17))</f>
        <v>0</v>
      </c>
      <c r="AH12" s="609">
        <f>IF(AH$7&gt;$N12,0,AG12*(1-'Interest Rate'!$B$17))</f>
        <v>0</v>
      </c>
      <c r="AI12" s="609">
        <f>IF(AI$7&gt;$N12,0,AH12*(1-'Interest Rate'!$B$17))</f>
        <v>0</v>
      </c>
      <c r="AJ12" s="609">
        <f>IF(AJ$7&gt;$N12,0,AI12*(1-'Interest Rate'!$B$17))</f>
        <v>0</v>
      </c>
      <c r="AK12" s="609">
        <f>IF(AK$7&gt;$N12,0,AJ12*(1-'Interest Rate'!$B$17))</f>
        <v>0</v>
      </c>
      <c r="AL12" s="609">
        <f>IF(AL$7&gt;$N12,0,AK12*(1-'Interest Rate'!$B$17))</f>
        <v>0</v>
      </c>
      <c r="AM12" s="609">
        <f>IF(AM$7&gt;$N12,0,AL12*(1-'Interest Rate'!$B$17))</f>
        <v>0</v>
      </c>
      <c r="AN12" s="609">
        <f>IF(AN$7&gt;$N12,0,AM12*(1-'Interest Rate'!$B$17))</f>
        <v>0</v>
      </c>
      <c r="AO12" s="609">
        <f>IF(AO$7&gt;$N12,0,AN12*(1-'Interest Rate'!$B$17))</f>
        <v>0</v>
      </c>
      <c r="AP12" s="609">
        <f>IF(AP$7&gt;$N12,0,AO12*(1-'Interest Rate'!$B$17))</f>
        <v>0</v>
      </c>
      <c r="AQ12" s="609">
        <f>IF(AQ$7&gt;$N12,0,AP12*(1-'Interest Rate'!$B$17))</f>
        <v>0</v>
      </c>
      <c r="AR12" s="609">
        <f>IF(AR$7&gt;$N12,0,AQ12*(1-'Interest Rate'!$B$17))</f>
        <v>0</v>
      </c>
      <c r="AS12" s="609">
        <f>IF(AS$7&gt;$N12,0,AR12*(1-'Interest Rate'!$B$17))</f>
        <v>0</v>
      </c>
      <c r="AT12" s="609">
        <f>IF(AT$7&gt;$N12,0,AS12*(1-'Interest Rate'!$B$17))</f>
        <v>0</v>
      </c>
      <c r="AU12" s="609">
        <f>IF(AU$7&gt;$N12,0,AT12*(1-'Interest Rate'!$B$17))</f>
        <v>0</v>
      </c>
      <c r="AV12" s="609">
        <f>IF(AV$7&gt;$N12,0,AU12*(1-'Interest Rate'!$B$17))</f>
        <v>0</v>
      </c>
      <c r="AW12" s="609">
        <f>IF(AW$7&gt;$N12,0,AV12*(1-'Interest Rate'!$B$17))</f>
        <v>0</v>
      </c>
      <c r="AX12" s="609">
        <f>IF(AX$7&gt;$N12,0,AW12*(1-'Interest Rate'!$B$17))</f>
        <v>0</v>
      </c>
      <c r="AY12" s="609">
        <f>IF(AY$7&gt;$N12,0,AX12*(1-'Interest Rate'!$B$17))</f>
        <v>0</v>
      </c>
      <c r="AZ12" s="609">
        <f>IF(AZ$7&gt;$N12,0,AY12*(1-'Interest Rate'!$B$17))</f>
        <v>0</v>
      </c>
      <c r="BA12" s="609">
        <f>IF(BA$7&gt;$N12,0,AZ12*(1-'Interest Rate'!$B$17))</f>
        <v>0</v>
      </c>
      <c r="BB12" s="609">
        <f>IF(BB$7&gt;$N12,0,BA12*(1-'Interest Rate'!$B$17))</f>
        <v>0</v>
      </c>
      <c r="BC12" s="609">
        <f>IF(BC$7&gt;$N12,0,BB12*(1-'Interest Rate'!$B$17))</f>
        <v>0</v>
      </c>
      <c r="BD12" s="609">
        <f>IF(BD$7&gt;$N12,0,BC12*(1-'Interest Rate'!$B$17))</f>
        <v>0</v>
      </c>
      <c r="BE12" s="609">
        <f>IF(BE$7&gt;$N12,0,BD12*(1-'Interest Rate'!$B$17))</f>
        <v>0</v>
      </c>
      <c r="BF12" s="609">
        <f>IF(BF$7&gt;$N12,0,BE12*(1-'Interest Rate'!$B$17))</f>
        <v>0</v>
      </c>
      <c r="BG12" s="609">
        <f>IF(BG$7&gt;$N12,0,BF12*(1-'Interest Rate'!$B$17))</f>
        <v>0</v>
      </c>
      <c r="BH12" s="609">
        <f>IF(BH$7&gt;$N12,0,BG12*(1-'Interest Rate'!$B$17))</f>
        <v>0</v>
      </c>
      <c r="BI12" s="609">
        <f>IF(BI$7&gt;$N12,0,BH12*(1-'Interest Rate'!$B$17))</f>
        <v>0</v>
      </c>
      <c r="BJ12" s="609">
        <f>IF(BJ$7&gt;$N12,0,BI12*(1-'Interest Rate'!$B$17))</f>
        <v>0</v>
      </c>
      <c r="BK12" s="609">
        <f>IF(BK$7&gt;$N12,0,BJ12*(1-'Interest Rate'!$B$17))</f>
        <v>0</v>
      </c>
      <c r="BL12" s="609">
        <f>IF(BL$7&gt;$N12,0,BK12*(1-'Interest Rate'!$B$17))</f>
        <v>0</v>
      </c>
      <c r="BM12" s="609">
        <f>IF(BM$7&gt;$N12,0,BL12*(1-'Interest Rate'!$B$17))</f>
        <v>0</v>
      </c>
      <c r="BN12" s="609">
        <f>IF(BN$7&gt;$N12,0,BM12*(1-'Interest Rate'!$B$17))</f>
        <v>0</v>
      </c>
      <c r="BO12" s="609">
        <f>IF(BO$7&gt;$N12,0,BN12*(1-'Interest Rate'!$B$17))</f>
        <v>0</v>
      </c>
      <c r="BP12" s="609">
        <f>IF(BP$7&gt;$N12,0,BO12*(1-'Interest Rate'!$B$17))</f>
        <v>0</v>
      </c>
      <c r="BQ12" s="609">
        <f>IF(BQ$7&gt;$N12,0,BP12*(1-'Interest Rate'!$B$17))</f>
        <v>0</v>
      </c>
      <c r="BR12" s="609">
        <f>IF(BR$7&gt;$N12,0,BQ12*(1-'Interest Rate'!$B$17))</f>
        <v>0</v>
      </c>
      <c r="BS12" s="609">
        <f>IF(BS$7&gt;$N12,0,BR12*(1-'Interest Rate'!$B$17))</f>
        <v>0</v>
      </c>
      <c r="BT12" s="609">
        <f>IF(BT$7&gt;$N12,0,BS12*(1-'Interest Rate'!$B$17))</f>
        <v>0</v>
      </c>
      <c r="BU12" s="609">
        <f>IF(BU$7&gt;$N12,0,BT12*(1-'Interest Rate'!$B$17))</f>
        <v>0</v>
      </c>
      <c r="BV12" s="609">
        <f>IF(BV$7&gt;$N12,0,BU12*(1-'Interest Rate'!$B$17))</f>
        <v>0</v>
      </c>
      <c r="BW12" s="609">
        <f>IF(BW$7&gt;$N12,0,BV12*(1-'Interest Rate'!$B$17))</f>
        <v>0</v>
      </c>
      <c r="BX12" s="609">
        <f>IF(BX$7&gt;$N12,0,BW12*(1-'Interest Rate'!$B$17))</f>
        <v>0</v>
      </c>
      <c r="BY12" s="609">
        <f>IF(BY$7&gt;$N12,0,BX12*(1-'Interest Rate'!$B$17))</f>
        <v>0</v>
      </c>
      <c r="BZ12" s="609">
        <f>IF(BZ$7&gt;$N12,0,BY12*(1-'Interest Rate'!$B$17))</f>
        <v>0</v>
      </c>
      <c r="CA12" s="609">
        <f>IF(CA$7&gt;$N12,0,BZ12*(1-'Interest Rate'!$B$17))</f>
        <v>0</v>
      </c>
      <c r="CB12" s="609">
        <f>IF(CB$7&gt;$N12,0,CA12*(1-'Interest Rate'!$B$17))</f>
        <v>0</v>
      </c>
      <c r="CC12" s="609">
        <f>IF(CC$7&gt;$N12,0,CB12*(1-'Interest Rate'!$B$17))</f>
        <v>0</v>
      </c>
      <c r="CD12" s="609">
        <f>IF(CD$7&gt;$N12,0,CC12*(1-'Interest Rate'!$B$17))</f>
        <v>0</v>
      </c>
      <c r="CE12" s="609">
        <f>IF(CE$7&gt;$N12,0,CD12*(1-'Interest Rate'!$B$17))</f>
        <v>0</v>
      </c>
      <c r="CF12" s="609">
        <f>IF(CF$7&gt;$N12,0,CE12*(1-'Interest Rate'!$B$17))</f>
        <v>0</v>
      </c>
      <c r="CG12" s="609">
        <f>IF(CG$7&gt;$N12,0,CF12*(1-'Interest Rate'!$B$17))</f>
        <v>0</v>
      </c>
      <c r="CH12" s="609">
        <f>IF(CH$7&gt;$N12,0,CG12*(1-'Interest Rate'!$B$17))</f>
        <v>0</v>
      </c>
      <c r="CI12" s="609">
        <f>IF(CI$7&gt;$N12,0,CH12*(1-'Interest Rate'!$B$17))</f>
        <v>0</v>
      </c>
      <c r="CJ12" s="609">
        <f>IF(CJ$7&gt;$N12,0,CI12*(1-'Interest Rate'!$B$17))</f>
        <v>0</v>
      </c>
      <c r="CK12" s="609">
        <f>IF(CK$7&gt;$N12,0,CJ12*(1-'Interest Rate'!$B$17))</f>
        <v>0</v>
      </c>
      <c r="CL12" s="609">
        <f>IF(CL$7&gt;$N12,0,CK12*(1-'Interest Rate'!$B$17))</f>
        <v>0</v>
      </c>
      <c r="CM12" s="609">
        <f>IF(CM$7&gt;$N12,0,CL12*(1-'Interest Rate'!$B$17))</f>
        <v>0</v>
      </c>
      <c r="CN12" s="609">
        <f>IF(CN$7&gt;$N12,0,CM12*(1-'Interest Rate'!$B$17))</f>
        <v>0</v>
      </c>
      <c r="CO12" s="609">
        <f>IF(CO$7&gt;$N12,0,CN12*(1-'Interest Rate'!$B$17))</f>
        <v>0</v>
      </c>
      <c r="CP12" s="609">
        <f>IF(CP$7&gt;$N12,0,CO12*(1-'Interest Rate'!$B$17))</f>
        <v>0</v>
      </c>
      <c r="CQ12" s="609">
        <f>IF(CQ$7&gt;$N12,0,CP12*(1-'Interest Rate'!$B$17))</f>
        <v>0</v>
      </c>
      <c r="CR12" s="609">
        <f>IF(CR$7&gt;$N12,0,CQ12*(1-'Interest Rate'!$B$17))</f>
        <v>0</v>
      </c>
      <c r="CS12" s="609">
        <f>IF(CS$7&gt;$N12,0,CR12*(1-'Interest Rate'!$B$17))</f>
        <v>0</v>
      </c>
      <c r="CT12" s="609">
        <f>IF(CT$7&gt;$N12,0,CS12*(1-'Interest Rate'!$B$17))</f>
        <v>0</v>
      </c>
      <c r="CU12" s="609">
        <f>IF(CU$7&gt;$N12,0,CT12*(1-'Interest Rate'!$B$17))</f>
        <v>0</v>
      </c>
      <c r="CV12" s="609">
        <f>IF(CV$7&gt;$N12,0,CU12*(1-'Interest Rate'!$B$17))</f>
        <v>0</v>
      </c>
      <c r="CW12" s="609">
        <f>IF(CW$7&gt;$N12,0,CV12*(1-'Interest Rate'!$B$17))</f>
        <v>0</v>
      </c>
      <c r="CX12" s="609">
        <f>IF(CX$7&gt;$N12,0,CW12*(1-'Interest Rate'!$B$17))</f>
        <v>0</v>
      </c>
      <c r="CY12" s="609">
        <f>IF(CY$7&gt;$N12,0,CX12*(1-'Interest Rate'!$B$17))</f>
        <v>0</v>
      </c>
      <c r="CZ12" s="609">
        <f>IF(CZ$7&gt;$N12,0,CY12*(1-'Interest Rate'!$B$17))</f>
        <v>0</v>
      </c>
      <c r="DA12" s="609">
        <f>IF(DA$7&gt;$N12,0,CZ12*(1-'Interest Rate'!$B$17))</f>
        <v>0</v>
      </c>
      <c r="DB12" s="609">
        <f>IF(DB$7&gt;$N12,0,DA12*(1-'Interest Rate'!$B$17))</f>
        <v>0</v>
      </c>
      <c r="DC12" s="609">
        <f>IF(DC$7&gt;$N12,0,DB12*(1-'Interest Rate'!$B$17))</f>
        <v>0</v>
      </c>
      <c r="DD12" s="609">
        <f>IF(DD$7&gt;$N12,0,DC12*(1-'Interest Rate'!$B$17))</f>
        <v>0</v>
      </c>
      <c r="DE12" s="609">
        <f>IF(DE$7&gt;$N12,0,DD12*(1-'Interest Rate'!$B$17))</f>
        <v>0</v>
      </c>
      <c r="DF12" s="609">
        <f>IF(DF$7&gt;$N12,0,DE12*(1-'Interest Rate'!$B$17))</f>
        <v>0</v>
      </c>
      <c r="DG12" s="609">
        <f>IF(DG$7&gt;$N12,0,DF12*(1-'Interest Rate'!$B$17))</f>
        <v>0</v>
      </c>
      <c r="DH12" s="609">
        <f>IF(DH$7&gt;$N12,0,DG12*(1-'Interest Rate'!$B$17))</f>
        <v>0</v>
      </c>
      <c r="DI12" s="609">
        <f>IF(DI$7&gt;$N12,0,DH12*(1-'Interest Rate'!$B$17))</f>
        <v>0</v>
      </c>
      <c r="DJ12" s="609">
        <f>IF(DJ$7&gt;$N12,0,DI12*(1-'Interest Rate'!$B$17))</f>
        <v>0</v>
      </c>
      <c r="DK12" s="609">
        <f>IF(DK$7&gt;$N12,0,DJ12*(1-'Interest Rate'!$B$17))</f>
        <v>0</v>
      </c>
      <c r="DL12" s="609">
        <f>IF(DL$7&gt;$N12,0,DK12*(1-'Interest Rate'!$B$17))</f>
        <v>0</v>
      </c>
      <c r="DM12" s="609">
        <f>IF(DM$7&gt;$N12,0,DL12*(1-'Interest Rate'!$B$17))</f>
        <v>0</v>
      </c>
    </row>
    <row r="13" spans="1:117" ht="27.75" customHeight="1" x14ac:dyDescent="0.3">
      <c r="A13" s="600" t="str">
        <f>'EEM Data Entry'!A90</f>
        <v/>
      </c>
      <c r="B13" s="601" t="str">
        <f>'EEM Data Entry'!B90</f>
        <v/>
      </c>
      <c r="C13" s="602" t="str">
        <f>'EEM Data Entry'!F90</f>
        <v/>
      </c>
      <c r="D13" s="602">
        <v>0</v>
      </c>
      <c r="E13" s="602" t="e">
        <f t="shared" si="0"/>
        <v>#VALUE!</v>
      </c>
      <c r="F13" s="602">
        <f>('Savings Summary'!D12*'Savings Summary'!D$5)+('Savings Summary'!F12*'Savings Summary'!F$5)+('Savings Summary'!H12*'Savings Summary'!H$5)+('Savings Summary'!J12*'Savings Summary'!J$5)+('Savings Summary'!L12*'Savings Summary'!L$5)+('Savings Summary'!N12*'Savings Summary'!N$5)+('Savings Summary'!P12*'Savings Summary'!P$5)+('Savings Summary'!R12*'Savings Summary'!R$5)</f>
        <v>0</v>
      </c>
      <c r="G13" s="603">
        <f>'Savings Summary'!T12</f>
        <v>0</v>
      </c>
      <c r="H13" s="604" t="e">
        <f t="shared" si="1"/>
        <v>#VALUE!</v>
      </c>
      <c r="I13" s="600" t="e">
        <f t="shared" si="2"/>
        <v>#VALUE!</v>
      </c>
      <c r="J13" s="605" t="e">
        <f t="shared" si="3"/>
        <v>#NUM!</v>
      </c>
      <c r="K13" s="606" t="e">
        <f>PV('Interest Rate'!$B$17,Table6[[#This Row],[LIFETIME]],-Table6[[#This Row],[ANNUAL ENERGY COST SAVINGS]],Table6[[#This Row],[END-OF-LIFE]],0)-Table6[[#This Row],[CAPITAL INVESTMENT]]</f>
        <v>#VALUE!</v>
      </c>
      <c r="L13" s="600" t="str">
        <f>'EEM Data Entry'!C90</f>
        <v/>
      </c>
      <c r="M13" s="607" t="e">
        <f>Table6[[#This Row],[ANNUAL ENERGY COST SAVINGS]]/Table6[[#This Row],[CAPITAL INVESTMENT]]</f>
        <v>#VALUE!</v>
      </c>
      <c r="N13" s="804" t="str">
        <f>Table6[[#This Row],[LIFETIME]]</f>
        <v/>
      </c>
      <c r="O13" s="607"/>
      <c r="P13" s="607"/>
      <c r="Q13" s="608" t="str">
        <f t="shared" si="4"/>
        <v/>
      </c>
      <c r="R13" s="609">
        <f t="shared" si="5"/>
        <v>0</v>
      </c>
      <c r="S13" s="609">
        <f>IF(S$7&gt;$N13,0,R13*(1-'Interest Rate'!$B$17))</f>
        <v>0</v>
      </c>
      <c r="T13" s="609">
        <f>IF(T$7&gt;$N13,0,S13*(1-'Interest Rate'!$B$17))</f>
        <v>0</v>
      </c>
      <c r="U13" s="609">
        <f>IF(U$7&gt;$N13,0,T13*(1-'Interest Rate'!$B$17))</f>
        <v>0</v>
      </c>
      <c r="V13" s="609">
        <f>IF(V$7&gt;$N13,0,U13*(1-'Interest Rate'!$B$17))</f>
        <v>0</v>
      </c>
      <c r="W13" s="609">
        <f>IF(W$7&gt;$N13,0,V13*(1-'Interest Rate'!$B$17))</f>
        <v>0</v>
      </c>
      <c r="X13" s="609">
        <f>IF(X$7&gt;$N13,0,W13*(1-'Interest Rate'!$B$17))</f>
        <v>0</v>
      </c>
      <c r="Y13" s="609">
        <f>IF(Y$7&gt;$N13,0,X13*(1-'Interest Rate'!$B$17))</f>
        <v>0</v>
      </c>
      <c r="Z13" s="609">
        <f>IF(Z$7&gt;$N13,0,Y13*(1-'Interest Rate'!$B$17))</f>
        <v>0</v>
      </c>
      <c r="AA13" s="609">
        <f>IF(AA$7&gt;$N13,0,Z13*(1-'Interest Rate'!$B$17))</f>
        <v>0</v>
      </c>
      <c r="AB13" s="609">
        <f>IF(AB$7&gt;$N13,0,AA13*(1-'Interest Rate'!$B$17))</f>
        <v>0</v>
      </c>
      <c r="AC13" s="609">
        <f>IF(AC$7&gt;$N13,0,AB13*(1-'Interest Rate'!$B$17))</f>
        <v>0</v>
      </c>
      <c r="AD13" s="609">
        <f>IF(AD$7&gt;$N13,0,AC13*(1-'Interest Rate'!$B$17))</f>
        <v>0</v>
      </c>
      <c r="AE13" s="609">
        <f>IF(AE$7&gt;$N13,0,AD13*(1-'Interest Rate'!$B$17))</f>
        <v>0</v>
      </c>
      <c r="AF13" s="609">
        <f>IF(AF$7&gt;$N13,0,AE13*(1-'Interest Rate'!$B$17))</f>
        <v>0</v>
      </c>
      <c r="AG13" s="609">
        <f>IF(AG$7&gt;$N13,0,AF13*(1-'Interest Rate'!$B$17))</f>
        <v>0</v>
      </c>
      <c r="AH13" s="609">
        <f>IF(AH$7&gt;$N13,0,AG13*(1-'Interest Rate'!$B$17))</f>
        <v>0</v>
      </c>
      <c r="AI13" s="609">
        <f>IF(AI$7&gt;$N13,0,AH13*(1-'Interest Rate'!$B$17))</f>
        <v>0</v>
      </c>
      <c r="AJ13" s="609">
        <f>IF(AJ$7&gt;$N13,0,AI13*(1-'Interest Rate'!$B$17))</f>
        <v>0</v>
      </c>
      <c r="AK13" s="609">
        <f>IF(AK$7&gt;$N13,0,AJ13*(1-'Interest Rate'!$B$17))</f>
        <v>0</v>
      </c>
      <c r="AL13" s="609">
        <f>IF(AL$7&gt;$N13,0,AK13*(1-'Interest Rate'!$B$17))</f>
        <v>0</v>
      </c>
      <c r="AM13" s="609">
        <f>IF(AM$7&gt;$N13,0,AL13*(1-'Interest Rate'!$B$17))</f>
        <v>0</v>
      </c>
      <c r="AN13" s="609">
        <f>IF(AN$7&gt;$N13,0,AM13*(1-'Interest Rate'!$B$17))</f>
        <v>0</v>
      </c>
      <c r="AO13" s="609">
        <f>IF(AO$7&gt;$N13,0,AN13*(1-'Interest Rate'!$B$17))</f>
        <v>0</v>
      </c>
      <c r="AP13" s="609">
        <f>IF(AP$7&gt;$N13,0,AO13*(1-'Interest Rate'!$B$17))</f>
        <v>0</v>
      </c>
      <c r="AQ13" s="609">
        <f>IF(AQ$7&gt;$N13,0,AP13*(1-'Interest Rate'!$B$17))</f>
        <v>0</v>
      </c>
      <c r="AR13" s="609">
        <f>IF(AR$7&gt;$N13,0,AQ13*(1-'Interest Rate'!$B$17))</f>
        <v>0</v>
      </c>
      <c r="AS13" s="609">
        <f>IF(AS$7&gt;$N13,0,AR13*(1-'Interest Rate'!$B$17))</f>
        <v>0</v>
      </c>
      <c r="AT13" s="609">
        <f>IF(AT$7&gt;$N13,0,AS13*(1-'Interest Rate'!$B$17))</f>
        <v>0</v>
      </c>
      <c r="AU13" s="609">
        <f>IF(AU$7&gt;$N13,0,AT13*(1-'Interest Rate'!$B$17))</f>
        <v>0</v>
      </c>
      <c r="AV13" s="609">
        <f>IF(AV$7&gt;$N13,0,AU13*(1-'Interest Rate'!$B$17))</f>
        <v>0</v>
      </c>
      <c r="AW13" s="609">
        <f>IF(AW$7&gt;$N13,0,AV13*(1-'Interest Rate'!$B$17))</f>
        <v>0</v>
      </c>
      <c r="AX13" s="609">
        <f>IF(AX$7&gt;$N13,0,AW13*(1-'Interest Rate'!$B$17))</f>
        <v>0</v>
      </c>
      <c r="AY13" s="609">
        <f>IF(AY$7&gt;$N13,0,AX13*(1-'Interest Rate'!$B$17))</f>
        <v>0</v>
      </c>
      <c r="AZ13" s="609">
        <f>IF(AZ$7&gt;$N13,0,AY13*(1-'Interest Rate'!$B$17))</f>
        <v>0</v>
      </c>
      <c r="BA13" s="609">
        <f>IF(BA$7&gt;$N13,0,AZ13*(1-'Interest Rate'!$B$17))</f>
        <v>0</v>
      </c>
      <c r="BB13" s="609">
        <f>IF(BB$7&gt;$N13,0,BA13*(1-'Interest Rate'!$B$17))</f>
        <v>0</v>
      </c>
      <c r="BC13" s="609">
        <f>IF(BC$7&gt;$N13,0,BB13*(1-'Interest Rate'!$B$17))</f>
        <v>0</v>
      </c>
      <c r="BD13" s="609">
        <f>IF(BD$7&gt;$N13,0,BC13*(1-'Interest Rate'!$B$17))</f>
        <v>0</v>
      </c>
      <c r="BE13" s="609">
        <f>IF(BE$7&gt;$N13,0,BD13*(1-'Interest Rate'!$B$17))</f>
        <v>0</v>
      </c>
      <c r="BF13" s="609">
        <f>IF(BF$7&gt;$N13,0,BE13*(1-'Interest Rate'!$B$17))</f>
        <v>0</v>
      </c>
      <c r="BG13" s="609">
        <f>IF(BG$7&gt;$N13,0,BF13*(1-'Interest Rate'!$B$17))</f>
        <v>0</v>
      </c>
      <c r="BH13" s="609">
        <f>IF(BH$7&gt;$N13,0,BG13*(1-'Interest Rate'!$B$17))</f>
        <v>0</v>
      </c>
      <c r="BI13" s="609">
        <f>IF(BI$7&gt;$N13,0,BH13*(1-'Interest Rate'!$B$17))</f>
        <v>0</v>
      </c>
      <c r="BJ13" s="609">
        <f>IF(BJ$7&gt;$N13,0,BI13*(1-'Interest Rate'!$B$17))</f>
        <v>0</v>
      </c>
      <c r="BK13" s="609">
        <f>IF(BK$7&gt;$N13,0,BJ13*(1-'Interest Rate'!$B$17))</f>
        <v>0</v>
      </c>
      <c r="BL13" s="609">
        <f>IF(BL$7&gt;$N13,0,BK13*(1-'Interest Rate'!$B$17))</f>
        <v>0</v>
      </c>
      <c r="BM13" s="609">
        <f>IF(BM$7&gt;$N13,0,BL13*(1-'Interest Rate'!$B$17))</f>
        <v>0</v>
      </c>
      <c r="BN13" s="609">
        <f>IF(BN$7&gt;$N13,0,BM13*(1-'Interest Rate'!$B$17))</f>
        <v>0</v>
      </c>
      <c r="BO13" s="609">
        <f>IF(BO$7&gt;$N13,0,BN13*(1-'Interest Rate'!$B$17))</f>
        <v>0</v>
      </c>
      <c r="BP13" s="609">
        <f>IF(BP$7&gt;$N13,0,BO13*(1-'Interest Rate'!$B$17))</f>
        <v>0</v>
      </c>
      <c r="BQ13" s="609">
        <f>IF(BQ$7&gt;$N13,0,BP13*(1-'Interest Rate'!$B$17))</f>
        <v>0</v>
      </c>
      <c r="BR13" s="609">
        <f>IF(BR$7&gt;$N13,0,BQ13*(1-'Interest Rate'!$B$17))</f>
        <v>0</v>
      </c>
      <c r="BS13" s="609">
        <f>IF(BS$7&gt;$N13,0,BR13*(1-'Interest Rate'!$B$17))</f>
        <v>0</v>
      </c>
      <c r="BT13" s="609">
        <f>IF(BT$7&gt;$N13,0,BS13*(1-'Interest Rate'!$B$17))</f>
        <v>0</v>
      </c>
      <c r="BU13" s="609">
        <f>IF(BU$7&gt;$N13,0,BT13*(1-'Interest Rate'!$B$17))</f>
        <v>0</v>
      </c>
      <c r="BV13" s="609">
        <f>IF(BV$7&gt;$N13,0,BU13*(1-'Interest Rate'!$B$17))</f>
        <v>0</v>
      </c>
      <c r="BW13" s="609">
        <f>IF(BW$7&gt;$N13,0,BV13*(1-'Interest Rate'!$B$17))</f>
        <v>0</v>
      </c>
      <c r="BX13" s="609">
        <f>IF(BX$7&gt;$N13,0,BW13*(1-'Interest Rate'!$B$17))</f>
        <v>0</v>
      </c>
      <c r="BY13" s="609">
        <f>IF(BY$7&gt;$N13,0,BX13*(1-'Interest Rate'!$B$17))</f>
        <v>0</v>
      </c>
      <c r="BZ13" s="609">
        <f>IF(BZ$7&gt;$N13,0,BY13*(1-'Interest Rate'!$B$17))</f>
        <v>0</v>
      </c>
      <c r="CA13" s="609">
        <f>IF(CA$7&gt;$N13,0,BZ13*(1-'Interest Rate'!$B$17))</f>
        <v>0</v>
      </c>
      <c r="CB13" s="609">
        <f>IF(CB$7&gt;$N13,0,CA13*(1-'Interest Rate'!$B$17))</f>
        <v>0</v>
      </c>
      <c r="CC13" s="609">
        <f>IF(CC$7&gt;$N13,0,CB13*(1-'Interest Rate'!$B$17))</f>
        <v>0</v>
      </c>
      <c r="CD13" s="609">
        <f>IF(CD$7&gt;$N13,0,CC13*(1-'Interest Rate'!$B$17))</f>
        <v>0</v>
      </c>
      <c r="CE13" s="609">
        <f>IF(CE$7&gt;$N13,0,CD13*(1-'Interest Rate'!$B$17))</f>
        <v>0</v>
      </c>
      <c r="CF13" s="609">
        <f>IF(CF$7&gt;$N13,0,CE13*(1-'Interest Rate'!$B$17))</f>
        <v>0</v>
      </c>
      <c r="CG13" s="609">
        <f>IF(CG$7&gt;$N13,0,CF13*(1-'Interest Rate'!$B$17))</f>
        <v>0</v>
      </c>
      <c r="CH13" s="609">
        <f>IF(CH$7&gt;$N13,0,CG13*(1-'Interest Rate'!$B$17))</f>
        <v>0</v>
      </c>
      <c r="CI13" s="609">
        <f>IF(CI$7&gt;$N13,0,CH13*(1-'Interest Rate'!$B$17))</f>
        <v>0</v>
      </c>
      <c r="CJ13" s="609">
        <f>IF(CJ$7&gt;$N13,0,CI13*(1-'Interest Rate'!$B$17))</f>
        <v>0</v>
      </c>
      <c r="CK13" s="609">
        <f>IF(CK$7&gt;$N13,0,CJ13*(1-'Interest Rate'!$B$17))</f>
        <v>0</v>
      </c>
      <c r="CL13" s="609">
        <f>IF(CL$7&gt;$N13,0,CK13*(1-'Interest Rate'!$B$17))</f>
        <v>0</v>
      </c>
      <c r="CM13" s="609">
        <f>IF(CM$7&gt;$N13,0,CL13*(1-'Interest Rate'!$B$17))</f>
        <v>0</v>
      </c>
      <c r="CN13" s="609">
        <f>IF(CN$7&gt;$N13,0,CM13*(1-'Interest Rate'!$B$17))</f>
        <v>0</v>
      </c>
      <c r="CO13" s="609">
        <f>IF(CO$7&gt;$N13,0,CN13*(1-'Interest Rate'!$B$17))</f>
        <v>0</v>
      </c>
      <c r="CP13" s="609">
        <f>IF(CP$7&gt;$N13,0,CO13*(1-'Interest Rate'!$B$17))</f>
        <v>0</v>
      </c>
      <c r="CQ13" s="609">
        <f>IF(CQ$7&gt;$N13,0,CP13*(1-'Interest Rate'!$B$17))</f>
        <v>0</v>
      </c>
      <c r="CR13" s="609">
        <f>IF(CR$7&gt;$N13,0,CQ13*(1-'Interest Rate'!$B$17))</f>
        <v>0</v>
      </c>
      <c r="CS13" s="609">
        <f>IF(CS$7&gt;$N13,0,CR13*(1-'Interest Rate'!$B$17))</f>
        <v>0</v>
      </c>
      <c r="CT13" s="609">
        <f>IF(CT$7&gt;$N13,0,CS13*(1-'Interest Rate'!$B$17))</f>
        <v>0</v>
      </c>
      <c r="CU13" s="609">
        <f>IF(CU$7&gt;$N13,0,CT13*(1-'Interest Rate'!$B$17))</f>
        <v>0</v>
      </c>
      <c r="CV13" s="609">
        <f>IF(CV$7&gt;$N13,0,CU13*(1-'Interest Rate'!$B$17))</f>
        <v>0</v>
      </c>
      <c r="CW13" s="609">
        <f>IF(CW$7&gt;$N13,0,CV13*(1-'Interest Rate'!$B$17))</f>
        <v>0</v>
      </c>
      <c r="CX13" s="609">
        <f>IF(CX$7&gt;$N13,0,CW13*(1-'Interest Rate'!$B$17))</f>
        <v>0</v>
      </c>
      <c r="CY13" s="609">
        <f>IF(CY$7&gt;$N13,0,CX13*(1-'Interest Rate'!$B$17))</f>
        <v>0</v>
      </c>
      <c r="CZ13" s="609">
        <f>IF(CZ$7&gt;$N13,0,CY13*(1-'Interest Rate'!$B$17))</f>
        <v>0</v>
      </c>
      <c r="DA13" s="609">
        <f>IF(DA$7&gt;$N13,0,CZ13*(1-'Interest Rate'!$B$17))</f>
        <v>0</v>
      </c>
      <c r="DB13" s="609">
        <f>IF(DB$7&gt;$N13,0,DA13*(1-'Interest Rate'!$B$17))</f>
        <v>0</v>
      </c>
      <c r="DC13" s="609">
        <f>IF(DC$7&gt;$N13,0,DB13*(1-'Interest Rate'!$B$17))</f>
        <v>0</v>
      </c>
      <c r="DD13" s="609">
        <f>IF(DD$7&gt;$N13,0,DC13*(1-'Interest Rate'!$B$17))</f>
        <v>0</v>
      </c>
      <c r="DE13" s="609">
        <f>IF(DE$7&gt;$N13,0,DD13*(1-'Interest Rate'!$B$17))</f>
        <v>0</v>
      </c>
      <c r="DF13" s="609">
        <f>IF(DF$7&gt;$N13,0,DE13*(1-'Interest Rate'!$B$17))</f>
        <v>0</v>
      </c>
      <c r="DG13" s="609">
        <f>IF(DG$7&gt;$N13,0,DF13*(1-'Interest Rate'!$B$17))</f>
        <v>0</v>
      </c>
      <c r="DH13" s="609">
        <f>IF(DH$7&gt;$N13,0,DG13*(1-'Interest Rate'!$B$17))</f>
        <v>0</v>
      </c>
      <c r="DI13" s="609">
        <f>IF(DI$7&gt;$N13,0,DH13*(1-'Interest Rate'!$B$17))</f>
        <v>0</v>
      </c>
      <c r="DJ13" s="609">
        <f>IF(DJ$7&gt;$N13,0,DI13*(1-'Interest Rate'!$B$17))</f>
        <v>0</v>
      </c>
      <c r="DK13" s="609">
        <f>IF(DK$7&gt;$N13,0,DJ13*(1-'Interest Rate'!$B$17))</f>
        <v>0</v>
      </c>
      <c r="DL13" s="609">
        <f>IF(DL$7&gt;$N13,0,DK13*(1-'Interest Rate'!$B$17))</f>
        <v>0</v>
      </c>
      <c r="DM13" s="609">
        <f>IF(DM$7&gt;$N13,0,DL13*(1-'Interest Rate'!$B$17))</f>
        <v>0</v>
      </c>
    </row>
    <row r="14" spans="1:117" ht="27.75" customHeight="1" x14ac:dyDescent="0.3">
      <c r="A14" s="600" t="str">
        <f>'EEM Data Entry'!A91</f>
        <v/>
      </c>
      <c r="B14" s="601" t="str">
        <f>'EEM Data Entry'!B91</f>
        <v/>
      </c>
      <c r="C14" s="602" t="str">
        <f>'EEM Data Entry'!F91</f>
        <v/>
      </c>
      <c r="D14" s="602">
        <v>0</v>
      </c>
      <c r="E14" s="602" t="e">
        <f t="shared" si="0"/>
        <v>#VALUE!</v>
      </c>
      <c r="F14" s="602">
        <f>('Savings Summary'!D13*'Savings Summary'!D$5)+('Savings Summary'!F13*'Savings Summary'!F$5)+('Savings Summary'!H13*'Savings Summary'!H$5)+('Savings Summary'!J13*'Savings Summary'!J$5)+('Savings Summary'!L13*'Savings Summary'!L$5)+('Savings Summary'!N13*'Savings Summary'!N$5)+('Savings Summary'!P13*'Savings Summary'!P$5)+('Savings Summary'!R13*'Savings Summary'!R$5)</f>
        <v>0</v>
      </c>
      <c r="G14" s="603">
        <f>'Savings Summary'!T13</f>
        <v>0</v>
      </c>
      <c r="H14" s="604" t="e">
        <f t="shared" si="1"/>
        <v>#VALUE!</v>
      </c>
      <c r="I14" s="600" t="e">
        <f t="shared" si="2"/>
        <v>#VALUE!</v>
      </c>
      <c r="J14" s="605" t="e">
        <f t="shared" si="3"/>
        <v>#NUM!</v>
      </c>
      <c r="K14" s="606" t="e">
        <f>PV('Interest Rate'!$B$17,Table6[[#This Row],[LIFETIME]],-Table6[[#This Row],[ANNUAL ENERGY COST SAVINGS]],Table6[[#This Row],[END-OF-LIFE]],0)-Table6[[#This Row],[CAPITAL INVESTMENT]]</f>
        <v>#VALUE!</v>
      </c>
      <c r="L14" s="600" t="str">
        <f>'EEM Data Entry'!C91</f>
        <v/>
      </c>
      <c r="M14" s="607" t="e">
        <f>Table6[[#This Row],[ANNUAL ENERGY COST SAVINGS]]/Table6[[#This Row],[CAPITAL INVESTMENT]]</f>
        <v>#VALUE!</v>
      </c>
      <c r="N14" s="804" t="str">
        <f>Table6[[#This Row],[LIFETIME]]</f>
        <v/>
      </c>
      <c r="O14" s="607"/>
      <c r="P14" s="607"/>
      <c r="Q14" s="608" t="str">
        <f t="shared" si="4"/>
        <v/>
      </c>
      <c r="R14" s="609">
        <f t="shared" si="5"/>
        <v>0</v>
      </c>
      <c r="S14" s="609">
        <f>IF(S$7&gt;$N14,0,R14*(1-'Interest Rate'!$B$17))</f>
        <v>0</v>
      </c>
      <c r="T14" s="609">
        <f>IF(T$7&gt;$N14,0,S14*(1-'Interest Rate'!$B$17))</f>
        <v>0</v>
      </c>
      <c r="U14" s="609">
        <f>IF(U$7&gt;$N14,0,T14*(1-'Interest Rate'!$B$17))</f>
        <v>0</v>
      </c>
      <c r="V14" s="609">
        <f>IF(V$7&gt;$N14,0,U14*(1-'Interest Rate'!$B$17))</f>
        <v>0</v>
      </c>
      <c r="W14" s="609">
        <f>IF(W$7&gt;$N14,0,V14*(1-'Interest Rate'!$B$17))</f>
        <v>0</v>
      </c>
      <c r="X14" s="609">
        <f>IF(X$7&gt;$N14,0,W14*(1-'Interest Rate'!$B$17))</f>
        <v>0</v>
      </c>
      <c r="Y14" s="609">
        <f>IF(Y$7&gt;$N14,0,X14*(1-'Interest Rate'!$B$17))</f>
        <v>0</v>
      </c>
      <c r="Z14" s="609">
        <f>IF(Z$7&gt;$N14,0,Y14*(1-'Interest Rate'!$B$17))</f>
        <v>0</v>
      </c>
      <c r="AA14" s="609">
        <f>IF(AA$7&gt;$N14,0,Z14*(1-'Interest Rate'!$B$17))</f>
        <v>0</v>
      </c>
      <c r="AB14" s="609">
        <f>IF(AB$7&gt;$N14,0,AA14*(1-'Interest Rate'!$B$17))</f>
        <v>0</v>
      </c>
      <c r="AC14" s="609">
        <f>IF(AC$7&gt;$N14,0,AB14*(1-'Interest Rate'!$B$17))</f>
        <v>0</v>
      </c>
      <c r="AD14" s="609">
        <f>IF(AD$7&gt;$N14,0,AC14*(1-'Interest Rate'!$B$17))</f>
        <v>0</v>
      </c>
      <c r="AE14" s="609">
        <f>IF(AE$7&gt;$N14,0,AD14*(1-'Interest Rate'!$B$17))</f>
        <v>0</v>
      </c>
      <c r="AF14" s="609">
        <f>IF(AF$7&gt;$N14,0,AE14*(1-'Interest Rate'!$B$17))</f>
        <v>0</v>
      </c>
      <c r="AG14" s="609">
        <f>IF(AG$7&gt;$N14,0,AF14*(1-'Interest Rate'!$B$17))</f>
        <v>0</v>
      </c>
      <c r="AH14" s="609">
        <f>IF(AH$7&gt;$N14,0,AG14*(1-'Interest Rate'!$B$17))</f>
        <v>0</v>
      </c>
      <c r="AI14" s="609">
        <f>IF(AI$7&gt;$N14,0,AH14*(1-'Interest Rate'!$B$17))</f>
        <v>0</v>
      </c>
      <c r="AJ14" s="609">
        <f>IF(AJ$7&gt;$N14,0,AI14*(1-'Interest Rate'!$B$17))</f>
        <v>0</v>
      </c>
      <c r="AK14" s="609">
        <f>IF(AK$7&gt;$N14,0,AJ14*(1-'Interest Rate'!$B$17))</f>
        <v>0</v>
      </c>
      <c r="AL14" s="609">
        <f>IF(AL$7&gt;$N14,0,AK14*(1-'Interest Rate'!$B$17))</f>
        <v>0</v>
      </c>
      <c r="AM14" s="609">
        <f>IF(AM$7&gt;$N14,0,AL14*(1-'Interest Rate'!$B$17))</f>
        <v>0</v>
      </c>
      <c r="AN14" s="609">
        <f>IF(AN$7&gt;$N14,0,AM14*(1-'Interest Rate'!$B$17))</f>
        <v>0</v>
      </c>
      <c r="AO14" s="609">
        <f>IF(AO$7&gt;$N14,0,AN14*(1-'Interest Rate'!$B$17))</f>
        <v>0</v>
      </c>
      <c r="AP14" s="609">
        <f>IF(AP$7&gt;$N14,0,AO14*(1-'Interest Rate'!$B$17))</f>
        <v>0</v>
      </c>
      <c r="AQ14" s="609">
        <f>IF(AQ$7&gt;$N14,0,AP14*(1-'Interest Rate'!$B$17))</f>
        <v>0</v>
      </c>
      <c r="AR14" s="609">
        <f>IF(AR$7&gt;$N14,0,AQ14*(1-'Interest Rate'!$B$17))</f>
        <v>0</v>
      </c>
      <c r="AS14" s="609">
        <f>IF(AS$7&gt;$N14,0,AR14*(1-'Interest Rate'!$B$17))</f>
        <v>0</v>
      </c>
      <c r="AT14" s="609">
        <f>IF(AT$7&gt;$N14,0,AS14*(1-'Interest Rate'!$B$17))</f>
        <v>0</v>
      </c>
      <c r="AU14" s="609">
        <f>IF(AU$7&gt;$N14,0,AT14*(1-'Interest Rate'!$B$17))</f>
        <v>0</v>
      </c>
      <c r="AV14" s="609">
        <f>IF(AV$7&gt;$N14,0,AU14*(1-'Interest Rate'!$B$17))</f>
        <v>0</v>
      </c>
      <c r="AW14" s="609">
        <f>IF(AW$7&gt;$N14,0,AV14*(1-'Interest Rate'!$B$17))</f>
        <v>0</v>
      </c>
      <c r="AX14" s="609">
        <f>IF(AX$7&gt;$N14,0,AW14*(1-'Interest Rate'!$B$17))</f>
        <v>0</v>
      </c>
      <c r="AY14" s="609">
        <f>IF(AY$7&gt;$N14,0,AX14*(1-'Interest Rate'!$B$17))</f>
        <v>0</v>
      </c>
      <c r="AZ14" s="609">
        <f>IF(AZ$7&gt;$N14,0,AY14*(1-'Interest Rate'!$B$17))</f>
        <v>0</v>
      </c>
      <c r="BA14" s="609">
        <f>IF(BA$7&gt;$N14,0,AZ14*(1-'Interest Rate'!$B$17))</f>
        <v>0</v>
      </c>
      <c r="BB14" s="609">
        <f>IF(BB$7&gt;$N14,0,BA14*(1-'Interest Rate'!$B$17))</f>
        <v>0</v>
      </c>
      <c r="BC14" s="609">
        <f>IF(BC$7&gt;$N14,0,BB14*(1-'Interest Rate'!$B$17))</f>
        <v>0</v>
      </c>
      <c r="BD14" s="609">
        <f>IF(BD$7&gt;$N14,0,BC14*(1-'Interest Rate'!$B$17))</f>
        <v>0</v>
      </c>
      <c r="BE14" s="609">
        <f>IF(BE$7&gt;$N14,0,BD14*(1-'Interest Rate'!$B$17))</f>
        <v>0</v>
      </c>
      <c r="BF14" s="609">
        <f>IF(BF$7&gt;$N14,0,BE14*(1-'Interest Rate'!$B$17))</f>
        <v>0</v>
      </c>
      <c r="BG14" s="609">
        <f>IF(BG$7&gt;$N14,0,BF14*(1-'Interest Rate'!$B$17))</f>
        <v>0</v>
      </c>
      <c r="BH14" s="609">
        <f>IF(BH$7&gt;$N14,0,BG14*(1-'Interest Rate'!$B$17))</f>
        <v>0</v>
      </c>
      <c r="BI14" s="609">
        <f>IF(BI$7&gt;$N14,0,BH14*(1-'Interest Rate'!$B$17))</f>
        <v>0</v>
      </c>
      <c r="BJ14" s="609">
        <f>IF(BJ$7&gt;$N14,0,BI14*(1-'Interest Rate'!$B$17))</f>
        <v>0</v>
      </c>
      <c r="BK14" s="609">
        <f>IF(BK$7&gt;$N14,0,BJ14*(1-'Interest Rate'!$B$17))</f>
        <v>0</v>
      </c>
      <c r="BL14" s="609">
        <f>IF(BL$7&gt;$N14,0,BK14*(1-'Interest Rate'!$B$17))</f>
        <v>0</v>
      </c>
      <c r="BM14" s="609">
        <f>IF(BM$7&gt;$N14,0,BL14*(1-'Interest Rate'!$B$17))</f>
        <v>0</v>
      </c>
      <c r="BN14" s="609">
        <f>IF(BN$7&gt;$N14,0,BM14*(1-'Interest Rate'!$B$17))</f>
        <v>0</v>
      </c>
      <c r="BO14" s="609">
        <f>IF(BO$7&gt;$N14,0,BN14*(1-'Interest Rate'!$B$17))</f>
        <v>0</v>
      </c>
      <c r="BP14" s="609">
        <f>IF(BP$7&gt;$N14,0,BO14*(1-'Interest Rate'!$B$17))</f>
        <v>0</v>
      </c>
      <c r="BQ14" s="609">
        <f>IF(BQ$7&gt;$N14,0,BP14*(1-'Interest Rate'!$B$17))</f>
        <v>0</v>
      </c>
      <c r="BR14" s="609">
        <f>IF(BR$7&gt;$N14,0,BQ14*(1-'Interest Rate'!$B$17))</f>
        <v>0</v>
      </c>
      <c r="BS14" s="609">
        <f>IF(BS$7&gt;$N14,0,BR14*(1-'Interest Rate'!$B$17))</f>
        <v>0</v>
      </c>
      <c r="BT14" s="609">
        <f>IF(BT$7&gt;$N14,0,BS14*(1-'Interest Rate'!$B$17))</f>
        <v>0</v>
      </c>
      <c r="BU14" s="609">
        <f>IF(BU$7&gt;$N14,0,BT14*(1-'Interest Rate'!$B$17))</f>
        <v>0</v>
      </c>
      <c r="BV14" s="609">
        <f>IF(BV$7&gt;$N14,0,BU14*(1-'Interest Rate'!$B$17))</f>
        <v>0</v>
      </c>
      <c r="BW14" s="609">
        <f>IF(BW$7&gt;$N14,0,BV14*(1-'Interest Rate'!$B$17))</f>
        <v>0</v>
      </c>
      <c r="BX14" s="609">
        <f>IF(BX$7&gt;$N14,0,BW14*(1-'Interest Rate'!$B$17))</f>
        <v>0</v>
      </c>
      <c r="BY14" s="609">
        <f>IF(BY$7&gt;$N14,0,BX14*(1-'Interest Rate'!$B$17))</f>
        <v>0</v>
      </c>
      <c r="BZ14" s="609">
        <f>IF(BZ$7&gt;$N14,0,BY14*(1-'Interest Rate'!$B$17))</f>
        <v>0</v>
      </c>
      <c r="CA14" s="609">
        <f>IF(CA$7&gt;$N14,0,BZ14*(1-'Interest Rate'!$B$17))</f>
        <v>0</v>
      </c>
      <c r="CB14" s="609">
        <f>IF(CB$7&gt;$N14,0,CA14*(1-'Interest Rate'!$B$17))</f>
        <v>0</v>
      </c>
      <c r="CC14" s="609">
        <f>IF(CC$7&gt;$N14,0,CB14*(1-'Interest Rate'!$B$17))</f>
        <v>0</v>
      </c>
      <c r="CD14" s="609">
        <f>IF(CD$7&gt;$N14,0,CC14*(1-'Interest Rate'!$B$17))</f>
        <v>0</v>
      </c>
      <c r="CE14" s="609">
        <f>IF(CE$7&gt;$N14,0,CD14*(1-'Interest Rate'!$B$17))</f>
        <v>0</v>
      </c>
      <c r="CF14" s="609">
        <f>IF(CF$7&gt;$N14,0,CE14*(1-'Interest Rate'!$B$17))</f>
        <v>0</v>
      </c>
      <c r="CG14" s="609">
        <f>IF(CG$7&gt;$N14,0,CF14*(1-'Interest Rate'!$B$17))</f>
        <v>0</v>
      </c>
      <c r="CH14" s="609">
        <f>IF(CH$7&gt;$N14,0,CG14*(1-'Interest Rate'!$B$17))</f>
        <v>0</v>
      </c>
      <c r="CI14" s="609">
        <f>IF(CI$7&gt;$N14,0,CH14*(1-'Interest Rate'!$B$17))</f>
        <v>0</v>
      </c>
      <c r="CJ14" s="609">
        <f>IF(CJ$7&gt;$N14,0,CI14*(1-'Interest Rate'!$B$17))</f>
        <v>0</v>
      </c>
      <c r="CK14" s="609">
        <f>IF(CK$7&gt;$N14,0,CJ14*(1-'Interest Rate'!$B$17))</f>
        <v>0</v>
      </c>
      <c r="CL14" s="609">
        <f>IF(CL$7&gt;$N14,0,CK14*(1-'Interest Rate'!$B$17))</f>
        <v>0</v>
      </c>
      <c r="CM14" s="609">
        <f>IF(CM$7&gt;$N14,0,CL14*(1-'Interest Rate'!$B$17))</f>
        <v>0</v>
      </c>
      <c r="CN14" s="609">
        <f>IF(CN$7&gt;$N14,0,CM14*(1-'Interest Rate'!$B$17))</f>
        <v>0</v>
      </c>
      <c r="CO14" s="609">
        <f>IF(CO$7&gt;$N14,0,CN14*(1-'Interest Rate'!$B$17))</f>
        <v>0</v>
      </c>
      <c r="CP14" s="609">
        <f>IF(CP$7&gt;$N14,0,CO14*(1-'Interest Rate'!$B$17))</f>
        <v>0</v>
      </c>
      <c r="CQ14" s="609">
        <f>IF(CQ$7&gt;$N14,0,CP14*(1-'Interest Rate'!$B$17))</f>
        <v>0</v>
      </c>
      <c r="CR14" s="609">
        <f>IF(CR$7&gt;$N14,0,CQ14*(1-'Interest Rate'!$B$17))</f>
        <v>0</v>
      </c>
      <c r="CS14" s="609">
        <f>IF(CS$7&gt;$N14,0,CR14*(1-'Interest Rate'!$B$17))</f>
        <v>0</v>
      </c>
      <c r="CT14" s="609">
        <f>IF(CT$7&gt;$N14,0,CS14*(1-'Interest Rate'!$B$17))</f>
        <v>0</v>
      </c>
      <c r="CU14" s="609">
        <f>IF(CU$7&gt;$N14,0,CT14*(1-'Interest Rate'!$B$17))</f>
        <v>0</v>
      </c>
      <c r="CV14" s="609">
        <f>IF(CV$7&gt;$N14,0,CU14*(1-'Interest Rate'!$B$17))</f>
        <v>0</v>
      </c>
      <c r="CW14" s="609">
        <f>IF(CW$7&gt;$N14,0,CV14*(1-'Interest Rate'!$B$17))</f>
        <v>0</v>
      </c>
      <c r="CX14" s="609">
        <f>IF(CX$7&gt;$N14,0,CW14*(1-'Interest Rate'!$B$17))</f>
        <v>0</v>
      </c>
      <c r="CY14" s="609">
        <f>IF(CY$7&gt;$N14,0,CX14*(1-'Interest Rate'!$B$17))</f>
        <v>0</v>
      </c>
      <c r="CZ14" s="609">
        <f>IF(CZ$7&gt;$N14,0,CY14*(1-'Interest Rate'!$B$17))</f>
        <v>0</v>
      </c>
      <c r="DA14" s="609">
        <f>IF(DA$7&gt;$N14,0,CZ14*(1-'Interest Rate'!$B$17))</f>
        <v>0</v>
      </c>
      <c r="DB14" s="609">
        <f>IF(DB$7&gt;$N14,0,DA14*(1-'Interest Rate'!$B$17))</f>
        <v>0</v>
      </c>
      <c r="DC14" s="609">
        <f>IF(DC$7&gt;$N14,0,DB14*(1-'Interest Rate'!$B$17))</f>
        <v>0</v>
      </c>
      <c r="DD14" s="609">
        <f>IF(DD$7&gt;$N14,0,DC14*(1-'Interest Rate'!$B$17))</f>
        <v>0</v>
      </c>
      <c r="DE14" s="609">
        <f>IF(DE$7&gt;$N14,0,DD14*(1-'Interest Rate'!$B$17))</f>
        <v>0</v>
      </c>
      <c r="DF14" s="609">
        <f>IF(DF$7&gt;$N14,0,DE14*(1-'Interest Rate'!$B$17))</f>
        <v>0</v>
      </c>
      <c r="DG14" s="609">
        <f>IF(DG$7&gt;$N14,0,DF14*(1-'Interest Rate'!$B$17))</f>
        <v>0</v>
      </c>
      <c r="DH14" s="609">
        <f>IF(DH$7&gt;$N14,0,DG14*(1-'Interest Rate'!$B$17))</f>
        <v>0</v>
      </c>
      <c r="DI14" s="609">
        <f>IF(DI$7&gt;$N14,0,DH14*(1-'Interest Rate'!$B$17))</f>
        <v>0</v>
      </c>
      <c r="DJ14" s="609">
        <f>IF(DJ$7&gt;$N14,0,DI14*(1-'Interest Rate'!$B$17))</f>
        <v>0</v>
      </c>
      <c r="DK14" s="609">
        <f>IF(DK$7&gt;$N14,0,DJ14*(1-'Interest Rate'!$B$17))</f>
        <v>0</v>
      </c>
      <c r="DL14" s="609">
        <f>IF(DL$7&gt;$N14,0,DK14*(1-'Interest Rate'!$B$17))</f>
        <v>0</v>
      </c>
      <c r="DM14" s="609">
        <f>IF(DM$7&gt;$N14,0,DL14*(1-'Interest Rate'!$B$17))</f>
        <v>0</v>
      </c>
    </row>
    <row r="15" spans="1:117" ht="27.75" customHeight="1" x14ac:dyDescent="0.3">
      <c r="A15" s="600" t="str">
        <f>'EEM Data Entry'!A92</f>
        <v/>
      </c>
      <c r="B15" s="601" t="str">
        <f>'EEM Data Entry'!B92</f>
        <v/>
      </c>
      <c r="C15" s="602" t="str">
        <f>'EEM Data Entry'!F92</f>
        <v/>
      </c>
      <c r="D15" s="602">
        <v>0</v>
      </c>
      <c r="E15" s="602" t="e">
        <f t="shared" ref="E15:E31" si="6">C15-D15</f>
        <v>#VALUE!</v>
      </c>
      <c r="F15" s="602">
        <f>('Savings Summary'!D14*'Savings Summary'!D$5)+('Savings Summary'!F14*'Savings Summary'!F$5)+('Savings Summary'!H14*'Savings Summary'!H$5)+('Savings Summary'!J14*'Savings Summary'!J$5)+('Savings Summary'!L14*'Savings Summary'!L$5)+('Savings Summary'!N14*'Savings Summary'!N$5)+('Savings Summary'!P14*'Savings Summary'!P$5)+('Savings Summary'!R14*'Savings Summary'!R$5)</f>
        <v>0</v>
      </c>
      <c r="G15" s="603">
        <f>'Savings Summary'!T14</f>
        <v>0</v>
      </c>
      <c r="H15" s="604" t="e">
        <f t="shared" ref="H15:H31" si="7">IF(C15=0,"n/a",E15/F15)</f>
        <v>#VALUE!</v>
      </c>
      <c r="I15" s="600" t="e">
        <f t="shared" ref="I15:I31" si="8">IF(H15=0, "n/a", IF(H15&gt;100, "no",IF(H15&lt;0, "no", "yes")))</f>
        <v>#VALUE!</v>
      </c>
      <c r="J15" s="605" t="e">
        <f t="shared" si="3"/>
        <v>#NUM!</v>
      </c>
      <c r="K15" s="606" t="e">
        <f>PV('Interest Rate'!$B$17,Table6[[#This Row],[LIFETIME]],-Table6[[#This Row],[ANNUAL ENERGY COST SAVINGS]],Table6[[#This Row],[END-OF-LIFE]],0)-Table6[[#This Row],[CAPITAL INVESTMENT]]</f>
        <v>#VALUE!</v>
      </c>
      <c r="L15" s="600" t="str">
        <f>'EEM Data Entry'!C92</f>
        <v/>
      </c>
      <c r="M15" s="607" t="e">
        <f>Table6[[#This Row],[ANNUAL ENERGY COST SAVINGS]]/Table6[[#This Row],[CAPITAL INVESTMENT]]</f>
        <v>#VALUE!</v>
      </c>
      <c r="N15" s="804" t="str">
        <f>Table6[[#This Row],[LIFETIME]]</f>
        <v/>
      </c>
      <c r="O15" s="607"/>
      <c r="P15" s="607"/>
      <c r="Q15" s="608" t="str">
        <f t="shared" si="4"/>
        <v/>
      </c>
      <c r="R15" s="609">
        <f t="shared" si="5"/>
        <v>0</v>
      </c>
      <c r="S15" s="609">
        <f>IF(S$7&gt;$N15,0,R15*(1-'Interest Rate'!$B$17))</f>
        <v>0</v>
      </c>
      <c r="T15" s="609">
        <f>IF(T$7&gt;$N15,0,S15*(1-'Interest Rate'!$B$17))</f>
        <v>0</v>
      </c>
      <c r="U15" s="609">
        <f>IF(U$7&gt;$N15,0,T15*(1-'Interest Rate'!$B$17))</f>
        <v>0</v>
      </c>
      <c r="V15" s="609">
        <f>IF(V$7&gt;$N15,0,U15*(1-'Interest Rate'!$B$17))</f>
        <v>0</v>
      </c>
      <c r="W15" s="609">
        <f>IF(W$7&gt;$N15,0,V15*(1-'Interest Rate'!$B$17))</f>
        <v>0</v>
      </c>
      <c r="X15" s="609">
        <f>IF(X$7&gt;$N15,0,W15*(1-'Interest Rate'!$B$17))</f>
        <v>0</v>
      </c>
      <c r="Y15" s="609">
        <f>IF(Y$7&gt;$N15,0,X15*(1-'Interest Rate'!$B$17))</f>
        <v>0</v>
      </c>
      <c r="Z15" s="609">
        <f>IF(Z$7&gt;$N15,0,Y15*(1-'Interest Rate'!$B$17))</f>
        <v>0</v>
      </c>
      <c r="AA15" s="609">
        <f>IF(AA$7&gt;$N15,0,Z15*(1-'Interest Rate'!$B$17))</f>
        <v>0</v>
      </c>
      <c r="AB15" s="609">
        <f>IF(AB$7&gt;$N15,0,AA15*(1-'Interest Rate'!$B$17))</f>
        <v>0</v>
      </c>
      <c r="AC15" s="609">
        <f>IF(AC$7&gt;$N15,0,AB15*(1-'Interest Rate'!$B$17))</f>
        <v>0</v>
      </c>
      <c r="AD15" s="609">
        <f>IF(AD$7&gt;$N15,0,AC15*(1-'Interest Rate'!$B$17))</f>
        <v>0</v>
      </c>
      <c r="AE15" s="609">
        <f>IF(AE$7&gt;$N15,0,AD15*(1-'Interest Rate'!$B$17))</f>
        <v>0</v>
      </c>
      <c r="AF15" s="609">
        <f>IF(AF$7&gt;$N15,0,AE15*(1-'Interest Rate'!$B$17))</f>
        <v>0</v>
      </c>
      <c r="AG15" s="609">
        <f>IF(AG$7&gt;$N15,0,AF15*(1-'Interest Rate'!$B$17))</f>
        <v>0</v>
      </c>
      <c r="AH15" s="609">
        <f>IF(AH$7&gt;$N15,0,AG15*(1-'Interest Rate'!$B$17))</f>
        <v>0</v>
      </c>
      <c r="AI15" s="609">
        <f>IF(AI$7&gt;$N15,0,AH15*(1-'Interest Rate'!$B$17))</f>
        <v>0</v>
      </c>
      <c r="AJ15" s="609">
        <f>IF(AJ$7&gt;$N15,0,AI15*(1-'Interest Rate'!$B$17))</f>
        <v>0</v>
      </c>
      <c r="AK15" s="609">
        <f>IF(AK$7&gt;$N15,0,AJ15*(1-'Interest Rate'!$B$17))</f>
        <v>0</v>
      </c>
      <c r="AL15" s="609">
        <f>IF(AL$7&gt;$N15,0,AK15*(1-'Interest Rate'!$B$17))</f>
        <v>0</v>
      </c>
      <c r="AM15" s="609">
        <f>IF(AM$7&gt;$N15,0,AL15*(1-'Interest Rate'!$B$17))</f>
        <v>0</v>
      </c>
      <c r="AN15" s="609">
        <f>IF(AN$7&gt;$N15,0,AM15*(1-'Interest Rate'!$B$17))</f>
        <v>0</v>
      </c>
      <c r="AO15" s="609">
        <f>IF(AO$7&gt;$N15,0,AN15*(1-'Interest Rate'!$B$17))</f>
        <v>0</v>
      </c>
      <c r="AP15" s="609">
        <f>IF(AP$7&gt;$N15,0,AO15*(1-'Interest Rate'!$B$17))</f>
        <v>0</v>
      </c>
      <c r="AQ15" s="609">
        <f>IF(AQ$7&gt;$N15,0,AP15*(1-'Interest Rate'!$B$17))</f>
        <v>0</v>
      </c>
      <c r="AR15" s="609">
        <f>IF(AR$7&gt;$N15,0,AQ15*(1-'Interest Rate'!$B$17))</f>
        <v>0</v>
      </c>
      <c r="AS15" s="609">
        <f>IF(AS$7&gt;$N15,0,AR15*(1-'Interest Rate'!$B$17))</f>
        <v>0</v>
      </c>
      <c r="AT15" s="609">
        <f>IF(AT$7&gt;$N15,0,AS15*(1-'Interest Rate'!$B$17))</f>
        <v>0</v>
      </c>
      <c r="AU15" s="609">
        <f>IF(AU$7&gt;$N15,0,AT15*(1-'Interest Rate'!$B$17))</f>
        <v>0</v>
      </c>
      <c r="AV15" s="609">
        <f>IF(AV$7&gt;$N15,0,AU15*(1-'Interest Rate'!$B$17))</f>
        <v>0</v>
      </c>
      <c r="AW15" s="609">
        <f>IF(AW$7&gt;$N15,0,AV15*(1-'Interest Rate'!$B$17))</f>
        <v>0</v>
      </c>
      <c r="AX15" s="609">
        <f>IF(AX$7&gt;$N15,0,AW15*(1-'Interest Rate'!$B$17))</f>
        <v>0</v>
      </c>
      <c r="AY15" s="609">
        <f>IF(AY$7&gt;$N15,0,AX15*(1-'Interest Rate'!$B$17))</f>
        <v>0</v>
      </c>
      <c r="AZ15" s="609">
        <f>IF(AZ$7&gt;$N15,0,AY15*(1-'Interest Rate'!$B$17))</f>
        <v>0</v>
      </c>
      <c r="BA15" s="609">
        <f>IF(BA$7&gt;$N15,0,AZ15*(1-'Interest Rate'!$B$17))</f>
        <v>0</v>
      </c>
      <c r="BB15" s="609">
        <f>IF(BB$7&gt;$N15,0,BA15*(1-'Interest Rate'!$B$17))</f>
        <v>0</v>
      </c>
      <c r="BC15" s="609">
        <f>IF(BC$7&gt;$N15,0,BB15*(1-'Interest Rate'!$B$17))</f>
        <v>0</v>
      </c>
      <c r="BD15" s="609">
        <f>IF(BD$7&gt;$N15,0,BC15*(1-'Interest Rate'!$B$17))</f>
        <v>0</v>
      </c>
      <c r="BE15" s="609">
        <f>IF(BE$7&gt;$N15,0,BD15*(1-'Interest Rate'!$B$17))</f>
        <v>0</v>
      </c>
      <c r="BF15" s="609">
        <f>IF(BF$7&gt;$N15,0,BE15*(1-'Interest Rate'!$B$17))</f>
        <v>0</v>
      </c>
      <c r="BG15" s="609">
        <f>IF(BG$7&gt;$N15,0,BF15*(1-'Interest Rate'!$B$17))</f>
        <v>0</v>
      </c>
      <c r="BH15" s="609">
        <f>IF(BH$7&gt;$N15,0,BG15*(1-'Interest Rate'!$B$17))</f>
        <v>0</v>
      </c>
      <c r="BI15" s="609">
        <f>IF(BI$7&gt;$N15,0,BH15*(1-'Interest Rate'!$B$17))</f>
        <v>0</v>
      </c>
      <c r="BJ15" s="609">
        <f>IF(BJ$7&gt;$N15,0,BI15*(1-'Interest Rate'!$B$17))</f>
        <v>0</v>
      </c>
      <c r="BK15" s="609">
        <f>IF(BK$7&gt;$N15,0,BJ15*(1-'Interest Rate'!$B$17))</f>
        <v>0</v>
      </c>
      <c r="BL15" s="609">
        <f>IF(BL$7&gt;$N15,0,BK15*(1-'Interest Rate'!$B$17))</f>
        <v>0</v>
      </c>
      <c r="BM15" s="609">
        <f>IF(BM$7&gt;$N15,0,BL15*(1-'Interest Rate'!$B$17))</f>
        <v>0</v>
      </c>
      <c r="BN15" s="609">
        <f>IF(BN$7&gt;$N15,0,BM15*(1-'Interest Rate'!$B$17))</f>
        <v>0</v>
      </c>
      <c r="BO15" s="609">
        <f>IF(BO$7&gt;$N15,0,BN15*(1-'Interest Rate'!$B$17))</f>
        <v>0</v>
      </c>
      <c r="BP15" s="609">
        <f>IF(BP$7&gt;$N15,0,BO15*(1-'Interest Rate'!$B$17))</f>
        <v>0</v>
      </c>
      <c r="BQ15" s="609">
        <f>IF(BQ$7&gt;$N15,0,BP15*(1-'Interest Rate'!$B$17))</f>
        <v>0</v>
      </c>
      <c r="BR15" s="609">
        <f>IF(BR$7&gt;$N15,0,BQ15*(1-'Interest Rate'!$B$17))</f>
        <v>0</v>
      </c>
      <c r="BS15" s="609">
        <f>IF(BS$7&gt;$N15,0,BR15*(1-'Interest Rate'!$B$17))</f>
        <v>0</v>
      </c>
      <c r="BT15" s="609">
        <f>IF(BT$7&gt;$N15,0,BS15*(1-'Interest Rate'!$B$17))</f>
        <v>0</v>
      </c>
      <c r="BU15" s="609">
        <f>IF(BU$7&gt;$N15,0,BT15*(1-'Interest Rate'!$B$17))</f>
        <v>0</v>
      </c>
      <c r="BV15" s="609">
        <f>IF(BV$7&gt;$N15,0,BU15*(1-'Interest Rate'!$B$17))</f>
        <v>0</v>
      </c>
      <c r="BW15" s="609">
        <f>IF(BW$7&gt;$N15,0,BV15*(1-'Interest Rate'!$B$17))</f>
        <v>0</v>
      </c>
      <c r="BX15" s="609">
        <f>IF(BX$7&gt;$N15,0,BW15*(1-'Interest Rate'!$B$17))</f>
        <v>0</v>
      </c>
      <c r="BY15" s="609">
        <f>IF(BY$7&gt;$N15,0,BX15*(1-'Interest Rate'!$B$17))</f>
        <v>0</v>
      </c>
      <c r="BZ15" s="609">
        <f>IF(BZ$7&gt;$N15,0,BY15*(1-'Interest Rate'!$B$17))</f>
        <v>0</v>
      </c>
      <c r="CA15" s="609">
        <f>IF(CA$7&gt;$N15,0,BZ15*(1-'Interest Rate'!$B$17))</f>
        <v>0</v>
      </c>
      <c r="CB15" s="609">
        <f>IF(CB$7&gt;$N15,0,CA15*(1-'Interest Rate'!$B$17))</f>
        <v>0</v>
      </c>
      <c r="CC15" s="609">
        <f>IF(CC$7&gt;$N15,0,CB15*(1-'Interest Rate'!$B$17))</f>
        <v>0</v>
      </c>
      <c r="CD15" s="609">
        <f>IF(CD$7&gt;$N15,0,CC15*(1-'Interest Rate'!$B$17))</f>
        <v>0</v>
      </c>
      <c r="CE15" s="609">
        <f>IF(CE$7&gt;$N15,0,CD15*(1-'Interest Rate'!$B$17))</f>
        <v>0</v>
      </c>
      <c r="CF15" s="609">
        <f>IF(CF$7&gt;$N15,0,CE15*(1-'Interest Rate'!$B$17))</f>
        <v>0</v>
      </c>
      <c r="CG15" s="609">
        <f>IF(CG$7&gt;$N15,0,CF15*(1-'Interest Rate'!$B$17))</f>
        <v>0</v>
      </c>
      <c r="CH15" s="609">
        <f>IF(CH$7&gt;$N15,0,CG15*(1-'Interest Rate'!$B$17))</f>
        <v>0</v>
      </c>
      <c r="CI15" s="609">
        <f>IF(CI$7&gt;$N15,0,CH15*(1-'Interest Rate'!$B$17))</f>
        <v>0</v>
      </c>
      <c r="CJ15" s="609">
        <f>IF(CJ$7&gt;$N15,0,CI15*(1-'Interest Rate'!$B$17))</f>
        <v>0</v>
      </c>
      <c r="CK15" s="609">
        <f>IF(CK$7&gt;$N15,0,CJ15*(1-'Interest Rate'!$B$17))</f>
        <v>0</v>
      </c>
      <c r="CL15" s="609">
        <f>IF(CL$7&gt;$N15,0,CK15*(1-'Interest Rate'!$B$17))</f>
        <v>0</v>
      </c>
      <c r="CM15" s="609">
        <f>IF(CM$7&gt;$N15,0,CL15*(1-'Interest Rate'!$B$17))</f>
        <v>0</v>
      </c>
      <c r="CN15" s="609">
        <f>IF(CN$7&gt;$N15,0,CM15*(1-'Interest Rate'!$B$17))</f>
        <v>0</v>
      </c>
      <c r="CO15" s="609">
        <f>IF(CO$7&gt;$N15,0,CN15*(1-'Interest Rate'!$B$17))</f>
        <v>0</v>
      </c>
      <c r="CP15" s="609">
        <f>IF(CP$7&gt;$N15,0,CO15*(1-'Interest Rate'!$B$17))</f>
        <v>0</v>
      </c>
      <c r="CQ15" s="609">
        <f>IF(CQ$7&gt;$N15,0,CP15*(1-'Interest Rate'!$B$17))</f>
        <v>0</v>
      </c>
      <c r="CR15" s="609">
        <f>IF(CR$7&gt;$N15,0,CQ15*(1-'Interest Rate'!$B$17))</f>
        <v>0</v>
      </c>
      <c r="CS15" s="609">
        <f>IF(CS$7&gt;$N15,0,CR15*(1-'Interest Rate'!$B$17))</f>
        <v>0</v>
      </c>
      <c r="CT15" s="609">
        <f>IF(CT$7&gt;$N15,0,CS15*(1-'Interest Rate'!$B$17))</f>
        <v>0</v>
      </c>
      <c r="CU15" s="609">
        <f>IF(CU$7&gt;$N15,0,CT15*(1-'Interest Rate'!$B$17))</f>
        <v>0</v>
      </c>
      <c r="CV15" s="609">
        <f>IF(CV$7&gt;$N15,0,CU15*(1-'Interest Rate'!$B$17))</f>
        <v>0</v>
      </c>
      <c r="CW15" s="609">
        <f>IF(CW$7&gt;$N15,0,CV15*(1-'Interest Rate'!$B$17))</f>
        <v>0</v>
      </c>
      <c r="CX15" s="609">
        <f>IF(CX$7&gt;$N15,0,CW15*(1-'Interest Rate'!$B$17))</f>
        <v>0</v>
      </c>
      <c r="CY15" s="609">
        <f>IF(CY$7&gt;$N15,0,CX15*(1-'Interest Rate'!$B$17))</f>
        <v>0</v>
      </c>
      <c r="CZ15" s="609">
        <f>IF(CZ$7&gt;$N15,0,CY15*(1-'Interest Rate'!$B$17))</f>
        <v>0</v>
      </c>
      <c r="DA15" s="609">
        <f>IF(DA$7&gt;$N15,0,CZ15*(1-'Interest Rate'!$B$17))</f>
        <v>0</v>
      </c>
      <c r="DB15" s="609">
        <f>IF(DB$7&gt;$N15,0,DA15*(1-'Interest Rate'!$B$17))</f>
        <v>0</v>
      </c>
      <c r="DC15" s="609">
        <f>IF(DC$7&gt;$N15,0,DB15*(1-'Interest Rate'!$B$17))</f>
        <v>0</v>
      </c>
      <c r="DD15" s="609">
        <f>IF(DD$7&gt;$N15,0,DC15*(1-'Interest Rate'!$B$17))</f>
        <v>0</v>
      </c>
      <c r="DE15" s="609">
        <f>IF(DE$7&gt;$N15,0,DD15*(1-'Interest Rate'!$B$17))</f>
        <v>0</v>
      </c>
      <c r="DF15" s="609">
        <f>IF(DF$7&gt;$N15,0,DE15*(1-'Interest Rate'!$B$17))</f>
        <v>0</v>
      </c>
      <c r="DG15" s="609">
        <f>IF(DG$7&gt;$N15,0,DF15*(1-'Interest Rate'!$B$17))</f>
        <v>0</v>
      </c>
      <c r="DH15" s="609">
        <f>IF(DH$7&gt;$N15,0,DG15*(1-'Interest Rate'!$B$17))</f>
        <v>0</v>
      </c>
      <c r="DI15" s="609">
        <f>IF(DI$7&gt;$N15,0,DH15*(1-'Interest Rate'!$B$17))</f>
        <v>0</v>
      </c>
      <c r="DJ15" s="609">
        <f>IF(DJ$7&gt;$N15,0,DI15*(1-'Interest Rate'!$B$17))</f>
        <v>0</v>
      </c>
      <c r="DK15" s="609">
        <f>IF(DK$7&gt;$N15,0,DJ15*(1-'Interest Rate'!$B$17))</f>
        <v>0</v>
      </c>
      <c r="DL15" s="609">
        <f>IF(DL$7&gt;$N15,0,DK15*(1-'Interest Rate'!$B$17))</f>
        <v>0</v>
      </c>
      <c r="DM15" s="609">
        <f>IF(DM$7&gt;$N15,0,DL15*(1-'Interest Rate'!$B$17))</f>
        <v>0</v>
      </c>
    </row>
    <row r="16" spans="1:117" ht="27.75" customHeight="1" x14ac:dyDescent="0.3">
      <c r="A16" s="600" t="str">
        <f>'EEM Data Entry'!A93</f>
        <v/>
      </c>
      <c r="B16" s="601" t="str">
        <f>'EEM Data Entry'!B93</f>
        <v/>
      </c>
      <c r="C16" s="602" t="str">
        <f>'EEM Data Entry'!F93</f>
        <v/>
      </c>
      <c r="D16" s="602">
        <v>0</v>
      </c>
      <c r="E16" s="602" t="e">
        <f t="shared" si="6"/>
        <v>#VALUE!</v>
      </c>
      <c r="F16" s="602">
        <f>('Savings Summary'!D15*'Savings Summary'!D$5)+('Savings Summary'!F15*'Savings Summary'!F$5)+('Savings Summary'!H15*'Savings Summary'!H$5)+('Savings Summary'!J15*'Savings Summary'!J$5)+('Savings Summary'!L15*'Savings Summary'!L$5)+('Savings Summary'!N15*'Savings Summary'!N$5)+('Savings Summary'!P15*'Savings Summary'!P$5)+('Savings Summary'!R15*'Savings Summary'!R$5)</f>
        <v>0</v>
      </c>
      <c r="G16" s="603">
        <f>'Savings Summary'!T15</f>
        <v>0</v>
      </c>
      <c r="H16" s="604" t="e">
        <f t="shared" si="7"/>
        <v>#VALUE!</v>
      </c>
      <c r="I16" s="600" t="e">
        <f t="shared" si="8"/>
        <v>#VALUE!</v>
      </c>
      <c r="J16" s="605" t="e">
        <f t="shared" si="3"/>
        <v>#NUM!</v>
      </c>
      <c r="K16" s="606" t="e">
        <f>PV('Interest Rate'!$B$17,Table6[[#This Row],[LIFETIME]],-Table6[[#This Row],[ANNUAL ENERGY COST SAVINGS]],Table6[[#This Row],[END-OF-LIFE]],0)-Table6[[#This Row],[CAPITAL INVESTMENT]]</f>
        <v>#VALUE!</v>
      </c>
      <c r="L16" s="600" t="str">
        <f>'EEM Data Entry'!C93</f>
        <v/>
      </c>
      <c r="M16" s="607" t="e">
        <f>Table6[[#This Row],[ANNUAL ENERGY COST SAVINGS]]/Table6[[#This Row],[CAPITAL INVESTMENT]]</f>
        <v>#VALUE!</v>
      </c>
      <c r="N16" s="804" t="str">
        <f>Table6[[#This Row],[LIFETIME]]</f>
        <v/>
      </c>
      <c r="O16" s="607"/>
      <c r="P16" s="607"/>
      <c r="Q16" s="608" t="str">
        <f t="shared" si="4"/>
        <v/>
      </c>
      <c r="R16" s="609">
        <f t="shared" si="5"/>
        <v>0</v>
      </c>
      <c r="S16" s="609">
        <f>IF(S$7&gt;$N16,0,R16*(1-'Interest Rate'!$B$17))</f>
        <v>0</v>
      </c>
      <c r="T16" s="609">
        <f>IF(T$7&gt;$N16,0,S16*(1-'Interest Rate'!$B$17))</f>
        <v>0</v>
      </c>
      <c r="U16" s="609">
        <f>IF(U$7&gt;$N16,0,T16*(1-'Interest Rate'!$B$17))</f>
        <v>0</v>
      </c>
      <c r="V16" s="609">
        <f>IF(V$7&gt;$N16,0,U16*(1-'Interest Rate'!$B$17))</f>
        <v>0</v>
      </c>
      <c r="W16" s="609">
        <f>IF(W$7&gt;$N16,0,V16*(1-'Interest Rate'!$B$17))</f>
        <v>0</v>
      </c>
      <c r="X16" s="609">
        <f>IF(X$7&gt;$N16,0,W16*(1-'Interest Rate'!$B$17))</f>
        <v>0</v>
      </c>
      <c r="Y16" s="609">
        <f>IF(Y$7&gt;$N16,0,X16*(1-'Interest Rate'!$B$17))</f>
        <v>0</v>
      </c>
      <c r="Z16" s="609">
        <f>IF(Z$7&gt;$N16,0,Y16*(1-'Interest Rate'!$B$17))</f>
        <v>0</v>
      </c>
      <c r="AA16" s="609">
        <f>IF(AA$7&gt;$N16,0,Z16*(1-'Interest Rate'!$B$17))</f>
        <v>0</v>
      </c>
      <c r="AB16" s="609">
        <f>IF(AB$7&gt;$N16,0,AA16*(1-'Interest Rate'!$B$17))</f>
        <v>0</v>
      </c>
      <c r="AC16" s="609">
        <f>IF(AC$7&gt;$N16,0,AB16*(1-'Interest Rate'!$B$17))</f>
        <v>0</v>
      </c>
      <c r="AD16" s="609">
        <f>IF(AD$7&gt;$N16,0,AC16*(1-'Interest Rate'!$B$17))</f>
        <v>0</v>
      </c>
      <c r="AE16" s="609">
        <f>IF(AE$7&gt;$N16,0,AD16*(1-'Interest Rate'!$B$17))</f>
        <v>0</v>
      </c>
      <c r="AF16" s="609">
        <f>IF(AF$7&gt;$N16,0,AE16*(1-'Interest Rate'!$B$17))</f>
        <v>0</v>
      </c>
      <c r="AG16" s="609">
        <f>IF(AG$7&gt;$N16,0,AF16*(1-'Interest Rate'!$B$17))</f>
        <v>0</v>
      </c>
      <c r="AH16" s="609">
        <f>IF(AH$7&gt;$N16,0,AG16*(1-'Interest Rate'!$B$17))</f>
        <v>0</v>
      </c>
      <c r="AI16" s="609">
        <f>IF(AI$7&gt;$N16,0,AH16*(1-'Interest Rate'!$B$17))</f>
        <v>0</v>
      </c>
      <c r="AJ16" s="609">
        <f>IF(AJ$7&gt;$N16,0,AI16*(1-'Interest Rate'!$B$17))</f>
        <v>0</v>
      </c>
      <c r="AK16" s="609">
        <f>IF(AK$7&gt;$N16,0,AJ16*(1-'Interest Rate'!$B$17))</f>
        <v>0</v>
      </c>
      <c r="AL16" s="609">
        <f>IF(AL$7&gt;$N16,0,AK16*(1-'Interest Rate'!$B$17))</f>
        <v>0</v>
      </c>
      <c r="AM16" s="609">
        <f>IF(AM$7&gt;$N16,0,AL16*(1-'Interest Rate'!$B$17))</f>
        <v>0</v>
      </c>
      <c r="AN16" s="609">
        <f>IF(AN$7&gt;$N16,0,AM16*(1-'Interest Rate'!$B$17))</f>
        <v>0</v>
      </c>
      <c r="AO16" s="609">
        <f>IF(AO$7&gt;$N16,0,AN16*(1-'Interest Rate'!$B$17))</f>
        <v>0</v>
      </c>
      <c r="AP16" s="609">
        <f>IF(AP$7&gt;$N16,0,AO16*(1-'Interest Rate'!$B$17))</f>
        <v>0</v>
      </c>
      <c r="AQ16" s="609">
        <f>IF(AQ$7&gt;$N16,0,AP16*(1-'Interest Rate'!$B$17))</f>
        <v>0</v>
      </c>
      <c r="AR16" s="609">
        <f>IF(AR$7&gt;$N16,0,AQ16*(1-'Interest Rate'!$B$17))</f>
        <v>0</v>
      </c>
      <c r="AS16" s="609">
        <f>IF(AS$7&gt;$N16,0,AR16*(1-'Interest Rate'!$B$17))</f>
        <v>0</v>
      </c>
      <c r="AT16" s="609">
        <f>IF(AT$7&gt;$N16,0,AS16*(1-'Interest Rate'!$B$17))</f>
        <v>0</v>
      </c>
      <c r="AU16" s="609">
        <f>IF(AU$7&gt;$N16,0,AT16*(1-'Interest Rate'!$B$17))</f>
        <v>0</v>
      </c>
      <c r="AV16" s="609">
        <f>IF(AV$7&gt;$N16,0,AU16*(1-'Interest Rate'!$B$17))</f>
        <v>0</v>
      </c>
      <c r="AW16" s="609">
        <f>IF(AW$7&gt;$N16,0,AV16*(1-'Interest Rate'!$B$17))</f>
        <v>0</v>
      </c>
      <c r="AX16" s="609">
        <f>IF(AX$7&gt;$N16,0,AW16*(1-'Interest Rate'!$B$17))</f>
        <v>0</v>
      </c>
      <c r="AY16" s="609">
        <f>IF(AY$7&gt;$N16,0,AX16*(1-'Interest Rate'!$B$17))</f>
        <v>0</v>
      </c>
      <c r="AZ16" s="609">
        <f>IF(AZ$7&gt;$N16,0,AY16*(1-'Interest Rate'!$B$17))</f>
        <v>0</v>
      </c>
      <c r="BA16" s="609">
        <f>IF(BA$7&gt;$N16,0,AZ16*(1-'Interest Rate'!$B$17))</f>
        <v>0</v>
      </c>
      <c r="BB16" s="609">
        <f>IF(BB$7&gt;$N16,0,BA16*(1-'Interest Rate'!$B$17))</f>
        <v>0</v>
      </c>
      <c r="BC16" s="609">
        <f>IF(BC$7&gt;$N16,0,BB16*(1-'Interest Rate'!$B$17))</f>
        <v>0</v>
      </c>
      <c r="BD16" s="609">
        <f>IF(BD$7&gt;$N16,0,BC16*(1-'Interest Rate'!$B$17))</f>
        <v>0</v>
      </c>
      <c r="BE16" s="609">
        <f>IF(BE$7&gt;$N16,0,BD16*(1-'Interest Rate'!$B$17))</f>
        <v>0</v>
      </c>
      <c r="BF16" s="609">
        <f>IF(BF$7&gt;$N16,0,BE16*(1-'Interest Rate'!$B$17))</f>
        <v>0</v>
      </c>
      <c r="BG16" s="609">
        <f>IF(BG$7&gt;$N16,0,BF16*(1-'Interest Rate'!$B$17))</f>
        <v>0</v>
      </c>
      <c r="BH16" s="609">
        <f>IF(BH$7&gt;$N16,0,BG16*(1-'Interest Rate'!$B$17))</f>
        <v>0</v>
      </c>
      <c r="BI16" s="609">
        <f>IF(BI$7&gt;$N16,0,BH16*(1-'Interest Rate'!$B$17))</f>
        <v>0</v>
      </c>
      <c r="BJ16" s="609">
        <f>IF(BJ$7&gt;$N16,0,BI16*(1-'Interest Rate'!$B$17))</f>
        <v>0</v>
      </c>
      <c r="BK16" s="609">
        <f>IF(BK$7&gt;$N16,0,BJ16*(1-'Interest Rate'!$B$17))</f>
        <v>0</v>
      </c>
      <c r="BL16" s="609">
        <f>IF(BL$7&gt;$N16,0,BK16*(1-'Interest Rate'!$B$17))</f>
        <v>0</v>
      </c>
      <c r="BM16" s="609">
        <f>IF(BM$7&gt;$N16,0,BL16*(1-'Interest Rate'!$B$17))</f>
        <v>0</v>
      </c>
      <c r="BN16" s="609">
        <f>IF(BN$7&gt;$N16,0,BM16*(1-'Interest Rate'!$B$17))</f>
        <v>0</v>
      </c>
      <c r="BO16" s="609">
        <f>IF(BO$7&gt;$N16,0,BN16*(1-'Interest Rate'!$B$17))</f>
        <v>0</v>
      </c>
      <c r="BP16" s="609">
        <f>IF(BP$7&gt;$N16,0,BO16*(1-'Interest Rate'!$B$17))</f>
        <v>0</v>
      </c>
      <c r="BQ16" s="609">
        <f>IF(BQ$7&gt;$N16,0,BP16*(1-'Interest Rate'!$B$17))</f>
        <v>0</v>
      </c>
      <c r="BR16" s="609">
        <f>IF(BR$7&gt;$N16,0,BQ16*(1-'Interest Rate'!$B$17))</f>
        <v>0</v>
      </c>
      <c r="BS16" s="609">
        <f>IF(BS$7&gt;$N16,0,BR16*(1-'Interest Rate'!$B$17))</f>
        <v>0</v>
      </c>
      <c r="BT16" s="609">
        <f>IF(BT$7&gt;$N16,0,BS16*(1-'Interest Rate'!$B$17))</f>
        <v>0</v>
      </c>
      <c r="BU16" s="609">
        <f>IF(BU$7&gt;$N16,0,BT16*(1-'Interest Rate'!$B$17))</f>
        <v>0</v>
      </c>
      <c r="BV16" s="609">
        <f>IF(BV$7&gt;$N16,0,BU16*(1-'Interest Rate'!$B$17))</f>
        <v>0</v>
      </c>
      <c r="BW16" s="609">
        <f>IF(BW$7&gt;$N16,0,BV16*(1-'Interest Rate'!$B$17))</f>
        <v>0</v>
      </c>
      <c r="BX16" s="609">
        <f>IF(BX$7&gt;$N16,0,BW16*(1-'Interest Rate'!$B$17))</f>
        <v>0</v>
      </c>
      <c r="BY16" s="609">
        <f>IF(BY$7&gt;$N16,0,BX16*(1-'Interest Rate'!$B$17))</f>
        <v>0</v>
      </c>
      <c r="BZ16" s="609">
        <f>IF(BZ$7&gt;$N16,0,BY16*(1-'Interest Rate'!$B$17))</f>
        <v>0</v>
      </c>
      <c r="CA16" s="609">
        <f>IF(CA$7&gt;$N16,0,BZ16*(1-'Interest Rate'!$B$17))</f>
        <v>0</v>
      </c>
      <c r="CB16" s="609">
        <f>IF(CB$7&gt;$N16,0,CA16*(1-'Interest Rate'!$B$17))</f>
        <v>0</v>
      </c>
      <c r="CC16" s="609">
        <f>IF(CC$7&gt;$N16,0,CB16*(1-'Interest Rate'!$B$17))</f>
        <v>0</v>
      </c>
      <c r="CD16" s="609">
        <f>IF(CD$7&gt;$N16,0,CC16*(1-'Interest Rate'!$B$17))</f>
        <v>0</v>
      </c>
      <c r="CE16" s="609">
        <f>IF(CE$7&gt;$N16,0,CD16*(1-'Interest Rate'!$B$17))</f>
        <v>0</v>
      </c>
      <c r="CF16" s="609">
        <f>IF(CF$7&gt;$N16,0,CE16*(1-'Interest Rate'!$B$17))</f>
        <v>0</v>
      </c>
      <c r="CG16" s="609">
        <f>IF(CG$7&gt;$N16,0,CF16*(1-'Interest Rate'!$B$17))</f>
        <v>0</v>
      </c>
      <c r="CH16" s="609">
        <f>IF(CH$7&gt;$N16,0,CG16*(1-'Interest Rate'!$B$17))</f>
        <v>0</v>
      </c>
      <c r="CI16" s="609">
        <f>IF(CI$7&gt;$N16,0,CH16*(1-'Interest Rate'!$B$17))</f>
        <v>0</v>
      </c>
      <c r="CJ16" s="609">
        <f>IF(CJ$7&gt;$N16,0,CI16*(1-'Interest Rate'!$B$17))</f>
        <v>0</v>
      </c>
      <c r="CK16" s="609">
        <f>IF(CK$7&gt;$N16,0,CJ16*(1-'Interest Rate'!$B$17))</f>
        <v>0</v>
      </c>
      <c r="CL16" s="609">
        <f>IF(CL$7&gt;$N16,0,CK16*(1-'Interest Rate'!$B$17))</f>
        <v>0</v>
      </c>
      <c r="CM16" s="609">
        <f>IF(CM$7&gt;$N16,0,CL16*(1-'Interest Rate'!$B$17))</f>
        <v>0</v>
      </c>
      <c r="CN16" s="609">
        <f>IF(CN$7&gt;$N16,0,CM16*(1-'Interest Rate'!$B$17))</f>
        <v>0</v>
      </c>
      <c r="CO16" s="609">
        <f>IF(CO$7&gt;$N16,0,CN16*(1-'Interest Rate'!$B$17))</f>
        <v>0</v>
      </c>
      <c r="CP16" s="609">
        <f>IF(CP$7&gt;$N16,0,CO16*(1-'Interest Rate'!$B$17))</f>
        <v>0</v>
      </c>
      <c r="CQ16" s="609">
        <f>IF(CQ$7&gt;$N16,0,CP16*(1-'Interest Rate'!$B$17))</f>
        <v>0</v>
      </c>
      <c r="CR16" s="609">
        <f>IF(CR$7&gt;$N16,0,CQ16*(1-'Interest Rate'!$B$17))</f>
        <v>0</v>
      </c>
      <c r="CS16" s="609">
        <f>IF(CS$7&gt;$N16,0,CR16*(1-'Interest Rate'!$B$17))</f>
        <v>0</v>
      </c>
      <c r="CT16" s="609">
        <f>IF(CT$7&gt;$N16,0,CS16*(1-'Interest Rate'!$B$17))</f>
        <v>0</v>
      </c>
      <c r="CU16" s="609">
        <f>IF(CU$7&gt;$N16,0,CT16*(1-'Interest Rate'!$B$17))</f>
        <v>0</v>
      </c>
      <c r="CV16" s="609">
        <f>IF(CV$7&gt;$N16,0,CU16*(1-'Interest Rate'!$B$17))</f>
        <v>0</v>
      </c>
      <c r="CW16" s="609">
        <f>IF(CW$7&gt;$N16,0,CV16*(1-'Interest Rate'!$B$17))</f>
        <v>0</v>
      </c>
      <c r="CX16" s="609">
        <f>IF(CX$7&gt;$N16,0,CW16*(1-'Interest Rate'!$B$17))</f>
        <v>0</v>
      </c>
      <c r="CY16" s="609">
        <f>IF(CY$7&gt;$N16,0,CX16*(1-'Interest Rate'!$B$17))</f>
        <v>0</v>
      </c>
      <c r="CZ16" s="609">
        <f>IF(CZ$7&gt;$N16,0,CY16*(1-'Interest Rate'!$B$17))</f>
        <v>0</v>
      </c>
      <c r="DA16" s="609">
        <f>IF(DA$7&gt;$N16,0,CZ16*(1-'Interest Rate'!$B$17))</f>
        <v>0</v>
      </c>
      <c r="DB16" s="609">
        <f>IF(DB$7&gt;$N16,0,DA16*(1-'Interest Rate'!$B$17))</f>
        <v>0</v>
      </c>
      <c r="DC16" s="609">
        <f>IF(DC$7&gt;$N16,0,DB16*(1-'Interest Rate'!$B$17))</f>
        <v>0</v>
      </c>
      <c r="DD16" s="609">
        <f>IF(DD$7&gt;$N16,0,DC16*(1-'Interest Rate'!$B$17))</f>
        <v>0</v>
      </c>
      <c r="DE16" s="609">
        <f>IF(DE$7&gt;$N16,0,DD16*(1-'Interest Rate'!$B$17))</f>
        <v>0</v>
      </c>
      <c r="DF16" s="609">
        <f>IF(DF$7&gt;$N16,0,DE16*(1-'Interest Rate'!$B$17))</f>
        <v>0</v>
      </c>
      <c r="DG16" s="609">
        <f>IF(DG$7&gt;$N16,0,DF16*(1-'Interest Rate'!$B$17))</f>
        <v>0</v>
      </c>
      <c r="DH16" s="609">
        <f>IF(DH$7&gt;$N16,0,DG16*(1-'Interest Rate'!$B$17))</f>
        <v>0</v>
      </c>
      <c r="DI16" s="609">
        <f>IF(DI$7&gt;$N16,0,DH16*(1-'Interest Rate'!$B$17))</f>
        <v>0</v>
      </c>
      <c r="DJ16" s="609">
        <f>IF(DJ$7&gt;$N16,0,DI16*(1-'Interest Rate'!$B$17))</f>
        <v>0</v>
      </c>
      <c r="DK16" s="609">
        <f>IF(DK$7&gt;$N16,0,DJ16*(1-'Interest Rate'!$B$17))</f>
        <v>0</v>
      </c>
      <c r="DL16" s="609">
        <f>IF(DL$7&gt;$N16,0,DK16*(1-'Interest Rate'!$B$17))</f>
        <v>0</v>
      </c>
      <c r="DM16" s="609">
        <f>IF(DM$7&gt;$N16,0,DL16*(1-'Interest Rate'!$B$17))</f>
        <v>0</v>
      </c>
    </row>
    <row r="17" spans="1:117" ht="27.75" customHeight="1" x14ac:dyDescent="0.3">
      <c r="A17" s="600" t="str">
        <f>'EEM Data Entry'!A94</f>
        <v/>
      </c>
      <c r="B17" s="601" t="str">
        <f>'EEM Data Entry'!B94</f>
        <v/>
      </c>
      <c r="C17" s="602" t="str">
        <f>'EEM Data Entry'!F94</f>
        <v/>
      </c>
      <c r="D17" s="602">
        <v>0</v>
      </c>
      <c r="E17" s="602" t="e">
        <f t="shared" si="6"/>
        <v>#VALUE!</v>
      </c>
      <c r="F17" s="602">
        <f>('Savings Summary'!D16*'Savings Summary'!D$5)+('Savings Summary'!F16*'Savings Summary'!F$5)+('Savings Summary'!H16*'Savings Summary'!H$5)+('Savings Summary'!J16*'Savings Summary'!J$5)+('Savings Summary'!L16*'Savings Summary'!L$5)+('Savings Summary'!N16*'Savings Summary'!N$5)+('Savings Summary'!P16*'Savings Summary'!P$5)+('Savings Summary'!R16*'Savings Summary'!R$5)</f>
        <v>0</v>
      </c>
      <c r="G17" s="603">
        <f>'Savings Summary'!T16</f>
        <v>0</v>
      </c>
      <c r="H17" s="604" t="e">
        <f t="shared" si="7"/>
        <v>#VALUE!</v>
      </c>
      <c r="I17" s="600" t="e">
        <f t="shared" si="8"/>
        <v>#VALUE!</v>
      </c>
      <c r="J17" s="605" t="e">
        <f t="shared" si="3"/>
        <v>#NUM!</v>
      </c>
      <c r="K17" s="606" t="e">
        <f>PV('Interest Rate'!$B$17,Table6[[#This Row],[LIFETIME]],-Table6[[#This Row],[ANNUAL ENERGY COST SAVINGS]],Table6[[#This Row],[END-OF-LIFE]],0)-Table6[[#This Row],[CAPITAL INVESTMENT]]</f>
        <v>#VALUE!</v>
      </c>
      <c r="L17" s="600" t="str">
        <f>'EEM Data Entry'!C94</f>
        <v/>
      </c>
      <c r="M17" s="607" t="e">
        <f>Table6[[#This Row],[ANNUAL ENERGY COST SAVINGS]]/Table6[[#This Row],[CAPITAL INVESTMENT]]</f>
        <v>#VALUE!</v>
      </c>
      <c r="N17" s="804" t="str">
        <f>Table6[[#This Row],[LIFETIME]]</f>
        <v/>
      </c>
      <c r="O17" s="607"/>
      <c r="P17" s="607"/>
      <c r="Q17" s="608" t="str">
        <f t="shared" si="4"/>
        <v/>
      </c>
      <c r="R17" s="609">
        <f t="shared" si="5"/>
        <v>0</v>
      </c>
      <c r="S17" s="609">
        <f>IF(S$7&gt;$N17,0,R17*(1-'Interest Rate'!$B$17))</f>
        <v>0</v>
      </c>
      <c r="T17" s="609">
        <f>IF(T$7&gt;$N17,0,S17*(1-'Interest Rate'!$B$17))</f>
        <v>0</v>
      </c>
      <c r="U17" s="609">
        <f>IF(U$7&gt;$N17,0,T17*(1-'Interest Rate'!$B$17))</f>
        <v>0</v>
      </c>
      <c r="V17" s="609">
        <f>IF(V$7&gt;$N17,0,U17*(1-'Interest Rate'!$B$17))</f>
        <v>0</v>
      </c>
      <c r="W17" s="609">
        <f>IF(W$7&gt;$N17,0,V17*(1-'Interest Rate'!$B$17))</f>
        <v>0</v>
      </c>
      <c r="X17" s="609">
        <f>IF(X$7&gt;$N17,0,W17*(1-'Interest Rate'!$B$17))</f>
        <v>0</v>
      </c>
      <c r="Y17" s="609">
        <f>IF(Y$7&gt;$N17,0,X17*(1-'Interest Rate'!$B$17))</f>
        <v>0</v>
      </c>
      <c r="Z17" s="609">
        <f>IF(Z$7&gt;$N17,0,Y17*(1-'Interest Rate'!$B$17))</f>
        <v>0</v>
      </c>
      <c r="AA17" s="609">
        <f>IF(AA$7&gt;$N17,0,Z17*(1-'Interest Rate'!$B$17))</f>
        <v>0</v>
      </c>
      <c r="AB17" s="609">
        <f>IF(AB$7&gt;$N17,0,AA17*(1-'Interest Rate'!$B$17))</f>
        <v>0</v>
      </c>
      <c r="AC17" s="609">
        <f>IF(AC$7&gt;$N17,0,AB17*(1-'Interest Rate'!$B$17))</f>
        <v>0</v>
      </c>
      <c r="AD17" s="609">
        <f>IF(AD$7&gt;$N17,0,AC17*(1-'Interest Rate'!$B$17))</f>
        <v>0</v>
      </c>
      <c r="AE17" s="609">
        <f>IF(AE$7&gt;$N17,0,AD17*(1-'Interest Rate'!$B$17))</f>
        <v>0</v>
      </c>
      <c r="AF17" s="609">
        <f>IF(AF$7&gt;$N17,0,AE17*(1-'Interest Rate'!$B$17))</f>
        <v>0</v>
      </c>
      <c r="AG17" s="609">
        <f>IF(AG$7&gt;$N17,0,AF17*(1-'Interest Rate'!$B$17))</f>
        <v>0</v>
      </c>
      <c r="AH17" s="609">
        <f>IF(AH$7&gt;$N17,0,AG17*(1-'Interest Rate'!$B$17))</f>
        <v>0</v>
      </c>
      <c r="AI17" s="609">
        <f>IF(AI$7&gt;$N17,0,AH17*(1-'Interest Rate'!$B$17))</f>
        <v>0</v>
      </c>
      <c r="AJ17" s="609">
        <f>IF(AJ$7&gt;$N17,0,AI17*(1-'Interest Rate'!$B$17))</f>
        <v>0</v>
      </c>
      <c r="AK17" s="609">
        <f>IF(AK$7&gt;$N17,0,AJ17*(1-'Interest Rate'!$B$17))</f>
        <v>0</v>
      </c>
      <c r="AL17" s="609">
        <f>IF(AL$7&gt;$N17,0,AK17*(1-'Interest Rate'!$B$17))</f>
        <v>0</v>
      </c>
      <c r="AM17" s="609">
        <f>IF(AM$7&gt;$N17,0,AL17*(1-'Interest Rate'!$B$17))</f>
        <v>0</v>
      </c>
      <c r="AN17" s="609">
        <f>IF(AN$7&gt;$N17,0,AM17*(1-'Interest Rate'!$B$17))</f>
        <v>0</v>
      </c>
      <c r="AO17" s="609">
        <f>IF(AO$7&gt;$N17,0,AN17*(1-'Interest Rate'!$B$17))</f>
        <v>0</v>
      </c>
      <c r="AP17" s="609">
        <f>IF(AP$7&gt;$N17,0,AO17*(1-'Interest Rate'!$B$17))</f>
        <v>0</v>
      </c>
      <c r="AQ17" s="609">
        <f>IF(AQ$7&gt;$N17,0,AP17*(1-'Interest Rate'!$B$17))</f>
        <v>0</v>
      </c>
      <c r="AR17" s="609">
        <f>IF(AR$7&gt;$N17,0,AQ17*(1-'Interest Rate'!$B$17))</f>
        <v>0</v>
      </c>
      <c r="AS17" s="609">
        <f>IF(AS$7&gt;$N17,0,AR17*(1-'Interest Rate'!$B$17))</f>
        <v>0</v>
      </c>
      <c r="AT17" s="609">
        <f>IF(AT$7&gt;$N17,0,AS17*(1-'Interest Rate'!$B$17))</f>
        <v>0</v>
      </c>
      <c r="AU17" s="609">
        <f>IF(AU$7&gt;$N17,0,AT17*(1-'Interest Rate'!$B$17))</f>
        <v>0</v>
      </c>
      <c r="AV17" s="609">
        <f>IF(AV$7&gt;$N17,0,AU17*(1-'Interest Rate'!$B$17))</f>
        <v>0</v>
      </c>
      <c r="AW17" s="609">
        <f>IF(AW$7&gt;$N17,0,AV17*(1-'Interest Rate'!$B$17))</f>
        <v>0</v>
      </c>
      <c r="AX17" s="609">
        <f>IF(AX$7&gt;$N17,0,AW17*(1-'Interest Rate'!$B$17))</f>
        <v>0</v>
      </c>
      <c r="AY17" s="609">
        <f>IF(AY$7&gt;$N17,0,AX17*(1-'Interest Rate'!$B$17))</f>
        <v>0</v>
      </c>
      <c r="AZ17" s="609">
        <f>IF(AZ$7&gt;$N17,0,AY17*(1-'Interest Rate'!$B$17))</f>
        <v>0</v>
      </c>
      <c r="BA17" s="609">
        <f>IF(BA$7&gt;$N17,0,AZ17*(1-'Interest Rate'!$B$17))</f>
        <v>0</v>
      </c>
      <c r="BB17" s="609">
        <f>IF(BB$7&gt;$N17,0,BA17*(1-'Interest Rate'!$B$17))</f>
        <v>0</v>
      </c>
      <c r="BC17" s="609">
        <f>IF(BC$7&gt;$N17,0,BB17*(1-'Interest Rate'!$B$17))</f>
        <v>0</v>
      </c>
      <c r="BD17" s="609">
        <f>IF(BD$7&gt;$N17,0,BC17*(1-'Interest Rate'!$B$17))</f>
        <v>0</v>
      </c>
      <c r="BE17" s="609">
        <f>IF(BE$7&gt;$N17,0,BD17*(1-'Interest Rate'!$B$17))</f>
        <v>0</v>
      </c>
      <c r="BF17" s="609">
        <f>IF(BF$7&gt;$N17,0,BE17*(1-'Interest Rate'!$B$17))</f>
        <v>0</v>
      </c>
      <c r="BG17" s="609">
        <f>IF(BG$7&gt;$N17,0,BF17*(1-'Interest Rate'!$B$17))</f>
        <v>0</v>
      </c>
      <c r="BH17" s="609">
        <f>IF(BH$7&gt;$N17,0,BG17*(1-'Interest Rate'!$B$17))</f>
        <v>0</v>
      </c>
      <c r="BI17" s="609">
        <f>IF(BI$7&gt;$N17,0,BH17*(1-'Interest Rate'!$B$17))</f>
        <v>0</v>
      </c>
      <c r="BJ17" s="609">
        <f>IF(BJ$7&gt;$N17,0,BI17*(1-'Interest Rate'!$B$17))</f>
        <v>0</v>
      </c>
      <c r="BK17" s="609">
        <f>IF(BK$7&gt;$N17,0,BJ17*(1-'Interest Rate'!$B$17))</f>
        <v>0</v>
      </c>
      <c r="BL17" s="609">
        <f>IF(BL$7&gt;$N17,0,BK17*(1-'Interest Rate'!$B$17))</f>
        <v>0</v>
      </c>
      <c r="BM17" s="609">
        <f>IF(BM$7&gt;$N17,0,BL17*(1-'Interest Rate'!$B$17))</f>
        <v>0</v>
      </c>
      <c r="BN17" s="609">
        <f>IF(BN$7&gt;$N17,0,BM17*(1-'Interest Rate'!$B$17))</f>
        <v>0</v>
      </c>
      <c r="BO17" s="609">
        <f>IF(BO$7&gt;$N17,0,BN17*(1-'Interest Rate'!$B$17))</f>
        <v>0</v>
      </c>
      <c r="BP17" s="609">
        <f>IF(BP$7&gt;$N17,0,BO17*(1-'Interest Rate'!$B$17))</f>
        <v>0</v>
      </c>
      <c r="BQ17" s="609">
        <f>IF(BQ$7&gt;$N17,0,BP17*(1-'Interest Rate'!$B$17))</f>
        <v>0</v>
      </c>
      <c r="BR17" s="609">
        <f>IF(BR$7&gt;$N17,0,BQ17*(1-'Interest Rate'!$B$17))</f>
        <v>0</v>
      </c>
      <c r="BS17" s="609">
        <f>IF(BS$7&gt;$N17,0,BR17*(1-'Interest Rate'!$B$17))</f>
        <v>0</v>
      </c>
      <c r="BT17" s="609">
        <f>IF(BT$7&gt;$N17,0,BS17*(1-'Interest Rate'!$B$17))</f>
        <v>0</v>
      </c>
      <c r="BU17" s="609">
        <f>IF(BU$7&gt;$N17,0,BT17*(1-'Interest Rate'!$B$17))</f>
        <v>0</v>
      </c>
      <c r="BV17" s="609">
        <f>IF(BV$7&gt;$N17,0,BU17*(1-'Interest Rate'!$B$17))</f>
        <v>0</v>
      </c>
      <c r="BW17" s="609">
        <f>IF(BW$7&gt;$N17,0,BV17*(1-'Interest Rate'!$B$17))</f>
        <v>0</v>
      </c>
      <c r="BX17" s="609">
        <f>IF(BX$7&gt;$N17,0,BW17*(1-'Interest Rate'!$B$17))</f>
        <v>0</v>
      </c>
      <c r="BY17" s="609">
        <f>IF(BY$7&gt;$N17,0,BX17*(1-'Interest Rate'!$B$17))</f>
        <v>0</v>
      </c>
      <c r="BZ17" s="609">
        <f>IF(BZ$7&gt;$N17,0,BY17*(1-'Interest Rate'!$B$17))</f>
        <v>0</v>
      </c>
      <c r="CA17" s="609">
        <f>IF(CA$7&gt;$N17,0,BZ17*(1-'Interest Rate'!$B$17))</f>
        <v>0</v>
      </c>
      <c r="CB17" s="609">
        <f>IF(CB$7&gt;$N17,0,CA17*(1-'Interest Rate'!$B$17))</f>
        <v>0</v>
      </c>
      <c r="CC17" s="609">
        <f>IF(CC$7&gt;$N17,0,CB17*(1-'Interest Rate'!$B$17))</f>
        <v>0</v>
      </c>
      <c r="CD17" s="609">
        <f>IF(CD$7&gt;$N17,0,CC17*(1-'Interest Rate'!$B$17))</f>
        <v>0</v>
      </c>
      <c r="CE17" s="609">
        <f>IF(CE$7&gt;$N17,0,CD17*(1-'Interest Rate'!$B$17))</f>
        <v>0</v>
      </c>
      <c r="CF17" s="609">
        <f>IF(CF$7&gt;$N17,0,CE17*(1-'Interest Rate'!$B$17))</f>
        <v>0</v>
      </c>
      <c r="CG17" s="609">
        <f>IF(CG$7&gt;$N17,0,CF17*(1-'Interest Rate'!$B$17))</f>
        <v>0</v>
      </c>
      <c r="CH17" s="609">
        <f>IF(CH$7&gt;$N17,0,CG17*(1-'Interest Rate'!$B$17))</f>
        <v>0</v>
      </c>
      <c r="CI17" s="609">
        <f>IF(CI$7&gt;$N17,0,CH17*(1-'Interest Rate'!$B$17))</f>
        <v>0</v>
      </c>
      <c r="CJ17" s="609">
        <f>IF(CJ$7&gt;$N17,0,CI17*(1-'Interest Rate'!$B$17))</f>
        <v>0</v>
      </c>
      <c r="CK17" s="609">
        <f>IF(CK$7&gt;$N17,0,CJ17*(1-'Interest Rate'!$B$17))</f>
        <v>0</v>
      </c>
      <c r="CL17" s="609">
        <f>IF(CL$7&gt;$N17,0,CK17*(1-'Interest Rate'!$B$17))</f>
        <v>0</v>
      </c>
      <c r="CM17" s="609">
        <f>IF(CM$7&gt;$N17,0,CL17*(1-'Interest Rate'!$B$17))</f>
        <v>0</v>
      </c>
      <c r="CN17" s="609">
        <f>IF(CN$7&gt;$N17,0,CM17*(1-'Interest Rate'!$B$17))</f>
        <v>0</v>
      </c>
      <c r="CO17" s="609">
        <f>IF(CO$7&gt;$N17,0,CN17*(1-'Interest Rate'!$B$17))</f>
        <v>0</v>
      </c>
      <c r="CP17" s="609">
        <f>IF(CP$7&gt;$N17,0,CO17*(1-'Interest Rate'!$B$17))</f>
        <v>0</v>
      </c>
      <c r="CQ17" s="609">
        <f>IF(CQ$7&gt;$N17,0,CP17*(1-'Interest Rate'!$B$17))</f>
        <v>0</v>
      </c>
      <c r="CR17" s="609">
        <f>IF(CR$7&gt;$N17,0,CQ17*(1-'Interest Rate'!$B$17))</f>
        <v>0</v>
      </c>
      <c r="CS17" s="609">
        <f>IF(CS$7&gt;$N17,0,CR17*(1-'Interest Rate'!$B$17))</f>
        <v>0</v>
      </c>
      <c r="CT17" s="609">
        <f>IF(CT$7&gt;$N17,0,CS17*(1-'Interest Rate'!$B$17))</f>
        <v>0</v>
      </c>
      <c r="CU17" s="609">
        <f>IF(CU$7&gt;$N17,0,CT17*(1-'Interest Rate'!$B$17))</f>
        <v>0</v>
      </c>
      <c r="CV17" s="609">
        <f>IF(CV$7&gt;$N17,0,CU17*(1-'Interest Rate'!$B$17))</f>
        <v>0</v>
      </c>
      <c r="CW17" s="609">
        <f>IF(CW$7&gt;$N17,0,CV17*(1-'Interest Rate'!$B$17))</f>
        <v>0</v>
      </c>
      <c r="CX17" s="609">
        <f>IF(CX$7&gt;$N17,0,CW17*(1-'Interest Rate'!$B$17))</f>
        <v>0</v>
      </c>
      <c r="CY17" s="609">
        <f>IF(CY$7&gt;$N17,0,CX17*(1-'Interest Rate'!$B$17))</f>
        <v>0</v>
      </c>
      <c r="CZ17" s="609">
        <f>IF(CZ$7&gt;$N17,0,CY17*(1-'Interest Rate'!$B$17))</f>
        <v>0</v>
      </c>
      <c r="DA17" s="609">
        <f>IF(DA$7&gt;$N17,0,CZ17*(1-'Interest Rate'!$B$17))</f>
        <v>0</v>
      </c>
      <c r="DB17" s="609">
        <f>IF(DB$7&gt;$N17,0,DA17*(1-'Interest Rate'!$B$17))</f>
        <v>0</v>
      </c>
      <c r="DC17" s="609">
        <f>IF(DC$7&gt;$N17,0,DB17*(1-'Interest Rate'!$B$17))</f>
        <v>0</v>
      </c>
      <c r="DD17" s="609">
        <f>IF(DD$7&gt;$N17,0,DC17*(1-'Interest Rate'!$B$17))</f>
        <v>0</v>
      </c>
      <c r="DE17" s="609">
        <f>IF(DE$7&gt;$N17,0,DD17*(1-'Interest Rate'!$B$17))</f>
        <v>0</v>
      </c>
      <c r="DF17" s="609">
        <f>IF(DF$7&gt;$N17,0,DE17*(1-'Interest Rate'!$B$17))</f>
        <v>0</v>
      </c>
      <c r="DG17" s="609">
        <f>IF(DG$7&gt;$N17,0,DF17*(1-'Interest Rate'!$B$17))</f>
        <v>0</v>
      </c>
      <c r="DH17" s="609">
        <f>IF(DH$7&gt;$N17,0,DG17*(1-'Interest Rate'!$B$17))</f>
        <v>0</v>
      </c>
      <c r="DI17" s="609">
        <f>IF(DI$7&gt;$N17,0,DH17*(1-'Interest Rate'!$B$17))</f>
        <v>0</v>
      </c>
      <c r="DJ17" s="609">
        <f>IF(DJ$7&gt;$N17,0,DI17*(1-'Interest Rate'!$B$17))</f>
        <v>0</v>
      </c>
      <c r="DK17" s="609">
        <f>IF(DK$7&gt;$N17,0,DJ17*(1-'Interest Rate'!$B$17))</f>
        <v>0</v>
      </c>
      <c r="DL17" s="609">
        <f>IF(DL$7&gt;$N17,0,DK17*(1-'Interest Rate'!$B$17))</f>
        <v>0</v>
      </c>
      <c r="DM17" s="609">
        <f>IF(DM$7&gt;$N17,0,DL17*(1-'Interest Rate'!$B$17))</f>
        <v>0</v>
      </c>
    </row>
    <row r="18" spans="1:117" ht="27.75" customHeight="1" x14ac:dyDescent="0.3">
      <c r="A18" s="600" t="str">
        <f>'EEM Data Entry'!A95</f>
        <v/>
      </c>
      <c r="B18" s="601" t="str">
        <f>'EEM Data Entry'!B95</f>
        <v/>
      </c>
      <c r="C18" s="602" t="str">
        <f>'EEM Data Entry'!F95</f>
        <v/>
      </c>
      <c r="D18" s="602">
        <v>0</v>
      </c>
      <c r="E18" s="602" t="e">
        <f t="shared" si="6"/>
        <v>#VALUE!</v>
      </c>
      <c r="F18" s="602">
        <f>('Savings Summary'!D17*'Savings Summary'!D$5)+('Savings Summary'!F17*'Savings Summary'!F$5)+('Savings Summary'!H17*'Savings Summary'!H$5)+('Savings Summary'!J17*'Savings Summary'!J$5)+('Savings Summary'!L17*'Savings Summary'!L$5)+('Savings Summary'!N17*'Savings Summary'!N$5)+('Savings Summary'!P17*'Savings Summary'!P$5)+('Savings Summary'!R17*'Savings Summary'!R$5)</f>
        <v>0</v>
      </c>
      <c r="G18" s="603">
        <f>'Savings Summary'!T17</f>
        <v>0</v>
      </c>
      <c r="H18" s="604" t="e">
        <f t="shared" si="7"/>
        <v>#VALUE!</v>
      </c>
      <c r="I18" s="600" t="e">
        <f t="shared" si="8"/>
        <v>#VALUE!</v>
      </c>
      <c r="J18" s="605" t="e">
        <f t="shared" si="3"/>
        <v>#NUM!</v>
      </c>
      <c r="K18" s="606" t="e">
        <f>PV('Interest Rate'!$B$17,Table6[[#This Row],[LIFETIME]],-Table6[[#This Row],[ANNUAL ENERGY COST SAVINGS]],Table6[[#This Row],[END-OF-LIFE]],0)-Table6[[#This Row],[CAPITAL INVESTMENT]]</f>
        <v>#VALUE!</v>
      </c>
      <c r="L18" s="600" t="str">
        <f>'EEM Data Entry'!C95</f>
        <v/>
      </c>
      <c r="M18" s="607" t="e">
        <f>Table6[[#This Row],[ANNUAL ENERGY COST SAVINGS]]/Table6[[#This Row],[CAPITAL INVESTMENT]]</f>
        <v>#VALUE!</v>
      </c>
      <c r="N18" s="804" t="str">
        <f>Table6[[#This Row],[LIFETIME]]</f>
        <v/>
      </c>
      <c r="O18" s="607"/>
      <c r="P18" s="607"/>
      <c r="Q18" s="608" t="str">
        <f t="shared" si="4"/>
        <v/>
      </c>
      <c r="R18" s="609">
        <f t="shared" si="5"/>
        <v>0</v>
      </c>
      <c r="S18" s="609">
        <f>IF(S$7&gt;$N18,0,R18*(1-'Interest Rate'!$B$17))</f>
        <v>0</v>
      </c>
      <c r="T18" s="609">
        <f>IF(T$7&gt;$N18,0,S18*(1-'Interest Rate'!$B$17))</f>
        <v>0</v>
      </c>
      <c r="U18" s="609">
        <f>IF(U$7&gt;$N18,0,T18*(1-'Interest Rate'!$B$17))</f>
        <v>0</v>
      </c>
      <c r="V18" s="609">
        <f>IF(V$7&gt;$N18,0,U18*(1-'Interest Rate'!$B$17))</f>
        <v>0</v>
      </c>
      <c r="W18" s="609">
        <f>IF(W$7&gt;$N18,0,V18*(1-'Interest Rate'!$B$17))</f>
        <v>0</v>
      </c>
      <c r="X18" s="609">
        <f>IF(X$7&gt;$N18,0,W18*(1-'Interest Rate'!$B$17))</f>
        <v>0</v>
      </c>
      <c r="Y18" s="609">
        <f>IF(Y$7&gt;$N18,0,X18*(1-'Interest Rate'!$B$17))</f>
        <v>0</v>
      </c>
      <c r="Z18" s="609">
        <f>IF(Z$7&gt;$N18,0,Y18*(1-'Interest Rate'!$B$17))</f>
        <v>0</v>
      </c>
      <c r="AA18" s="609">
        <f>IF(AA$7&gt;$N18,0,Z18*(1-'Interest Rate'!$B$17))</f>
        <v>0</v>
      </c>
      <c r="AB18" s="609">
        <f>IF(AB$7&gt;$N18,0,AA18*(1-'Interest Rate'!$B$17))</f>
        <v>0</v>
      </c>
      <c r="AC18" s="609">
        <f>IF(AC$7&gt;$N18,0,AB18*(1-'Interest Rate'!$B$17))</f>
        <v>0</v>
      </c>
      <c r="AD18" s="609">
        <f>IF(AD$7&gt;$N18,0,AC18*(1-'Interest Rate'!$B$17))</f>
        <v>0</v>
      </c>
      <c r="AE18" s="609">
        <f>IF(AE$7&gt;$N18,0,AD18*(1-'Interest Rate'!$B$17))</f>
        <v>0</v>
      </c>
      <c r="AF18" s="609">
        <f>IF(AF$7&gt;$N18,0,AE18*(1-'Interest Rate'!$B$17))</f>
        <v>0</v>
      </c>
      <c r="AG18" s="609">
        <f>IF(AG$7&gt;$N18,0,AF18*(1-'Interest Rate'!$B$17))</f>
        <v>0</v>
      </c>
      <c r="AH18" s="609">
        <f>IF(AH$7&gt;$N18,0,AG18*(1-'Interest Rate'!$B$17))</f>
        <v>0</v>
      </c>
      <c r="AI18" s="609">
        <f>IF(AI$7&gt;$N18,0,AH18*(1-'Interest Rate'!$B$17))</f>
        <v>0</v>
      </c>
      <c r="AJ18" s="609">
        <f>IF(AJ$7&gt;$N18,0,AI18*(1-'Interest Rate'!$B$17))</f>
        <v>0</v>
      </c>
      <c r="AK18" s="609">
        <f>IF(AK$7&gt;$N18,0,AJ18*(1-'Interest Rate'!$B$17))</f>
        <v>0</v>
      </c>
      <c r="AL18" s="609">
        <f>IF(AL$7&gt;$N18,0,AK18*(1-'Interest Rate'!$B$17))</f>
        <v>0</v>
      </c>
      <c r="AM18" s="609">
        <f>IF(AM$7&gt;$N18,0,AL18*(1-'Interest Rate'!$B$17))</f>
        <v>0</v>
      </c>
      <c r="AN18" s="609">
        <f>IF(AN$7&gt;$N18,0,AM18*(1-'Interest Rate'!$B$17))</f>
        <v>0</v>
      </c>
      <c r="AO18" s="609">
        <f>IF(AO$7&gt;$N18,0,AN18*(1-'Interest Rate'!$B$17))</f>
        <v>0</v>
      </c>
      <c r="AP18" s="609">
        <f>IF(AP$7&gt;$N18,0,AO18*(1-'Interest Rate'!$B$17))</f>
        <v>0</v>
      </c>
      <c r="AQ18" s="609">
        <f>IF(AQ$7&gt;$N18,0,AP18*(1-'Interest Rate'!$B$17))</f>
        <v>0</v>
      </c>
      <c r="AR18" s="609">
        <f>IF(AR$7&gt;$N18,0,AQ18*(1-'Interest Rate'!$B$17))</f>
        <v>0</v>
      </c>
      <c r="AS18" s="609">
        <f>IF(AS$7&gt;$N18,0,AR18*(1-'Interest Rate'!$B$17))</f>
        <v>0</v>
      </c>
      <c r="AT18" s="609">
        <f>IF(AT$7&gt;$N18,0,AS18*(1-'Interest Rate'!$B$17))</f>
        <v>0</v>
      </c>
      <c r="AU18" s="609">
        <f>IF(AU$7&gt;$N18,0,AT18*(1-'Interest Rate'!$B$17))</f>
        <v>0</v>
      </c>
      <c r="AV18" s="609">
        <f>IF(AV$7&gt;$N18,0,AU18*(1-'Interest Rate'!$B$17))</f>
        <v>0</v>
      </c>
      <c r="AW18" s="609">
        <f>IF(AW$7&gt;$N18,0,AV18*(1-'Interest Rate'!$B$17))</f>
        <v>0</v>
      </c>
      <c r="AX18" s="609">
        <f>IF(AX$7&gt;$N18,0,AW18*(1-'Interest Rate'!$B$17))</f>
        <v>0</v>
      </c>
      <c r="AY18" s="609">
        <f>IF(AY$7&gt;$N18,0,AX18*(1-'Interest Rate'!$B$17))</f>
        <v>0</v>
      </c>
      <c r="AZ18" s="609">
        <f>IF(AZ$7&gt;$N18,0,AY18*(1-'Interest Rate'!$B$17))</f>
        <v>0</v>
      </c>
      <c r="BA18" s="609">
        <f>IF(BA$7&gt;$N18,0,AZ18*(1-'Interest Rate'!$B$17))</f>
        <v>0</v>
      </c>
      <c r="BB18" s="609">
        <f>IF(BB$7&gt;$N18,0,BA18*(1-'Interest Rate'!$B$17))</f>
        <v>0</v>
      </c>
      <c r="BC18" s="609">
        <f>IF(BC$7&gt;$N18,0,BB18*(1-'Interest Rate'!$B$17))</f>
        <v>0</v>
      </c>
      <c r="BD18" s="609">
        <f>IF(BD$7&gt;$N18,0,BC18*(1-'Interest Rate'!$B$17))</f>
        <v>0</v>
      </c>
      <c r="BE18" s="609">
        <f>IF(BE$7&gt;$N18,0,BD18*(1-'Interest Rate'!$B$17))</f>
        <v>0</v>
      </c>
      <c r="BF18" s="609">
        <f>IF(BF$7&gt;$N18,0,BE18*(1-'Interest Rate'!$B$17))</f>
        <v>0</v>
      </c>
      <c r="BG18" s="609">
        <f>IF(BG$7&gt;$N18,0,BF18*(1-'Interest Rate'!$B$17))</f>
        <v>0</v>
      </c>
      <c r="BH18" s="609">
        <f>IF(BH$7&gt;$N18,0,BG18*(1-'Interest Rate'!$B$17))</f>
        <v>0</v>
      </c>
      <c r="BI18" s="609">
        <f>IF(BI$7&gt;$N18,0,BH18*(1-'Interest Rate'!$B$17))</f>
        <v>0</v>
      </c>
      <c r="BJ18" s="609">
        <f>IF(BJ$7&gt;$N18,0,BI18*(1-'Interest Rate'!$B$17))</f>
        <v>0</v>
      </c>
      <c r="BK18" s="609">
        <f>IF(BK$7&gt;$N18,0,BJ18*(1-'Interest Rate'!$B$17))</f>
        <v>0</v>
      </c>
      <c r="BL18" s="609">
        <f>IF(BL$7&gt;$N18,0,BK18*(1-'Interest Rate'!$B$17))</f>
        <v>0</v>
      </c>
      <c r="BM18" s="609">
        <f>IF(BM$7&gt;$N18,0,BL18*(1-'Interest Rate'!$B$17))</f>
        <v>0</v>
      </c>
      <c r="BN18" s="609">
        <f>IF(BN$7&gt;$N18,0,BM18*(1-'Interest Rate'!$B$17))</f>
        <v>0</v>
      </c>
      <c r="BO18" s="609">
        <f>IF(BO$7&gt;$N18,0,BN18*(1-'Interest Rate'!$B$17))</f>
        <v>0</v>
      </c>
      <c r="BP18" s="609">
        <f>IF(BP$7&gt;$N18,0,BO18*(1-'Interest Rate'!$B$17))</f>
        <v>0</v>
      </c>
      <c r="BQ18" s="609">
        <f>IF(BQ$7&gt;$N18,0,BP18*(1-'Interest Rate'!$B$17))</f>
        <v>0</v>
      </c>
      <c r="BR18" s="609">
        <f>IF(BR$7&gt;$N18,0,BQ18*(1-'Interest Rate'!$B$17))</f>
        <v>0</v>
      </c>
      <c r="BS18" s="609">
        <f>IF(BS$7&gt;$N18,0,BR18*(1-'Interest Rate'!$B$17))</f>
        <v>0</v>
      </c>
      <c r="BT18" s="609">
        <f>IF(BT$7&gt;$N18,0,BS18*(1-'Interest Rate'!$B$17))</f>
        <v>0</v>
      </c>
      <c r="BU18" s="609">
        <f>IF(BU$7&gt;$N18,0,BT18*(1-'Interest Rate'!$B$17))</f>
        <v>0</v>
      </c>
      <c r="BV18" s="609">
        <f>IF(BV$7&gt;$N18,0,BU18*(1-'Interest Rate'!$B$17))</f>
        <v>0</v>
      </c>
      <c r="BW18" s="609">
        <f>IF(BW$7&gt;$N18,0,BV18*(1-'Interest Rate'!$B$17))</f>
        <v>0</v>
      </c>
      <c r="BX18" s="609">
        <f>IF(BX$7&gt;$N18,0,BW18*(1-'Interest Rate'!$B$17))</f>
        <v>0</v>
      </c>
      <c r="BY18" s="609">
        <f>IF(BY$7&gt;$N18,0,BX18*(1-'Interest Rate'!$B$17))</f>
        <v>0</v>
      </c>
      <c r="BZ18" s="609">
        <f>IF(BZ$7&gt;$N18,0,BY18*(1-'Interest Rate'!$B$17))</f>
        <v>0</v>
      </c>
      <c r="CA18" s="609">
        <f>IF(CA$7&gt;$N18,0,BZ18*(1-'Interest Rate'!$B$17))</f>
        <v>0</v>
      </c>
      <c r="CB18" s="609">
        <f>IF(CB$7&gt;$N18,0,CA18*(1-'Interest Rate'!$B$17))</f>
        <v>0</v>
      </c>
      <c r="CC18" s="609">
        <f>IF(CC$7&gt;$N18,0,CB18*(1-'Interest Rate'!$B$17))</f>
        <v>0</v>
      </c>
      <c r="CD18" s="609">
        <f>IF(CD$7&gt;$N18,0,CC18*(1-'Interest Rate'!$B$17))</f>
        <v>0</v>
      </c>
      <c r="CE18" s="609">
        <f>IF(CE$7&gt;$N18,0,CD18*(1-'Interest Rate'!$B$17))</f>
        <v>0</v>
      </c>
      <c r="CF18" s="609">
        <f>IF(CF$7&gt;$N18,0,CE18*(1-'Interest Rate'!$B$17))</f>
        <v>0</v>
      </c>
      <c r="CG18" s="609">
        <f>IF(CG$7&gt;$N18,0,CF18*(1-'Interest Rate'!$B$17))</f>
        <v>0</v>
      </c>
      <c r="CH18" s="609">
        <f>IF(CH$7&gt;$N18,0,CG18*(1-'Interest Rate'!$B$17))</f>
        <v>0</v>
      </c>
      <c r="CI18" s="609">
        <f>IF(CI$7&gt;$N18,0,CH18*(1-'Interest Rate'!$B$17))</f>
        <v>0</v>
      </c>
      <c r="CJ18" s="609">
        <f>IF(CJ$7&gt;$N18,0,CI18*(1-'Interest Rate'!$B$17))</f>
        <v>0</v>
      </c>
      <c r="CK18" s="609">
        <f>IF(CK$7&gt;$N18,0,CJ18*(1-'Interest Rate'!$B$17))</f>
        <v>0</v>
      </c>
      <c r="CL18" s="609">
        <f>IF(CL$7&gt;$N18,0,CK18*(1-'Interest Rate'!$B$17))</f>
        <v>0</v>
      </c>
      <c r="CM18" s="609">
        <f>IF(CM$7&gt;$N18,0,CL18*(1-'Interest Rate'!$B$17))</f>
        <v>0</v>
      </c>
      <c r="CN18" s="609">
        <f>IF(CN$7&gt;$N18,0,CM18*(1-'Interest Rate'!$B$17))</f>
        <v>0</v>
      </c>
      <c r="CO18" s="609">
        <f>IF(CO$7&gt;$N18,0,CN18*(1-'Interest Rate'!$B$17))</f>
        <v>0</v>
      </c>
      <c r="CP18" s="609">
        <f>IF(CP$7&gt;$N18,0,CO18*(1-'Interest Rate'!$B$17))</f>
        <v>0</v>
      </c>
      <c r="CQ18" s="609">
        <f>IF(CQ$7&gt;$N18,0,CP18*(1-'Interest Rate'!$B$17))</f>
        <v>0</v>
      </c>
      <c r="CR18" s="609">
        <f>IF(CR$7&gt;$N18,0,CQ18*(1-'Interest Rate'!$B$17))</f>
        <v>0</v>
      </c>
      <c r="CS18" s="609">
        <f>IF(CS$7&gt;$N18,0,CR18*(1-'Interest Rate'!$B$17))</f>
        <v>0</v>
      </c>
      <c r="CT18" s="609">
        <f>IF(CT$7&gt;$N18,0,CS18*(1-'Interest Rate'!$B$17))</f>
        <v>0</v>
      </c>
      <c r="CU18" s="609">
        <f>IF(CU$7&gt;$N18,0,CT18*(1-'Interest Rate'!$B$17))</f>
        <v>0</v>
      </c>
      <c r="CV18" s="609">
        <f>IF(CV$7&gt;$N18,0,CU18*(1-'Interest Rate'!$B$17))</f>
        <v>0</v>
      </c>
      <c r="CW18" s="609">
        <f>IF(CW$7&gt;$N18,0,CV18*(1-'Interest Rate'!$B$17))</f>
        <v>0</v>
      </c>
      <c r="CX18" s="609">
        <f>IF(CX$7&gt;$N18,0,CW18*(1-'Interest Rate'!$B$17))</f>
        <v>0</v>
      </c>
      <c r="CY18" s="609">
        <f>IF(CY$7&gt;$N18,0,CX18*(1-'Interest Rate'!$B$17))</f>
        <v>0</v>
      </c>
      <c r="CZ18" s="609">
        <f>IF(CZ$7&gt;$N18,0,CY18*(1-'Interest Rate'!$B$17))</f>
        <v>0</v>
      </c>
      <c r="DA18" s="609">
        <f>IF(DA$7&gt;$N18,0,CZ18*(1-'Interest Rate'!$B$17))</f>
        <v>0</v>
      </c>
      <c r="DB18" s="609">
        <f>IF(DB$7&gt;$N18,0,DA18*(1-'Interest Rate'!$B$17))</f>
        <v>0</v>
      </c>
      <c r="DC18" s="609">
        <f>IF(DC$7&gt;$N18,0,DB18*(1-'Interest Rate'!$B$17))</f>
        <v>0</v>
      </c>
      <c r="DD18" s="609">
        <f>IF(DD$7&gt;$N18,0,DC18*(1-'Interest Rate'!$B$17))</f>
        <v>0</v>
      </c>
      <c r="DE18" s="609">
        <f>IF(DE$7&gt;$N18,0,DD18*(1-'Interest Rate'!$B$17))</f>
        <v>0</v>
      </c>
      <c r="DF18" s="609">
        <f>IF(DF$7&gt;$N18,0,DE18*(1-'Interest Rate'!$B$17))</f>
        <v>0</v>
      </c>
      <c r="DG18" s="609">
        <f>IF(DG$7&gt;$N18,0,DF18*(1-'Interest Rate'!$B$17))</f>
        <v>0</v>
      </c>
      <c r="DH18" s="609">
        <f>IF(DH$7&gt;$N18,0,DG18*(1-'Interest Rate'!$B$17))</f>
        <v>0</v>
      </c>
      <c r="DI18" s="609">
        <f>IF(DI$7&gt;$N18,0,DH18*(1-'Interest Rate'!$B$17))</f>
        <v>0</v>
      </c>
      <c r="DJ18" s="609">
        <f>IF(DJ$7&gt;$N18,0,DI18*(1-'Interest Rate'!$B$17))</f>
        <v>0</v>
      </c>
      <c r="DK18" s="609">
        <f>IF(DK$7&gt;$N18,0,DJ18*(1-'Interest Rate'!$B$17))</f>
        <v>0</v>
      </c>
      <c r="DL18" s="609">
        <f>IF(DL$7&gt;$N18,0,DK18*(1-'Interest Rate'!$B$17))</f>
        <v>0</v>
      </c>
      <c r="DM18" s="609">
        <f>IF(DM$7&gt;$N18,0,DL18*(1-'Interest Rate'!$B$17))</f>
        <v>0</v>
      </c>
    </row>
    <row r="19" spans="1:117" ht="27.75" customHeight="1" x14ac:dyDescent="0.3">
      <c r="A19" s="600" t="str">
        <f>'EEM Data Entry'!A96</f>
        <v/>
      </c>
      <c r="B19" s="601" t="str">
        <f>'EEM Data Entry'!B96</f>
        <v/>
      </c>
      <c r="C19" s="602" t="str">
        <f>'EEM Data Entry'!F96</f>
        <v/>
      </c>
      <c r="D19" s="602">
        <v>0</v>
      </c>
      <c r="E19" s="602" t="e">
        <f t="shared" si="6"/>
        <v>#VALUE!</v>
      </c>
      <c r="F19" s="602">
        <f>('Savings Summary'!D18*'Savings Summary'!D$5)+('Savings Summary'!F18*'Savings Summary'!F$5)+('Savings Summary'!H18*'Savings Summary'!H$5)+('Savings Summary'!J18*'Savings Summary'!J$5)+('Savings Summary'!L18*'Savings Summary'!L$5)+('Savings Summary'!N18*'Savings Summary'!N$5)+('Savings Summary'!P18*'Savings Summary'!P$5)+('Savings Summary'!R18*'Savings Summary'!R$5)</f>
        <v>0</v>
      </c>
      <c r="G19" s="603">
        <f>'Savings Summary'!T18</f>
        <v>0</v>
      </c>
      <c r="H19" s="604" t="e">
        <f t="shared" si="7"/>
        <v>#VALUE!</v>
      </c>
      <c r="I19" s="600" t="e">
        <f t="shared" si="8"/>
        <v>#VALUE!</v>
      </c>
      <c r="J19" s="605" t="e">
        <f t="shared" si="3"/>
        <v>#NUM!</v>
      </c>
      <c r="K19" s="606" t="e">
        <f>PV('Interest Rate'!$B$17,Table6[[#This Row],[LIFETIME]],-Table6[[#This Row],[ANNUAL ENERGY COST SAVINGS]],Table6[[#This Row],[END-OF-LIFE]],0)-Table6[[#This Row],[CAPITAL INVESTMENT]]</f>
        <v>#VALUE!</v>
      </c>
      <c r="L19" s="600" t="str">
        <f>'EEM Data Entry'!C96</f>
        <v/>
      </c>
      <c r="M19" s="607" t="e">
        <f>Table6[[#This Row],[ANNUAL ENERGY COST SAVINGS]]/Table6[[#This Row],[CAPITAL INVESTMENT]]</f>
        <v>#VALUE!</v>
      </c>
      <c r="N19" s="804" t="str">
        <f>Table6[[#This Row],[LIFETIME]]</f>
        <v/>
      </c>
      <c r="O19" s="607"/>
      <c r="P19" s="607"/>
      <c r="Q19" s="608" t="str">
        <f t="shared" si="4"/>
        <v/>
      </c>
      <c r="R19" s="609">
        <f t="shared" si="5"/>
        <v>0</v>
      </c>
      <c r="S19" s="609">
        <f>IF(S$7&gt;$N19,0,R19*(1-'Interest Rate'!$B$17))</f>
        <v>0</v>
      </c>
      <c r="T19" s="609">
        <f>IF(T$7&gt;$N19,0,S19*(1-'Interest Rate'!$B$17))</f>
        <v>0</v>
      </c>
      <c r="U19" s="609">
        <f>IF(U$7&gt;$N19,0,T19*(1-'Interest Rate'!$B$17))</f>
        <v>0</v>
      </c>
      <c r="V19" s="609">
        <f>IF(V$7&gt;$N19,0,U19*(1-'Interest Rate'!$B$17))</f>
        <v>0</v>
      </c>
      <c r="W19" s="609">
        <f>IF(W$7&gt;$N19,0,V19*(1-'Interest Rate'!$B$17))</f>
        <v>0</v>
      </c>
      <c r="X19" s="609">
        <f>IF(X$7&gt;$N19,0,W19*(1-'Interest Rate'!$B$17))</f>
        <v>0</v>
      </c>
      <c r="Y19" s="609">
        <f>IF(Y$7&gt;$N19,0,X19*(1-'Interest Rate'!$B$17))</f>
        <v>0</v>
      </c>
      <c r="Z19" s="609">
        <f>IF(Z$7&gt;$N19,0,Y19*(1-'Interest Rate'!$B$17))</f>
        <v>0</v>
      </c>
      <c r="AA19" s="609">
        <f>IF(AA$7&gt;$N19,0,Z19*(1-'Interest Rate'!$B$17))</f>
        <v>0</v>
      </c>
      <c r="AB19" s="609">
        <f>IF(AB$7&gt;$N19,0,AA19*(1-'Interest Rate'!$B$17))</f>
        <v>0</v>
      </c>
      <c r="AC19" s="609">
        <f>IF(AC$7&gt;$N19,0,AB19*(1-'Interest Rate'!$B$17))</f>
        <v>0</v>
      </c>
      <c r="AD19" s="609">
        <f>IF(AD$7&gt;$N19,0,AC19*(1-'Interest Rate'!$B$17))</f>
        <v>0</v>
      </c>
      <c r="AE19" s="609">
        <f>IF(AE$7&gt;$N19,0,AD19*(1-'Interest Rate'!$B$17))</f>
        <v>0</v>
      </c>
      <c r="AF19" s="609">
        <f>IF(AF$7&gt;$N19,0,AE19*(1-'Interest Rate'!$B$17))</f>
        <v>0</v>
      </c>
      <c r="AG19" s="609">
        <f>IF(AG$7&gt;$N19,0,AF19*(1-'Interest Rate'!$B$17))</f>
        <v>0</v>
      </c>
      <c r="AH19" s="609">
        <f>IF(AH$7&gt;$N19,0,AG19*(1-'Interest Rate'!$B$17))</f>
        <v>0</v>
      </c>
      <c r="AI19" s="609">
        <f>IF(AI$7&gt;$N19,0,AH19*(1-'Interest Rate'!$B$17))</f>
        <v>0</v>
      </c>
      <c r="AJ19" s="609">
        <f>IF(AJ$7&gt;$N19,0,AI19*(1-'Interest Rate'!$B$17))</f>
        <v>0</v>
      </c>
      <c r="AK19" s="609">
        <f>IF(AK$7&gt;$N19,0,AJ19*(1-'Interest Rate'!$B$17))</f>
        <v>0</v>
      </c>
      <c r="AL19" s="609">
        <f>IF(AL$7&gt;$N19,0,AK19*(1-'Interest Rate'!$B$17))</f>
        <v>0</v>
      </c>
      <c r="AM19" s="609">
        <f>IF(AM$7&gt;$N19,0,AL19*(1-'Interest Rate'!$B$17))</f>
        <v>0</v>
      </c>
      <c r="AN19" s="609">
        <f>IF(AN$7&gt;$N19,0,AM19*(1-'Interest Rate'!$B$17))</f>
        <v>0</v>
      </c>
      <c r="AO19" s="609">
        <f>IF(AO$7&gt;$N19,0,AN19*(1-'Interest Rate'!$B$17))</f>
        <v>0</v>
      </c>
      <c r="AP19" s="609">
        <f>IF(AP$7&gt;$N19,0,AO19*(1-'Interest Rate'!$B$17))</f>
        <v>0</v>
      </c>
      <c r="AQ19" s="609">
        <f>IF(AQ$7&gt;$N19,0,AP19*(1-'Interest Rate'!$B$17))</f>
        <v>0</v>
      </c>
      <c r="AR19" s="609">
        <f>IF(AR$7&gt;$N19,0,AQ19*(1-'Interest Rate'!$B$17))</f>
        <v>0</v>
      </c>
      <c r="AS19" s="609">
        <f>IF(AS$7&gt;$N19,0,AR19*(1-'Interest Rate'!$B$17))</f>
        <v>0</v>
      </c>
      <c r="AT19" s="609">
        <f>IF(AT$7&gt;$N19,0,AS19*(1-'Interest Rate'!$B$17))</f>
        <v>0</v>
      </c>
      <c r="AU19" s="609">
        <f>IF(AU$7&gt;$N19,0,AT19*(1-'Interest Rate'!$B$17))</f>
        <v>0</v>
      </c>
      <c r="AV19" s="609">
        <f>IF(AV$7&gt;$N19,0,AU19*(1-'Interest Rate'!$B$17))</f>
        <v>0</v>
      </c>
      <c r="AW19" s="609">
        <f>IF(AW$7&gt;$N19,0,AV19*(1-'Interest Rate'!$B$17))</f>
        <v>0</v>
      </c>
      <c r="AX19" s="609">
        <f>IF(AX$7&gt;$N19,0,AW19*(1-'Interest Rate'!$B$17))</f>
        <v>0</v>
      </c>
      <c r="AY19" s="609">
        <f>IF(AY$7&gt;$N19,0,AX19*(1-'Interest Rate'!$B$17))</f>
        <v>0</v>
      </c>
      <c r="AZ19" s="609">
        <f>IF(AZ$7&gt;$N19,0,AY19*(1-'Interest Rate'!$B$17))</f>
        <v>0</v>
      </c>
      <c r="BA19" s="609">
        <f>IF(BA$7&gt;$N19,0,AZ19*(1-'Interest Rate'!$B$17))</f>
        <v>0</v>
      </c>
      <c r="BB19" s="609">
        <f>IF(BB$7&gt;$N19,0,BA19*(1-'Interest Rate'!$B$17))</f>
        <v>0</v>
      </c>
      <c r="BC19" s="609">
        <f>IF(BC$7&gt;$N19,0,BB19*(1-'Interest Rate'!$B$17))</f>
        <v>0</v>
      </c>
      <c r="BD19" s="609">
        <f>IF(BD$7&gt;$N19,0,BC19*(1-'Interest Rate'!$B$17))</f>
        <v>0</v>
      </c>
      <c r="BE19" s="609">
        <f>IF(BE$7&gt;$N19,0,BD19*(1-'Interest Rate'!$B$17))</f>
        <v>0</v>
      </c>
      <c r="BF19" s="609">
        <f>IF(BF$7&gt;$N19,0,BE19*(1-'Interest Rate'!$B$17))</f>
        <v>0</v>
      </c>
      <c r="BG19" s="609">
        <f>IF(BG$7&gt;$N19,0,BF19*(1-'Interest Rate'!$B$17))</f>
        <v>0</v>
      </c>
      <c r="BH19" s="609">
        <f>IF(BH$7&gt;$N19,0,BG19*(1-'Interest Rate'!$B$17))</f>
        <v>0</v>
      </c>
      <c r="BI19" s="609">
        <f>IF(BI$7&gt;$N19,0,BH19*(1-'Interest Rate'!$B$17))</f>
        <v>0</v>
      </c>
      <c r="BJ19" s="609">
        <f>IF(BJ$7&gt;$N19,0,BI19*(1-'Interest Rate'!$B$17))</f>
        <v>0</v>
      </c>
      <c r="BK19" s="609">
        <f>IF(BK$7&gt;$N19,0,BJ19*(1-'Interest Rate'!$B$17))</f>
        <v>0</v>
      </c>
      <c r="BL19" s="609">
        <f>IF(BL$7&gt;$N19,0,BK19*(1-'Interest Rate'!$B$17))</f>
        <v>0</v>
      </c>
      <c r="BM19" s="609">
        <f>IF(BM$7&gt;$N19,0,BL19*(1-'Interest Rate'!$B$17))</f>
        <v>0</v>
      </c>
      <c r="BN19" s="609">
        <f>IF(BN$7&gt;$N19,0,BM19*(1-'Interest Rate'!$B$17))</f>
        <v>0</v>
      </c>
      <c r="BO19" s="609">
        <f>IF(BO$7&gt;$N19,0,BN19*(1-'Interest Rate'!$B$17))</f>
        <v>0</v>
      </c>
      <c r="BP19" s="609">
        <f>IF(BP$7&gt;$N19,0,BO19*(1-'Interest Rate'!$B$17))</f>
        <v>0</v>
      </c>
      <c r="BQ19" s="609">
        <f>IF(BQ$7&gt;$N19,0,BP19*(1-'Interest Rate'!$B$17))</f>
        <v>0</v>
      </c>
      <c r="BR19" s="609">
        <f>IF(BR$7&gt;$N19,0,BQ19*(1-'Interest Rate'!$B$17))</f>
        <v>0</v>
      </c>
      <c r="BS19" s="609">
        <f>IF(BS$7&gt;$N19,0,BR19*(1-'Interest Rate'!$B$17))</f>
        <v>0</v>
      </c>
      <c r="BT19" s="609">
        <f>IF(BT$7&gt;$N19,0,BS19*(1-'Interest Rate'!$B$17))</f>
        <v>0</v>
      </c>
      <c r="BU19" s="609">
        <f>IF(BU$7&gt;$N19,0,BT19*(1-'Interest Rate'!$B$17))</f>
        <v>0</v>
      </c>
      <c r="BV19" s="609">
        <f>IF(BV$7&gt;$N19,0,BU19*(1-'Interest Rate'!$B$17))</f>
        <v>0</v>
      </c>
      <c r="BW19" s="609">
        <f>IF(BW$7&gt;$N19,0,BV19*(1-'Interest Rate'!$B$17))</f>
        <v>0</v>
      </c>
      <c r="BX19" s="609">
        <f>IF(BX$7&gt;$N19,0,BW19*(1-'Interest Rate'!$B$17))</f>
        <v>0</v>
      </c>
      <c r="BY19" s="609">
        <f>IF(BY$7&gt;$N19,0,BX19*(1-'Interest Rate'!$B$17))</f>
        <v>0</v>
      </c>
      <c r="BZ19" s="609">
        <f>IF(BZ$7&gt;$N19,0,BY19*(1-'Interest Rate'!$B$17))</f>
        <v>0</v>
      </c>
      <c r="CA19" s="609">
        <f>IF(CA$7&gt;$N19,0,BZ19*(1-'Interest Rate'!$B$17))</f>
        <v>0</v>
      </c>
      <c r="CB19" s="609">
        <f>IF(CB$7&gt;$N19,0,CA19*(1-'Interest Rate'!$B$17))</f>
        <v>0</v>
      </c>
      <c r="CC19" s="609">
        <f>IF(CC$7&gt;$N19,0,CB19*(1-'Interest Rate'!$B$17))</f>
        <v>0</v>
      </c>
      <c r="CD19" s="609">
        <f>IF(CD$7&gt;$N19,0,CC19*(1-'Interest Rate'!$B$17))</f>
        <v>0</v>
      </c>
      <c r="CE19" s="609">
        <f>IF(CE$7&gt;$N19,0,CD19*(1-'Interest Rate'!$B$17))</f>
        <v>0</v>
      </c>
      <c r="CF19" s="609">
        <f>IF(CF$7&gt;$N19,0,CE19*(1-'Interest Rate'!$B$17))</f>
        <v>0</v>
      </c>
      <c r="CG19" s="609">
        <f>IF(CG$7&gt;$N19,0,CF19*(1-'Interest Rate'!$B$17))</f>
        <v>0</v>
      </c>
      <c r="CH19" s="609">
        <f>IF(CH$7&gt;$N19,0,CG19*(1-'Interest Rate'!$B$17))</f>
        <v>0</v>
      </c>
      <c r="CI19" s="609">
        <f>IF(CI$7&gt;$N19,0,CH19*(1-'Interest Rate'!$B$17))</f>
        <v>0</v>
      </c>
      <c r="CJ19" s="609">
        <f>IF(CJ$7&gt;$N19,0,CI19*(1-'Interest Rate'!$B$17))</f>
        <v>0</v>
      </c>
      <c r="CK19" s="609">
        <f>IF(CK$7&gt;$N19,0,CJ19*(1-'Interest Rate'!$B$17))</f>
        <v>0</v>
      </c>
      <c r="CL19" s="609">
        <f>IF(CL$7&gt;$N19,0,CK19*(1-'Interest Rate'!$B$17))</f>
        <v>0</v>
      </c>
      <c r="CM19" s="609">
        <f>IF(CM$7&gt;$N19,0,CL19*(1-'Interest Rate'!$B$17))</f>
        <v>0</v>
      </c>
      <c r="CN19" s="609">
        <f>IF(CN$7&gt;$N19,0,CM19*(1-'Interest Rate'!$B$17))</f>
        <v>0</v>
      </c>
      <c r="CO19" s="609">
        <f>IF(CO$7&gt;$N19,0,CN19*(1-'Interest Rate'!$B$17))</f>
        <v>0</v>
      </c>
      <c r="CP19" s="609">
        <f>IF(CP$7&gt;$N19,0,CO19*(1-'Interest Rate'!$B$17))</f>
        <v>0</v>
      </c>
      <c r="CQ19" s="609">
        <f>IF(CQ$7&gt;$N19,0,CP19*(1-'Interest Rate'!$B$17))</f>
        <v>0</v>
      </c>
      <c r="CR19" s="609">
        <f>IF(CR$7&gt;$N19,0,CQ19*(1-'Interest Rate'!$B$17))</f>
        <v>0</v>
      </c>
      <c r="CS19" s="609">
        <f>IF(CS$7&gt;$N19,0,CR19*(1-'Interest Rate'!$B$17))</f>
        <v>0</v>
      </c>
      <c r="CT19" s="609">
        <f>IF(CT$7&gt;$N19,0,CS19*(1-'Interest Rate'!$B$17))</f>
        <v>0</v>
      </c>
      <c r="CU19" s="609">
        <f>IF(CU$7&gt;$N19,0,CT19*(1-'Interest Rate'!$B$17))</f>
        <v>0</v>
      </c>
      <c r="CV19" s="609">
        <f>IF(CV$7&gt;$N19,0,CU19*(1-'Interest Rate'!$B$17))</f>
        <v>0</v>
      </c>
      <c r="CW19" s="609">
        <f>IF(CW$7&gt;$N19,0,CV19*(1-'Interest Rate'!$B$17))</f>
        <v>0</v>
      </c>
      <c r="CX19" s="609">
        <f>IF(CX$7&gt;$N19,0,CW19*(1-'Interest Rate'!$B$17))</f>
        <v>0</v>
      </c>
      <c r="CY19" s="609">
        <f>IF(CY$7&gt;$N19,0,CX19*(1-'Interest Rate'!$B$17))</f>
        <v>0</v>
      </c>
      <c r="CZ19" s="609">
        <f>IF(CZ$7&gt;$N19,0,CY19*(1-'Interest Rate'!$B$17))</f>
        <v>0</v>
      </c>
      <c r="DA19" s="609">
        <f>IF(DA$7&gt;$N19,0,CZ19*(1-'Interest Rate'!$B$17))</f>
        <v>0</v>
      </c>
      <c r="DB19" s="609">
        <f>IF(DB$7&gt;$N19,0,DA19*(1-'Interest Rate'!$B$17))</f>
        <v>0</v>
      </c>
      <c r="DC19" s="609">
        <f>IF(DC$7&gt;$N19,0,DB19*(1-'Interest Rate'!$B$17))</f>
        <v>0</v>
      </c>
      <c r="DD19" s="609">
        <f>IF(DD$7&gt;$N19,0,DC19*(1-'Interest Rate'!$B$17))</f>
        <v>0</v>
      </c>
      <c r="DE19" s="609">
        <f>IF(DE$7&gt;$N19,0,DD19*(1-'Interest Rate'!$B$17))</f>
        <v>0</v>
      </c>
      <c r="DF19" s="609">
        <f>IF(DF$7&gt;$N19,0,DE19*(1-'Interest Rate'!$B$17))</f>
        <v>0</v>
      </c>
      <c r="DG19" s="609">
        <f>IF(DG$7&gt;$N19,0,DF19*(1-'Interest Rate'!$B$17))</f>
        <v>0</v>
      </c>
      <c r="DH19" s="609">
        <f>IF(DH$7&gt;$N19,0,DG19*(1-'Interest Rate'!$B$17))</f>
        <v>0</v>
      </c>
      <c r="DI19" s="609">
        <f>IF(DI$7&gt;$N19,0,DH19*(1-'Interest Rate'!$B$17))</f>
        <v>0</v>
      </c>
      <c r="DJ19" s="609">
        <f>IF(DJ$7&gt;$N19,0,DI19*(1-'Interest Rate'!$B$17))</f>
        <v>0</v>
      </c>
      <c r="DK19" s="609">
        <f>IF(DK$7&gt;$N19,0,DJ19*(1-'Interest Rate'!$B$17))</f>
        <v>0</v>
      </c>
      <c r="DL19" s="609">
        <f>IF(DL$7&gt;$N19,0,DK19*(1-'Interest Rate'!$B$17))</f>
        <v>0</v>
      </c>
      <c r="DM19" s="609">
        <f>IF(DM$7&gt;$N19,0,DL19*(1-'Interest Rate'!$B$17))</f>
        <v>0</v>
      </c>
    </row>
    <row r="20" spans="1:117" ht="27.75" customHeight="1" x14ac:dyDescent="0.3">
      <c r="A20" s="600" t="str">
        <f>'EEM Data Entry'!A97</f>
        <v/>
      </c>
      <c r="B20" s="601" t="str">
        <f>'EEM Data Entry'!B97</f>
        <v/>
      </c>
      <c r="C20" s="602" t="str">
        <f>'EEM Data Entry'!F97</f>
        <v/>
      </c>
      <c r="D20" s="602">
        <v>0</v>
      </c>
      <c r="E20" s="602" t="e">
        <f t="shared" si="6"/>
        <v>#VALUE!</v>
      </c>
      <c r="F20" s="602">
        <f>('Savings Summary'!D19*'Savings Summary'!D$5)+('Savings Summary'!F19*'Savings Summary'!F$5)+('Savings Summary'!H19*'Savings Summary'!H$5)+('Savings Summary'!J19*'Savings Summary'!J$5)+('Savings Summary'!L19*'Savings Summary'!L$5)+('Savings Summary'!N19*'Savings Summary'!N$5)+('Savings Summary'!P19*'Savings Summary'!P$5)+('Savings Summary'!R19*'Savings Summary'!R$5)</f>
        <v>0</v>
      </c>
      <c r="G20" s="603">
        <f>'Savings Summary'!T19</f>
        <v>0</v>
      </c>
      <c r="H20" s="604" t="e">
        <f t="shared" si="7"/>
        <v>#VALUE!</v>
      </c>
      <c r="I20" s="600" t="e">
        <f t="shared" si="8"/>
        <v>#VALUE!</v>
      </c>
      <c r="J20" s="605" t="e">
        <f t="shared" si="3"/>
        <v>#NUM!</v>
      </c>
      <c r="K20" s="606" t="e">
        <f>PV('Interest Rate'!$B$17,Table6[[#This Row],[LIFETIME]],-Table6[[#This Row],[ANNUAL ENERGY COST SAVINGS]],Table6[[#This Row],[END-OF-LIFE]],0)-Table6[[#This Row],[CAPITAL INVESTMENT]]</f>
        <v>#VALUE!</v>
      </c>
      <c r="L20" s="600" t="str">
        <f>'EEM Data Entry'!C97</f>
        <v/>
      </c>
      <c r="M20" s="607" t="e">
        <f>Table6[[#This Row],[ANNUAL ENERGY COST SAVINGS]]/Table6[[#This Row],[CAPITAL INVESTMENT]]</f>
        <v>#VALUE!</v>
      </c>
      <c r="N20" s="804" t="str">
        <f>Table6[[#This Row],[LIFETIME]]</f>
        <v/>
      </c>
      <c r="O20" s="607"/>
      <c r="P20" s="607"/>
      <c r="Q20" s="608" t="str">
        <f t="shared" si="4"/>
        <v/>
      </c>
      <c r="R20" s="609">
        <f t="shared" si="5"/>
        <v>0</v>
      </c>
      <c r="S20" s="609">
        <f>IF(S$7&gt;$N20,0,R20*(1-'Interest Rate'!$B$17))</f>
        <v>0</v>
      </c>
      <c r="T20" s="609">
        <f>IF(T$7&gt;$N20,0,S20*(1-'Interest Rate'!$B$17))</f>
        <v>0</v>
      </c>
      <c r="U20" s="609">
        <f>IF(U$7&gt;$N20,0,T20*(1-'Interest Rate'!$B$17))</f>
        <v>0</v>
      </c>
      <c r="V20" s="609">
        <f>IF(V$7&gt;$N20,0,U20*(1-'Interest Rate'!$B$17))</f>
        <v>0</v>
      </c>
      <c r="W20" s="609">
        <f>IF(W$7&gt;$N20,0,V20*(1-'Interest Rate'!$B$17))</f>
        <v>0</v>
      </c>
      <c r="X20" s="609">
        <f>IF(X$7&gt;$N20,0,W20*(1-'Interest Rate'!$B$17))</f>
        <v>0</v>
      </c>
      <c r="Y20" s="609">
        <f>IF(Y$7&gt;$N20,0,X20*(1-'Interest Rate'!$B$17))</f>
        <v>0</v>
      </c>
      <c r="Z20" s="609">
        <f>IF(Z$7&gt;$N20,0,Y20*(1-'Interest Rate'!$B$17))</f>
        <v>0</v>
      </c>
      <c r="AA20" s="609">
        <f>IF(AA$7&gt;$N20,0,Z20*(1-'Interest Rate'!$B$17))</f>
        <v>0</v>
      </c>
      <c r="AB20" s="609">
        <f>IF(AB$7&gt;$N20,0,AA20*(1-'Interest Rate'!$B$17))</f>
        <v>0</v>
      </c>
      <c r="AC20" s="609">
        <f>IF(AC$7&gt;$N20,0,AB20*(1-'Interest Rate'!$B$17))</f>
        <v>0</v>
      </c>
      <c r="AD20" s="609">
        <f>IF(AD$7&gt;$N20,0,AC20*(1-'Interest Rate'!$B$17))</f>
        <v>0</v>
      </c>
      <c r="AE20" s="609">
        <f>IF(AE$7&gt;$N20,0,AD20*(1-'Interest Rate'!$B$17))</f>
        <v>0</v>
      </c>
      <c r="AF20" s="609">
        <f>IF(AF$7&gt;$N20,0,AE20*(1-'Interest Rate'!$B$17))</f>
        <v>0</v>
      </c>
      <c r="AG20" s="609">
        <f>IF(AG$7&gt;$N20,0,AF20*(1-'Interest Rate'!$B$17))</f>
        <v>0</v>
      </c>
      <c r="AH20" s="609">
        <f>IF(AH$7&gt;$N20,0,AG20*(1-'Interest Rate'!$B$17))</f>
        <v>0</v>
      </c>
      <c r="AI20" s="609">
        <f>IF(AI$7&gt;$N20,0,AH20*(1-'Interest Rate'!$B$17))</f>
        <v>0</v>
      </c>
      <c r="AJ20" s="609">
        <f>IF(AJ$7&gt;$N20,0,AI20*(1-'Interest Rate'!$B$17))</f>
        <v>0</v>
      </c>
      <c r="AK20" s="609">
        <f>IF(AK$7&gt;$N20,0,AJ20*(1-'Interest Rate'!$B$17))</f>
        <v>0</v>
      </c>
      <c r="AL20" s="609">
        <f>IF(AL$7&gt;$N20,0,AK20*(1-'Interest Rate'!$B$17))</f>
        <v>0</v>
      </c>
      <c r="AM20" s="609">
        <f>IF(AM$7&gt;$N20,0,AL20*(1-'Interest Rate'!$B$17))</f>
        <v>0</v>
      </c>
      <c r="AN20" s="609">
        <f>IF(AN$7&gt;$N20,0,AM20*(1-'Interest Rate'!$B$17))</f>
        <v>0</v>
      </c>
      <c r="AO20" s="609">
        <f>IF(AO$7&gt;$N20,0,AN20*(1-'Interest Rate'!$B$17))</f>
        <v>0</v>
      </c>
      <c r="AP20" s="609">
        <f>IF(AP$7&gt;$N20,0,AO20*(1-'Interest Rate'!$B$17))</f>
        <v>0</v>
      </c>
      <c r="AQ20" s="609">
        <f>IF(AQ$7&gt;$N20,0,AP20*(1-'Interest Rate'!$B$17))</f>
        <v>0</v>
      </c>
      <c r="AR20" s="609">
        <f>IF(AR$7&gt;$N20,0,AQ20*(1-'Interest Rate'!$B$17))</f>
        <v>0</v>
      </c>
      <c r="AS20" s="609">
        <f>IF(AS$7&gt;$N20,0,AR20*(1-'Interest Rate'!$B$17))</f>
        <v>0</v>
      </c>
      <c r="AT20" s="609">
        <f>IF(AT$7&gt;$N20,0,AS20*(1-'Interest Rate'!$B$17))</f>
        <v>0</v>
      </c>
      <c r="AU20" s="609">
        <f>IF(AU$7&gt;$N20,0,AT20*(1-'Interest Rate'!$B$17))</f>
        <v>0</v>
      </c>
      <c r="AV20" s="609">
        <f>IF(AV$7&gt;$N20,0,AU20*(1-'Interest Rate'!$B$17))</f>
        <v>0</v>
      </c>
      <c r="AW20" s="609">
        <f>IF(AW$7&gt;$N20,0,AV20*(1-'Interest Rate'!$B$17))</f>
        <v>0</v>
      </c>
      <c r="AX20" s="609">
        <f>IF(AX$7&gt;$N20,0,AW20*(1-'Interest Rate'!$B$17))</f>
        <v>0</v>
      </c>
      <c r="AY20" s="609">
        <f>IF(AY$7&gt;$N20,0,AX20*(1-'Interest Rate'!$B$17))</f>
        <v>0</v>
      </c>
      <c r="AZ20" s="609">
        <f>IF(AZ$7&gt;$N20,0,AY20*(1-'Interest Rate'!$B$17))</f>
        <v>0</v>
      </c>
      <c r="BA20" s="609">
        <f>IF(BA$7&gt;$N20,0,AZ20*(1-'Interest Rate'!$B$17))</f>
        <v>0</v>
      </c>
      <c r="BB20" s="609">
        <f>IF(BB$7&gt;$N20,0,BA20*(1-'Interest Rate'!$B$17))</f>
        <v>0</v>
      </c>
      <c r="BC20" s="609">
        <f>IF(BC$7&gt;$N20,0,BB20*(1-'Interest Rate'!$B$17))</f>
        <v>0</v>
      </c>
      <c r="BD20" s="609">
        <f>IF(BD$7&gt;$N20,0,BC20*(1-'Interest Rate'!$B$17))</f>
        <v>0</v>
      </c>
      <c r="BE20" s="609">
        <f>IF(BE$7&gt;$N20,0,BD20*(1-'Interest Rate'!$B$17))</f>
        <v>0</v>
      </c>
      <c r="BF20" s="609">
        <f>IF(BF$7&gt;$N20,0,BE20*(1-'Interest Rate'!$B$17))</f>
        <v>0</v>
      </c>
      <c r="BG20" s="609">
        <f>IF(BG$7&gt;$N20,0,BF20*(1-'Interest Rate'!$B$17))</f>
        <v>0</v>
      </c>
      <c r="BH20" s="609">
        <f>IF(BH$7&gt;$N20,0,BG20*(1-'Interest Rate'!$B$17))</f>
        <v>0</v>
      </c>
      <c r="BI20" s="609">
        <f>IF(BI$7&gt;$N20,0,BH20*(1-'Interest Rate'!$B$17))</f>
        <v>0</v>
      </c>
      <c r="BJ20" s="609">
        <f>IF(BJ$7&gt;$N20,0,BI20*(1-'Interest Rate'!$B$17))</f>
        <v>0</v>
      </c>
      <c r="BK20" s="609">
        <f>IF(BK$7&gt;$N20,0,BJ20*(1-'Interest Rate'!$B$17))</f>
        <v>0</v>
      </c>
      <c r="BL20" s="609">
        <f>IF(BL$7&gt;$N20,0,BK20*(1-'Interest Rate'!$B$17))</f>
        <v>0</v>
      </c>
      <c r="BM20" s="609">
        <f>IF(BM$7&gt;$N20,0,BL20*(1-'Interest Rate'!$B$17))</f>
        <v>0</v>
      </c>
      <c r="BN20" s="609">
        <f>IF(BN$7&gt;$N20,0,BM20*(1-'Interest Rate'!$B$17))</f>
        <v>0</v>
      </c>
      <c r="BO20" s="609">
        <f>IF(BO$7&gt;$N20,0,BN20*(1-'Interest Rate'!$B$17))</f>
        <v>0</v>
      </c>
      <c r="BP20" s="609">
        <f>IF(BP$7&gt;$N20,0,BO20*(1-'Interest Rate'!$B$17))</f>
        <v>0</v>
      </c>
      <c r="BQ20" s="609">
        <f>IF(BQ$7&gt;$N20,0,BP20*(1-'Interest Rate'!$B$17))</f>
        <v>0</v>
      </c>
      <c r="BR20" s="609">
        <f>IF(BR$7&gt;$N20,0,BQ20*(1-'Interest Rate'!$B$17))</f>
        <v>0</v>
      </c>
      <c r="BS20" s="609">
        <f>IF(BS$7&gt;$N20,0,BR20*(1-'Interest Rate'!$B$17))</f>
        <v>0</v>
      </c>
      <c r="BT20" s="609">
        <f>IF(BT$7&gt;$N20,0,BS20*(1-'Interest Rate'!$B$17))</f>
        <v>0</v>
      </c>
      <c r="BU20" s="609">
        <f>IF(BU$7&gt;$N20,0,BT20*(1-'Interest Rate'!$B$17))</f>
        <v>0</v>
      </c>
      <c r="BV20" s="609">
        <f>IF(BV$7&gt;$N20,0,BU20*(1-'Interest Rate'!$B$17))</f>
        <v>0</v>
      </c>
      <c r="BW20" s="609">
        <f>IF(BW$7&gt;$N20,0,BV20*(1-'Interest Rate'!$B$17))</f>
        <v>0</v>
      </c>
      <c r="BX20" s="609">
        <f>IF(BX$7&gt;$N20,0,BW20*(1-'Interest Rate'!$B$17))</f>
        <v>0</v>
      </c>
      <c r="BY20" s="609">
        <f>IF(BY$7&gt;$N20,0,BX20*(1-'Interest Rate'!$B$17))</f>
        <v>0</v>
      </c>
      <c r="BZ20" s="609">
        <f>IF(BZ$7&gt;$N20,0,BY20*(1-'Interest Rate'!$B$17))</f>
        <v>0</v>
      </c>
      <c r="CA20" s="609">
        <f>IF(CA$7&gt;$N20,0,BZ20*(1-'Interest Rate'!$B$17))</f>
        <v>0</v>
      </c>
      <c r="CB20" s="609">
        <f>IF(CB$7&gt;$N20,0,CA20*(1-'Interest Rate'!$B$17))</f>
        <v>0</v>
      </c>
      <c r="CC20" s="609">
        <f>IF(CC$7&gt;$N20,0,CB20*(1-'Interest Rate'!$B$17))</f>
        <v>0</v>
      </c>
      <c r="CD20" s="609">
        <f>IF(CD$7&gt;$N20,0,CC20*(1-'Interest Rate'!$B$17))</f>
        <v>0</v>
      </c>
      <c r="CE20" s="609">
        <f>IF(CE$7&gt;$N20,0,CD20*(1-'Interest Rate'!$B$17))</f>
        <v>0</v>
      </c>
      <c r="CF20" s="609">
        <f>IF(CF$7&gt;$N20,0,CE20*(1-'Interest Rate'!$B$17))</f>
        <v>0</v>
      </c>
      <c r="CG20" s="609">
        <f>IF(CG$7&gt;$N20,0,CF20*(1-'Interest Rate'!$B$17))</f>
        <v>0</v>
      </c>
      <c r="CH20" s="609">
        <f>IF(CH$7&gt;$N20,0,CG20*(1-'Interest Rate'!$B$17))</f>
        <v>0</v>
      </c>
      <c r="CI20" s="609">
        <f>IF(CI$7&gt;$N20,0,CH20*(1-'Interest Rate'!$B$17))</f>
        <v>0</v>
      </c>
      <c r="CJ20" s="609">
        <f>IF(CJ$7&gt;$N20,0,CI20*(1-'Interest Rate'!$B$17))</f>
        <v>0</v>
      </c>
      <c r="CK20" s="609">
        <f>IF(CK$7&gt;$N20,0,CJ20*(1-'Interest Rate'!$B$17))</f>
        <v>0</v>
      </c>
      <c r="CL20" s="609">
        <f>IF(CL$7&gt;$N20,0,CK20*(1-'Interest Rate'!$B$17))</f>
        <v>0</v>
      </c>
      <c r="CM20" s="609">
        <f>IF(CM$7&gt;$N20,0,CL20*(1-'Interest Rate'!$B$17))</f>
        <v>0</v>
      </c>
      <c r="CN20" s="609">
        <f>IF(CN$7&gt;$N20,0,CM20*(1-'Interest Rate'!$B$17))</f>
        <v>0</v>
      </c>
      <c r="CO20" s="609">
        <f>IF(CO$7&gt;$N20,0,CN20*(1-'Interest Rate'!$B$17))</f>
        <v>0</v>
      </c>
      <c r="CP20" s="609">
        <f>IF(CP$7&gt;$N20,0,CO20*(1-'Interest Rate'!$B$17))</f>
        <v>0</v>
      </c>
      <c r="CQ20" s="609">
        <f>IF(CQ$7&gt;$N20,0,CP20*(1-'Interest Rate'!$B$17))</f>
        <v>0</v>
      </c>
      <c r="CR20" s="609">
        <f>IF(CR$7&gt;$N20,0,CQ20*(1-'Interest Rate'!$B$17))</f>
        <v>0</v>
      </c>
      <c r="CS20" s="609">
        <f>IF(CS$7&gt;$N20,0,CR20*(1-'Interest Rate'!$B$17))</f>
        <v>0</v>
      </c>
      <c r="CT20" s="609">
        <f>IF(CT$7&gt;$N20,0,CS20*(1-'Interest Rate'!$B$17))</f>
        <v>0</v>
      </c>
      <c r="CU20" s="609">
        <f>IF(CU$7&gt;$N20,0,CT20*(1-'Interest Rate'!$B$17))</f>
        <v>0</v>
      </c>
      <c r="CV20" s="609">
        <f>IF(CV$7&gt;$N20,0,CU20*(1-'Interest Rate'!$B$17))</f>
        <v>0</v>
      </c>
      <c r="CW20" s="609">
        <f>IF(CW$7&gt;$N20,0,CV20*(1-'Interest Rate'!$B$17))</f>
        <v>0</v>
      </c>
      <c r="CX20" s="609">
        <f>IF(CX$7&gt;$N20,0,CW20*(1-'Interest Rate'!$B$17))</f>
        <v>0</v>
      </c>
      <c r="CY20" s="609">
        <f>IF(CY$7&gt;$N20,0,CX20*(1-'Interest Rate'!$B$17))</f>
        <v>0</v>
      </c>
      <c r="CZ20" s="609">
        <f>IF(CZ$7&gt;$N20,0,CY20*(1-'Interest Rate'!$B$17))</f>
        <v>0</v>
      </c>
      <c r="DA20" s="609">
        <f>IF(DA$7&gt;$N20,0,CZ20*(1-'Interest Rate'!$B$17))</f>
        <v>0</v>
      </c>
      <c r="DB20" s="609">
        <f>IF(DB$7&gt;$N20,0,DA20*(1-'Interest Rate'!$B$17))</f>
        <v>0</v>
      </c>
      <c r="DC20" s="609">
        <f>IF(DC$7&gt;$N20,0,DB20*(1-'Interest Rate'!$B$17))</f>
        <v>0</v>
      </c>
      <c r="DD20" s="609">
        <f>IF(DD$7&gt;$N20,0,DC20*(1-'Interest Rate'!$B$17))</f>
        <v>0</v>
      </c>
      <c r="DE20" s="609">
        <f>IF(DE$7&gt;$N20,0,DD20*(1-'Interest Rate'!$B$17))</f>
        <v>0</v>
      </c>
      <c r="DF20" s="609">
        <f>IF(DF$7&gt;$N20,0,DE20*(1-'Interest Rate'!$B$17))</f>
        <v>0</v>
      </c>
      <c r="DG20" s="609">
        <f>IF(DG$7&gt;$N20,0,DF20*(1-'Interest Rate'!$B$17))</f>
        <v>0</v>
      </c>
      <c r="DH20" s="609">
        <f>IF(DH$7&gt;$N20,0,DG20*(1-'Interest Rate'!$B$17))</f>
        <v>0</v>
      </c>
      <c r="DI20" s="609">
        <f>IF(DI$7&gt;$N20,0,DH20*(1-'Interest Rate'!$B$17))</f>
        <v>0</v>
      </c>
      <c r="DJ20" s="609">
        <f>IF(DJ$7&gt;$N20,0,DI20*(1-'Interest Rate'!$B$17))</f>
        <v>0</v>
      </c>
      <c r="DK20" s="609">
        <f>IF(DK$7&gt;$N20,0,DJ20*(1-'Interest Rate'!$B$17))</f>
        <v>0</v>
      </c>
      <c r="DL20" s="609">
        <f>IF(DL$7&gt;$N20,0,DK20*(1-'Interest Rate'!$B$17))</f>
        <v>0</v>
      </c>
      <c r="DM20" s="609">
        <f>IF(DM$7&gt;$N20,0,DL20*(1-'Interest Rate'!$B$17))</f>
        <v>0</v>
      </c>
    </row>
    <row r="21" spans="1:117" ht="27.75" customHeight="1" x14ac:dyDescent="0.3">
      <c r="A21" s="600" t="str">
        <f>'EEM Data Entry'!A98</f>
        <v/>
      </c>
      <c r="B21" s="601" t="str">
        <f>'EEM Data Entry'!B98</f>
        <v/>
      </c>
      <c r="C21" s="602" t="str">
        <f>'EEM Data Entry'!F98</f>
        <v/>
      </c>
      <c r="D21" s="602">
        <v>0</v>
      </c>
      <c r="E21" s="602" t="e">
        <f t="shared" si="6"/>
        <v>#VALUE!</v>
      </c>
      <c r="F21" s="602">
        <f>('Savings Summary'!D20*'Savings Summary'!D$5)+('Savings Summary'!F20*'Savings Summary'!F$5)+('Savings Summary'!H20*'Savings Summary'!H$5)+('Savings Summary'!J20*'Savings Summary'!J$5)+('Savings Summary'!L20*'Savings Summary'!L$5)+('Savings Summary'!N20*'Savings Summary'!N$5)+('Savings Summary'!P20*'Savings Summary'!P$5)+('Savings Summary'!R20*'Savings Summary'!R$5)</f>
        <v>0</v>
      </c>
      <c r="G21" s="603">
        <f>'Savings Summary'!T20</f>
        <v>0</v>
      </c>
      <c r="H21" s="604" t="e">
        <f t="shared" si="7"/>
        <v>#VALUE!</v>
      </c>
      <c r="I21" s="600" t="e">
        <f t="shared" si="8"/>
        <v>#VALUE!</v>
      </c>
      <c r="J21" s="605" t="e">
        <f t="shared" si="3"/>
        <v>#NUM!</v>
      </c>
      <c r="K21" s="606" t="e">
        <f>PV('Interest Rate'!$B$17,Table6[[#This Row],[LIFETIME]],-Table6[[#This Row],[ANNUAL ENERGY COST SAVINGS]],Table6[[#This Row],[END-OF-LIFE]],0)-Table6[[#This Row],[CAPITAL INVESTMENT]]</f>
        <v>#VALUE!</v>
      </c>
      <c r="L21" s="600" t="str">
        <f>'EEM Data Entry'!C97</f>
        <v/>
      </c>
      <c r="M21" s="607" t="e">
        <f>Table6[[#This Row],[ANNUAL ENERGY COST SAVINGS]]/Table6[[#This Row],[CAPITAL INVESTMENT]]</f>
        <v>#VALUE!</v>
      </c>
      <c r="N21" s="804" t="str">
        <f>Table6[[#This Row],[LIFETIME]]</f>
        <v/>
      </c>
      <c r="O21" s="607"/>
      <c r="P21" s="607"/>
      <c r="Q21" s="608" t="str">
        <f t="shared" si="4"/>
        <v/>
      </c>
      <c r="R21" s="609">
        <f t="shared" si="5"/>
        <v>0</v>
      </c>
      <c r="S21" s="609">
        <f>IF(S$7&gt;$N21,0,R21*(1-'Interest Rate'!$B$17))</f>
        <v>0</v>
      </c>
      <c r="T21" s="609">
        <f>IF(T$7&gt;$N21,0,S21*(1-'Interest Rate'!$B$17))</f>
        <v>0</v>
      </c>
      <c r="U21" s="609">
        <f>IF(U$7&gt;$N21,0,T21*(1-'Interest Rate'!$B$17))</f>
        <v>0</v>
      </c>
      <c r="V21" s="609">
        <f>IF(V$7&gt;$N21,0,U21*(1-'Interest Rate'!$B$17))</f>
        <v>0</v>
      </c>
      <c r="W21" s="609">
        <f>IF(W$7&gt;$N21,0,V21*(1-'Interest Rate'!$B$17))</f>
        <v>0</v>
      </c>
      <c r="X21" s="609">
        <f>IF(X$7&gt;$N21,0,W21*(1-'Interest Rate'!$B$17))</f>
        <v>0</v>
      </c>
      <c r="Y21" s="609">
        <f>IF(Y$7&gt;$N21,0,X21*(1-'Interest Rate'!$B$17))</f>
        <v>0</v>
      </c>
      <c r="Z21" s="609">
        <f>IF(Z$7&gt;$N21,0,Y21*(1-'Interest Rate'!$B$17))</f>
        <v>0</v>
      </c>
      <c r="AA21" s="609">
        <f>IF(AA$7&gt;$N21,0,Z21*(1-'Interest Rate'!$B$17))</f>
        <v>0</v>
      </c>
      <c r="AB21" s="609">
        <f>IF(AB$7&gt;$N21,0,AA21*(1-'Interest Rate'!$B$17))</f>
        <v>0</v>
      </c>
      <c r="AC21" s="609">
        <f>IF(AC$7&gt;$N21,0,AB21*(1-'Interest Rate'!$B$17))</f>
        <v>0</v>
      </c>
      <c r="AD21" s="609">
        <f>IF(AD$7&gt;$N21,0,AC21*(1-'Interest Rate'!$B$17))</f>
        <v>0</v>
      </c>
      <c r="AE21" s="609">
        <f>IF(AE$7&gt;$N21,0,AD21*(1-'Interest Rate'!$B$17))</f>
        <v>0</v>
      </c>
      <c r="AF21" s="609">
        <f>IF(AF$7&gt;$N21,0,AE21*(1-'Interest Rate'!$B$17))</f>
        <v>0</v>
      </c>
      <c r="AG21" s="609">
        <f>IF(AG$7&gt;$N21,0,AF21*(1-'Interest Rate'!$B$17))</f>
        <v>0</v>
      </c>
      <c r="AH21" s="609">
        <f>IF(AH$7&gt;$N21,0,AG21*(1-'Interest Rate'!$B$17))</f>
        <v>0</v>
      </c>
      <c r="AI21" s="609">
        <f>IF(AI$7&gt;$N21,0,AH21*(1-'Interest Rate'!$B$17))</f>
        <v>0</v>
      </c>
      <c r="AJ21" s="609">
        <f>IF(AJ$7&gt;$N21,0,AI21*(1-'Interest Rate'!$B$17))</f>
        <v>0</v>
      </c>
      <c r="AK21" s="609">
        <f>IF(AK$7&gt;$N21,0,AJ21*(1-'Interest Rate'!$B$17))</f>
        <v>0</v>
      </c>
      <c r="AL21" s="609">
        <f>IF(AL$7&gt;$N21,0,AK21*(1-'Interest Rate'!$B$17))</f>
        <v>0</v>
      </c>
      <c r="AM21" s="609">
        <f>IF(AM$7&gt;$N21,0,AL21*(1-'Interest Rate'!$B$17))</f>
        <v>0</v>
      </c>
      <c r="AN21" s="609">
        <f>IF(AN$7&gt;$N21,0,AM21*(1-'Interest Rate'!$B$17))</f>
        <v>0</v>
      </c>
      <c r="AO21" s="609">
        <f>IF(AO$7&gt;$N21,0,AN21*(1-'Interest Rate'!$B$17))</f>
        <v>0</v>
      </c>
      <c r="AP21" s="609">
        <f>IF(AP$7&gt;$N21,0,AO21*(1-'Interest Rate'!$B$17))</f>
        <v>0</v>
      </c>
      <c r="AQ21" s="609">
        <f>IF(AQ$7&gt;$N21,0,AP21*(1-'Interest Rate'!$B$17))</f>
        <v>0</v>
      </c>
      <c r="AR21" s="609">
        <f>IF(AR$7&gt;$N21,0,AQ21*(1-'Interest Rate'!$B$17))</f>
        <v>0</v>
      </c>
      <c r="AS21" s="609">
        <f>IF(AS$7&gt;$N21,0,AR21*(1-'Interest Rate'!$B$17))</f>
        <v>0</v>
      </c>
      <c r="AT21" s="609">
        <f>IF(AT$7&gt;$N21,0,AS21*(1-'Interest Rate'!$B$17))</f>
        <v>0</v>
      </c>
      <c r="AU21" s="609">
        <f>IF(AU$7&gt;$N21,0,AT21*(1-'Interest Rate'!$B$17))</f>
        <v>0</v>
      </c>
      <c r="AV21" s="609">
        <f>IF(AV$7&gt;$N21,0,AU21*(1-'Interest Rate'!$B$17))</f>
        <v>0</v>
      </c>
      <c r="AW21" s="609">
        <f>IF(AW$7&gt;$N21,0,AV21*(1-'Interest Rate'!$B$17))</f>
        <v>0</v>
      </c>
      <c r="AX21" s="609">
        <f>IF(AX$7&gt;$N21,0,AW21*(1-'Interest Rate'!$B$17))</f>
        <v>0</v>
      </c>
      <c r="AY21" s="609">
        <f>IF(AY$7&gt;$N21,0,AX21*(1-'Interest Rate'!$B$17))</f>
        <v>0</v>
      </c>
      <c r="AZ21" s="609">
        <f>IF(AZ$7&gt;$N21,0,AY21*(1-'Interest Rate'!$B$17))</f>
        <v>0</v>
      </c>
      <c r="BA21" s="609">
        <f>IF(BA$7&gt;$N21,0,AZ21*(1-'Interest Rate'!$B$17))</f>
        <v>0</v>
      </c>
      <c r="BB21" s="609">
        <f>IF(BB$7&gt;$N21,0,BA21*(1-'Interest Rate'!$B$17))</f>
        <v>0</v>
      </c>
      <c r="BC21" s="609">
        <f>IF(BC$7&gt;$N21,0,BB21*(1-'Interest Rate'!$B$17))</f>
        <v>0</v>
      </c>
      <c r="BD21" s="609">
        <f>IF(BD$7&gt;$N21,0,BC21*(1-'Interest Rate'!$B$17))</f>
        <v>0</v>
      </c>
      <c r="BE21" s="609">
        <f>IF(BE$7&gt;$N21,0,BD21*(1-'Interest Rate'!$B$17))</f>
        <v>0</v>
      </c>
      <c r="BF21" s="609">
        <f>IF(BF$7&gt;$N21,0,BE21*(1-'Interest Rate'!$B$17))</f>
        <v>0</v>
      </c>
      <c r="BG21" s="609">
        <f>IF(BG$7&gt;$N21,0,BF21*(1-'Interest Rate'!$B$17))</f>
        <v>0</v>
      </c>
      <c r="BH21" s="609">
        <f>IF(BH$7&gt;$N21,0,BG21*(1-'Interest Rate'!$B$17))</f>
        <v>0</v>
      </c>
      <c r="BI21" s="609">
        <f>IF(BI$7&gt;$N21,0,BH21*(1-'Interest Rate'!$B$17))</f>
        <v>0</v>
      </c>
      <c r="BJ21" s="609">
        <f>IF(BJ$7&gt;$N21,0,BI21*(1-'Interest Rate'!$B$17))</f>
        <v>0</v>
      </c>
      <c r="BK21" s="609">
        <f>IF(BK$7&gt;$N21,0,BJ21*(1-'Interest Rate'!$B$17))</f>
        <v>0</v>
      </c>
      <c r="BL21" s="609">
        <f>IF(BL$7&gt;$N21,0,BK21*(1-'Interest Rate'!$B$17))</f>
        <v>0</v>
      </c>
      <c r="BM21" s="609">
        <f>IF(BM$7&gt;$N21,0,BL21*(1-'Interest Rate'!$B$17))</f>
        <v>0</v>
      </c>
      <c r="BN21" s="609">
        <f>IF(BN$7&gt;$N21,0,BM21*(1-'Interest Rate'!$B$17))</f>
        <v>0</v>
      </c>
      <c r="BO21" s="609">
        <f>IF(BO$7&gt;$N21,0,BN21*(1-'Interest Rate'!$B$17))</f>
        <v>0</v>
      </c>
      <c r="BP21" s="609">
        <f>IF(BP$7&gt;$N21,0,BO21*(1-'Interest Rate'!$B$17))</f>
        <v>0</v>
      </c>
      <c r="BQ21" s="609">
        <f>IF(BQ$7&gt;$N21,0,BP21*(1-'Interest Rate'!$B$17))</f>
        <v>0</v>
      </c>
      <c r="BR21" s="609">
        <f>IF(BR$7&gt;$N21,0,BQ21*(1-'Interest Rate'!$B$17))</f>
        <v>0</v>
      </c>
      <c r="BS21" s="609">
        <f>IF(BS$7&gt;$N21,0,BR21*(1-'Interest Rate'!$B$17))</f>
        <v>0</v>
      </c>
      <c r="BT21" s="609">
        <f>IF(BT$7&gt;$N21,0,BS21*(1-'Interest Rate'!$B$17))</f>
        <v>0</v>
      </c>
      <c r="BU21" s="609">
        <f>IF(BU$7&gt;$N21,0,BT21*(1-'Interest Rate'!$B$17))</f>
        <v>0</v>
      </c>
      <c r="BV21" s="609">
        <f>IF(BV$7&gt;$N21,0,BU21*(1-'Interest Rate'!$B$17))</f>
        <v>0</v>
      </c>
      <c r="BW21" s="609">
        <f>IF(BW$7&gt;$N21,0,BV21*(1-'Interest Rate'!$B$17))</f>
        <v>0</v>
      </c>
      <c r="BX21" s="609">
        <f>IF(BX$7&gt;$N21,0,BW21*(1-'Interest Rate'!$B$17))</f>
        <v>0</v>
      </c>
      <c r="BY21" s="609">
        <f>IF(BY$7&gt;$N21,0,BX21*(1-'Interest Rate'!$B$17))</f>
        <v>0</v>
      </c>
      <c r="BZ21" s="609">
        <f>IF(BZ$7&gt;$N21,0,BY21*(1-'Interest Rate'!$B$17))</f>
        <v>0</v>
      </c>
      <c r="CA21" s="609">
        <f>IF(CA$7&gt;$N21,0,BZ21*(1-'Interest Rate'!$B$17))</f>
        <v>0</v>
      </c>
      <c r="CB21" s="609">
        <f>IF(CB$7&gt;$N21,0,CA21*(1-'Interest Rate'!$B$17))</f>
        <v>0</v>
      </c>
      <c r="CC21" s="609">
        <f>IF(CC$7&gt;$N21,0,CB21*(1-'Interest Rate'!$B$17))</f>
        <v>0</v>
      </c>
      <c r="CD21" s="609">
        <f>IF(CD$7&gt;$N21,0,CC21*(1-'Interest Rate'!$B$17))</f>
        <v>0</v>
      </c>
      <c r="CE21" s="609">
        <f>IF(CE$7&gt;$N21,0,CD21*(1-'Interest Rate'!$B$17))</f>
        <v>0</v>
      </c>
      <c r="CF21" s="609">
        <f>IF(CF$7&gt;$N21,0,CE21*(1-'Interest Rate'!$B$17))</f>
        <v>0</v>
      </c>
      <c r="CG21" s="609">
        <f>IF(CG$7&gt;$N21,0,CF21*(1-'Interest Rate'!$B$17))</f>
        <v>0</v>
      </c>
      <c r="CH21" s="609">
        <f>IF(CH$7&gt;$N21,0,CG21*(1-'Interest Rate'!$B$17))</f>
        <v>0</v>
      </c>
      <c r="CI21" s="609">
        <f>IF(CI$7&gt;$N21,0,CH21*(1-'Interest Rate'!$B$17))</f>
        <v>0</v>
      </c>
      <c r="CJ21" s="609">
        <f>IF(CJ$7&gt;$N21,0,CI21*(1-'Interest Rate'!$B$17))</f>
        <v>0</v>
      </c>
      <c r="CK21" s="609">
        <f>IF(CK$7&gt;$N21,0,CJ21*(1-'Interest Rate'!$B$17))</f>
        <v>0</v>
      </c>
      <c r="CL21" s="609">
        <f>IF(CL$7&gt;$N21,0,CK21*(1-'Interest Rate'!$B$17))</f>
        <v>0</v>
      </c>
      <c r="CM21" s="609">
        <f>IF(CM$7&gt;$N21,0,CL21*(1-'Interest Rate'!$B$17))</f>
        <v>0</v>
      </c>
      <c r="CN21" s="609">
        <f>IF(CN$7&gt;$N21,0,CM21*(1-'Interest Rate'!$B$17))</f>
        <v>0</v>
      </c>
      <c r="CO21" s="609">
        <f>IF(CO$7&gt;$N21,0,CN21*(1-'Interest Rate'!$B$17))</f>
        <v>0</v>
      </c>
      <c r="CP21" s="609">
        <f>IF(CP$7&gt;$N21,0,CO21*(1-'Interest Rate'!$B$17))</f>
        <v>0</v>
      </c>
      <c r="CQ21" s="609">
        <f>IF(CQ$7&gt;$N21,0,CP21*(1-'Interest Rate'!$B$17))</f>
        <v>0</v>
      </c>
      <c r="CR21" s="609">
        <f>IF(CR$7&gt;$N21,0,CQ21*(1-'Interest Rate'!$B$17))</f>
        <v>0</v>
      </c>
      <c r="CS21" s="609">
        <f>IF(CS$7&gt;$N21,0,CR21*(1-'Interest Rate'!$B$17))</f>
        <v>0</v>
      </c>
      <c r="CT21" s="609">
        <f>IF(CT$7&gt;$N21,0,CS21*(1-'Interest Rate'!$B$17))</f>
        <v>0</v>
      </c>
      <c r="CU21" s="609">
        <f>IF(CU$7&gt;$N21,0,CT21*(1-'Interest Rate'!$B$17))</f>
        <v>0</v>
      </c>
      <c r="CV21" s="609">
        <f>IF(CV$7&gt;$N21,0,CU21*(1-'Interest Rate'!$B$17))</f>
        <v>0</v>
      </c>
      <c r="CW21" s="609">
        <f>IF(CW$7&gt;$N21,0,CV21*(1-'Interest Rate'!$B$17))</f>
        <v>0</v>
      </c>
      <c r="CX21" s="609">
        <f>IF(CX$7&gt;$N21,0,CW21*(1-'Interest Rate'!$B$17))</f>
        <v>0</v>
      </c>
      <c r="CY21" s="609">
        <f>IF(CY$7&gt;$N21,0,CX21*(1-'Interest Rate'!$B$17))</f>
        <v>0</v>
      </c>
      <c r="CZ21" s="609">
        <f>IF(CZ$7&gt;$N21,0,CY21*(1-'Interest Rate'!$B$17))</f>
        <v>0</v>
      </c>
      <c r="DA21" s="609">
        <f>IF(DA$7&gt;$N21,0,CZ21*(1-'Interest Rate'!$B$17))</f>
        <v>0</v>
      </c>
      <c r="DB21" s="609">
        <f>IF(DB$7&gt;$N21,0,DA21*(1-'Interest Rate'!$B$17))</f>
        <v>0</v>
      </c>
      <c r="DC21" s="609">
        <f>IF(DC$7&gt;$N21,0,DB21*(1-'Interest Rate'!$B$17))</f>
        <v>0</v>
      </c>
      <c r="DD21" s="609">
        <f>IF(DD$7&gt;$N21,0,DC21*(1-'Interest Rate'!$B$17))</f>
        <v>0</v>
      </c>
      <c r="DE21" s="609">
        <f>IF(DE$7&gt;$N21,0,DD21*(1-'Interest Rate'!$B$17))</f>
        <v>0</v>
      </c>
      <c r="DF21" s="609">
        <f>IF(DF$7&gt;$N21,0,DE21*(1-'Interest Rate'!$B$17))</f>
        <v>0</v>
      </c>
      <c r="DG21" s="609">
        <f>IF(DG$7&gt;$N21,0,DF21*(1-'Interest Rate'!$B$17))</f>
        <v>0</v>
      </c>
      <c r="DH21" s="609">
        <f>IF(DH$7&gt;$N21,0,DG21*(1-'Interest Rate'!$B$17))</f>
        <v>0</v>
      </c>
      <c r="DI21" s="609">
        <f>IF(DI$7&gt;$N21,0,DH21*(1-'Interest Rate'!$B$17))</f>
        <v>0</v>
      </c>
      <c r="DJ21" s="609">
        <f>IF(DJ$7&gt;$N21,0,DI21*(1-'Interest Rate'!$B$17))</f>
        <v>0</v>
      </c>
      <c r="DK21" s="609">
        <f>IF(DK$7&gt;$N21,0,DJ21*(1-'Interest Rate'!$B$17))</f>
        <v>0</v>
      </c>
      <c r="DL21" s="609">
        <f>IF(DL$7&gt;$N21,0,DK21*(1-'Interest Rate'!$B$17))</f>
        <v>0</v>
      </c>
      <c r="DM21" s="609">
        <f>IF(DM$7&gt;$N21,0,DL21*(1-'Interest Rate'!$B$17))</f>
        <v>0</v>
      </c>
    </row>
    <row r="22" spans="1:117" ht="27.75" customHeight="1" x14ac:dyDescent="0.3">
      <c r="A22" s="600" t="str">
        <f>'EEM Data Entry'!A99</f>
        <v/>
      </c>
      <c r="B22" s="601" t="str">
        <f>'EEM Data Entry'!B99</f>
        <v/>
      </c>
      <c r="C22" s="602" t="str">
        <f>'EEM Data Entry'!F99</f>
        <v/>
      </c>
      <c r="D22" s="602">
        <v>0</v>
      </c>
      <c r="E22" s="602" t="e">
        <f t="shared" si="6"/>
        <v>#VALUE!</v>
      </c>
      <c r="F22" s="602">
        <f>('Savings Summary'!D21*'Savings Summary'!D$5)+('Savings Summary'!F21*'Savings Summary'!F$5)+('Savings Summary'!H21*'Savings Summary'!H$5)+('Savings Summary'!J21*'Savings Summary'!J$5)+('Savings Summary'!L21*'Savings Summary'!L$5)+('Savings Summary'!N21*'Savings Summary'!N$5)+('Savings Summary'!P21*'Savings Summary'!P$5)+('Savings Summary'!R21*'Savings Summary'!R$5)</f>
        <v>0</v>
      </c>
      <c r="G22" s="603">
        <f>'Savings Summary'!T21</f>
        <v>0</v>
      </c>
      <c r="H22" s="604" t="e">
        <f>IF(C22=0,"n/a",E22/F22)</f>
        <v>#VALUE!</v>
      </c>
      <c r="I22" s="600" t="e">
        <f t="shared" si="8"/>
        <v>#VALUE!</v>
      </c>
      <c r="J22" s="605" t="e">
        <f t="shared" si="3"/>
        <v>#NUM!</v>
      </c>
      <c r="K22" s="606" t="e">
        <f>PV('Interest Rate'!$B$17,Table6[[#This Row],[LIFETIME]],-Table6[[#This Row],[ANNUAL ENERGY COST SAVINGS]],Table6[[#This Row],[END-OF-LIFE]],0)-Table6[[#This Row],[CAPITAL INVESTMENT]]</f>
        <v>#VALUE!</v>
      </c>
      <c r="L22" s="600" t="str">
        <f>'EEM Data Entry'!C97</f>
        <v/>
      </c>
      <c r="M22" s="607" t="e">
        <f>Table6[[#This Row],[ANNUAL ENERGY COST SAVINGS]]/Table6[[#This Row],[CAPITAL INVESTMENT]]</f>
        <v>#VALUE!</v>
      </c>
      <c r="N22" s="804" t="str">
        <f>Table6[[#This Row],[LIFETIME]]</f>
        <v/>
      </c>
      <c r="O22" s="607"/>
      <c r="P22" s="607"/>
      <c r="Q22" s="608" t="str">
        <f t="shared" si="4"/>
        <v/>
      </c>
      <c r="R22" s="609">
        <f t="shared" si="5"/>
        <v>0</v>
      </c>
      <c r="S22" s="609">
        <f>IF(S$7&gt;$N22,0,R22*(1-'Interest Rate'!$B$17))</f>
        <v>0</v>
      </c>
      <c r="T22" s="609">
        <f>IF(T$7&gt;$N22,0,S22*(1-'Interest Rate'!$B$17))</f>
        <v>0</v>
      </c>
      <c r="U22" s="609">
        <f>IF(U$7&gt;$N22,0,T22*(1-'Interest Rate'!$B$17))</f>
        <v>0</v>
      </c>
      <c r="V22" s="609">
        <f>IF(V$7&gt;$N22,0,U22*(1-'Interest Rate'!$B$17))</f>
        <v>0</v>
      </c>
      <c r="W22" s="609">
        <f>IF(W$7&gt;$N22,0,V22*(1-'Interest Rate'!$B$17))</f>
        <v>0</v>
      </c>
      <c r="X22" s="609">
        <f>IF(X$7&gt;$N22,0,W22*(1-'Interest Rate'!$B$17))</f>
        <v>0</v>
      </c>
      <c r="Y22" s="609">
        <f>IF(Y$7&gt;$N22,0,X22*(1-'Interest Rate'!$B$17))</f>
        <v>0</v>
      </c>
      <c r="Z22" s="609">
        <f>IF(Z$7&gt;$N22,0,Y22*(1-'Interest Rate'!$B$17))</f>
        <v>0</v>
      </c>
      <c r="AA22" s="609">
        <f>IF(AA$7&gt;$N22,0,Z22*(1-'Interest Rate'!$B$17))</f>
        <v>0</v>
      </c>
      <c r="AB22" s="609">
        <f>IF(AB$7&gt;$N22,0,AA22*(1-'Interest Rate'!$B$17))</f>
        <v>0</v>
      </c>
      <c r="AC22" s="609">
        <f>IF(AC$7&gt;$N22,0,AB22*(1-'Interest Rate'!$B$17))</f>
        <v>0</v>
      </c>
      <c r="AD22" s="609">
        <f>IF(AD$7&gt;$N22,0,AC22*(1-'Interest Rate'!$B$17))</f>
        <v>0</v>
      </c>
      <c r="AE22" s="609">
        <f>IF(AE$7&gt;$N22,0,AD22*(1-'Interest Rate'!$B$17))</f>
        <v>0</v>
      </c>
      <c r="AF22" s="609">
        <f>IF(AF$7&gt;$N22,0,AE22*(1-'Interest Rate'!$B$17))</f>
        <v>0</v>
      </c>
      <c r="AG22" s="609">
        <f>IF(AG$7&gt;$N22,0,AF22*(1-'Interest Rate'!$B$17))</f>
        <v>0</v>
      </c>
      <c r="AH22" s="609">
        <f>IF(AH$7&gt;$N22,0,AG22*(1-'Interest Rate'!$B$17))</f>
        <v>0</v>
      </c>
      <c r="AI22" s="609">
        <f>IF(AI$7&gt;$N22,0,AH22*(1-'Interest Rate'!$B$17))</f>
        <v>0</v>
      </c>
      <c r="AJ22" s="609">
        <f>IF(AJ$7&gt;$N22,0,AI22*(1-'Interest Rate'!$B$17))</f>
        <v>0</v>
      </c>
      <c r="AK22" s="609">
        <f>IF(AK$7&gt;$N22,0,AJ22*(1-'Interest Rate'!$B$17))</f>
        <v>0</v>
      </c>
      <c r="AL22" s="609">
        <f>IF(AL$7&gt;$N22,0,AK22*(1-'Interest Rate'!$B$17))</f>
        <v>0</v>
      </c>
      <c r="AM22" s="609">
        <f>IF(AM$7&gt;$N22,0,AL22*(1-'Interest Rate'!$B$17))</f>
        <v>0</v>
      </c>
      <c r="AN22" s="609">
        <f>IF(AN$7&gt;$N22,0,AM22*(1-'Interest Rate'!$B$17))</f>
        <v>0</v>
      </c>
      <c r="AO22" s="609">
        <f>IF(AO$7&gt;$N22,0,AN22*(1-'Interest Rate'!$B$17))</f>
        <v>0</v>
      </c>
      <c r="AP22" s="609">
        <f>IF(AP$7&gt;$N22,0,AO22*(1-'Interest Rate'!$B$17))</f>
        <v>0</v>
      </c>
      <c r="AQ22" s="609">
        <f>IF(AQ$7&gt;$N22,0,AP22*(1-'Interest Rate'!$B$17))</f>
        <v>0</v>
      </c>
      <c r="AR22" s="609">
        <f>IF(AR$7&gt;$N22,0,AQ22*(1-'Interest Rate'!$B$17))</f>
        <v>0</v>
      </c>
      <c r="AS22" s="609">
        <f>IF(AS$7&gt;$N22,0,AR22*(1-'Interest Rate'!$B$17))</f>
        <v>0</v>
      </c>
      <c r="AT22" s="609">
        <f>IF(AT$7&gt;$N22,0,AS22*(1-'Interest Rate'!$B$17))</f>
        <v>0</v>
      </c>
      <c r="AU22" s="609">
        <f>IF(AU$7&gt;$N22,0,AT22*(1-'Interest Rate'!$B$17))</f>
        <v>0</v>
      </c>
      <c r="AV22" s="609">
        <f>IF(AV$7&gt;$N22,0,AU22*(1-'Interest Rate'!$B$17))</f>
        <v>0</v>
      </c>
      <c r="AW22" s="609">
        <f>IF(AW$7&gt;$N22,0,AV22*(1-'Interest Rate'!$B$17))</f>
        <v>0</v>
      </c>
      <c r="AX22" s="609">
        <f>IF(AX$7&gt;$N22,0,AW22*(1-'Interest Rate'!$B$17))</f>
        <v>0</v>
      </c>
      <c r="AY22" s="609">
        <f>IF(AY$7&gt;$N22,0,AX22*(1-'Interest Rate'!$B$17))</f>
        <v>0</v>
      </c>
      <c r="AZ22" s="609">
        <f>IF(AZ$7&gt;$N22,0,AY22*(1-'Interest Rate'!$B$17))</f>
        <v>0</v>
      </c>
      <c r="BA22" s="609">
        <f>IF(BA$7&gt;$N22,0,AZ22*(1-'Interest Rate'!$B$17))</f>
        <v>0</v>
      </c>
      <c r="BB22" s="609">
        <f>IF(BB$7&gt;$N22,0,BA22*(1-'Interest Rate'!$B$17))</f>
        <v>0</v>
      </c>
      <c r="BC22" s="609">
        <f>IF(BC$7&gt;$N22,0,BB22*(1-'Interest Rate'!$B$17))</f>
        <v>0</v>
      </c>
      <c r="BD22" s="609">
        <f>IF(BD$7&gt;$N22,0,BC22*(1-'Interest Rate'!$B$17))</f>
        <v>0</v>
      </c>
      <c r="BE22" s="609">
        <f>IF(BE$7&gt;$N22,0,BD22*(1-'Interest Rate'!$B$17))</f>
        <v>0</v>
      </c>
      <c r="BF22" s="609">
        <f>IF(BF$7&gt;$N22,0,BE22*(1-'Interest Rate'!$B$17))</f>
        <v>0</v>
      </c>
      <c r="BG22" s="609">
        <f>IF(BG$7&gt;$N22,0,BF22*(1-'Interest Rate'!$B$17))</f>
        <v>0</v>
      </c>
      <c r="BH22" s="609">
        <f>IF(BH$7&gt;$N22,0,BG22*(1-'Interest Rate'!$B$17))</f>
        <v>0</v>
      </c>
      <c r="BI22" s="609">
        <f>IF(BI$7&gt;$N22,0,BH22*(1-'Interest Rate'!$B$17))</f>
        <v>0</v>
      </c>
      <c r="BJ22" s="609">
        <f>IF(BJ$7&gt;$N22,0,BI22*(1-'Interest Rate'!$B$17))</f>
        <v>0</v>
      </c>
      <c r="BK22" s="609">
        <f>IF(BK$7&gt;$N22,0,BJ22*(1-'Interest Rate'!$B$17))</f>
        <v>0</v>
      </c>
      <c r="BL22" s="609">
        <f>IF(BL$7&gt;$N22,0,BK22*(1-'Interest Rate'!$B$17))</f>
        <v>0</v>
      </c>
      <c r="BM22" s="609">
        <f>IF(BM$7&gt;$N22,0,BL22*(1-'Interest Rate'!$B$17))</f>
        <v>0</v>
      </c>
      <c r="BN22" s="609">
        <f>IF(BN$7&gt;$N22,0,BM22*(1-'Interest Rate'!$B$17))</f>
        <v>0</v>
      </c>
      <c r="BO22" s="609">
        <f>IF(BO$7&gt;$N22,0,BN22*(1-'Interest Rate'!$B$17))</f>
        <v>0</v>
      </c>
      <c r="BP22" s="609">
        <f>IF(BP$7&gt;$N22,0,BO22*(1-'Interest Rate'!$B$17))</f>
        <v>0</v>
      </c>
      <c r="BQ22" s="609">
        <f>IF(BQ$7&gt;$N22,0,BP22*(1-'Interest Rate'!$B$17))</f>
        <v>0</v>
      </c>
      <c r="BR22" s="609">
        <f>IF(BR$7&gt;$N22,0,BQ22*(1-'Interest Rate'!$B$17))</f>
        <v>0</v>
      </c>
      <c r="BS22" s="609">
        <f>IF(BS$7&gt;$N22,0,BR22*(1-'Interest Rate'!$B$17))</f>
        <v>0</v>
      </c>
      <c r="BT22" s="609">
        <f>IF(BT$7&gt;$N22,0,BS22*(1-'Interest Rate'!$B$17))</f>
        <v>0</v>
      </c>
      <c r="BU22" s="609">
        <f>IF(BU$7&gt;$N22,0,BT22*(1-'Interest Rate'!$B$17))</f>
        <v>0</v>
      </c>
      <c r="BV22" s="609">
        <f>IF(BV$7&gt;$N22,0,BU22*(1-'Interest Rate'!$B$17))</f>
        <v>0</v>
      </c>
      <c r="BW22" s="609">
        <f>IF(BW$7&gt;$N22,0,BV22*(1-'Interest Rate'!$B$17))</f>
        <v>0</v>
      </c>
      <c r="BX22" s="609">
        <f>IF(BX$7&gt;$N22,0,BW22*(1-'Interest Rate'!$B$17))</f>
        <v>0</v>
      </c>
      <c r="BY22" s="609">
        <f>IF(BY$7&gt;$N22,0,BX22*(1-'Interest Rate'!$B$17))</f>
        <v>0</v>
      </c>
      <c r="BZ22" s="609">
        <f>IF(BZ$7&gt;$N22,0,BY22*(1-'Interest Rate'!$B$17))</f>
        <v>0</v>
      </c>
      <c r="CA22" s="609">
        <f>IF(CA$7&gt;$N22,0,BZ22*(1-'Interest Rate'!$B$17))</f>
        <v>0</v>
      </c>
      <c r="CB22" s="609">
        <f>IF(CB$7&gt;$N22,0,CA22*(1-'Interest Rate'!$B$17))</f>
        <v>0</v>
      </c>
      <c r="CC22" s="609">
        <f>IF(CC$7&gt;$N22,0,CB22*(1-'Interest Rate'!$B$17))</f>
        <v>0</v>
      </c>
      <c r="CD22" s="609">
        <f>IF(CD$7&gt;$N22,0,CC22*(1-'Interest Rate'!$B$17))</f>
        <v>0</v>
      </c>
      <c r="CE22" s="609">
        <f>IF(CE$7&gt;$N22,0,CD22*(1-'Interest Rate'!$B$17))</f>
        <v>0</v>
      </c>
      <c r="CF22" s="609">
        <f>IF(CF$7&gt;$N22,0,CE22*(1-'Interest Rate'!$B$17))</f>
        <v>0</v>
      </c>
      <c r="CG22" s="609">
        <f>IF(CG$7&gt;$N22,0,CF22*(1-'Interest Rate'!$B$17))</f>
        <v>0</v>
      </c>
      <c r="CH22" s="609">
        <f>IF(CH$7&gt;$N22,0,CG22*(1-'Interest Rate'!$B$17))</f>
        <v>0</v>
      </c>
      <c r="CI22" s="609">
        <f>IF(CI$7&gt;$N22,0,CH22*(1-'Interest Rate'!$B$17))</f>
        <v>0</v>
      </c>
      <c r="CJ22" s="609">
        <f>IF(CJ$7&gt;$N22,0,CI22*(1-'Interest Rate'!$B$17))</f>
        <v>0</v>
      </c>
      <c r="CK22" s="609">
        <f>IF(CK$7&gt;$N22,0,CJ22*(1-'Interest Rate'!$B$17))</f>
        <v>0</v>
      </c>
      <c r="CL22" s="609">
        <f>IF(CL$7&gt;$N22,0,CK22*(1-'Interest Rate'!$B$17))</f>
        <v>0</v>
      </c>
      <c r="CM22" s="609">
        <f>IF(CM$7&gt;$N22,0,CL22*(1-'Interest Rate'!$B$17))</f>
        <v>0</v>
      </c>
      <c r="CN22" s="609">
        <f>IF(CN$7&gt;$N22,0,CM22*(1-'Interest Rate'!$B$17))</f>
        <v>0</v>
      </c>
      <c r="CO22" s="609">
        <f>IF(CO$7&gt;$N22,0,CN22*(1-'Interest Rate'!$B$17))</f>
        <v>0</v>
      </c>
      <c r="CP22" s="609">
        <f>IF(CP$7&gt;$N22,0,CO22*(1-'Interest Rate'!$B$17))</f>
        <v>0</v>
      </c>
      <c r="CQ22" s="609">
        <f>IF(CQ$7&gt;$N22,0,CP22*(1-'Interest Rate'!$B$17))</f>
        <v>0</v>
      </c>
      <c r="CR22" s="609">
        <f>IF(CR$7&gt;$N22,0,CQ22*(1-'Interest Rate'!$B$17))</f>
        <v>0</v>
      </c>
      <c r="CS22" s="609">
        <f>IF(CS$7&gt;$N22,0,CR22*(1-'Interest Rate'!$B$17))</f>
        <v>0</v>
      </c>
      <c r="CT22" s="609">
        <f>IF(CT$7&gt;$N22,0,CS22*(1-'Interest Rate'!$B$17))</f>
        <v>0</v>
      </c>
      <c r="CU22" s="609">
        <f>IF(CU$7&gt;$N22,0,CT22*(1-'Interest Rate'!$B$17))</f>
        <v>0</v>
      </c>
      <c r="CV22" s="609">
        <f>IF(CV$7&gt;$N22,0,CU22*(1-'Interest Rate'!$B$17))</f>
        <v>0</v>
      </c>
      <c r="CW22" s="609">
        <f>IF(CW$7&gt;$N22,0,CV22*(1-'Interest Rate'!$B$17))</f>
        <v>0</v>
      </c>
      <c r="CX22" s="609">
        <f>IF(CX$7&gt;$N22,0,CW22*(1-'Interest Rate'!$B$17))</f>
        <v>0</v>
      </c>
      <c r="CY22" s="609">
        <f>IF(CY$7&gt;$N22,0,CX22*(1-'Interest Rate'!$B$17))</f>
        <v>0</v>
      </c>
      <c r="CZ22" s="609">
        <f>IF(CZ$7&gt;$N22,0,CY22*(1-'Interest Rate'!$B$17))</f>
        <v>0</v>
      </c>
      <c r="DA22" s="609">
        <f>IF(DA$7&gt;$N22,0,CZ22*(1-'Interest Rate'!$B$17))</f>
        <v>0</v>
      </c>
      <c r="DB22" s="609">
        <f>IF(DB$7&gt;$N22,0,DA22*(1-'Interest Rate'!$B$17))</f>
        <v>0</v>
      </c>
      <c r="DC22" s="609">
        <f>IF(DC$7&gt;$N22,0,DB22*(1-'Interest Rate'!$B$17))</f>
        <v>0</v>
      </c>
      <c r="DD22" s="609">
        <f>IF(DD$7&gt;$N22,0,DC22*(1-'Interest Rate'!$B$17))</f>
        <v>0</v>
      </c>
      <c r="DE22" s="609">
        <f>IF(DE$7&gt;$N22,0,DD22*(1-'Interest Rate'!$B$17))</f>
        <v>0</v>
      </c>
      <c r="DF22" s="609">
        <f>IF(DF$7&gt;$N22,0,DE22*(1-'Interest Rate'!$B$17))</f>
        <v>0</v>
      </c>
      <c r="DG22" s="609">
        <f>IF(DG$7&gt;$N22,0,DF22*(1-'Interest Rate'!$B$17))</f>
        <v>0</v>
      </c>
      <c r="DH22" s="609">
        <f>IF(DH$7&gt;$N22,0,DG22*(1-'Interest Rate'!$B$17))</f>
        <v>0</v>
      </c>
      <c r="DI22" s="609">
        <f>IF(DI$7&gt;$N22,0,DH22*(1-'Interest Rate'!$B$17))</f>
        <v>0</v>
      </c>
      <c r="DJ22" s="609">
        <f>IF(DJ$7&gt;$N22,0,DI22*(1-'Interest Rate'!$B$17))</f>
        <v>0</v>
      </c>
      <c r="DK22" s="609">
        <f>IF(DK$7&gt;$N22,0,DJ22*(1-'Interest Rate'!$B$17))</f>
        <v>0</v>
      </c>
      <c r="DL22" s="609">
        <f>IF(DL$7&gt;$N22,0,DK22*(1-'Interest Rate'!$B$17))</f>
        <v>0</v>
      </c>
      <c r="DM22" s="609">
        <f>IF(DM$7&gt;$N22,0,DL22*(1-'Interest Rate'!$B$17))</f>
        <v>0</v>
      </c>
    </row>
    <row r="23" spans="1:117" ht="27.75" customHeight="1" x14ac:dyDescent="0.3">
      <c r="A23" s="600" t="str">
        <f>'EEM Data Entry'!A100</f>
        <v/>
      </c>
      <c r="B23" s="601" t="str">
        <f>'EEM Data Entry'!B100</f>
        <v/>
      </c>
      <c r="C23" s="602" t="str">
        <f>'EEM Data Entry'!F100</f>
        <v/>
      </c>
      <c r="D23" s="602">
        <v>0</v>
      </c>
      <c r="E23" s="602" t="e">
        <f t="shared" si="6"/>
        <v>#VALUE!</v>
      </c>
      <c r="F23" s="602">
        <f>('Savings Summary'!D22*'Savings Summary'!D$5)+('Savings Summary'!F22*'Savings Summary'!F$5)+('Savings Summary'!H22*'Savings Summary'!H$5)+('Savings Summary'!J22*'Savings Summary'!J$5)+('Savings Summary'!L22*'Savings Summary'!L$5)+('Savings Summary'!N22*'Savings Summary'!N$5)+('Savings Summary'!P22*'Savings Summary'!P$5)+('Savings Summary'!R22*'Savings Summary'!R$5)</f>
        <v>0</v>
      </c>
      <c r="G23" s="603">
        <f>'Savings Summary'!T22</f>
        <v>0</v>
      </c>
      <c r="H23" s="604" t="e">
        <f t="shared" si="7"/>
        <v>#VALUE!</v>
      </c>
      <c r="I23" s="600" t="e">
        <f t="shared" si="8"/>
        <v>#VALUE!</v>
      </c>
      <c r="J23" s="605" t="e">
        <f t="shared" si="3"/>
        <v>#NUM!</v>
      </c>
      <c r="K23" s="606" t="e">
        <f>PV('Interest Rate'!$B$17,Table6[[#This Row],[LIFETIME]],-Table6[[#This Row],[ANNUAL ENERGY COST SAVINGS]],Table6[[#This Row],[END-OF-LIFE]],0)-Table6[[#This Row],[CAPITAL INVESTMENT]]</f>
        <v>#VALUE!</v>
      </c>
      <c r="L23" s="600" t="str">
        <f>'EEM Data Entry'!C97</f>
        <v/>
      </c>
      <c r="M23" s="607" t="e">
        <f>Table6[[#This Row],[ANNUAL ENERGY COST SAVINGS]]/Table6[[#This Row],[CAPITAL INVESTMENT]]</f>
        <v>#VALUE!</v>
      </c>
      <c r="N23" s="804" t="str">
        <f>Table6[[#This Row],[LIFETIME]]</f>
        <v/>
      </c>
      <c r="O23" s="607"/>
      <c r="P23" s="607"/>
      <c r="Q23" s="608" t="str">
        <f t="shared" si="4"/>
        <v/>
      </c>
      <c r="R23" s="609">
        <f t="shared" si="5"/>
        <v>0</v>
      </c>
      <c r="S23" s="609">
        <f>IF(S$7&gt;$N23,0,R23*(1-'Interest Rate'!$B$17))</f>
        <v>0</v>
      </c>
      <c r="T23" s="609">
        <f>IF(T$7&gt;$N23,0,S23*(1-'Interest Rate'!$B$17))</f>
        <v>0</v>
      </c>
      <c r="U23" s="609">
        <f>IF(U$7&gt;$N23,0,T23*(1-'Interest Rate'!$B$17))</f>
        <v>0</v>
      </c>
      <c r="V23" s="609">
        <f>IF(V$7&gt;$N23,0,U23*(1-'Interest Rate'!$B$17))</f>
        <v>0</v>
      </c>
      <c r="W23" s="609">
        <f>IF(W$7&gt;$N23,0,V23*(1-'Interest Rate'!$B$17))</f>
        <v>0</v>
      </c>
      <c r="X23" s="609">
        <f>IF(X$7&gt;$N23,0,W23*(1-'Interest Rate'!$B$17))</f>
        <v>0</v>
      </c>
      <c r="Y23" s="609">
        <f>IF(Y$7&gt;$N23,0,X23*(1-'Interest Rate'!$B$17))</f>
        <v>0</v>
      </c>
      <c r="Z23" s="609">
        <f>IF(Z$7&gt;$N23,0,Y23*(1-'Interest Rate'!$B$17))</f>
        <v>0</v>
      </c>
      <c r="AA23" s="609">
        <f>IF(AA$7&gt;$N23,0,Z23*(1-'Interest Rate'!$B$17))</f>
        <v>0</v>
      </c>
      <c r="AB23" s="609">
        <f>IF(AB$7&gt;$N23,0,AA23*(1-'Interest Rate'!$B$17))</f>
        <v>0</v>
      </c>
      <c r="AC23" s="609">
        <f>IF(AC$7&gt;$N23,0,AB23*(1-'Interest Rate'!$B$17))</f>
        <v>0</v>
      </c>
      <c r="AD23" s="609">
        <f>IF(AD$7&gt;$N23,0,AC23*(1-'Interest Rate'!$B$17))</f>
        <v>0</v>
      </c>
      <c r="AE23" s="609">
        <f>IF(AE$7&gt;$N23,0,AD23*(1-'Interest Rate'!$B$17))</f>
        <v>0</v>
      </c>
      <c r="AF23" s="609">
        <f>IF(AF$7&gt;$N23,0,AE23*(1-'Interest Rate'!$B$17))</f>
        <v>0</v>
      </c>
      <c r="AG23" s="609">
        <f>IF(AG$7&gt;$N23,0,AF23*(1-'Interest Rate'!$B$17))</f>
        <v>0</v>
      </c>
      <c r="AH23" s="609">
        <f>IF(AH$7&gt;$N23,0,AG23*(1-'Interest Rate'!$B$17))</f>
        <v>0</v>
      </c>
      <c r="AI23" s="609">
        <f>IF(AI$7&gt;$N23,0,AH23*(1-'Interest Rate'!$B$17))</f>
        <v>0</v>
      </c>
      <c r="AJ23" s="609">
        <f>IF(AJ$7&gt;$N23,0,AI23*(1-'Interest Rate'!$B$17))</f>
        <v>0</v>
      </c>
      <c r="AK23" s="609">
        <f>IF(AK$7&gt;$N23,0,AJ23*(1-'Interest Rate'!$B$17))</f>
        <v>0</v>
      </c>
      <c r="AL23" s="609">
        <f>IF(AL$7&gt;$N23,0,AK23*(1-'Interest Rate'!$B$17))</f>
        <v>0</v>
      </c>
      <c r="AM23" s="609">
        <f>IF(AM$7&gt;$N23,0,AL23*(1-'Interest Rate'!$B$17))</f>
        <v>0</v>
      </c>
      <c r="AN23" s="609">
        <f>IF(AN$7&gt;$N23,0,AM23*(1-'Interest Rate'!$B$17))</f>
        <v>0</v>
      </c>
      <c r="AO23" s="609">
        <f>IF(AO$7&gt;$N23,0,AN23*(1-'Interest Rate'!$B$17))</f>
        <v>0</v>
      </c>
      <c r="AP23" s="609">
        <f>IF(AP$7&gt;$N23,0,AO23*(1-'Interest Rate'!$B$17))</f>
        <v>0</v>
      </c>
      <c r="AQ23" s="609">
        <f>IF(AQ$7&gt;$N23,0,AP23*(1-'Interest Rate'!$B$17))</f>
        <v>0</v>
      </c>
      <c r="AR23" s="609">
        <f>IF(AR$7&gt;$N23,0,AQ23*(1-'Interest Rate'!$B$17))</f>
        <v>0</v>
      </c>
      <c r="AS23" s="609">
        <f>IF(AS$7&gt;$N23,0,AR23*(1-'Interest Rate'!$B$17))</f>
        <v>0</v>
      </c>
      <c r="AT23" s="609">
        <f>IF(AT$7&gt;$N23,0,AS23*(1-'Interest Rate'!$B$17))</f>
        <v>0</v>
      </c>
      <c r="AU23" s="609">
        <f>IF(AU$7&gt;$N23,0,AT23*(1-'Interest Rate'!$B$17))</f>
        <v>0</v>
      </c>
      <c r="AV23" s="609">
        <f>IF(AV$7&gt;$N23,0,AU23*(1-'Interest Rate'!$B$17))</f>
        <v>0</v>
      </c>
      <c r="AW23" s="609">
        <f>IF(AW$7&gt;$N23,0,AV23*(1-'Interest Rate'!$B$17))</f>
        <v>0</v>
      </c>
      <c r="AX23" s="609">
        <f>IF(AX$7&gt;$N23,0,AW23*(1-'Interest Rate'!$B$17))</f>
        <v>0</v>
      </c>
      <c r="AY23" s="609">
        <f>IF(AY$7&gt;$N23,0,AX23*(1-'Interest Rate'!$B$17))</f>
        <v>0</v>
      </c>
      <c r="AZ23" s="609">
        <f>IF(AZ$7&gt;$N23,0,AY23*(1-'Interest Rate'!$B$17))</f>
        <v>0</v>
      </c>
      <c r="BA23" s="609">
        <f>IF(BA$7&gt;$N23,0,AZ23*(1-'Interest Rate'!$B$17))</f>
        <v>0</v>
      </c>
      <c r="BB23" s="609">
        <f>IF(BB$7&gt;$N23,0,BA23*(1-'Interest Rate'!$B$17))</f>
        <v>0</v>
      </c>
      <c r="BC23" s="609">
        <f>IF(BC$7&gt;$N23,0,BB23*(1-'Interest Rate'!$B$17))</f>
        <v>0</v>
      </c>
      <c r="BD23" s="609">
        <f>IF(BD$7&gt;$N23,0,BC23*(1-'Interest Rate'!$B$17))</f>
        <v>0</v>
      </c>
      <c r="BE23" s="609">
        <f>IF(BE$7&gt;$N23,0,BD23*(1-'Interest Rate'!$B$17))</f>
        <v>0</v>
      </c>
      <c r="BF23" s="609">
        <f>IF(BF$7&gt;$N23,0,BE23*(1-'Interest Rate'!$B$17))</f>
        <v>0</v>
      </c>
      <c r="BG23" s="609">
        <f>IF(BG$7&gt;$N23,0,BF23*(1-'Interest Rate'!$B$17))</f>
        <v>0</v>
      </c>
      <c r="BH23" s="609">
        <f>IF(BH$7&gt;$N23,0,BG23*(1-'Interest Rate'!$B$17))</f>
        <v>0</v>
      </c>
      <c r="BI23" s="609">
        <f>IF(BI$7&gt;$N23,0,BH23*(1-'Interest Rate'!$B$17))</f>
        <v>0</v>
      </c>
      <c r="BJ23" s="609">
        <f>IF(BJ$7&gt;$N23,0,BI23*(1-'Interest Rate'!$B$17))</f>
        <v>0</v>
      </c>
      <c r="BK23" s="609">
        <f>IF(BK$7&gt;$N23,0,BJ23*(1-'Interest Rate'!$B$17))</f>
        <v>0</v>
      </c>
      <c r="BL23" s="609">
        <f>IF(BL$7&gt;$N23,0,BK23*(1-'Interest Rate'!$B$17))</f>
        <v>0</v>
      </c>
      <c r="BM23" s="609">
        <f>IF(BM$7&gt;$N23,0,BL23*(1-'Interest Rate'!$B$17))</f>
        <v>0</v>
      </c>
      <c r="BN23" s="609">
        <f>IF(BN$7&gt;$N23,0,BM23*(1-'Interest Rate'!$B$17))</f>
        <v>0</v>
      </c>
      <c r="BO23" s="609">
        <f>IF(BO$7&gt;$N23,0,BN23*(1-'Interest Rate'!$B$17))</f>
        <v>0</v>
      </c>
      <c r="BP23" s="609">
        <f>IF(BP$7&gt;$N23,0,BO23*(1-'Interest Rate'!$B$17))</f>
        <v>0</v>
      </c>
      <c r="BQ23" s="609">
        <f>IF(BQ$7&gt;$N23,0,BP23*(1-'Interest Rate'!$B$17))</f>
        <v>0</v>
      </c>
      <c r="BR23" s="609">
        <f>IF(BR$7&gt;$N23,0,BQ23*(1-'Interest Rate'!$B$17))</f>
        <v>0</v>
      </c>
      <c r="BS23" s="609">
        <f>IF(BS$7&gt;$N23,0,BR23*(1-'Interest Rate'!$B$17))</f>
        <v>0</v>
      </c>
      <c r="BT23" s="609">
        <f>IF(BT$7&gt;$N23,0,BS23*(1-'Interest Rate'!$B$17))</f>
        <v>0</v>
      </c>
      <c r="BU23" s="609">
        <f>IF(BU$7&gt;$N23,0,BT23*(1-'Interest Rate'!$B$17))</f>
        <v>0</v>
      </c>
      <c r="BV23" s="609">
        <f>IF(BV$7&gt;$N23,0,BU23*(1-'Interest Rate'!$B$17))</f>
        <v>0</v>
      </c>
      <c r="BW23" s="609">
        <f>IF(BW$7&gt;$N23,0,BV23*(1-'Interest Rate'!$B$17))</f>
        <v>0</v>
      </c>
      <c r="BX23" s="609">
        <f>IF(BX$7&gt;$N23,0,BW23*(1-'Interest Rate'!$B$17))</f>
        <v>0</v>
      </c>
      <c r="BY23" s="609">
        <f>IF(BY$7&gt;$N23,0,BX23*(1-'Interest Rate'!$B$17))</f>
        <v>0</v>
      </c>
      <c r="BZ23" s="609">
        <f>IF(BZ$7&gt;$N23,0,BY23*(1-'Interest Rate'!$B$17))</f>
        <v>0</v>
      </c>
      <c r="CA23" s="609">
        <f>IF(CA$7&gt;$N23,0,BZ23*(1-'Interest Rate'!$B$17))</f>
        <v>0</v>
      </c>
      <c r="CB23" s="609">
        <f>IF(CB$7&gt;$N23,0,CA23*(1-'Interest Rate'!$B$17))</f>
        <v>0</v>
      </c>
      <c r="CC23" s="609">
        <f>IF(CC$7&gt;$N23,0,CB23*(1-'Interest Rate'!$B$17))</f>
        <v>0</v>
      </c>
      <c r="CD23" s="609">
        <f>IF(CD$7&gt;$N23,0,CC23*(1-'Interest Rate'!$B$17))</f>
        <v>0</v>
      </c>
      <c r="CE23" s="609">
        <f>IF(CE$7&gt;$N23,0,CD23*(1-'Interest Rate'!$B$17))</f>
        <v>0</v>
      </c>
      <c r="CF23" s="609">
        <f>IF(CF$7&gt;$N23,0,CE23*(1-'Interest Rate'!$B$17))</f>
        <v>0</v>
      </c>
      <c r="CG23" s="609">
        <f>IF(CG$7&gt;$N23,0,CF23*(1-'Interest Rate'!$B$17))</f>
        <v>0</v>
      </c>
      <c r="CH23" s="609">
        <f>IF(CH$7&gt;$N23,0,CG23*(1-'Interest Rate'!$B$17))</f>
        <v>0</v>
      </c>
      <c r="CI23" s="609">
        <f>IF(CI$7&gt;$N23,0,CH23*(1-'Interest Rate'!$B$17))</f>
        <v>0</v>
      </c>
      <c r="CJ23" s="609">
        <f>IF(CJ$7&gt;$N23,0,CI23*(1-'Interest Rate'!$B$17))</f>
        <v>0</v>
      </c>
      <c r="CK23" s="609">
        <f>IF(CK$7&gt;$N23,0,CJ23*(1-'Interest Rate'!$B$17))</f>
        <v>0</v>
      </c>
      <c r="CL23" s="609">
        <f>IF(CL$7&gt;$N23,0,CK23*(1-'Interest Rate'!$B$17))</f>
        <v>0</v>
      </c>
      <c r="CM23" s="609">
        <f>IF(CM$7&gt;$N23,0,CL23*(1-'Interest Rate'!$B$17))</f>
        <v>0</v>
      </c>
      <c r="CN23" s="609">
        <f>IF(CN$7&gt;$N23,0,CM23*(1-'Interest Rate'!$B$17))</f>
        <v>0</v>
      </c>
      <c r="CO23" s="609">
        <f>IF(CO$7&gt;$N23,0,CN23*(1-'Interest Rate'!$B$17))</f>
        <v>0</v>
      </c>
      <c r="CP23" s="609">
        <f>IF(CP$7&gt;$N23,0,CO23*(1-'Interest Rate'!$B$17))</f>
        <v>0</v>
      </c>
      <c r="CQ23" s="609">
        <f>IF(CQ$7&gt;$N23,0,CP23*(1-'Interest Rate'!$B$17))</f>
        <v>0</v>
      </c>
      <c r="CR23" s="609">
        <f>IF(CR$7&gt;$N23,0,CQ23*(1-'Interest Rate'!$B$17))</f>
        <v>0</v>
      </c>
      <c r="CS23" s="609">
        <f>IF(CS$7&gt;$N23,0,CR23*(1-'Interest Rate'!$B$17))</f>
        <v>0</v>
      </c>
      <c r="CT23" s="609">
        <f>IF(CT$7&gt;$N23,0,CS23*(1-'Interest Rate'!$B$17))</f>
        <v>0</v>
      </c>
      <c r="CU23" s="609">
        <f>IF(CU$7&gt;$N23,0,CT23*(1-'Interest Rate'!$B$17))</f>
        <v>0</v>
      </c>
      <c r="CV23" s="609">
        <f>IF(CV$7&gt;$N23,0,CU23*(1-'Interest Rate'!$B$17))</f>
        <v>0</v>
      </c>
      <c r="CW23" s="609">
        <f>IF(CW$7&gt;$N23,0,CV23*(1-'Interest Rate'!$B$17))</f>
        <v>0</v>
      </c>
      <c r="CX23" s="609">
        <f>IF(CX$7&gt;$N23,0,CW23*(1-'Interest Rate'!$B$17))</f>
        <v>0</v>
      </c>
      <c r="CY23" s="609">
        <f>IF(CY$7&gt;$N23,0,CX23*(1-'Interest Rate'!$B$17))</f>
        <v>0</v>
      </c>
      <c r="CZ23" s="609">
        <f>IF(CZ$7&gt;$N23,0,CY23*(1-'Interest Rate'!$B$17))</f>
        <v>0</v>
      </c>
      <c r="DA23" s="609">
        <f>IF(DA$7&gt;$N23,0,CZ23*(1-'Interest Rate'!$B$17))</f>
        <v>0</v>
      </c>
      <c r="DB23" s="609">
        <f>IF(DB$7&gt;$N23,0,DA23*(1-'Interest Rate'!$B$17))</f>
        <v>0</v>
      </c>
      <c r="DC23" s="609">
        <f>IF(DC$7&gt;$N23,0,DB23*(1-'Interest Rate'!$B$17))</f>
        <v>0</v>
      </c>
      <c r="DD23" s="609">
        <f>IF(DD$7&gt;$N23,0,DC23*(1-'Interest Rate'!$B$17))</f>
        <v>0</v>
      </c>
      <c r="DE23" s="609">
        <f>IF(DE$7&gt;$N23,0,DD23*(1-'Interest Rate'!$B$17))</f>
        <v>0</v>
      </c>
      <c r="DF23" s="609">
        <f>IF(DF$7&gt;$N23,0,DE23*(1-'Interest Rate'!$B$17))</f>
        <v>0</v>
      </c>
      <c r="DG23" s="609">
        <f>IF(DG$7&gt;$N23,0,DF23*(1-'Interest Rate'!$B$17))</f>
        <v>0</v>
      </c>
      <c r="DH23" s="609">
        <f>IF(DH$7&gt;$N23,0,DG23*(1-'Interest Rate'!$B$17))</f>
        <v>0</v>
      </c>
      <c r="DI23" s="609">
        <f>IF(DI$7&gt;$N23,0,DH23*(1-'Interest Rate'!$B$17))</f>
        <v>0</v>
      </c>
      <c r="DJ23" s="609">
        <f>IF(DJ$7&gt;$N23,0,DI23*(1-'Interest Rate'!$B$17))</f>
        <v>0</v>
      </c>
      <c r="DK23" s="609">
        <f>IF(DK$7&gt;$N23,0,DJ23*(1-'Interest Rate'!$B$17))</f>
        <v>0</v>
      </c>
      <c r="DL23" s="609">
        <f>IF(DL$7&gt;$N23,0,DK23*(1-'Interest Rate'!$B$17))</f>
        <v>0</v>
      </c>
      <c r="DM23" s="609">
        <f>IF(DM$7&gt;$N23,0,DL23*(1-'Interest Rate'!$B$17))</f>
        <v>0</v>
      </c>
    </row>
    <row r="24" spans="1:117" ht="27.75" customHeight="1" x14ac:dyDescent="0.3">
      <c r="A24" s="600" t="str">
        <f>'EEM Data Entry'!A101</f>
        <v/>
      </c>
      <c r="B24" s="601" t="str">
        <f>'EEM Data Entry'!B101</f>
        <v/>
      </c>
      <c r="C24" s="602" t="str">
        <f>'EEM Data Entry'!F101</f>
        <v/>
      </c>
      <c r="D24" s="602">
        <v>0</v>
      </c>
      <c r="E24" s="602" t="e">
        <f t="shared" si="6"/>
        <v>#VALUE!</v>
      </c>
      <c r="F24" s="602">
        <f>('Savings Summary'!D23*'Savings Summary'!D$5)+('Savings Summary'!F23*'Savings Summary'!F$5)+('Savings Summary'!H23*'Savings Summary'!H$5)+('Savings Summary'!J23*'Savings Summary'!J$5)+('Savings Summary'!L23*'Savings Summary'!L$5)+('Savings Summary'!N23*'Savings Summary'!N$5)+('Savings Summary'!P23*'Savings Summary'!P$5)+('Savings Summary'!R23*'Savings Summary'!R$5)</f>
        <v>0</v>
      </c>
      <c r="G24" s="603">
        <f>'Savings Summary'!T23</f>
        <v>0</v>
      </c>
      <c r="H24" s="604" t="e">
        <f t="shared" si="7"/>
        <v>#VALUE!</v>
      </c>
      <c r="I24" s="600" t="e">
        <f t="shared" si="8"/>
        <v>#VALUE!</v>
      </c>
      <c r="J24" s="605" t="e">
        <f t="shared" si="3"/>
        <v>#NUM!</v>
      </c>
      <c r="K24" s="606" t="e">
        <f>PV('Interest Rate'!$B$17,Table6[[#This Row],[LIFETIME]],-Table6[[#This Row],[ANNUAL ENERGY COST SAVINGS]],Table6[[#This Row],[END-OF-LIFE]],0)-Table6[[#This Row],[CAPITAL INVESTMENT]]</f>
        <v>#VALUE!</v>
      </c>
      <c r="L24" s="600" t="str">
        <f>'EEM Data Entry'!C101</f>
        <v/>
      </c>
      <c r="M24" s="607" t="e">
        <f>Table6[[#This Row],[ANNUAL ENERGY COST SAVINGS]]/Table6[[#This Row],[CAPITAL INVESTMENT]]</f>
        <v>#VALUE!</v>
      </c>
      <c r="N24" s="804" t="str">
        <f>Table6[[#This Row],[LIFETIME]]</f>
        <v/>
      </c>
      <c r="O24" s="607"/>
      <c r="P24" s="607"/>
      <c r="Q24" s="608" t="str">
        <f t="shared" si="4"/>
        <v/>
      </c>
      <c r="R24" s="609">
        <f t="shared" si="5"/>
        <v>0</v>
      </c>
      <c r="S24" s="609">
        <f>IF(S$7&gt;$N24,0,R24*(1-'Interest Rate'!$B$17))</f>
        <v>0</v>
      </c>
      <c r="T24" s="609">
        <f>IF(T$7&gt;$N24,0,S24*(1-'Interest Rate'!$B$17))</f>
        <v>0</v>
      </c>
      <c r="U24" s="609">
        <f>IF(U$7&gt;$N24,0,T24*(1-'Interest Rate'!$B$17))</f>
        <v>0</v>
      </c>
      <c r="V24" s="609">
        <f>IF(V$7&gt;$N24,0,U24*(1-'Interest Rate'!$B$17))</f>
        <v>0</v>
      </c>
      <c r="W24" s="609">
        <f>IF(W$7&gt;$N24,0,V24*(1-'Interest Rate'!$B$17))</f>
        <v>0</v>
      </c>
      <c r="X24" s="609">
        <f>IF(X$7&gt;$N24,0,W24*(1-'Interest Rate'!$B$17))</f>
        <v>0</v>
      </c>
      <c r="Y24" s="609">
        <f>IF(Y$7&gt;$N24,0,X24*(1-'Interest Rate'!$B$17))</f>
        <v>0</v>
      </c>
      <c r="Z24" s="609">
        <f>IF(Z$7&gt;$N24,0,Y24*(1-'Interest Rate'!$B$17))</f>
        <v>0</v>
      </c>
      <c r="AA24" s="609">
        <f>IF(AA$7&gt;$N24,0,Z24*(1-'Interest Rate'!$B$17))</f>
        <v>0</v>
      </c>
      <c r="AB24" s="609">
        <f>IF(AB$7&gt;$N24,0,AA24*(1-'Interest Rate'!$B$17))</f>
        <v>0</v>
      </c>
      <c r="AC24" s="609">
        <f>IF(AC$7&gt;$N24,0,AB24*(1-'Interest Rate'!$B$17))</f>
        <v>0</v>
      </c>
      <c r="AD24" s="609">
        <f>IF(AD$7&gt;$N24,0,AC24*(1-'Interest Rate'!$B$17))</f>
        <v>0</v>
      </c>
      <c r="AE24" s="609">
        <f>IF(AE$7&gt;$N24,0,AD24*(1-'Interest Rate'!$B$17))</f>
        <v>0</v>
      </c>
      <c r="AF24" s="609">
        <f>IF(AF$7&gt;$N24,0,AE24*(1-'Interest Rate'!$B$17))</f>
        <v>0</v>
      </c>
      <c r="AG24" s="609">
        <f>IF(AG$7&gt;$N24,0,AF24*(1-'Interest Rate'!$B$17))</f>
        <v>0</v>
      </c>
      <c r="AH24" s="609">
        <f>IF(AH$7&gt;$N24,0,AG24*(1-'Interest Rate'!$B$17))</f>
        <v>0</v>
      </c>
      <c r="AI24" s="609">
        <f>IF(AI$7&gt;$N24,0,AH24*(1-'Interest Rate'!$B$17))</f>
        <v>0</v>
      </c>
      <c r="AJ24" s="609">
        <f>IF(AJ$7&gt;$N24,0,AI24*(1-'Interest Rate'!$B$17))</f>
        <v>0</v>
      </c>
      <c r="AK24" s="609">
        <f>IF(AK$7&gt;$N24,0,AJ24*(1-'Interest Rate'!$B$17))</f>
        <v>0</v>
      </c>
      <c r="AL24" s="609">
        <f>IF(AL$7&gt;$N24,0,AK24*(1-'Interest Rate'!$B$17))</f>
        <v>0</v>
      </c>
      <c r="AM24" s="609">
        <f>IF(AM$7&gt;$N24,0,AL24*(1-'Interest Rate'!$B$17))</f>
        <v>0</v>
      </c>
      <c r="AN24" s="609">
        <f>IF(AN$7&gt;$N24,0,AM24*(1-'Interest Rate'!$B$17))</f>
        <v>0</v>
      </c>
      <c r="AO24" s="609">
        <f>IF(AO$7&gt;$N24,0,AN24*(1-'Interest Rate'!$B$17))</f>
        <v>0</v>
      </c>
      <c r="AP24" s="609">
        <f>IF(AP$7&gt;$N24,0,AO24*(1-'Interest Rate'!$B$17))</f>
        <v>0</v>
      </c>
      <c r="AQ24" s="609">
        <f>IF(AQ$7&gt;$N24,0,AP24*(1-'Interest Rate'!$B$17))</f>
        <v>0</v>
      </c>
      <c r="AR24" s="609">
        <f>IF(AR$7&gt;$N24,0,AQ24*(1-'Interest Rate'!$B$17))</f>
        <v>0</v>
      </c>
      <c r="AS24" s="609">
        <f>IF(AS$7&gt;$N24,0,AR24*(1-'Interest Rate'!$B$17))</f>
        <v>0</v>
      </c>
      <c r="AT24" s="609">
        <f>IF(AT$7&gt;$N24,0,AS24*(1-'Interest Rate'!$B$17))</f>
        <v>0</v>
      </c>
      <c r="AU24" s="609">
        <f>IF(AU$7&gt;$N24,0,AT24*(1-'Interest Rate'!$B$17))</f>
        <v>0</v>
      </c>
      <c r="AV24" s="609">
        <f>IF(AV$7&gt;$N24,0,AU24*(1-'Interest Rate'!$B$17))</f>
        <v>0</v>
      </c>
      <c r="AW24" s="609">
        <f>IF(AW$7&gt;$N24,0,AV24*(1-'Interest Rate'!$B$17))</f>
        <v>0</v>
      </c>
      <c r="AX24" s="609">
        <f>IF(AX$7&gt;$N24,0,AW24*(1-'Interest Rate'!$B$17))</f>
        <v>0</v>
      </c>
      <c r="AY24" s="609">
        <f>IF(AY$7&gt;$N24,0,AX24*(1-'Interest Rate'!$B$17))</f>
        <v>0</v>
      </c>
      <c r="AZ24" s="609">
        <f>IF(AZ$7&gt;$N24,0,AY24*(1-'Interest Rate'!$B$17))</f>
        <v>0</v>
      </c>
      <c r="BA24" s="609">
        <f>IF(BA$7&gt;$N24,0,AZ24*(1-'Interest Rate'!$B$17))</f>
        <v>0</v>
      </c>
      <c r="BB24" s="609">
        <f>IF(BB$7&gt;$N24,0,BA24*(1-'Interest Rate'!$B$17))</f>
        <v>0</v>
      </c>
      <c r="BC24" s="609">
        <f>IF(BC$7&gt;$N24,0,BB24*(1-'Interest Rate'!$B$17))</f>
        <v>0</v>
      </c>
      <c r="BD24" s="609">
        <f>IF(BD$7&gt;$N24,0,BC24*(1-'Interest Rate'!$B$17))</f>
        <v>0</v>
      </c>
      <c r="BE24" s="609">
        <f>IF(BE$7&gt;$N24,0,BD24*(1-'Interest Rate'!$B$17))</f>
        <v>0</v>
      </c>
      <c r="BF24" s="609">
        <f>IF(BF$7&gt;$N24,0,BE24*(1-'Interest Rate'!$B$17))</f>
        <v>0</v>
      </c>
      <c r="BG24" s="609">
        <f>IF(BG$7&gt;$N24,0,BF24*(1-'Interest Rate'!$B$17))</f>
        <v>0</v>
      </c>
      <c r="BH24" s="609">
        <f>IF(BH$7&gt;$N24,0,BG24*(1-'Interest Rate'!$B$17))</f>
        <v>0</v>
      </c>
      <c r="BI24" s="609">
        <f>IF(BI$7&gt;$N24,0,BH24*(1-'Interest Rate'!$B$17))</f>
        <v>0</v>
      </c>
      <c r="BJ24" s="609">
        <f>IF(BJ$7&gt;$N24,0,BI24*(1-'Interest Rate'!$B$17))</f>
        <v>0</v>
      </c>
      <c r="BK24" s="609">
        <f>IF(BK$7&gt;$N24,0,BJ24*(1-'Interest Rate'!$B$17))</f>
        <v>0</v>
      </c>
      <c r="BL24" s="609">
        <f>IF(BL$7&gt;$N24,0,BK24*(1-'Interest Rate'!$B$17))</f>
        <v>0</v>
      </c>
      <c r="BM24" s="609">
        <f>IF(BM$7&gt;$N24,0,BL24*(1-'Interest Rate'!$B$17))</f>
        <v>0</v>
      </c>
      <c r="BN24" s="609">
        <f>IF(BN$7&gt;$N24,0,BM24*(1-'Interest Rate'!$B$17))</f>
        <v>0</v>
      </c>
      <c r="BO24" s="609">
        <f>IF(BO$7&gt;$N24,0,BN24*(1-'Interest Rate'!$B$17))</f>
        <v>0</v>
      </c>
      <c r="BP24" s="609">
        <f>IF(BP$7&gt;$N24,0,BO24*(1-'Interest Rate'!$B$17))</f>
        <v>0</v>
      </c>
      <c r="BQ24" s="609">
        <f>IF(BQ$7&gt;$N24,0,BP24*(1-'Interest Rate'!$B$17))</f>
        <v>0</v>
      </c>
      <c r="BR24" s="609">
        <f>IF(BR$7&gt;$N24,0,BQ24*(1-'Interest Rate'!$B$17))</f>
        <v>0</v>
      </c>
      <c r="BS24" s="609">
        <f>IF(BS$7&gt;$N24,0,BR24*(1-'Interest Rate'!$B$17))</f>
        <v>0</v>
      </c>
      <c r="BT24" s="609">
        <f>IF(BT$7&gt;$N24,0,BS24*(1-'Interest Rate'!$B$17))</f>
        <v>0</v>
      </c>
      <c r="BU24" s="609">
        <f>IF(BU$7&gt;$N24,0,BT24*(1-'Interest Rate'!$B$17))</f>
        <v>0</v>
      </c>
      <c r="BV24" s="609">
        <f>IF(BV$7&gt;$N24,0,BU24*(1-'Interest Rate'!$B$17))</f>
        <v>0</v>
      </c>
      <c r="BW24" s="609">
        <f>IF(BW$7&gt;$N24,0,BV24*(1-'Interest Rate'!$B$17))</f>
        <v>0</v>
      </c>
      <c r="BX24" s="609">
        <f>IF(BX$7&gt;$N24,0,BW24*(1-'Interest Rate'!$B$17))</f>
        <v>0</v>
      </c>
      <c r="BY24" s="609">
        <f>IF(BY$7&gt;$N24,0,BX24*(1-'Interest Rate'!$B$17))</f>
        <v>0</v>
      </c>
      <c r="BZ24" s="609">
        <f>IF(BZ$7&gt;$N24,0,BY24*(1-'Interest Rate'!$B$17))</f>
        <v>0</v>
      </c>
      <c r="CA24" s="609">
        <f>IF(CA$7&gt;$N24,0,BZ24*(1-'Interest Rate'!$B$17))</f>
        <v>0</v>
      </c>
      <c r="CB24" s="609">
        <f>IF(CB$7&gt;$N24,0,CA24*(1-'Interest Rate'!$B$17))</f>
        <v>0</v>
      </c>
      <c r="CC24" s="609">
        <f>IF(CC$7&gt;$N24,0,CB24*(1-'Interest Rate'!$B$17))</f>
        <v>0</v>
      </c>
      <c r="CD24" s="609">
        <f>IF(CD$7&gt;$N24,0,CC24*(1-'Interest Rate'!$B$17))</f>
        <v>0</v>
      </c>
      <c r="CE24" s="609">
        <f>IF(CE$7&gt;$N24,0,CD24*(1-'Interest Rate'!$B$17))</f>
        <v>0</v>
      </c>
      <c r="CF24" s="609">
        <f>IF(CF$7&gt;$N24,0,CE24*(1-'Interest Rate'!$B$17))</f>
        <v>0</v>
      </c>
      <c r="CG24" s="609">
        <f>IF(CG$7&gt;$N24,0,CF24*(1-'Interest Rate'!$B$17))</f>
        <v>0</v>
      </c>
      <c r="CH24" s="609">
        <f>IF(CH$7&gt;$N24,0,CG24*(1-'Interest Rate'!$B$17))</f>
        <v>0</v>
      </c>
      <c r="CI24" s="609">
        <f>IF(CI$7&gt;$N24,0,CH24*(1-'Interest Rate'!$B$17))</f>
        <v>0</v>
      </c>
      <c r="CJ24" s="609">
        <f>IF(CJ$7&gt;$N24,0,CI24*(1-'Interest Rate'!$B$17))</f>
        <v>0</v>
      </c>
      <c r="CK24" s="609">
        <f>IF(CK$7&gt;$N24,0,CJ24*(1-'Interest Rate'!$B$17))</f>
        <v>0</v>
      </c>
      <c r="CL24" s="609">
        <f>IF(CL$7&gt;$N24,0,CK24*(1-'Interest Rate'!$B$17))</f>
        <v>0</v>
      </c>
      <c r="CM24" s="609">
        <f>IF(CM$7&gt;$N24,0,CL24*(1-'Interest Rate'!$B$17))</f>
        <v>0</v>
      </c>
      <c r="CN24" s="609">
        <f>IF(CN$7&gt;$N24,0,CM24*(1-'Interest Rate'!$B$17))</f>
        <v>0</v>
      </c>
      <c r="CO24" s="609">
        <f>IF(CO$7&gt;$N24,0,CN24*(1-'Interest Rate'!$B$17))</f>
        <v>0</v>
      </c>
      <c r="CP24" s="609">
        <f>IF(CP$7&gt;$N24,0,CO24*(1-'Interest Rate'!$B$17))</f>
        <v>0</v>
      </c>
      <c r="CQ24" s="609">
        <f>IF(CQ$7&gt;$N24,0,CP24*(1-'Interest Rate'!$B$17))</f>
        <v>0</v>
      </c>
      <c r="CR24" s="609">
        <f>IF(CR$7&gt;$N24,0,CQ24*(1-'Interest Rate'!$B$17))</f>
        <v>0</v>
      </c>
      <c r="CS24" s="609">
        <f>IF(CS$7&gt;$N24,0,CR24*(1-'Interest Rate'!$B$17))</f>
        <v>0</v>
      </c>
      <c r="CT24" s="609">
        <f>IF(CT$7&gt;$N24,0,CS24*(1-'Interest Rate'!$B$17))</f>
        <v>0</v>
      </c>
      <c r="CU24" s="609">
        <f>IF(CU$7&gt;$N24,0,CT24*(1-'Interest Rate'!$B$17))</f>
        <v>0</v>
      </c>
      <c r="CV24" s="609">
        <f>IF(CV$7&gt;$N24,0,CU24*(1-'Interest Rate'!$B$17))</f>
        <v>0</v>
      </c>
      <c r="CW24" s="609">
        <f>IF(CW$7&gt;$N24,0,CV24*(1-'Interest Rate'!$B$17))</f>
        <v>0</v>
      </c>
      <c r="CX24" s="609">
        <f>IF(CX$7&gt;$N24,0,CW24*(1-'Interest Rate'!$B$17))</f>
        <v>0</v>
      </c>
      <c r="CY24" s="609">
        <f>IF(CY$7&gt;$N24,0,CX24*(1-'Interest Rate'!$B$17))</f>
        <v>0</v>
      </c>
      <c r="CZ24" s="609">
        <f>IF(CZ$7&gt;$N24,0,CY24*(1-'Interest Rate'!$B$17))</f>
        <v>0</v>
      </c>
      <c r="DA24" s="609">
        <f>IF(DA$7&gt;$N24,0,CZ24*(1-'Interest Rate'!$B$17))</f>
        <v>0</v>
      </c>
      <c r="DB24" s="609">
        <f>IF(DB$7&gt;$N24,0,DA24*(1-'Interest Rate'!$B$17))</f>
        <v>0</v>
      </c>
      <c r="DC24" s="609">
        <f>IF(DC$7&gt;$N24,0,DB24*(1-'Interest Rate'!$B$17))</f>
        <v>0</v>
      </c>
      <c r="DD24" s="609">
        <f>IF(DD$7&gt;$N24,0,DC24*(1-'Interest Rate'!$B$17))</f>
        <v>0</v>
      </c>
      <c r="DE24" s="609">
        <f>IF(DE$7&gt;$N24,0,DD24*(1-'Interest Rate'!$B$17))</f>
        <v>0</v>
      </c>
      <c r="DF24" s="609">
        <f>IF(DF$7&gt;$N24,0,DE24*(1-'Interest Rate'!$B$17))</f>
        <v>0</v>
      </c>
      <c r="DG24" s="609">
        <f>IF(DG$7&gt;$N24,0,DF24*(1-'Interest Rate'!$B$17))</f>
        <v>0</v>
      </c>
      <c r="DH24" s="609">
        <f>IF(DH$7&gt;$N24,0,DG24*(1-'Interest Rate'!$B$17))</f>
        <v>0</v>
      </c>
      <c r="DI24" s="609">
        <f>IF(DI$7&gt;$N24,0,DH24*(1-'Interest Rate'!$B$17))</f>
        <v>0</v>
      </c>
      <c r="DJ24" s="609">
        <f>IF(DJ$7&gt;$N24,0,DI24*(1-'Interest Rate'!$B$17))</f>
        <v>0</v>
      </c>
      <c r="DK24" s="609">
        <f>IF(DK$7&gt;$N24,0,DJ24*(1-'Interest Rate'!$B$17))</f>
        <v>0</v>
      </c>
      <c r="DL24" s="609">
        <f>IF(DL$7&gt;$N24,0,DK24*(1-'Interest Rate'!$B$17))</f>
        <v>0</v>
      </c>
      <c r="DM24" s="609">
        <f>IF(DM$7&gt;$N24,0,DL24*(1-'Interest Rate'!$B$17))</f>
        <v>0</v>
      </c>
    </row>
    <row r="25" spans="1:117" ht="27.75" customHeight="1" x14ac:dyDescent="0.3">
      <c r="A25" s="600" t="str">
        <f>'EEM Data Entry'!A102</f>
        <v/>
      </c>
      <c r="B25" s="601" t="str">
        <f>'EEM Data Entry'!B102</f>
        <v/>
      </c>
      <c r="C25" s="602" t="str">
        <f>'EEM Data Entry'!F102</f>
        <v/>
      </c>
      <c r="D25" s="602">
        <v>0</v>
      </c>
      <c r="E25" s="602" t="e">
        <f t="shared" si="6"/>
        <v>#VALUE!</v>
      </c>
      <c r="F25" s="602">
        <f>('Savings Summary'!D24*'Savings Summary'!D$5)+('Savings Summary'!F24*'Savings Summary'!F$5)+('Savings Summary'!H24*'Savings Summary'!H$5)+('Savings Summary'!J24*'Savings Summary'!J$5)+('Savings Summary'!L24*'Savings Summary'!L$5)+('Savings Summary'!N24*'Savings Summary'!N$5)+('Savings Summary'!P24*'Savings Summary'!P$5)+('Savings Summary'!R24*'Savings Summary'!R$5)</f>
        <v>0</v>
      </c>
      <c r="G25" s="603">
        <f>'Savings Summary'!T24</f>
        <v>0</v>
      </c>
      <c r="H25" s="604" t="e">
        <f t="shared" si="7"/>
        <v>#VALUE!</v>
      </c>
      <c r="I25" s="600" t="e">
        <f t="shared" si="8"/>
        <v>#VALUE!</v>
      </c>
      <c r="J25" s="605" t="e">
        <f t="shared" si="3"/>
        <v>#NUM!</v>
      </c>
      <c r="K25" s="606" t="e">
        <f>PV('Interest Rate'!$B$17,Table6[[#This Row],[LIFETIME]],-Table6[[#This Row],[ANNUAL ENERGY COST SAVINGS]],Table6[[#This Row],[END-OF-LIFE]],0)-Table6[[#This Row],[CAPITAL INVESTMENT]]</f>
        <v>#VALUE!</v>
      </c>
      <c r="L25" s="600" t="str">
        <f>'EEM Data Entry'!C102</f>
        <v/>
      </c>
      <c r="M25" s="607" t="e">
        <f>Table6[[#This Row],[ANNUAL ENERGY COST SAVINGS]]/Table6[[#This Row],[CAPITAL INVESTMENT]]</f>
        <v>#VALUE!</v>
      </c>
      <c r="N25" s="804" t="str">
        <f>Table6[[#This Row],[LIFETIME]]</f>
        <v/>
      </c>
      <c r="O25" s="607"/>
      <c r="P25" s="607"/>
      <c r="Q25" s="608" t="str">
        <f t="shared" si="4"/>
        <v/>
      </c>
      <c r="R25" s="609">
        <f t="shared" si="5"/>
        <v>0</v>
      </c>
      <c r="S25" s="609">
        <f>IF(S$7&gt;$N25,0,R25*(1-'Interest Rate'!$B$17))</f>
        <v>0</v>
      </c>
      <c r="T25" s="609">
        <f>IF(T$7&gt;$N25,0,S25*(1-'Interest Rate'!$B$17))</f>
        <v>0</v>
      </c>
      <c r="U25" s="609">
        <f>IF(U$7&gt;$N25,0,T25*(1-'Interest Rate'!$B$17))</f>
        <v>0</v>
      </c>
      <c r="V25" s="609">
        <f>IF(V$7&gt;$N25,0,U25*(1-'Interest Rate'!$B$17))</f>
        <v>0</v>
      </c>
      <c r="W25" s="609">
        <f>IF(W$7&gt;$N25,0,V25*(1-'Interest Rate'!$B$17))</f>
        <v>0</v>
      </c>
      <c r="X25" s="609">
        <f>IF(X$7&gt;$N25,0,W25*(1-'Interest Rate'!$B$17))</f>
        <v>0</v>
      </c>
      <c r="Y25" s="609">
        <f>IF(Y$7&gt;$N25,0,X25*(1-'Interest Rate'!$B$17))</f>
        <v>0</v>
      </c>
      <c r="Z25" s="609">
        <f>IF(Z$7&gt;$N25,0,Y25*(1-'Interest Rate'!$B$17))</f>
        <v>0</v>
      </c>
      <c r="AA25" s="609">
        <f>IF(AA$7&gt;$N25,0,Z25*(1-'Interest Rate'!$B$17))</f>
        <v>0</v>
      </c>
      <c r="AB25" s="609">
        <f>IF(AB$7&gt;$N25,0,AA25*(1-'Interest Rate'!$B$17))</f>
        <v>0</v>
      </c>
      <c r="AC25" s="609">
        <f>IF(AC$7&gt;$N25,0,AB25*(1-'Interest Rate'!$B$17))</f>
        <v>0</v>
      </c>
      <c r="AD25" s="609">
        <f>IF(AD$7&gt;$N25,0,AC25*(1-'Interest Rate'!$B$17))</f>
        <v>0</v>
      </c>
      <c r="AE25" s="609">
        <f>IF(AE$7&gt;$N25,0,AD25*(1-'Interest Rate'!$B$17))</f>
        <v>0</v>
      </c>
      <c r="AF25" s="609">
        <f>IF(AF$7&gt;$N25,0,AE25*(1-'Interest Rate'!$B$17))</f>
        <v>0</v>
      </c>
      <c r="AG25" s="609">
        <f>IF(AG$7&gt;$N25,0,AF25*(1-'Interest Rate'!$B$17))</f>
        <v>0</v>
      </c>
      <c r="AH25" s="609">
        <f>IF(AH$7&gt;$N25,0,AG25*(1-'Interest Rate'!$B$17))</f>
        <v>0</v>
      </c>
      <c r="AI25" s="609">
        <f>IF(AI$7&gt;$N25,0,AH25*(1-'Interest Rate'!$B$17))</f>
        <v>0</v>
      </c>
      <c r="AJ25" s="609">
        <f>IF(AJ$7&gt;$N25,0,AI25*(1-'Interest Rate'!$B$17))</f>
        <v>0</v>
      </c>
      <c r="AK25" s="609">
        <f>IF(AK$7&gt;$N25,0,AJ25*(1-'Interest Rate'!$B$17))</f>
        <v>0</v>
      </c>
      <c r="AL25" s="609">
        <f>IF(AL$7&gt;$N25,0,AK25*(1-'Interest Rate'!$B$17))</f>
        <v>0</v>
      </c>
      <c r="AM25" s="609">
        <f>IF(AM$7&gt;$N25,0,AL25*(1-'Interest Rate'!$B$17))</f>
        <v>0</v>
      </c>
      <c r="AN25" s="609">
        <f>IF(AN$7&gt;$N25,0,AM25*(1-'Interest Rate'!$B$17))</f>
        <v>0</v>
      </c>
      <c r="AO25" s="609">
        <f>IF(AO$7&gt;$N25,0,AN25*(1-'Interest Rate'!$B$17))</f>
        <v>0</v>
      </c>
      <c r="AP25" s="609">
        <f>IF(AP$7&gt;$N25,0,AO25*(1-'Interest Rate'!$B$17))</f>
        <v>0</v>
      </c>
      <c r="AQ25" s="609">
        <f>IF(AQ$7&gt;$N25,0,AP25*(1-'Interest Rate'!$B$17))</f>
        <v>0</v>
      </c>
      <c r="AR25" s="609">
        <f>IF(AR$7&gt;$N25,0,AQ25*(1-'Interest Rate'!$B$17))</f>
        <v>0</v>
      </c>
      <c r="AS25" s="609">
        <f>IF(AS$7&gt;$N25,0,AR25*(1-'Interest Rate'!$B$17))</f>
        <v>0</v>
      </c>
      <c r="AT25" s="609">
        <f>IF(AT$7&gt;$N25,0,AS25*(1-'Interest Rate'!$B$17))</f>
        <v>0</v>
      </c>
      <c r="AU25" s="609">
        <f>IF(AU$7&gt;$N25,0,AT25*(1-'Interest Rate'!$B$17))</f>
        <v>0</v>
      </c>
      <c r="AV25" s="609">
        <f>IF(AV$7&gt;$N25,0,AU25*(1-'Interest Rate'!$B$17))</f>
        <v>0</v>
      </c>
      <c r="AW25" s="609">
        <f>IF(AW$7&gt;$N25,0,AV25*(1-'Interest Rate'!$B$17))</f>
        <v>0</v>
      </c>
      <c r="AX25" s="609">
        <f>IF(AX$7&gt;$N25,0,AW25*(1-'Interest Rate'!$B$17))</f>
        <v>0</v>
      </c>
      <c r="AY25" s="609">
        <f>IF(AY$7&gt;$N25,0,AX25*(1-'Interest Rate'!$B$17))</f>
        <v>0</v>
      </c>
      <c r="AZ25" s="609">
        <f>IF(AZ$7&gt;$N25,0,AY25*(1-'Interest Rate'!$B$17))</f>
        <v>0</v>
      </c>
      <c r="BA25" s="609">
        <f>IF(BA$7&gt;$N25,0,AZ25*(1-'Interest Rate'!$B$17))</f>
        <v>0</v>
      </c>
      <c r="BB25" s="609">
        <f>IF(BB$7&gt;$N25,0,BA25*(1-'Interest Rate'!$B$17))</f>
        <v>0</v>
      </c>
      <c r="BC25" s="609">
        <f>IF(BC$7&gt;$N25,0,BB25*(1-'Interest Rate'!$B$17))</f>
        <v>0</v>
      </c>
      <c r="BD25" s="609">
        <f>IF(BD$7&gt;$N25,0,BC25*(1-'Interest Rate'!$B$17))</f>
        <v>0</v>
      </c>
      <c r="BE25" s="609">
        <f>IF(BE$7&gt;$N25,0,BD25*(1-'Interest Rate'!$B$17))</f>
        <v>0</v>
      </c>
      <c r="BF25" s="609">
        <f>IF(BF$7&gt;$N25,0,BE25*(1-'Interest Rate'!$B$17))</f>
        <v>0</v>
      </c>
      <c r="BG25" s="609">
        <f>IF(BG$7&gt;$N25,0,BF25*(1-'Interest Rate'!$B$17))</f>
        <v>0</v>
      </c>
      <c r="BH25" s="609">
        <f>IF(BH$7&gt;$N25,0,BG25*(1-'Interest Rate'!$B$17))</f>
        <v>0</v>
      </c>
      <c r="BI25" s="609">
        <f>IF(BI$7&gt;$N25,0,BH25*(1-'Interest Rate'!$B$17))</f>
        <v>0</v>
      </c>
      <c r="BJ25" s="609">
        <f>IF(BJ$7&gt;$N25,0,BI25*(1-'Interest Rate'!$B$17))</f>
        <v>0</v>
      </c>
      <c r="BK25" s="609">
        <f>IF(BK$7&gt;$N25,0,BJ25*(1-'Interest Rate'!$B$17))</f>
        <v>0</v>
      </c>
      <c r="BL25" s="609">
        <f>IF(BL$7&gt;$N25,0,BK25*(1-'Interest Rate'!$B$17))</f>
        <v>0</v>
      </c>
      <c r="BM25" s="609">
        <f>IF(BM$7&gt;$N25,0,BL25*(1-'Interest Rate'!$B$17))</f>
        <v>0</v>
      </c>
      <c r="BN25" s="609">
        <f>IF(BN$7&gt;$N25,0,BM25*(1-'Interest Rate'!$B$17))</f>
        <v>0</v>
      </c>
      <c r="BO25" s="609">
        <f>IF(BO$7&gt;$N25,0,BN25*(1-'Interest Rate'!$B$17))</f>
        <v>0</v>
      </c>
      <c r="BP25" s="609">
        <f>IF(BP$7&gt;$N25,0,BO25*(1-'Interest Rate'!$B$17))</f>
        <v>0</v>
      </c>
      <c r="BQ25" s="609">
        <f>IF(BQ$7&gt;$N25,0,BP25*(1-'Interest Rate'!$B$17))</f>
        <v>0</v>
      </c>
      <c r="BR25" s="609">
        <f>IF(BR$7&gt;$N25,0,BQ25*(1-'Interest Rate'!$B$17))</f>
        <v>0</v>
      </c>
      <c r="BS25" s="609">
        <f>IF(BS$7&gt;$N25,0,BR25*(1-'Interest Rate'!$B$17))</f>
        <v>0</v>
      </c>
      <c r="BT25" s="609">
        <f>IF(BT$7&gt;$N25,0,BS25*(1-'Interest Rate'!$B$17))</f>
        <v>0</v>
      </c>
      <c r="BU25" s="609">
        <f>IF(BU$7&gt;$N25,0,BT25*(1-'Interest Rate'!$B$17))</f>
        <v>0</v>
      </c>
      <c r="BV25" s="609">
        <f>IF(BV$7&gt;$N25,0,BU25*(1-'Interest Rate'!$B$17))</f>
        <v>0</v>
      </c>
      <c r="BW25" s="609">
        <f>IF(BW$7&gt;$N25,0,BV25*(1-'Interest Rate'!$B$17))</f>
        <v>0</v>
      </c>
      <c r="BX25" s="609">
        <f>IF(BX$7&gt;$N25,0,BW25*(1-'Interest Rate'!$B$17))</f>
        <v>0</v>
      </c>
      <c r="BY25" s="609">
        <f>IF(BY$7&gt;$N25,0,BX25*(1-'Interest Rate'!$B$17))</f>
        <v>0</v>
      </c>
      <c r="BZ25" s="609">
        <f>IF(BZ$7&gt;$N25,0,BY25*(1-'Interest Rate'!$B$17))</f>
        <v>0</v>
      </c>
      <c r="CA25" s="609">
        <f>IF(CA$7&gt;$N25,0,BZ25*(1-'Interest Rate'!$B$17))</f>
        <v>0</v>
      </c>
      <c r="CB25" s="609">
        <f>IF(CB$7&gt;$N25,0,CA25*(1-'Interest Rate'!$B$17))</f>
        <v>0</v>
      </c>
      <c r="CC25" s="609">
        <f>IF(CC$7&gt;$N25,0,CB25*(1-'Interest Rate'!$B$17))</f>
        <v>0</v>
      </c>
      <c r="CD25" s="609">
        <f>IF(CD$7&gt;$N25,0,CC25*(1-'Interest Rate'!$B$17))</f>
        <v>0</v>
      </c>
      <c r="CE25" s="609">
        <f>IF(CE$7&gt;$N25,0,CD25*(1-'Interest Rate'!$B$17))</f>
        <v>0</v>
      </c>
      <c r="CF25" s="609">
        <f>IF(CF$7&gt;$N25,0,CE25*(1-'Interest Rate'!$B$17))</f>
        <v>0</v>
      </c>
      <c r="CG25" s="609">
        <f>IF(CG$7&gt;$N25,0,CF25*(1-'Interest Rate'!$B$17))</f>
        <v>0</v>
      </c>
      <c r="CH25" s="609">
        <f>IF(CH$7&gt;$N25,0,CG25*(1-'Interest Rate'!$B$17))</f>
        <v>0</v>
      </c>
      <c r="CI25" s="609">
        <f>IF(CI$7&gt;$N25,0,CH25*(1-'Interest Rate'!$B$17))</f>
        <v>0</v>
      </c>
      <c r="CJ25" s="609">
        <f>IF(CJ$7&gt;$N25,0,CI25*(1-'Interest Rate'!$B$17))</f>
        <v>0</v>
      </c>
      <c r="CK25" s="609">
        <f>IF(CK$7&gt;$N25,0,CJ25*(1-'Interest Rate'!$B$17))</f>
        <v>0</v>
      </c>
      <c r="CL25" s="609">
        <f>IF(CL$7&gt;$N25,0,CK25*(1-'Interest Rate'!$B$17))</f>
        <v>0</v>
      </c>
      <c r="CM25" s="609">
        <f>IF(CM$7&gt;$N25,0,CL25*(1-'Interest Rate'!$B$17))</f>
        <v>0</v>
      </c>
      <c r="CN25" s="609">
        <f>IF(CN$7&gt;$N25,0,CM25*(1-'Interest Rate'!$B$17))</f>
        <v>0</v>
      </c>
      <c r="CO25" s="609">
        <f>IF(CO$7&gt;$N25,0,CN25*(1-'Interest Rate'!$B$17))</f>
        <v>0</v>
      </c>
      <c r="CP25" s="609">
        <f>IF(CP$7&gt;$N25,0,CO25*(1-'Interest Rate'!$B$17))</f>
        <v>0</v>
      </c>
      <c r="CQ25" s="609">
        <f>IF(CQ$7&gt;$N25,0,CP25*(1-'Interest Rate'!$B$17))</f>
        <v>0</v>
      </c>
      <c r="CR25" s="609">
        <f>IF(CR$7&gt;$N25,0,CQ25*(1-'Interest Rate'!$B$17))</f>
        <v>0</v>
      </c>
      <c r="CS25" s="609">
        <f>IF(CS$7&gt;$N25,0,CR25*(1-'Interest Rate'!$B$17))</f>
        <v>0</v>
      </c>
      <c r="CT25" s="609">
        <f>IF(CT$7&gt;$N25,0,CS25*(1-'Interest Rate'!$B$17))</f>
        <v>0</v>
      </c>
      <c r="CU25" s="609">
        <f>IF(CU$7&gt;$N25,0,CT25*(1-'Interest Rate'!$B$17))</f>
        <v>0</v>
      </c>
      <c r="CV25" s="609">
        <f>IF(CV$7&gt;$N25,0,CU25*(1-'Interest Rate'!$B$17))</f>
        <v>0</v>
      </c>
      <c r="CW25" s="609">
        <f>IF(CW$7&gt;$N25,0,CV25*(1-'Interest Rate'!$B$17))</f>
        <v>0</v>
      </c>
      <c r="CX25" s="609">
        <f>IF(CX$7&gt;$N25,0,CW25*(1-'Interest Rate'!$B$17))</f>
        <v>0</v>
      </c>
      <c r="CY25" s="609">
        <f>IF(CY$7&gt;$N25,0,CX25*(1-'Interest Rate'!$B$17))</f>
        <v>0</v>
      </c>
      <c r="CZ25" s="609">
        <f>IF(CZ$7&gt;$N25,0,CY25*(1-'Interest Rate'!$B$17))</f>
        <v>0</v>
      </c>
      <c r="DA25" s="609">
        <f>IF(DA$7&gt;$N25,0,CZ25*(1-'Interest Rate'!$B$17))</f>
        <v>0</v>
      </c>
      <c r="DB25" s="609">
        <f>IF(DB$7&gt;$N25,0,DA25*(1-'Interest Rate'!$B$17))</f>
        <v>0</v>
      </c>
      <c r="DC25" s="609">
        <f>IF(DC$7&gt;$N25,0,DB25*(1-'Interest Rate'!$B$17))</f>
        <v>0</v>
      </c>
      <c r="DD25" s="609">
        <f>IF(DD$7&gt;$N25,0,DC25*(1-'Interest Rate'!$B$17))</f>
        <v>0</v>
      </c>
      <c r="DE25" s="609">
        <f>IF(DE$7&gt;$N25,0,DD25*(1-'Interest Rate'!$B$17))</f>
        <v>0</v>
      </c>
      <c r="DF25" s="609">
        <f>IF(DF$7&gt;$N25,0,DE25*(1-'Interest Rate'!$B$17))</f>
        <v>0</v>
      </c>
      <c r="DG25" s="609">
        <f>IF(DG$7&gt;$N25,0,DF25*(1-'Interest Rate'!$B$17))</f>
        <v>0</v>
      </c>
      <c r="DH25" s="609">
        <f>IF(DH$7&gt;$N25,0,DG25*(1-'Interest Rate'!$B$17))</f>
        <v>0</v>
      </c>
      <c r="DI25" s="609">
        <f>IF(DI$7&gt;$N25,0,DH25*(1-'Interest Rate'!$B$17))</f>
        <v>0</v>
      </c>
      <c r="DJ25" s="609">
        <f>IF(DJ$7&gt;$N25,0,DI25*(1-'Interest Rate'!$B$17))</f>
        <v>0</v>
      </c>
      <c r="DK25" s="609">
        <f>IF(DK$7&gt;$N25,0,DJ25*(1-'Interest Rate'!$B$17))</f>
        <v>0</v>
      </c>
      <c r="DL25" s="609">
        <f>IF(DL$7&gt;$N25,0,DK25*(1-'Interest Rate'!$B$17))</f>
        <v>0</v>
      </c>
      <c r="DM25" s="609">
        <f>IF(DM$7&gt;$N25,0,DL25*(1-'Interest Rate'!$B$17))</f>
        <v>0</v>
      </c>
    </row>
    <row r="26" spans="1:117" ht="27.75" customHeight="1" x14ac:dyDescent="0.3">
      <c r="A26" s="600" t="str">
        <f>'EEM Data Entry'!A103</f>
        <v/>
      </c>
      <c r="B26" s="601" t="str">
        <f>'EEM Data Entry'!B103</f>
        <v/>
      </c>
      <c r="C26" s="602" t="str">
        <f>'EEM Data Entry'!F103</f>
        <v/>
      </c>
      <c r="D26" s="602">
        <v>0</v>
      </c>
      <c r="E26" s="602" t="e">
        <f t="shared" si="6"/>
        <v>#VALUE!</v>
      </c>
      <c r="F26" s="602">
        <f>('Savings Summary'!D25*'Savings Summary'!D$5)+('Savings Summary'!F25*'Savings Summary'!F$5)+('Savings Summary'!H25*'Savings Summary'!H$5)+('Savings Summary'!J25*'Savings Summary'!J$5)+('Savings Summary'!L25*'Savings Summary'!L$5)+('Savings Summary'!N25*'Savings Summary'!N$5)+('Savings Summary'!P25*'Savings Summary'!P$5)+('Savings Summary'!R25*'Savings Summary'!R$5)</f>
        <v>0</v>
      </c>
      <c r="G26" s="603">
        <f>'Savings Summary'!T25</f>
        <v>0</v>
      </c>
      <c r="H26" s="604" t="e">
        <f t="shared" si="7"/>
        <v>#VALUE!</v>
      </c>
      <c r="I26" s="600" t="e">
        <f t="shared" si="8"/>
        <v>#VALUE!</v>
      </c>
      <c r="J26" s="605" t="e">
        <f t="shared" si="3"/>
        <v>#NUM!</v>
      </c>
      <c r="K26" s="606" t="e">
        <f>PV('Interest Rate'!$B$17,Table6[[#This Row],[LIFETIME]],-Table6[[#This Row],[ANNUAL ENERGY COST SAVINGS]],Table6[[#This Row],[END-OF-LIFE]],0)-Table6[[#This Row],[CAPITAL INVESTMENT]]</f>
        <v>#VALUE!</v>
      </c>
      <c r="L26" s="600" t="str">
        <f>'EEM Data Entry'!C103</f>
        <v/>
      </c>
      <c r="M26" s="607" t="e">
        <f>Table6[[#This Row],[ANNUAL ENERGY COST SAVINGS]]/Table6[[#This Row],[CAPITAL INVESTMENT]]</f>
        <v>#VALUE!</v>
      </c>
      <c r="N26" s="804" t="str">
        <f>Table6[[#This Row],[LIFETIME]]</f>
        <v/>
      </c>
      <c r="O26" s="607"/>
      <c r="P26" s="607"/>
      <c r="Q26" s="608" t="str">
        <f t="shared" si="4"/>
        <v/>
      </c>
      <c r="R26" s="609">
        <f t="shared" si="5"/>
        <v>0</v>
      </c>
      <c r="S26" s="609">
        <f>IF(S$7&gt;$N26,0,R26*(1-'Interest Rate'!$B$17))</f>
        <v>0</v>
      </c>
      <c r="T26" s="609">
        <f>IF(T$7&gt;$N26,0,S26*(1-'Interest Rate'!$B$17))</f>
        <v>0</v>
      </c>
      <c r="U26" s="609">
        <f>IF(U$7&gt;$N26,0,T26*(1-'Interest Rate'!$B$17))</f>
        <v>0</v>
      </c>
      <c r="V26" s="609">
        <f>IF(V$7&gt;$N26,0,U26*(1-'Interest Rate'!$B$17))</f>
        <v>0</v>
      </c>
      <c r="W26" s="609">
        <f>IF(W$7&gt;$N26,0,V26*(1-'Interest Rate'!$B$17))</f>
        <v>0</v>
      </c>
      <c r="X26" s="609">
        <f>IF(X$7&gt;$N26,0,W26*(1-'Interest Rate'!$B$17))</f>
        <v>0</v>
      </c>
      <c r="Y26" s="609">
        <f>IF(Y$7&gt;$N26,0,X26*(1-'Interest Rate'!$B$17))</f>
        <v>0</v>
      </c>
      <c r="Z26" s="609">
        <f>IF(Z$7&gt;$N26,0,Y26*(1-'Interest Rate'!$B$17))</f>
        <v>0</v>
      </c>
      <c r="AA26" s="609">
        <f>IF(AA$7&gt;$N26,0,Z26*(1-'Interest Rate'!$B$17))</f>
        <v>0</v>
      </c>
      <c r="AB26" s="609">
        <f>IF(AB$7&gt;$N26,0,AA26*(1-'Interest Rate'!$B$17))</f>
        <v>0</v>
      </c>
      <c r="AC26" s="609">
        <f>IF(AC$7&gt;$N26,0,AB26*(1-'Interest Rate'!$B$17))</f>
        <v>0</v>
      </c>
      <c r="AD26" s="609">
        <f>IF(AD$7&gt;$N26,0,AC26*(1-'Interest Rate'!$B$17))</f>
        <v>0</v>
      </c>
      <c r="AE26" s="609">
        <f>IF(AE$7&gt;$N26,0,AD26*(1-'Interest Rate'!$B$17))</f>
        <v>0</v>
      </c>
      <c r="AF26" s="609">
        <f>IF(AF$7&gt;$N26,0,AE26*(1-'Interest Rate'!$B$17))</f>
        <v>0</v>
      </c>
      <c r="AG26" s="609">
        <f>IF(AG$7&gt;$N26,0,AF26*(1-'Interest Rate'!$B$17))</f>
        <v>0</v>
      </c>
      <c r="AH26" s="609">
        <f>IF(AH$7&gt;$N26,0,AG26*(1-'Interest Rate'!$B$17))</f>
        <v>0</v>
      </c>
      <c r="AI26" s="609">
        <f>IF(AI$7&gt;$N26,0,AH26*(1-'Interest Rate'!$B$17))</f>
        <v>0</v>
      </c>
      <c r="AJ26" s="609">
        <f>IF(AJ$7&gt;$N26,0,AI26*(1-'Interest Rate'!$B$17))</f>
        <v>0</v>
      </c>
      <c r="AK26" s="609">
        <f>IF(AK$7&gt;$N26,0,AJ26*(1-'Interest Rate'!$B$17))</f>
        <v>0</v>
      </c>
      <c r="AL26" s="609">
        <f>IF(AL$7&gt;$N26,0,AK26*(1-'Interest Rate'!$B$17))</f>
        <v>0</v>
      </c>
      <c r="AM26" s="609">
        <f>IF(AM$7&gt;$N26,0,AL26*(1-'Interest Rate'!$B$17))</f>
        <v>0</v>
      </c>
      <c r="AN26" s="609">
        <f>IF(AN$7&gt;$N26,0,AM26*(1-'Interest Rate'!$B$17))</f>
        <v>0</v>
      </c>
      <c r="AO26" s="609">
        <f>IF(AO$7&gt;$N26,0,AN26*(1-'Interest Rate'!$B$17))</f>
        <v>0</v>
      </c>
      <c r="AP26" s="609">
        <f>IF(AP$7&gt;$N26,0,AO26*(1-'Interest Rate'!$B$17))</f>
        <v>0</v>
      </c>
      <c r="AQ26" s="609">
        <f>IF(AQ$7&gt;$N26,0,AP26*(1-'Interest Rate'!$B$17))</f>
        <v>0</v>
      </c>
      <c r="AR26" s="609">
        <f>IF(AR$7&gt;$N26,0,AQ26*(1-'Interest Rate'!$B$17))</f>
        <v>0</v>
      </c>
      <c r="AS26" s="609">
        <f>IF(AS$7&gt;$N26,0,AR26*(1-'Interest Rate'!$B$17))</f>
        <v>0</v>
      </c>
      <c r="AT26" s="609">
        <f>IF(AT$7&gt;$N26,0,AS26*(1-'Interest Rate'!$B$17))</f>
        <v>0</v>
      </c>
      <c r="AU26" s="609">
        <f>IF(AU$7&gt;$N26,0,AT26*(1-'Interest Rate'!$B$17))</f>
        <v>0</v>
      </c>
      <c r="AV26" s="609">
        <f>IF(AV$7&gt;$N26,0,AU26*(1-'Interest Rate'!$B$17))</f>
        <v>0</v>
      </c>
      <c r="AW26" s="609">
        <f>IF(AW$7&gt;$N26,0,AV26*(1-'Interest Rate'!$B$17))</f>
        <v>0</v>
      </c>
      <c r="AX26" s="609">
        <f>IF(AX$7&gt;$N26,0,AW26*(1-'Interest Rate'!$B$17))</f>
        <v>0</v>
      </c>
      <c r="AY26" s="609">
        <f>IF(AY$7&gt;$N26,0,AX26*(1-'Interest Rate'!$B$17))</f>
        <v>0</v>
      </c>
      <c r="AZ26" s="609">
        <f>IF(AZ$7&gt;$N26,0,AY26*(1-'Interest Rate'!$B$17))</f>
        <v>0</v>
      </c>
      <c r="BA26" s="609">
        <f>IF(BA$7&gt;$N26,0,AZ26*(1-'Interest Rate'!$B$17))</f>
        <v>0</v>
      </c>
      <c r="BB26" s="609">
        <f>IF(BB$7&gt;$N26,0,BA26*(1-'Interest Rate'!$B$17))</f>
        <v>0</v>
      </c>
      <c r="BC26" s="609">
        <f>IF(BC$7&gt;$N26,0,BB26*(1-'Interest Rate'!$B$17))</f>
        <v>0</v>
      </c>
      <c r="BD26" s="609">
        <f>IF(BD$7&gt;$N26,0,BC26*(1-'Interest Rate'!$B$17))</f>
        <v>0</v>
      </c>
      <c r="BE26" s="609">
        <f>IF(BE$7&gt;$N26,0,BD26*(1-'Interest Rate'!$B$17))</f>
        <v>0</v>
      </c>
      <c r="BF26" s="609">
        <f>IF(BF$7&gt;$N26,0,BE26*(1-'Interest Rate'!$B$17))</f>
        <v>0</v>
      </c>
      <c r="BG26" s="609">
        <f>IF(BG$7&gt;$N26,0,BF26*(1-'Interest Rate'!$B$17))</f>
        <v>0</v>
      </c>
      <c r="BH26" s="609">
        <f>IF(BH$7&gt;$N26,0,BG26*(1-'Interest Rate'!$B$17))</f>
        <v>0</v>
      </c>
      <c r="BI26" s="609">
        <f>IF(BI$7&gt;$N26,0,BH26*(1-'Interest Rate'!$B$17))</f>
        <v>0</v>
      </c>
      <c r="BJ26" s="609">
        <f>IF(BJ$7&gt;$N26,0,BI26*(1-'Interest Rate'!$B$17))</f>
        <v>0</v>
      </c>
      <c r="BK26" s="609">
        <f>IF(BK$7&gt;$N26,0,BJ26*(1-'Interest Rate'!$B$17))</f>
        <v>0</v>
      </c>
      <c r="BL26" s="609">
        <f>IF(BL$7&gt;$N26,0,BK26*(1-'Interest Rate'!$B$17))</f>
        <v>0</v>
      </c>
      <c r="BM26" s="609">
        <f>IF(BM$7&gt;$N26,0,BL26*(1-'Interest Rate'!$B$17))</f>
        <v>0</v>
      </c>
      <c r="BN26" s="609">
        <f>IF(BN$7&gt;$N26,0,BM26*(1-'Interest Rate'!$B$17))</f>
        <v>0</v>
      </c>
      <c r="BO26" s="609">
        <f>IF(BO$7&gt;$N26,0,BN26*(1-'Interest Rate'!$B$17))</f>
        <v>0</v>
      </c>
      <c r="BP26" s="609">
        <f>IF(BP$7&gt;$N26,0,BO26*(1-'Interest Rate'!$B$17))</f>
        <v>0</v>
      </c>
      <c r="BQ26" s="609">
        <f>IF(BQ$7&gt;$N26,0,BP26*(1-'Interest Rate'!$B$17))</f>
        <v>0</v>
      </c>
      <c r="BR26" s="609">
        <f>IF(BR$7&gt;$N26,0,BQ26*(1-'Interest Rate'!$B$17))</f>
        <v>0</v>
      </c>
      <c r="BS26" s="609">
        <f>IF(BS$7&gt;$N26,0,BR26*(1-'Interest Rate'!$B$17))</f>
        <v>0</v>
      </c>
      <c r="BT26" s="609">
        <f>IF(BT$7&gt;$N26,0,BS26*(1-'Interest Rate'!$B$17))</f>
        <v>0</v>
      </c>
      <c r="BU26" s="609">
        <f>IF(BU$7&gt;$N26,0,BT26*(1-'Interest Rate'!$B$17))</f>
        <v>0</v>
      </c>
      <c r="BV26" s="609">
        <f>IF(BV$7&gt;$N26,0,BU26*(1-'Interest Rate'!$B$17))</f>
        <v>0</v>
      </c>
      <c r="BW26" s="609">
        <f>IF(BW$7&gt;$N26,0,BV26*(1-'Interest Rate'!$B$17))</f>
        <v>0</v>
      </c>
      <c r="BX26" s="609">
        <f>IF(BX$7&gt;$N26,0,BW26*(1-'Interest Rate'!$B$17))</f>
        <v>0</v>
      </c>
      <c r="BY26" s="609">
        <f>IF(BY$7&gt;$N26,0,BX26*(1-'Interest Rate'!$B$17))</f>
        <v>0</v>
      </c>
      <c r="BZ26" s="609">
        <f>IF(BZ$7&gt;$N26,0,BY26*(1-'Interest Rate'!$B$17))</f>
        <v>0</v>
      </c>
      <c r="CA26" s="609">
        <f>IF(CA$7&gt;$N26,0,BZ26*(1-'Interest Rate'!$B$17))</f>
        <v>0</v>
      </c>
      <c r="CB26" s="609">
        <f>IF(CB$7&gt;$N26,0,CA26*(1-'Interest Rate'!$B$17))</f>
        <v>0</v>
      </c>
      <c r="CC26" s="609">
        <f>IF(CC$7&gt;$N26,0,CB26*(1-'Interest Rate'!$B$17))</f>
        <v>0</v>
      </c>
      <c r="CD26" s="609">
        <f>IF(CD$7&gt;$N26,0,CC26*(1-'Interest Rate'!$B$17))</f>
        <v>0</v>
      </c>
      <c r="CE26" s="609">
        <f>IF(CE$7&gt;$N26,0,CD26*(1-'Interest Rate'!$B$17))</f>
        <v>0</v>
      </c>
      <c r="CF26" s="609">
        <f>IF(CF$7&gt;$N26,0,CE26*(1-'Interest Rate'!$B$17))</f>
        <v>0</v>
      </c>
      <c r="CG26" s="609">
        <f>IF(CG$7&gt;$N26,0,CF26*(1-'Interest Rate'!$B$17))</f>
        <v>0</v>
      </c>
      <c r="CH26" s="609">
        <f>IF(CH$7&gt;$N26,0,CG26*(1-'Interest Rate'!$B$17))</f>
        <v>0</v>
      </c>
      <c r="CI26" s="609">
        <f>IF(CI$7&gt;$N26,0,CH26*(1-'Interest Rate'!$B$17))</f>
        <v>0</v>
      </c>
      <c r="CJ26" s="609">
        <f>IF(CJ$7&gt;$N26,0,CI26*(1-'Interest Rate'!$B$17))</f>
        <v>0</v>
      </c>
      <c r="CK26" s="609">
        <f>IF(CK$7&gt;$N26,0,CJ26*(1-'Interest Rate'!$B$17))</f>
        <v>0</v>
      </c>
      <c r="CL26" s="609">
        <f>IF(CL$7&gt;$N26,0,CK26*(1-'Interest Rate'!$B$17))</f>
        <v>0</v>
      </c>
      <c r="CM26" s="609">
        <f>IF(CM$7&gt;$N26,0,CL26*(1-'Interest Rate'!$B$17))</f>
        <v>0</v>
      </c>
      <c r="CN26" s="609">
        <f>IF(CN$7&gt;$N26,0,CM26*(1-'Interest Rate'!$B$17))</f>
        <v>0</v>
      </c>
      <c r="CO26" s="609">
        <f>IF(CO$7&gt;$N26,0,CN26*(1-'Interest Rate'!$B$17))</f>
        <v>0</v>
      </c>
      <c r="CP26" s="609">
        <f>IF(CP$7&gt;$N26,0,CO26*(1-'Interest Rate'!$B$17))</f>
        <v>0</v>
      </c>
      <c r="CQ26" s="609">
        <f>IF(CQ$7&gt;$N26,0,CP26*(1-'Interest Rate'!$B$17))</f>
        <v>0</v>
      </c>
      <c r="CR26" s="609">
        <f>IF(CR$7&gt;$N26,0,CQ26*(1-'Interest Rate'!$B$17))</f>
        <v>0</v>
      </c>
      <c r="CS26" s="609">
        <f>IF(CS$7&gt;$N26,0,CR26*(1-'Interest Rate'!$B$17))</f>
        <v>0</v>
      </c>
      <c r="CT26" s="609">
        <f>IF(CT$7&gt;$N26,0,CS26*(1-'Interest Rate'!$B$17))</f>
        <v>0</v>
      </c>
      <c r="CU26" s="609">
        <f>IF(CU$7&gt;$N26,0,CT26*(1-'Interest Rate'!$B$17))</f>
        <v>0</v>
      </c>
      <c r="CV26" s="609">
        <f>IF(CV$7&gt;$N26,0,CU26*(1-'Interest Rate'!$B$17))</f>
        <v>0</v>
      </c>
      <c r="CW26" s="609">
        <f>IF(CW$7&gt;$N26,0,CV26*(1-'Interest Rate'!$B$17))</f>
        <v>0</v>
      </c>
      <c r="CX26" s="609">
        <f>IF(CX$7&gt;$N26,0,CW26*(1-'Interest Rate'!$B$17))</f>
        <v>0</v>
      </c>
      <c r="CY26" s="609">
        <f>IF(CY$7&gt;$N26,0,CX26*(1-'Interest Rate'!$B$17))</f>
        <v>0</v>
      </c>
      <c r="CZ26" s="609">
        <f>IF(CZ$7&gt;$N26,0,CY26*(1-'Interest Rate'!$B$17))</f>
        <v>0</v>
      </c>
      <c r="DA26" s="609">
        <f>IF(DA$7&gt;$N26,0,CZ26*(1-'Interest Rate'!$B$17))</f>
        <v>0</v>
      </c>
      <c r="DB26" s="609">
        <f>IF(DB$7&gt;$N26,0,DA26*(1-'Interest Rate'!$B$17))</f>
        <v>0</v>
      </c>
      <c r="DC26" s="609">
        <f>IF(DC$7&gt;$N26,0,DB26*(1-'Interest Rate'!$B$17))</f>
        <v>0</v>
      </c>
      <c r="DD26" s="609">
        <f>IF(DD$7&gt;$N26,0,DC26*(1-'Interest Rate'!$B$17))</f>
        <v>0</v>
      </c>
      <c r="DE26" s="609">
        <f>IF(DE$7&gt;$N26,0,DD26*(1-'Interest Rate'!$B$17))</f>
        <v>0</v>
      </c>
      <c r="DF26" s="609">
        <f>IF(DF$7&gt;$N26,0,DE26*(1-'Interest Rate'!$B$17))</f>
        <v>0</v>
      </c>
      <c r="DG26" s="609">
        <f>IF(DG$7&gt;$N26,0,DF26*(1-'Interest Rate'!$B$17))</f>
        <v>0</v>
      </c>
      <c r="DH26" s="609">
        <f>IF(DH$7&gt;$N26,0,DG26*(1-'Interest Rate'!$B$17))</f>
        <v>0</v>
      </c>
      <c r="DI26" s="609">
        <f>IF(DI$7&gt;$N26,0,DH26*(1-'Interest Rate'!$B$17))</f>
        <v>0</v>
      </c>
      <c r="DJ26" s="609">
        <f>IF(DJ$7&gt;$N26,0,DI26*(1-'Interest Rate'!$B$17))</f>
        <v>0</v>
      </c>
      <c r="DK26" s="609">
        <f>IF(DK$7&gt;$N26,0,DJ26*(1-'Interest Rate'!$B$17))</f>
        <v>0</v>
      </c>
      <c r="DL26" s="609">
        <f>IF(DL$7&gt;$N26,0,DK26*(1-'Interest Rate'!$B$17))</f>
        <v>0</v>
      </c>
      <c r="DM26" s="609">
        <f>IF(DM$7&gt;$N26,0,DL26*(1-'Interest Rate'!$B$17))</f>
        <v>0</v>
      </c>
    </row>
    <row r="27" spans="1:117" s="610" customFormat="1" ht="27.75" customHeight="1" x14ac:dyDescent="0.25">
      <c r="A27" s="600" t="str">
        <f>'EEM Data Entry'!A104</f>
        <v/>
      </c>
      <c r="B27" s="601" t="str">
        <f>'EEM Data Entry'!B104</f>
        <v/>
      </c>
      <c r="C27" s="602" t="str">
        <f>'EEM Data Entry'!F104</f>
        <v/>
      </c>
      <c r="D27" s="602">
        <v>0</v>
      </c>
      <c r="E27" s="602" t="e">
        <f t="shared" si="6"/>
        <v>#VALUE!</v>
      </c>
      <c r="F27" s="602">
        <f>('Savings Summary'!D26*'Savings Summary'!D$5)+('Savings Summary'!F26*'Savings Summary'!F$5)+('Savings Summary'!H26*'Savings Summary'!H$5)+('Savings Summary'!J26*'Savings Summary'!J$5)+('Savings Summary'!L26*'Savings Summary'!L$5)+('Savings Summary'!N26*'Savings Summary'!N$5)+('Savings Summary'!P26*'Savings Summary'!P$5)+('Savings Summary'!R26*'Savings Summary'!R$5)</f>
        <v>0</v>
      </c>
      <c r="G27" s="603">
        <f>'Savings Summary'!T26</f>
        <v>0</v>
      </c>
      <c r="H27" s="604" t="e">
        <f t="shared" si="7"/>
        <v>#VALUE!</v>
      </c>
      <c r="I27" s="600" t="e">
        <f t="shared" si="8"/>
        <v>#VALUE!</v>
      </c>
      <c r="J27" s="605" t="e">
        <f t="shared" si="3"/>
        <v>#NUM!</v>
      </c>
      <c r="K27" s="606" t="e">
        <f>PV('Interest Rate'!$B$17,Table6[[#This Row],[LIFETIME]],-Table6[[#This Row],[ANNUAL ENERGY COST SAVINGS]],Table6[[#This Row],[END-OF-LIFE]],0)-Table6[[#This Row],[CAPITAL INVESTMENT]]</f>
        <v>#VALUE!</v>
      </c>
      <c r="L27" s="600" t="str">
        <f>'EEM Data Entry'!C104</f>
        <v/>
      </c>
      <c r="M27" s="607" t="e">
        <f>Table6[[#This Row],[ANNUAL ENERGY COST SAVINGS]]/Table6[[#This Row],[CAPITAL INVESTMENT]]</f>
        <v>#VALUE!</v>
      </c>
      <c r="N27" s="804" t="str">
        <f>Table6[[#This Row],[LIFETIME]]</f>
        <v/>
      </c>
      <c r="O27" s="607"/>
      <c r="P27" s="607"/>
      <c r="Q27" s="608" t="str">
        <f t="shared" si="4"/>
        <v/>
      </c>
      <c r="R27" s="609">
        <f t="shared" si="5"/>
        <v>0</v>
      </c>
      <c r="S27" s="609">
        <f>IF(S$7&gt;$N27,0,R27*(1-'Interest Rate'!$B$17))</f>
        <v>0</v>
      </c>
      <c r="T27" s="609">
        <f>IF(T$7&gt;$N27,0,S27*(1-'Interest Rate'!$B$17))</f>
        <v>0</v>
      </c>
      <c r="U27" s="609">
        <f>IF(U$7&gt;$N27,0,T27*(1-'Interest Rate'!$B$17))</f>
        <v>0</v>
      </c>
      <c r="V27" s="609">
        <f>IF(V$7&gt;$N27,0,U27*(1-'Interest Rate'!$B$17))</f>
        <v>0</v>
      </c>
      <c r="W27" s="609">
        <f>IF(W$7&gt;$N27,0,V27*(1-'Interest Rate'!$B$17))</f>
        <v>0</v>
      </c>
      <c r="X27" s="609">
        <f>IF(X$7&gt;$N27,0,W27*(1-'Interest Rate'!$B$17))</f>
        <v>0</v>
      </c>
      <c r="Y27" s="609">
        <f>IF(Y$7&gt;$N27,0,X27*(1-'Interest Rate'!$B$17))</f>
        <v>0</v>
      </c>
      <c r="Z27" s="609">
        <f>IF(Z$7&gt;$N27,0,Y27*(1-'Interest Rate'!$B$17))</f>
        <v>0</v>
      </c>
      <c r="AA27" s="609">
        <f>IF(AA$7&gt;$N27,0,Z27*(1-'Interest Rate'!$B$17))</f>
        <v>0</v>
      </c>
      <c r="AB27" s="609">
        <f>IF(AB$7&gt;$N27,0,AA27*(1-'Interest Rate'!$B$17))</f>
        <v>0</v>
      </c>
      <c r="AC27" s="609">
        <f>IF(AC$7&gt;$N27,0,AB27*(1-'Interest Rate'!$B$17))</f>
        <v>0</v>
      </c>
      <c r="AD27" s="609">
        <f>IF(AD$7&gt;$N27,0,AC27*(1-'Interest Rate'!$B$17))</f>
        <v>0</v>
      </c>
      <c r="AE27" s="609">
        <f>IF(AE$7&gt;$N27,0,AD27*(1-'Interest Rate'!$B$17))</f>
        <v>0</v>
      </c>
      <c r="AF27" s="609">
        <f>IF(AF$7&gt;$N27,0,AE27*(1-'Interest Rate'!$B$17))</f>
        <v>0</v>
      </c>
      <c r="AG27" s="609">
        <f>IF(AG$7&gt;$N27,0,AF27*(1-'Interest Rate'!$B$17))</f>
        <v>0</v>
      </c>
      <c r="AH27" s="609">
        <f>IF(AH$7&gt;$N27,0,AG27*(1-'Interest Rate'!$B$17))</f>
        <v>0</v>
      </c>
      <c r="AI27" s="609">
        <f>IF(AI$7&gt;$N27,0,AH27*(1-'Interest Rate'!$B$17))</f>
        <v>0</v>
      </c>
      <c r="AJ27" s="609">
        <f>IF(AJ$7&gt;$N27,0,AI27*(1-'Interest Rate'!$B$17))</f>
        <v>0</v>
      </c>
      <c r="AK27" s="609">
        <f>IF(AK$7&gt;$N27,0,AJ27*(1-'Interest Rate'!$B$17))</f>
        <v>0</v>
      </c>
      <c r="AL27" s="609">
        <f>IF(AL$7&gt;$N27,0,AK27*(1-'Interest Rate'!$B$17))</f>
        <v>0</v>
      </c>
      <c r="AM27" s="609">
        <f>IF(AM$7&gt;$N27,0,AL27*(1-'Interest Rate'!$B$17))</f>
        <v>0</v>
      </c>
      <c r="AN27" s="609">
        <f>IF(AN$7&gt;$N27,0,AM27*(1-'Interest Rate'!$B$17))</f>
        <v>0</v>
      </c>
      <c r="AO27" s="609">
        <f>IF(AO$7&gt;$N27,0,AN27*(1-'Interest Rate'!$B$17))</f>
        <v>0</v>
      </c>
      <c r="AP27" s="609">
        <f>IF(AP$7&gt;$N27,0,AO27*(1-'Interest Rate'!$B$17))</f>
        <v>0</v>
      </c>
      <c r="AQ27" s="609">
        <f>IF(AQ$7&gt;$N27,0,AP27*(1-'Interest Rate'!$B$17))</f>
        <v>0</v>
      </c>
      <c r="AR27" s="609">
        <f>IF(AR$7&gt;$N27,0,AQ27*(1-'Interest Rate'!$B$17))</f>
        <v>0</v>
      </c>
      <c r="AS27" s="609">
        <f>IF(AS$7&gt;$N27,0,AR27*(1-'Interest Rate'!$B$17))</f>
        <v>0</v>
      </c>
      <c r="AT27" s="609">
        <f>IF(AT$7&gt;$N27,0,AS27*(1-'Interest Rate'!$B$17))</f>
        <v>0</v>
      </c>
      <c r="AU27" s="609">
        <f>IF(AU$7&gt;$N27,0,AT27*(1-'Interest Rate'!$B$17))</f>
        <v>0</v>
      </c>
      <c r="AV27" s="609">
        <f>IF(AV$7&gt;$N27,0,AU27*(1-'Interest Rate'!$B$17))</f>
        <v>0</v>
      </c>
      <c r="AW27" s="609">
        <f>IF(AW$7&gt;$N27,0,AV27*(1-'Interest Rate'!$B$17))</f>
        <v>0</v>
      </c>
      <c r="AX27" s="609">
        <f>IF(AX$7&gt;$N27,0,AW27*(1-'Interest Rate'!$B$17))</f>
        <v>0</v>
      </c>
      <c r="AY27" s="609">
        <f>IF(AY$7&gt;$N27,0,AX27*(1-'Interest Rate'!$B$17))</f>
        <v>0</v>
      </c>
      <c r="AZ27" s="609">
        <f>IF(AZ$7&gt;$N27,0,AY27*(1-'Interest Rate'!$B$17))</f>
        <v>0</v>
      </c>
      <c r="BA27" s="609">
        <f>IF(BA$7&gt;$N27,0,AZ27*(1-'Interest Rate'!$B$17))</f>
        <v>0</v>
      </c>
      <c r="BB27" s="609">
        <f>IF(BB$7&gt;$N27,0,BA27*(1-'Interest Rate'!$B$17))</f>
        <v>0</v>
      </c>
      <c r="BC27" s="609">
        <f>IF(BC$7&gt;$N27,0,BB27*(1-'Interest Rate'!$B$17))</f>
        <v>0</v>
      </c>
      <c r="BD27" s="609">
        <f>IF(BD$7&gt;$N27,0,BC27*(1-'Interest Rate'!$B$17))</f>
        <v>0</v>
      </c>
      <c r="BE27" s="609">
        <f>IF(BE$7&gt;$N27,0,BD27*(1-'Interest Rate'!$B$17))</f>
        <v>0</v>
      </c>
      <c r="BF27" s="609">
        <f>IF(BF$7&gt;$N27,0,BE27*(1-'Interest Rate'!$B$17))</f>
        <v>0</v>
      </c>
      <c r="BG27" s="609">
        <f>IF(BG$7&gt;$N27,0,BF27*(1-'Interest Rate'!$B$17))</f>
        <v>0</v>
      </c>
      <c r="BH27" s="609">
        <f>IF(BH$7&gt;$N27,0,BG27*(1-'Interest Rate'!$B$17))</f>
        <v>0</v>
      </c>
      <c r="BI27" s="609">
        <f>IF(BI$7&gt;$N27,0,BH27*(1-'Interest Rate'!$B$17))</f>
        <v>0</v>
      </c>
      <c r="BJ27" s="609">
        <f>IF(BJ$7&gt;$N27,0,BI27*(1-'Interest Rate'!$B$17))</f>
        <v>0</v>
      </c>
      <c r="BK27" s="609">
        <f>IF(BK$7&gt;$N27,0,BJ27*(1-'Interest Rate'!$B$17))</f>
        <v>0</v>
      </c>
      <c r="BL27" s="609">
        <f>IF(BL$7&gt;$N27,0,BK27*(1-'Interest Rate'!$B$17))</f>
        <v>0</v>
      </c>
      <c r="BM27" s="609">
        <f>IF(BM$7&gt;$N27,0,BL27*(1-'Interest Rate'!$B$17))</f>
        <v>0</v>
      </c>
      <c r="BN27" s="609">
        <f>IF(BN$7&gt;$N27,0,BM27*(1-'Interest Rate'!$B$17))</f>
        <v>0</v>
      </c>
      <c r="BO27" s="609">
        <f>IF(BO$7&gt;$N27,0,BN27*(1-'Interest Rate'!$B$17))</f>
        <v>0</v>
      </c>
      <c r="BP27" s="609">
        <f>IF(BP$7&gt;$N27,0,BO27*(1-'Interest Rate'!$B$17))</f>
        <v>0</v>
      </c>
      <c r="BQ27" s="609">
        <f>IF(BQ$7&gt;$N27,0,BP27*(1-'Interest Rate'!$B$17))</f>
        <v>0</v>
      </c>
      <c r="BR27" s="609">
        <f>IF(BR$7&gt;$N27,0,BQ27*(1-'Interest Rate'!$B$17))</f>
        <v>0</v>
      </c>
      <c r="BS27" s="609">
        <f>IF(BS$7&gt;$N27,0,BR27*(1-'Interest Rate'!$B$17))</f>
        <v>0</v>
      </c>
      <c r="BT27" s="609">
        <f>IF(BT$7&gt;$N27,0,BS27*(1-'Interest Rate'!$B$17))</f>
        <v>0</v>
      </c>
      <c r="BU27" s="609">
        <f>IF(BU$7&gt;$N27,0,BT27*(1-'Interest Rate'!$B$17))</f>
        <v>0</v>
      </c>
      <c r="BV27" s="609">
        <f>IF(BV$7&gt;$N27,0,BU27*(1-'Interest Rate'!$B$17))</f>
        <v>0</v>
      </c>
      <c r="BW27" s="609">
        <f>IF(BW$7&gt;$N27,0,BV27*(1-'Interest Rate'!$B$17))</f>
        <v>0</v>
      </c>
      <c r="BX27" s="609">
        <f>IF(BX$7&gt;$N27,0,BW27*(1-'Interest Rate'!$B$17))</f>
        <v>0</v>
      </c>
      <c r="BY27" s="609">
        <f>IF(BY$7&gt;$N27,0,BX27*(1-'Interest Rate'!$B$17))</f>
        <v>0</v>
      </c>
      <c r="BZ27" s="609">
        <f>IF(BZ$7&gt;$N27,0,BY27*(1-'Interest Rate'!$B$17))</f>
        <v>0</v>
      </c>
      <c r="CA27" s="609">
        <f>IF(CA$7&gt;$N27,0,BZ27*(1-'Interest Rate'!$B$17))</f>
        <v>0</v>
      </c>
      <c r="CB27" s="609">
        <f>IF(CB$7&gt;$N27,0,CA27*(1-'Interest Rate'!$B$17))</f>
        <v>0</v>
      </c>
      <c r="CC27" s="609">
        <f>IF(CC$7&gt;$N27,0,CB27*(1-'Interest Rate'!$B$17))</f>
        <v>0</v>
      </c>
      <c r="CD27" s="609">
        <f>IF(CD$7&gt;$N27,0,CC27*(1-'Interest Rate'!$B$17))</f>
        <v>0</v>
      </c>
      <c r="CE27" s="609">
        <f>IF(CE$7&gt;$N27,0,CD27*(1-'Interest Rate'!$B$17))</f>
        <v>0</v>
      </c>
      <c r="CF27" s="609">
        <f>IF(CF$7&gt;$N27,0,CE27*(1-'Interest Rate'!$B$17))</f>
        <v>0</v>
      </c>
      <c r="CG27" s="609">
        <f>IF(CG$7&gt;$N27,0,CF27*(1-'Interest Rate'!$B$17))</f>
        <v>0</v>
      </c>
      <c r="CH27" s="609">
        <f>IF(CH$7&gt;$N27,0,CG27*(1-'Interest Rate'!$B$17))</f>
        <v>0</v>
      </c>
      <c r="CI27" s="609">
        <f>IF(CI$7&gt;$N27,0,CH27*(1-'Interest Rate'!$B$17))</f>
        <v>0</v>
      </c>
      <c r="CJ27" s="609">
        <f>IF(CJ$7&gt;$N27,0,CI27*(1-'Interest Rate'!$B$17))</f>
        <v>0</v>
      </c>
      <c r="CK27" s="609">
        <f>IF(CK$7&gt;$N27,0,CJ27*(1-'Interest Rate'!$B$17))</f>
        <v>0</v>
      </c>
      <c r="CL27" s="609">
        <f>IF(CL$7&gt;$N27,0,CK27*(1-'Interest Rate'!$B$17))</f>
        <v>0</v>
      </c>
      <c r="CM27" s="609">
        <f>IF(CM$7&gt;$N27,0,CL27*(1-'Interest Rate'!$B$17))</f>
        <v>0</v>
      </c>
      <c r="CN27" s="609">
        <f>IF(CN$7&gt;$N27,0,CM27*(1-'Interest Rate'!$B$17))</f>
        <v>0</v>
      </c>
      <c r="CO27" s="609">
        <f>IF(CO$7&gt;$N27,0,CN27*(1-'Interest Rate'!$B$17))</f>
        <v>0</v>
      </c>
      <c r="CP27" s="609">
        <f>IF(CP$7&gt;$N27,0,CO27*(1-'Interest Rate'!$B$17))</f>
        <v>0</v>
      </c>
      <c r="CQ27" s="609">
        <f>IF(CQ$7&gt;$N27,0,CP27*(1-'Interest Rate'!$B$17))</f>
        <v>0</v>
      </c>
      <c r="CR27" s="609">
        <f>IF(CR$7&gt;$N27,0,CQ27*(1-'Interest Rate'!$B$17))</f>
        <v>0</v>
      </c>
      <c r="CS27" s="609">
        <f>IF(CS$7&gt;$N27,0,CR27*(1-'Interest Rate'!$B$17))</f>
        <v>0</v>
      </c>
      <c r="CT27" s="609">
        <f>IF(CT$7&gt;$N27,0,CS27*(1-'Interest Rate'!$B$17))</f>
        <v>0</v>
      </c>
      <c r="CU27" s="609">
        <f>IF(CU$7&gt;$N27,0,CT27*(1-'Interest Rate'!$B$17))</f>
        <v>0</v>
      </c>
      <c r="CV27" s="609">
        <f>IF(CV$7&gt;$N27,0,CU27*(1-'Interest Rate'!$B$17))</f>
        <v>0</v>
      </c>
      <c r="CW27" s="609">
        <f>IF(CW$7&gt;$N27,0,CV27*(1-'Interest Rate'!$B$17))</f>
        <v>0</v>
      </c>
      <c r="CX27" s="609">
        <f>IF(CX$7&gt;$N27,0,CW27*(1-'Interest Rate'!$B$17))</f>
        <v>0</v>
      </c>
      <c r="CY27" s="609">
        <f>IF(CY$7&gt;$N27,0,CX27*(1-'Interest Rate'!$B$17))</f>
        <v>0</v>
      </c>
      <c r="CZ27" s="609">
        <f>IF(CZ$7&gt;$N27,0,CY27*(1-'Interest Rate'!$B$17))</f>
        <v>0</v>
      </c>
      <c r="DA27" s="609">
        <f>IF(DA$7&gt;$N27,0,CZ27*(1-'Interest Rate'!$B$17))</f>
        <v>0</v>
      </c>
      <c r="DB27" s="609">
        <f>IF(DB$7&gt;$N27,0,DA27*(1-'Interest Rate'!$B$17))</f>
        <v>0</v>
      </c>
      <c r="DC27" s="609">
        <f>IF(DC$7&gt;$N27,0,DB27*(1-'Interest Rate'!$B$17))</f>
        <v>0</v>
      </c>
      <c r="DD27" s="609">
        <f>IF(DD$7&gt;$N27,0,DC27*(1-'Interest Rate'!$B$17))</f>
        <v>0</v>
      </c>
      <c r="DE27" s="609">
        <f>IF(DE$7&gt;$N27,0,DD27*(1-'Interest Rate'!$B$17))</f>
        <v>0</v>
      </c>
      <c r="DF27" s="609">
        <f>IF(DF$7&gt;$N27,0,DE27*(1-'Interest Rate'!$B$17))</f>
        <v>0</v>
      </c>
      <c r="DG27" s="609">
        <f>IF(DG$7&gt;$N27,0,DF27*(1-'Interest Rate'!$B$17))</f>
        <v>0</v>
      </c>
      <c r="DH27" s="609">
        <f>IF(DH$7&gt;$N27,0,DG27*(1-'Interest Rate'!$B$17))</f>
        <v>0</v>
      </c>
      <c r="DI27" s="609">
        <f>IF(DI$7&gt;$N27,0,DH27*(1-'Interest Rate'!$B$17))</f>
        <v>0</v>
      </c>
      <c r="DJ27" s="609">
        <f>IF(DJ$7&gt;$N27,0,DI27*(1-'Interest Rate'!$B$17))</f>
        <v>0</v>
      </c>
      <c r="DK27" s="609">
        <f>IF(DK$7&gt;$N27,0,DJ27*(1-'Interest Rate'!$B$17))</f>
        <v>0</v>
      </c>
      <c r="DL27" s="609">
        <f>IF(DL$7&gt;$N27,0,DK27*(1-'Interest Rate'!$B$17))</f>
        <v>0</v>
      </c>
      <c r="DM27" s="609">
        <f>IF(DM$7&gt;$N27,0,DL27*(1-'Interest Rate'!$B$17))</f>
        <v>0</v>
      </c>
    </row>
    <row r="28" spans="1:117" s="610" customFormat="1" ht="27.75" customHeight="1" x14ac:dyDescent="0.25">
      <c r="A28" s="600" t="str">
        <f>'EEM Data Entry'!A105</f>
        <v/>
      </c>
      <c r="B28" s="601" t="str">
        <f>'EEM Data Entry'!B105</f>
        <v/>
      </c>
      <c r="C28" s="602" t="str">
        <f>'EEM Data Entry'!F105</f>
        <v/>
      </c>
      <c r="D28" s="602">
        <v>0</v>
      </c>
      <c r="E28" s="602" t="e">
        <f t="shared" si="6"/>
        <v>#VALUE!</v>
      </c>
      <c r="F28" s="602">
        <f>('Savings Summary'!D27*'Savings Summary'!D$5)+('Savings Summary'!F27*'Savings Summary'!F$5)+('Savings Summary'!H27*'Savings Summary'!H$5)+('Savings Summary'!J27*'Savings Summary'!J$5)+('Savings Summary'!L27*'Savings Summary'!L$5)+('Savings Summary'!N27*'Savings Summary'!N$5)+('Savings Summary'!P27*'Savings Summary'!P$5)+('Savings Summary'!R27*'Savings Summary'!R$5)</f>
        <v>0</v>
      </c>
      <c r="G28" s="603">
        <f>'Savings Summary'!T27</f>
        <v>0</v>
      </c>
      <c r="H28" s="604" t="e">
        <f t="shared" si="7"/>
        <v>#VALUE!</v>
      </c>
      <c r="I28" s="600" t="e">
        <f t="shared" si="8"/>
        <v>#VALUE!</v>
      </c>
      <c r="J28" s="605" t="e">
        <f t="shared" si="3"/>
        <v>#NUM!</v>
      </c>
      <c r="K28" s="606" t="e">
        <f>PV('Interest Rate'!$B$17,Table6[[#This Row],[LIFETIME]],-Table6[[#This Row],[ANNUAL ENERGY COST SAVINGS]],Table6[[#This Row],[END-OF-LIFE]],0)-Table6[[#This Row],[CAPITAL INVESTMENT]]</f>
        <v>#VALUE!</v>
      </c>
      <c r="L28" s="600" t="str">
        <f>'EEM Data Entry'!C105</f>
        <v/>
      </c>
      <c r="M28" s="607" t="e">
        <f>Table6[[#This Row],[ANNUAL ENERGY COST SAVINGS]]/Table6[[#This Row],[CAPITAL INVESTMENT]]</f>
        <v>#VALUE!</v>
      </c>
      <c r="N28" s="804" t="str">
        <f>Table6[[#This Row],[LIFETIME]]</f>
        <v/>
      </c>
      <c r="O28" s="607"/>
      <c r="P28" s="607"/>
      <c r="Q28" s="608" t="str">
        <f t="shared" si="4"/>
        <v/>
      </c>
      <c r="R28" s="609">
        <f t="shared" si="5"/>
        <v>0</v>
      </c>
      <c r="S28" s="609">
        <f>IF(S$7&gt;$N28,0,R28*(1-'Interest Rate'!$B$17))</f>
        <v>0</v>
      </c>
      <c r="T28" s="609">
        <f>IF(T$7&gt;$N28,0,S28*(1-'Interest Rate'!$B$17))</f>
        <v>0</v>
      </c>
      <c r="U28" s="609">
        <f>IF(U$7&gt;$N28,0,T28*(1-'Interest Rate'!$B$17))</f>
        <v>0</v>
      </c>
      <c r="V28" s="609">
        <f>IF(V$7&gt;$N28,0,U28*(1-'Interest Rate'!$B$17))</f>
        <v>0</v>
      </c>
      <c r="W28" s="609">
        <f>IF(W$7&gt;$N28,0,V28*(1-'Interest Rate'!$B$17))</f>
        <v>0</v>
      </c>
      <c r="X28" s="609">
        <f>IF(X$7&gt;$N28,0,W28*(1-'Interest Rate'!$B$17))</f>
        <v>0</v>
      </c>
      <c r="Y28" s="609">
        <f>IF(Y$7&gt;$N28,0,X28*(1-'Interest Rate'!$B$17))</f>
        <v>0</v>
      </c>
      <c r="Z28" s="609">
        <f>IF(Z$7&gt;$N28,0,Y28*(1-'Interest Rate'!$B$17))</f>
        <v>0</v>
      </c>
      <c r="AA28" s="609">
        <f>IF(AA$7&gt;$N28,0,Z28*(1-'Interest Rate'!$B$17))</f>
        <v>0</v>
      </c>
      <c r="AB28" s="609">
        <f>IF(AB$7&gt;$N28,0,AA28*(1-'Interest Rate'!$B$17))</f>
        <v>0</v>
      </c>
      <c r="AC28" s="609">
        <f>IF(AC$7&gt;$N28,0,AB28*(1-'Interest Rate'!$B$17))</f>
        <v>0</v>
      </c>
      <c r="AD28" s="609">
        <f>IF(AD$7&gt;$N28,0,AC28*(1-'Interest Rate'!$B$17))</f>
        <v>0</v>
      </c>
      <c r="AE28" s="609">
        <f>IF(AE$7&gt;$N28,0,AD28*(1-'Interest Rate'!$B$17))</f>
        <v>0</v>
      </c>
      <c r="AF28" s="609">
        <f>IF(AF$7&gt;$N28,0,AE28*(1-'Interest Rate'!$B$17))</f>
        <v>0</v>
      </c>
      <c r="AG28" s="609">
        <f>IF(AG$7&gt;$N28,0,AF28*(1-'Interest Rate'!$B$17))</f>
        <v>0</v>
      </c>
      <c r="AH28" s="609">
        <f>IF(AH$7&gt;$N28,0,AG28*(1-'Interest Rate'!$B$17))</f>
        <v>0</v>
      </c>
      <c r="AI28" s="609">
        <f>IF(AI$7&gt;$N28,0,AH28*(1-'Interest Rate'!$B$17))</f>
        <v>0</v>
      </c>
      <c r="AJ28" s="609">
        <f>IF(AJ$7&gt;$N28,0,AI28*(1-'Interest Rate'!$B$17))</f>
        <v>0</v>
      </c>
      <c r="AK28" s="609">
        <f>IF(AK$7&gt;$N28,0,AJ28*(1-'Interest Rate'!$B$17))</f>
        <v>0</v>
      </c>
      <c r="AL28" s="609">
        <f>IF(AL$7&gt;$N28,0,AK28*(1-'Interest Rate'!$B$17))</f>
        <v>0</v>
      </c>
      <c r="AM28" s="609">
        <f>IF(AM$7&gt;$N28,0,AL28*(1-'Interest Rate'!$B$17))</f>
        <v>0</v>
      </c>
      <c r="AN28" s="609">
        <f>IF(AN$7&gt;$N28,0,AM28*(1-'Interest Rate'!$B$17))</f>
        <v>0</v>
      </c>
      <c r="AO28" s="609">
        <f>IF(AO$7&gt;$N28,0,AN28*(1-'Interest Rate'!$B$17))</f>
        <v>0</v>
      </c>
      <c r="AP28" s="609">
        <f>IF(AP$7&gt;$N28,0,AO28*(1-'Interest Rate'!$B$17))</f>
        <v>0</v>
      </c>
      <c r="AQ28" s="609">
        <f>IF(AQ$7&gt;$N28,0,AP28*(1-'Interest Rate'!$B$17))</f>
        <v>0</v>
      </c>
      <c r="AR28" s="609">
        <f>IF(AR$7&gt;$N28,0,AQ28*(1-'Interest Rate'!$B$17))</f>
        <v>0</v>
      </c>
      <c r="AS28" s="609">
        <f>IF(AS$7&gt;$N28,0,AR28*(1-'Interest Rate'!$B$17))</f>
        <v>0</v>
      </c>
      <c r="AT28" s="609">
        <f>IF(AT$7&gt;$N28,0,AS28*(1-'Interest Rate'!$B$17))</f>
        <v>0</v>
      </c>
      <c r="AU28" s="609">
        <f>IF(AU$7&gt;$N28,0,AT28*(1-'Interest Rate'!$B$17))</f>
        <v>0</v>
      </c>
      <c r="AV28" s="609">
        <f>IF(AV$7&gt;$N28,0,AU28*(1-'Interest Rate'!$B$17))</f>
        <v>0</v>
      </c>
      <c r="AW28" s="609">
        <f>IF(AW$7&gt;$N28,0,AV28*(1-'Interest Rate'!$B$17))</f>
        <v>0</v>
      </c>
      <c r="AX28" s="609">
        <f>IF(AX$7&gt;$N28,0,AW28*(1-'Interest Rate'!$B$17))</f>
        <v>0</v>
      </c>
      <c r="AY28" s="609">
        <f>IF(AY$7&gt;$N28,0,AX28*(1-'Interest Rate'!$B$17))</f>
        <v>0</v>
      </c>
      <c r="AZ28" s="609">
        <f>IF(AZ$7&gt;$N28,0,AY28*(1-'Interest Rate'!$B$17))</f>
        <v>0</v>
      </c>
      <c r="BA28" s="609">
        <f>IF(BA$7&gt;$N28,0,AZ28*(1-'Interest Rate'!$B$17))</f>
        <v>0</v>
      </c>
      <c r="BB28" s="609">
        <f>IF(BB$7&gt;$N28,0,BA28*(1-'Interest Rate'!$B$17))</f>
        <v>0</v>
      </c>
      <c r="BC28" s="609">
        <f>IF(BC$7&gt;$N28,0,BB28*(1-'Interest Rate'!$B$17))</f>
        <v>0</v>
      </c>
      <c r="BD28" s="609">
        <f>IF(BD$7&gt;$N28,0,BC28*(1-'Interest Rate'!$B$17))</f>
        <v>0</v>
      </c>
      <c r="BE28" s="609">
        <f>IF(BE$7&gt;$N28,0,BD28*(1-'Interest Rate'!$B$17))</f>
        <v>0</v>
      </c>
      <c r="BF28" s="609">
        <f>IF(BF$7&gt;$N28,0,BE28*(1-'Interest Rate'!$B$17))</f>
        <v>0</v>
      </c>
      <c r="BG28" s="609">
        <f>IF(BG$7&gt;$N28,0,BF28*(1-'Interest Rate'!$B$17))</f>
        <v>0</v>
      </c>
      <c r="BH28" s="609">
        <f>IF(BH$7&gt;$N28,0,BG28*(1-'Interest Rate'!$B$17))</f>
        <v>0</v>
      </c>
      <c r="BI28" s="609">
        <f>IF(BI$7&gt;$N28,0,BH28*(1-'Interest Rate'!$B$17))</f>
        <v>0</v>
      </c>
      <c r="BJ28" s="609">
        <f>IF(BJ$7&gt;$N28,0,BI28*(1-'Interest Rate'!$B$17))</f>
        <v>0</v>
      </c>
      <c r="BK28" s="609">
        <f>IF(BK$7&gt;$N28,0,BJ28*(1-'Interest Rate'!$B$17))</f>
        <v>0</v>
      </c>
      <c r="BL28" s="609">
        <f>IF(BL$7&gt;$N28,0,BK28*(1-'Interest Rate'!$B$17))</f>
        <v>0</v>
      </c>
      <c r="BM28" s="609">
        <f>IF(BM$7&gt;$N28,0,BL28*(1-'Interest Rate'!$B$17))</f>
        <v>0</v>
      </c>
      <c r="BN28" s="609">
        <f>IF(BN$7&gt;$N28,0,BM28*(1-'Interest Rate'!$B$17))</f>
        <v>0</v>
      </c>
      <c r="BO28" s="609">
        <f>IF(BO$7&gt;$N28,0,BN28*(1-'Interest Rate'!$B$17))</f>
        <v>0</v>
      </c>
      <c r="BP28" s="609">
        <f>IF(BP$7&gt;$N28,0,BO28*(1-'Interest Rate'!$B$17))</f>
        <v>0</v>
      </c>
      <c r="BQ28" s="609">
        <f>IF(BQ$7&gt;$N28,0,BP28*(1-'Interest Rate'!$B$17))</f>
        <v>0</v>
      </c>
      <c r="BR28" s="609">
        <f>IF(BR$7&gt;$N28,0,BQ28*(1-'Interest Rate'!$B$17))</f>
        <v>0</v>
      </c>
      <c r="BS28" s="609">
        <f>IF(BS$7&gt;$N28,0,BR28*(1-'Interest Rate'!$B$17))</f>
        <v>0</v>
      </c>
      <c r="BT28" s="609">
        <f>IF(BT$7&gt;$N28,0,BS28*(1-'Interest Rate'!$B$17))</f>
        <v>0</v>
      </c>
      <c r="BU28" s="609">
        <f>IF(BU$7&gt;$N28,0,BT28*(1-'Interest Rate'!$B$17))</f>
        <v>0</v>
      </c>
      <c r="BV28" s="609">
        <f>IF(BV$7&gt;$N28,0,BU28*(1-'Interest Rate'!$B$17))</f>
        <v>0</v>
      </c>
      <c r="BW28" s="609">
        <f>IF(BW$7&gt;$N28,0,BV28*(1-'Interest Rate'!$B$17))</f>
        <v>0</v>
      </c>
      <c r="BX28" s="609">
        <f>IF(BX$7&gt;$N28,0,BW28*(1-'Interest Rate'!$B$17))</f>
        <v>0</v>
      </c>
      <c r="BY28" s="609">
        <f>IF(BY$7&gt;$N28,0,BX28*(1-'Interest Rate'!$B$17))</f>
        <v>0</v>
      </c>
      <c r="BZ28" s="609">
        <f>IF(BZ$7&gt;$N28,0,BY28*(1-'Interest Rate'!$B$17))</f>
        <v>0</v>
      </c>
      <c r="CA28" s="609">
        <f>IF(CA$7&gt;$N28,0,BZ28*(1-'Interest Rate'!$B$17))</f>
        <v>0</v>
      </c>
      <c r="CB28" s="609">
        <f>IF(CB$7&gt;$N28,0,CA28*(1-'Interest Rate'!$B$17))</f>
        <v>0</v>
      </c>
      <c r="CC28" s="609">
        <f>IF(CC$7&gt;$N28,0,CB28*(1-'Interest Rate'!$B$17))</f>
        <v>0</v>
      </c>
      <c r="CD28" s="609">
        <f>IF(CD$7&gt;$N28,0,CC28*(1-'Interest Rate'!$B$17))</f>
        <v>0</v>
      </c>
      <c r="CE28" s="609">
        <f>IF(CE$7&gt;$N28,0,CD28*(1-'Interest Rate'!$B$17))</f>
        <v>0</v>
      </c>
      <c r="CF28" s="609">
        <f>IF(CF$7&gt;$N28,0,CE28*(1-'Interest Rate'!$B$17))</f>
        <v>0</v>
      </c>
      <c r="CG28" s="609">
        <f>IF(CG$7&gt;$N28,0,CF28*(1-'Interest Rate'!$B$17))</f>
        <v>0</v>
      </c>
      <c r="CH28" s="609">
        <f>IF(CH$7&gt;$N28,0,CG28*(1-'Interest Rate'!$B$17))</f>
        <v>0</v>
      </c>
      <c r="CI28" s="609">
        <f>IF(CI$7&gt;$N28,0,CH28*(1-'Interest Rate'!$B$17))</f>
        <v>0</v>
      </c>
      <c r="CJ28" s="609">
        <f>IF(CJ$7&gt;$N28,0,CI28*(1-'Interest Rate'!$B$17))</f>
        <v>0</v>
      </c>
      <c r="CK28" s="609">
        <f>IF(CK$7&gt;$N28,0,CJ28*(1-'Interest Rate'!$B$17))</f>
        <v>0</v>
      </c>
      <c r="CL28" s="609">
        <f>IF(CL$7&gt;$N28,0,CK28*(1-'Interest Rate'!$B$17))</f>
        <v>0</v>
      </c>
      <c r="CM28" s="609">
        <f>IF(CM$7&gt;$N28,0,CL28*(1-'Interest Rate'!$B$17))</f>
        <v>0</v>
      </c>
      <c r="CN28" s="609">
        <f>IF(CN$7&gt;$N28,0,CM28*(1-'Interest Rate'!$B$17))</f>
        <v>0</v>
      </c>
      <c r="CO28" s="609">
        <f>IF(CO$7&gt;$N28,0,CN28*(1-'Interest Rate'!$B$17))</f>
        <v>0</v>
      </c>
      <c r="CP28" s="609">
        <f>IF(CP$7&gt;$N28,0,CO28*(1-'Interest Rate'!$B$17))</f>
        <v>0</v>
      </c>
      <c r="CQ28" s="609">
        <f>IF(CQ$7&gt;$N28,0,CP28*(1-'Interest Rate'!$B$17))</f>
        <v>0</v>
      </c>
      <c r="CR28" s="609">
        <f>IF(CR$7&gt;$N28,0,CQ28*(1-'Interest Rate'!$B$17))</f>
        <v>0</v>
      </c>
      <c r="CS28" s="609">
        <f>IF(CS$7&gt;$N28,0,CR28*(1-'Interest Rate'!$B$17))</f>
        <v>0</v>
      </c>
      <c r="CT28" s="609">
        <f>IF(CT$7&gt;$N28,0,CS28*(1-'Interest Rate'!$B$17))</f>
        <v>0</v>
      </c>
      <c r="CU28" s="609">
        <f>IF(CU$7&gt;$N28,0,CT28*(1-'Interest Rate'!$B$17))</f>
        <v>0</v>
      </c>
      <c r="CV28" s="609">
        <f>IF(CV$7&gt;$N28,0,CU28*(1-'Interest Rate'!$B$17))</f>
        <v>0</v>
      </c>
      <c r="CW28" s="609">
        <f>IF(CW$7&gt;$N28,0,CV28*(1-'Interest Rate'!$B$17))</f>
        <v>0</v>
      </c>
      <c r="CX28" s="609">
        <f>IF(CX$7&gt;$N28,0,CW28*(1-'Interest Rate'!$B$17))</f>
        <v>0</v>
      </c>
      <c r="CY28" s="609">
        <f>IF(CY$7&gt;$N28,0,CX28*(1-'Interest Rate'!$B$17))</f>
        <v>0</v>
      </c>
      <c r="CZ28" s="609">
        <f>IF(CZ$7&gt;$N28,0,CY28*(1-'Interest Rate'!$B$17))</f>
        <v>0</v>
      </c>
      <c r="DA28" s="609">
        <f>IF(DA$7&gt;$N28,0,CZ28*(1-'Interest Rate'!$B$17))</f>
        <v>0</v>
      </c>
      <c r="DB28" s="609">
        <f>IF(DB$7&gt;$N28,0,DA28*(1-'Interest Rate'!$B$17))</f>
        <v>0</v>
      </c>
      <c r="DC28" s="609">
        <f>IF(DC$7&gt;$N28,0,DB28*(1-'Interest Rate'!$B$17))</f>
        <v>0</v>
      </c>
      <c r="DD28" s="609">
        <f>IF(DD$7&gt;$N28,0,DC28*(1-'Interest Rate'!$B$17))</f>
        <v>0</v>
      </c>
      <c r="DE28" s="609">
        <f>IF(DE$7&gt;$N28,0,DD28*(1-'Interest Rate'!$B$17))</f>
        <v>0</v>
      </c>
      <c r="DF28" s="609">
        <f>IF(DF$7&gt;$N28,0,DE28*(1-'Interest Rate'!$B$17))</f>
        <v>0</v>
      </c>
      <c r="DG28" s="609">
        <f>IF(DG$7&gt;$N28,0,DF28*(1-'Interest Rate'!$B$17))</f>
        <v>0</v>
      </c>
      <c r="DH28" s="609">
        <f>IF(DH$7&gt;$N28,0,DG28*(1-'Interest Rate'!$B$17))</f>
        <v>0</v>
      </c>
      <c r="DI28" s="609">
        <f>IF(DI$7&gt;$N28,0,DH28*(1-'Interest Rate'!$B$17))</f>
        <v>0</v>
      </c>
      <c r="DJ28" s="609">
        <f>IF(DJ$7&gt;$N28,0,DI28*(1-'Interest Rate'!$B$17))</f>
        <v>0</v>
      </c>
      <c r="DK28" s="609">
        <f>IF(DK$7&gt;$N28,0,DJ28*(1-'Interest Rate'!$B$17))</f>
        <v>0</v>
      </c>
      <c r="DL28" s="609">
        <f>IF(DL$7&gt;$N28,0,DK28*(1-'Interest Rate'!$B$17))</f>
        <v>0</v>
      </c>
      <c r="DM28" s="609">
        <f>IF(DM$7&gt;$N28,0,DL28*(1-'Interest Rate'!$B$17))</f>
        <v>0</v>
      </c>
    </row>
    <row r="29" spans="1:117" ht="27.75" customHeight="1" x14ac:dyDescent="0.3">
      <c r="A29" s="600" t="str">
        <f>'EEM Data Entry'!A106</f>
        <v/>
      </c>
      <c r="B29" s="601" t="str">
        <f>'EEM Data Entry'!B106</f>
        <v/>
      </c>
      <c r="C29" s="602" t="str">
        <f>'EEM Data Entry'!F106</f>
        <v/>
      </c>
      <c r="D29" s="602">
        <v>0</v>
      </c>
      <c r="E29" s="602" t="e">
        <f t="shared" si="6"/>
        <v>#VALUE!</v>
      </c>
      <c r="F29" s="602">
        <f>('Savings Summary'!D28*'Savings Summary'!D$5)+('Savings Summary'!F28*'Savings Summary'!F$5)+('Savings Summary'!H28*'Savings Summary'!H$5)+('Savings Summary'!J28*'Savings Summary'!J$5)+('Savings Summary'!L28*'Savings Summary'!L$5)+('Savings Summary'!N28*'Savings Summary'!N$5)+('Savings Summary'!P28*'Savings Summary'!P$5)+('Savings Summary'!R28*'Savings Summary'!R$5)</f>
        <v>0</v>
      </c>
      <c r="G29" s="603">
        <f>'Savings Summary'!T28</f>
        <v>0</v>
      </c>
      <c r="H29" s="604" t="e">
        <f t="shared" si="7"/>
        <v>#VALUE!</v>
      </c>
      <c r="I29" s="600" t="e">
        <f t="shared" si="8"/>
        <v>#VALUE!</v>
      </c>
      <c r="J29" s="605" t="e">
        <f t="shared" si="3"/>
        <v>#NUM!</v>
      </c>
      <c r="K29" s="606" t="e">
        <f>PV('Interest Rate'!$B$17,Table6[[#This Row],[LIFETIME]],-Table6[[#This Row],[ANNUAL ENERGY COST SAVINGS]],Table6[[#This Row],[END-OF-LIFE]],0)-Table6[[#This Row],[CAPITAL INVESTMENT]]</f>
        <v>#VALUE!</v>
      </c>
      <c r="L29" s="600" t="str">
        <f>'EEM Data Entry'!C106</f>
        <v/>
      </c>
      <c r="M29" s="607" t="e">
        <f>Table6[[#This Row],[ANNUAL ENERGY COST SAVINGS]]/Table6[[#This Row],[CAPITAL INVESTMENT]]</f>
        <v>#VALUE!</v>
      </c>
      <c r="N29" s="804" t="str">
        <f>Table6[[#This Row],[LIFETIME]]</f>
        <v/>
      </c>
      <c r="O29" s="607"/>
      <c r="P29" s="607"/>
      <c r="Q29" s="608" t="str">
        <f t="shared" si="4"/>
        <v/>
      </c>
      <c r="R29" s="609">
        <f t="shared" si="5"/>
        <v>0</v>
      </c>
      <c r="S29" s="609">
        <f>IF(S$7&gt;$N29,0,R29*(1-'Interest Rate'!$B$17))</f>
        <v>0</v>
      </c>
      <c r="T29" s="609">
        <f>IF(T$7&gt;$N29,0,S29*(1-'Interest Rate'!$B$17))</f>
        <v>0</v>
      </c>
      <c r="U29" s="609">
        <f>IF(U$7&gt;$N29,0,T29*(1-'Interest Rate'!$B$17))</f>
        <v>0</v>
      </c>
      <c r="V29" s="609">
        <f>IF(V$7&gt;$N29,0,U29*(1-'Interest Rate'!$B$17))</f>
        <v>0</v>
      </c>
      <c r="W29" s="609">
        <f>IF(W$7&gt;$N29,0,V29*(1-'Interest Rate'!$B$17))</f>
        <v>0</v>
      </c>
      <c r="X29" s="609">
        <f>IF(X$7&gt;$N29,0,W29*(1-'Interest Rate'!$B$17))</f>
        <v>0</v>
      </c>
      <c r="Y29" s="609">
        <f>IF(Y$7&gt;$N29,0,X29*(1-'Interest Rate'!$B$17))</f>
        <v>0</v>
      </c>
      <c r="Z29" s="609">
        <f>IF(Z$7&gt;$N29,0,Y29*(1-'Interest Rate'!$B$17))</f>
        <v>0</v>
      </c>
      <c r="AA29" s="609">
        <f>IF(AA$7&gt;$N29,0,Z29*(1-'Interest Rate'!$B$17))</f>
        <v>0</v>
      </c>
      <c r="AB29" s="609">
        <f>IF(AB$7&gt;$N29,0,AA29*(1-'Interest Rate'!$B$17))</f>
        <v>0</v>
      </c>
      <c r="AC29" s="609">
        <f>IF(AC$7&gt;$N29,0,AB29*(1-'Interest Rate'!$B$17))</f>
        <v>0</v>
      </c>
      <c r="AD29" s="609">
        <f>IF(AD$7&gt;$N29,0,AC29*(1-'Interest Rate'!$B$17))</f>
        <v>0</v>
      </c>
      <c r="AE29" s="609">
        <f>IF(AE$7&gt;$N29,0,AD29*(1-'Interest Rate'!$B$17))</f>
        <v>0</v>
      </c>
      <c r="AF29" s="609">
        <f>IF(AF$7&gt;$N29,0,AE29*(1-'Interest Rate'!$B$17))</f>
        <v>0</v>
      </c>
      <c r="AG29" s="609">
        <f>IF(AG$7&gt;$N29,0,AF29*(1-'Interest Rate'!$B$17))</f>
        <v>0</v>
      </c>
      <c r="AH29" s="609">
        <f>IF(AH$7&gt;$N29,0,AG29*(1-'Interest Rate'!$B$17))</f>
        <v>0</v>
      </c>
      <c r="AI29" s="609">
        <f>IF(AI$7&gt;$N29,0,AH29*(1-'Interest Rate'!$B$17))</f>
        <v>0</v>
      </c>
      <c r="AJ29" s="609">
        <f>IF(AJ$7&gt;$N29,0,AI29*(1-'Interest Rate'!$B$17))</f>
        <v>0</v>
      </c>
      <c r="AK29" s="609">
        <f>IF(AK$7&gt;$N29,0,AJ29*(1-'Interest Rate'!$B$17))</f>
        <v>0</v>
      </c>
      <c r="AL29" s="609">
        <f>IF(AL$7&gt;$N29,0,AK29*(1-'Interest Rate'!$B$17))</f>
        <v>0</v>
      </c>
      <c r="AM29" s="609">
        <f>IF(AM$7&gt;$N29,0,AL29*(1-'Interest Rate'!$B$17))</f>
        <v>0</v>
      </c>
      <c r="AN29" s="609">
        <f>IF(AN$7&gt;$N29,0,AM29*(1-'Interest Rate'!$B$17))</f>
        <v>0</v>
      </c>
      <c r="AO29" s="609">
        <f>IF(AO$7&gt;$N29,0,AN29*(1-'Interest Rate'!$B$17))</f>
        <v>0</v>
      </c>
      <c r="AP29" s="609">
        <f>IF(AP$7&gt;$N29,0,AO29*(1-'Interest Rate'!$B$17))</f>
        <v>0</v>
      </c>
      <c r="AQ29" s="609">
        <f>IF(AQ$7&gt;$N29,0,AP29*(1-'Interest Rate'!$B$17))</f>
        <v>0</v>
      </c>
      <c r="AR29" s="609">
        <f>IF(AR$7&gt;$N29,0,AQ29*(1-'Interest Rate'!$B$17))</f>
        <v>0</v>
      </c>
      <c r="AS29" s="609">
        <f>IF(AS$7&gt;$N29,0,AR29*(1-'Interest Rate'!$B$17))</f>
        <v>0</v>
      </c>
      <c r="AT29" s="609">
        <f>IF(AT$7&gt;$N29,0,AS29*(1-'Interest Rate'!$B$17))</f>
        <v>0</v>
      </c>
      <c r="AU29" s="609">
        <f>IF(AU$7&gt;$N29,0,AT29*(1-'Interest Rate'!$B$17))</f>
        <v>0</v>
      </c>
      <c r="AV29" s="609">
        <f>IF(AV$7&gt;$N29,0,AU29*(1-'Interest Rate'!$B$17))</f>
        <v>0</v>
      </c>
      <c r="AW29" s="609">
        <f>IF(AW$7&gt;$N29,0,AV29*(1-'Interest Rate'!$B$17))</f>
        <v>0</v>
      </c>
      <c r="AX29" s="609">
        <f>IF(AX$7&gt;$N29,0,AW29*(1-'Interest Rate'!$B$17))</f>
        <v>0</v>
      </c>
      <c r="AY29" s="609">
        <f>IF(AY$7&gt;$N29,0,AX29*(1-'Interest Rate'!$B$17))</f>
        <v>0</v>
      </c>
      <c r="AZ29" s="609">
        <f>IF(AZ$7&gt;$N29,0,AY29*(1-'Interest Rate'!$B$17))</f>
        <v>0</v>
      </c>
      <c r="BA29" s="609">
        <f>IF(BA$7&gt;$N29,0,AZ29*(1-'Interest Rate'!$B$17))</f>
        <v>0</v>
      </c>
      <c r="BB29" s="609">
        <f>IF(BB$7&gt;$N29,0,BA29*(1-'Interest Rate'!$B$17))</f>
        <v>0</v>
      </c>
      <c r="BC29" s="609">
        <f>IF(BC$7&gt;$N29,0,BB29*(1-'Interest Rate'!$B$17))</f>
        <v>0</v>
      </c>
      <c r="BD29" s="609">
        <f>IF(BD$7&gt;$N29,0,BC29*(1-'Interest Rate'!$B$17))</f>
        <v>0</v>
      </c>
      <c r="BE29" s="609">
        <f>IF(BE$7&gt;$N29,0,BD29*(1-'Interest Rate'!$B$17))</f>
        <v>0</v>
      </c>
      <c r="BF29" s="609">
        <f>IF(BF$7&gt;$N29,0,BE29*(1-'Interest Rate'!$B$17))</f>
        <v>0</v>
      </c>
      <c r="BG29" s="609">
        <f>IF(BG$7&gt;$N29,0,BF29*(1-'Interest Rate'!$B$17))</f>
        <v>0</v>
      </c>
      <c r="BH29" s="609">
        <f>IF(BH$7&gt;$N29,0,BG29*(1-'Interest Rate'!$B$17))</f>
        <v>0</v>
      </c>
      <c r="BI29" s="609">
        <f>IF(BI$7&gt;$N29,0,BH29*(1-'Interest Rate'!$B$17))</f>
        <v>0</v>
      </c>
      <c r="BJ29" s="609">
        <f>IF(BJ$7&gt;$N29,0,BI29*(1-'Interest Rate'!$B$17))</f>
        <v>0</v>
      </c>
      <c r="BK29" s="609">
        <f>IF(BK$7&gt;$N29,0,BJ29*(1-'Interest Rate'!$B$17))</f>
        <v>0</v>
      </c>
      <c r="BL29" s="609">
        <f>IF(BL$7&gt;$N29,0,BK29*(1-'Interest Rate'!$B$17))</f>
        <v>0</v>
      </c>
      <c r="BM29" s="609">
        <f>IF(BM$7&gt;$N29,0,BL29*(1-'Interest Rate'!$B$17))</f>
        <v>0</v>
      </c>
      <c r="BN29" s="609">
        <f>IF(BN$7&gt;$N29,0,BM29*(1-'Interest Rate'!$B$17))</f>
        <v>0</v>
      </c>
      <c r="BO29" s="609">
        <f>IF(BO$7&gt;$N29,0,BN29*(1-'Interest Rate'!$B$17))</f>
        <v>0</v>
      </c>
      <c r="BP29" s="609">
        <f>IF(BP$7&gt;$N29,0,BO29*(1-'Interest Rate'!$B$17))</f>
        <v>0</v>
      </c>
      <c r="BQ29" s="609">
        <f>IF(BQ$7&gt;$N29,0,BP29*(1-'Interest Rate'!$B$17))</f>
        <v>0</v>
      </c>
      <c r="BR29" s="609">
        <f>IF(BR$7&gt;$N29,0,BQ29*(1-'Interest Rate'!$B$17))</f>
        <v>0</v>
      </c>
      <c r="BS29" s="609">
        <f>IF(BS$7&gt;$N29,0,BR29*(1-'Interest Rate'!$B$17))</f>
        <v>0</v>
      </c>
      <c r="BT29" s="609">
        <f>IF(BT$7&gt;$N29,0,BS29*(1-'Interest Rate'!$B$17))</f>
        <v>0</v>
      </c>
      <c r="BU29" s="609">
        <f>IF(BU$7&gt;$N29,0,BT29*(1-'Interest Rate'!$B$17))</f>
        <v>0</v>
      </c>
      <c r="BV29" s="609">
        <f>IF(BV$7&gt;$N29,0,BU29*(1-'Interest Rate'!$B$17))</f>
        <v>0</v>
      </c>
      <c r="BW29" s="609">
        <f>IF(BW$7&gt;$N29,0,BV29*(1-'Interest Rate'!$B$17))</f>
        <v>0</v>
      </c>
      <c r="BX29" s="609">
        <f>IF(BX$7&gt;$N29,0,BW29*(1-'Interest Rate'!$B$17))</f>
        <v>0</v>
      </c>
      <c r="BY29" s="609">
        <f>IF(BY$7&gt;$N29,0,BX29*(1-'Interest Rate'!$B$17))</f>
        <v>0</v>
      </c>
      <c r="BZ29" s="609">
        <f>IF(BZ$7&gt;$N29,0,BY29*(1-'Interest Rate'!$B$17))</f>
        <v>0</v>
      </c>
      <c r="CA29" s="609">
        <f>IF(CA$7&gt;$N29,0,BZ29*(1-'Interest Rate'!$B$17))</f>
        <v>0</v>
      </c>
      <c r="CB29" s="609">
        <f>IF(CB$7&gt;$N29,0,CA29*(1-'Interest Rate'!$B$17))</f>
        <v>0</v>
      </c>
      <c r="CC29" s="609">
        <f>IF(CC$7&gt;$N29,0,CB29*(1-'Interest Rate'!$B$17))</f>
        <v>0</v>
      </c>
      <c r="CD29" s="609">
        <f>IF(CD$7&gt;$N29,0,CC29*(1-'Interest Rate'!$B$17))</f>
        <v>0</v>
      </c>
      <c r="CE29" s="609">
        <f>IF(CE$7&gt;$N29,0,CD29*(1-'Interest Rate'!$B$17))</f>
        <v>0</v>
      </c>
      <c r="CF29" s="609">
        <f>IF(CF$7&gt;$N29,0,CE29*(1-'Interest Rate'!$B$17))</f>
        <v>0</v>
      </c>
      <c r="CG29" s="609">
        <f>IF(CG$7&gt;$N29,0,CF29*(1-'Interest Rate'!$B$17))</f>
        <v>0</v>
      </c>
      <c r="CH29" s="609">
        <f>IF(CH$7&gt;$N29,0,CG29*(1-'Interest Rate'!$B$17))</f>
        <v>0</v>
      </c>
      <c r="CI29" s="609">
        <f>IF(CI$7&gt;$N29,0,CH29*(1-'Interest Rate'!$B$17))</f>
        <v>0</v>
      </c>
      <c r="CJ29" s="609">
        <f>IF(CJ$7&gt;$N29,0,CI29*(1-'Interest Rate'!$B$17))</f>
        <v>0</v>
      </c>
      <c r="CK29" s="609">
        <f>IF(CK$7&gt;$N29,0,CJ29*(1-'Interest Rate'!$B$17))</f>
        <v>0</v>
      </c>
      <c r="CL29" s="609">
        <f>IF(CL$7&gt;$N29,0,CK29*(1-'Interest Rate'!$B$17))</f>
        <v>0</v>
      </c>
      <c r="CM29" s="609">
        <f>IF(CM$7&gt;$N29,0,CL29*(1-'Interest Rate'!$B$17))</f>
        <v>0</v>
      </c>
      <c r="CN29" s="609">
        <f>IF(CN$7&gt;$N29,0,CM29*(1-'Interest Rate'!$B$17))</f>
        <v>0</v>
      </c>
      <c r="CO29" s="609">
        <f>IF(CO$7&gt;$N29,0,CN29*(1-'Interest Rate'!$B$17))</f>
        <v>0</v>
      </c>
      <c r="CP29" s="609">
        <f>IF(CP$7&gt;$N29,0,CO29*(1-'Interest Rate'!$B$17))</f>
        <v>0</v>
      </c>
      <c r="CQ29" s="609">
        <f>IF(CQ$7&gt;$N29,0,CP29*(1-'Interest Rate'!$B$17))</f>
        <v>0</v>
      </c>
      <c r="CR29" s="609">
        <f>IF(CR$7&gt;$N29,0,CQ29*(1-'Interest Rate'!$B$17))</f>
        <v>0</v>
      </c>
      <c r="CS29" s="609">
        <f>IF(CS$7&gt;$N29,0,CR29*(1-'Interest Rate'!$B$17))</f>
        <v>0</v>
      </c>
      <c r="CT29" s="609">
        <f>IF(CT$7&gt;$N29,0,CS29*(1-'Interest Rate'!$B$17))</f>
        <v>0</v>
      </c>
      <c r="CU29" s="609">
        <f>IF(CU$7&gt;$N29,0,CT29*(1-'Interest Rate'!$B$17))</f>
        <v>0</v>
      </c>
      <c r="CV29" s="609">
        <f>IF(CV$7&gt;$N29,0,CU29*(1-'Interest Rate'!$B$17))</f>
        <v>0</v>
      </c>
      <c r="CW29" s="609">
        <f>IF(CW$7&gt;$N29,0,CV29*(1-'Interest Rate'!$B$17))</f>
        <v>0</v>
      </c>
      <c r="CX29" s="609">
        <f>IF(CX$7&gt;$N29,0,CW29*(1-'Interest Rate'!$B$17))</f>
        <v>0</v>
      </c>
      <c r="CY29" s="609">
        <f>IF(CY$7&gt;$N29,0,CX29*(1-'Interest Rate'!$B$17))</f>
        <v>0</v>
      </c>
      <c r="CZ29" s="609">
        <f>IF(CZ$7&gt;$N29,0,CY29*(1-'Interest Rate'!$B$17))</f>
        <v>0</v>
      </c>
      <c r="DA29" s="609">
        <f>IF(DA$7&gt;$N29,0,CZ29*(1-'Interest Rate'!$B$17))</f>
        <v>0</v>
      </c>
      <c r="DB29" s="609">
        <f>IF(DB$7&gt;$N29,0,DA29*(1-'Interest Rate'!$B$17))</f>
        <v>0</v>
      </c>
      <c r="DC29" s="609">
        <f>IF(DC$7&gt;$N29,0,DB29*(1-'Interest Rate'!$B$17))</f>
        <v>0</v>
      </c>
      <c r="DD29" s="609">
        <f>IF(DD$7&gt;$N29,0,DC29*(1-'Interest Rate'!$B$17))</f>
        <v>0</v>
      </c>
      <c r="DE29" s="609">
        <f>IF(DE$7&gt;$N29,0,DD29*(1-'Interest Rate'!$B$17))</f>
        <v>0</v>
      </c>
      <c r="DF29" s="609">
        <f>IF(DF$7&gt;$N29,0,DE29*(1-'Interest Rate'!$B$17))</f>
        <v>0</v>
      </c>
      <c r="DG29" s="609">
        <f>IF(DG$7&gt;$N29,0,DF29*(1-'Interest Rate'!$B$17))</f>
        <v>0</v>
      </c>
      <c r="DH29" s="609">
        <f>IF(DH$7&gt;$N29,0,DG29*(1-'Interest Rate'!$B$17))</f>
        <v>0</v>
      </c>
      <c r="DI29" s="609">
        <f>IF(DI$7&gt;$N29,0,DH29*(1-'Interest Rate'!$B$17))</f>
        <v>0</v>
      </c>
      <c r="DJ29" s="609">
        <f>IF(DJ$7&gt;$N29,0,DI29*(1-'Interest Rate'!$B$17))</f>
        <v>0</v>
      </c>
      <c r="DK29" s="609">
        <f>IF(DK$7&gt;$N29,0,DJ29*(1-'Interest Rate'!$B$17))</f>
        <v>0</v>
      </c>
      <c r="DL29" s="609">
        <f>IF(DL$7&gt;$N29,0,DK29*(1-'Interest Rate'!$B$17))</f>
        <v>0</v>
      </c>
      <c r="DM29" s="609">
        <f>IF(DM$7&gt;$N29,0,DL29*(1-'Interest Rate'!$B$17))</f>
        <v>0</v>
      </c>
    </row>
    <row r="30" spans="1:117" ht="27.75" customHeight="1" x14ac:dyDescent="0.3">
      <c r="A30" s="600" t="str">
        <f>'EEM Data Entry'!A107</f>
        <v/>
      </c>
      <c r="B30" s="601" t="str">
        <f>'EEM Data Entry'!B107</f>
        <v/>
      </c>
      <c r="C30" s="602" t="str">
        <f>'EEM Data Entry'!F107</f>
        <v/>
      </c>
      <c r="D30" s="602">
        <v>0</v>
      </c>
      <c r="E30" s="602" t="e">
        <f t="shared" si="6"/>
        <v>#VALUE!</v>
      </c>
      <c r="F30" s="602">
        <f>('Savings Summary'!D29*'Savings Summary'!D$5)+('Savings Summary'!F29*'Savings Summary'!F$5)+('Savings Summary'!H29*'Savings Summary'!H$5)+('Savings Summary'!J29*'Savings Summary'!J$5)+('Savings Summary'!L29*'Savings Summary'!L$5)+('Savings Summary'!N29*'Savings Summary'!N$5)+('Savings Summary'!P29*'Savings Summary'!P$5)+('Savings Summary'!R29*'Savings Summary'!R$5)</f>
        <v>0</v>
      </c>
      <c r="G30" s="603">
        <f>'Savings Summary'!T29</f>
        <v>0</v>
      </c>
      <c r="H30" s="604" t="e">
        <f t="shared" si="7"/>
        <v>#VALUE!</v>
      </c>
      <c r="I30" s="600" t="e">
        <f t="shared" si="8"/>
        <v>#VALUE!</v>
      </c>
      <c r="J30" s="605" t="e">
        <f t="shared" si="3"/>
        <v>#NUM!</v>
      </c>
      <c r="K30" s="606" t="e">
        <f>PV('Interest Rate'!$B$17,Table6[[#This Row],[LIFETIME]],-Table6[[#This Row],[ANNUAL ENERGY COST SAVINGS]],Table6[[#This Row],[END-OF-LIFE]],0)-Table6[[#This Row],[CAPITAL INVESTMENT]]</f>
        <v>#VALUE!</v>
      </c>
      <c r="L30" s="600" t="str">
        <f>'EEM Data Entry'!C107</f>
        <v/>
      </c>
      <c r="M30" s="607" t="e">
        <f>Table6[[#This Row],[ANNUAL ENERGY COST SAVINGS]]/Table6[[#This Row],[CAPITAL INVESTMENT]]</f>
        <v>#VALUE!</v>
      </c>
      <c r="N30" s="804" t="str">
        <f>Table6[[#This Row],[LIFETIME]]</f>
        <v/>
      </c>
      <c r="O30" s="607"/>
      <c r="P30" s="607"/>
      <c r="Q30" s="608" t="str">
        <f t="shared" si="4"/>
        <v/>
      </c>
      <c r="R30" s="609">
        <f t="shared" si="5"/>
        <v>0</v>
      </c>
      <c r="S30" s="609">
        <f>IF(S$7&gt;$N30,0,R30*(1-'Interest Rate'!$B$17))</f>
        <v>0</v>
      </c>
      <c r="T30" s="609">
        <f>IF(T$7&gt;$N30,0,S30*(1-'Interest Rate'!$B$17))</f>
        <v>0</v>
      </c>
      <c r="U30" s="609">
        <f>IF(U$7&gt;$N30,0,T30*(1-'Interest Rate'!$B$17))</f>
        <v>0</v>
      </c>
      <c r="V30" s="609">
        <f>IF(V$7&gt;$N30,0,U30*(1-'Interest Rate'!$B$17))</f>
        <v>0</v>
      </c>
      <c r="W30" s="609">
        <f>IF(W$7&gt;$N30,0,V30*(1-'Interest Rate'!$B$17))</f>
        <v>0</v>
      </c>
      <c r="X30" s="609">
        <f>IF(X$7&gt;$N30,0,W30*(1-'Interest Rate'!$B$17))</f>
        <v>0</v>
      </c>
      <c r="Y30" s="609">
        <f>IF(Y$7&gt;$N30,0,X30*(1-'Interest Rate'!$B$17))</f>
        <v>0</v>
      </c>
      <c r="Z30" s="609">
        <f>IF(Z$7&gt;$N30,0,Y30*(1-'Interest Rate'!$B$17))</f>
        <v>0</v>
      </c>
      <c r="AA30" s="609">
        <f>IF(AA$7&gt;$N30,0,Z30*(1-'Interest Rate'!$B$17))</f>
        <v>0</v>
      </c>
      <c r="AB30" s="609">
        <f>IF(AB$7&gt;$N30,0,AA30*(1-'Interest Rate'!$B$17))</f>
        <v>0</v>
      </c>
      <c r="AC30" s="609">
        <f>IF(AC$7&gt;$N30,0,AB30*(1-'Interest Rate'!$B$17))</f>
        <v>0</v>
      </c>
      <c r="AD30" s="609">
        <f>IF(AD$7&gt;$N30,0,AC30*(1-'Interest Rate'!$B$17))</f>
        <v>0</v>
      </c>
      <c r="AE30" s="609">
        <f>IF(AE$7&gt;$N30,0,AD30*(1-'Interest Rate'!$B$17))</f>
        <v>0</v>
      </c>
      <c r="AF30" s="609">
        <f>IF(AF$7&gt;$N30,0,AE30*(1-'Interest Rate'!$B$17))</f>
        <v>0</v>
      </c>
      <c r="AG30" s="609">
        <f>IF(AG$7&gt;$N30,0,AF30*(1-'Interest Rate'!$B$17))</f>
        <v>0</v>
      </c>
      <c r="AH30" s="609">
        <f>IF(AH$7&gt;$N30,0,AG30*(1-'Interest Rate'!$B$17))</f>
        <v>0</v>
      </c>
      <c r="AI30" s="609">
        <f>IF(AI$7&gt;$N30,0,AH30*(1-'Interest Rate'!$B$17))</f>
        <v>0</v>
      </c>
      <c r="AJ30" s="609">
        <f>IF(AJ$7&gt;$N30,0,AI30*(1-'Interest Rate'!$B$17))</f>
        <v>0</v>
      </c>
      <c r="AK30" s="609">
        <f>IF(AK$7&gt;$N30,0,AJ30*(1-'Interest Rate'!$B$17))</f>
        <v>0</v>
      </c>
      <c r="AL30" s="609">
        <f>IF(AL$7&gt;$N30,0,AK30*(1-'Interest Rate'!$B$17))</f>
        <v>0</v>
      </c>
      <c r="AM30" s="609">
        <f>IF(AM$7&gt;$N30,0,AL30*(1-'Interest Rate'!$B$17))</f>
        <v>0</v>
      </c>
      <c r="AN30" s="609">
        <f>IF(AN$7&gt;$N30,0,AM30*(1-'Interest Rate'!$B$17))</f>
        <v>0</v>
      </c>
      <c r="AO30" s="609">
        <f>IF(AO$7&gt;$N30,0,AN30*(1-'Interest Rate'!$B$17))</f>
        <v>0</v>
      </c>
      <c r="AP30" s="609">
        <f>IF(AP$7&gt;$N30,0,AO30*(1-'Interest Rate'!$B$17))</f>
        <v>0</v>
      </c>
      <c r="AQ30" s="609">
        <f>IF(AQ$7&gt;$N30,0,AP30*(1-'Interest Rate'!$B$17))</f>
        <v>0</v>
      </c>
      <c r="AR30" s="609">
        <f>IF(AR$7&gt;$N30,0,AQ30*(1-'Interest Rate'!$B$17))</f>
        <v>0</v>
      </c>
      <c r="AS30" s="609">
        <f>IF(AS$7&gt;$N30,0,AR30*(1-'Interest Rate'!$B$17))</f>
        <v>0</v>
      </c>
      <c r="AT30" s="609">
        <f>IF(AT$7&gt;$N30,0,AS30*(1-'Interest Rate'!$B$17))</f>
        <v>0</v>
      </c>
      <c r="AU30" s="609">
        <f>IF(AU$7&gt;$N30,0,AT30*(1-'Interest Rate'!$B$17))</f>
        <v>0</v>
      </c>
      <c r="AV30" s="609">
        <f>IF(AV$7&gt;$N30,0,AU30*(1-'Interest Rate'!$B$17))</f>
        <v>0</v>
      </c>
      <c r="AW30" s="609">
        <f>IF(AW$7&gt;$N30,0,AV30*(1-'Interest Rate'!$B$17))</f>
        <v>0</v>
      </c>
      <c r="AX30" s="609">
        <f>IF(AX$7&gt;$N30,0,AW30*(1-'Interest Rate'!$B$17))</f>
        <v>0</v>
      </c>
      <c r="AY30" s="609">
        <f>IF(AY$7&gt;$N30,0,AX30*(1-'Interest Rate'!$B$17))</f>
        <v>0</v>
      </c>
      <c r="AZ30" s="609">
        <f>IF(AZ$7&gt;$N30,0,AY30*(1-'Interest Rate'!$B$17))</f>
        <v>0</v>
      </c>
      <c r="BA30" s="609">
        <f>IF(BA$7&gt;$N30,0,AZ30*(1-'Interest Rate'!$B$17))</f>
        <v>0</v>
      </c>
      <c r="BB30" s="609">
        <f>IF(BB$7&gt;$N30,0,BA30*(1-'Interest Rate'!$B$17))</f>
        <v>0</v>
      </c>
      <c r="BC30" s="609">
        <f>IF(BC$7&gt;$N30,0,BB30*(1-'Interest Rate'!$B$17))</f>
        <v>0</v>
      </c>
      <c r="BD30" s="609">
        <f>IF(BD$7&gt;$N30,0,BC30*(1-'Interest Rate'!$B$17))</f>
        <v>0</v>
      </c>
      <c r="BE30" s="609">
        <f>IF(BE$7&gt;$N30,0,BD30*(1-'Interest Rate'!$B$17))</f>
        <v>0</v>
      </c>
      <c r="BF30" s="609">
        <f>IF(BF$7&gt;$N30,0,BE30*(1-'Interest Rate'!$B$17))</f>
        <v>0</v>
      </c>
      <c r="BG30" s="609">
        <f>IF(BG$7&gt;$N30,0,BF30*(1-'Interest Rate'!$B$17))</f>
        <v>0</v>
      </c>
      <c r="BH30" s="609">
        <f>IF(BH$7&gt;$N30,0,BG30*(1-'Interest Rate'!$B$17))</f>
        <v>0</v>
      </c>
      <c r="BI30" s="609">
        <f>IF(BI$7&gt;$N30,0,BH30*(1-'Interest Rate'!$B$17))</f>
        <v>0</v>
      </c>
      <c r="BJ30" s="609">
        <f>IF(BJ$7&gt;$N30,0,BI30*(1-'Interest Rate'!$B$17))</f>
        <v>0</v>
      </c>
      <c r="BK30" s="609">
        <f>IF(BK$7&gt;$N30,0,BJ30*(1-'Interest Rate'!$B$17))</f>
        <v>0</v>
      </c>
      <c r="BL30" s="609">
        <f>IF(BL$7&gt;$N30,0,BK30*(1-'Interest Rate'!$B$17))</f>
        <v>0</v>
      </c>
      <c r="BM30" s="609">
        <f>IF(BM$7&gt;$N30,0,BL30*(1-'Interest Rate'!$B$17))</f>
        <v>0</v>
      </c>
      <c r="BN30" s="609">
        <f>IF(BN$7&gt;$N30,0,BM30*(1-'Interest Rate'!$B$17))</f>
        <v>0</v>
      </c>
      <c r="BO30" s="609">
        <f>IF(BO$7&gt;$N30,0,BN30*(1-'Interest Rate'!$B$17))</f>
        <v>0</v>
      </c>
      <c r="BP30" s="609">
        <f>IF(BP$7&gt;$N30,0,BO30*(1-'Interest Rate'!$B$17))</f>
        <v>0</v>
      </c>
      <c r="BQ30" s="609">
        <f>IF(BQ$7&gt;$N30,0,BP30*(1-'Interest Rate'!$B$17))</f>
        <v>0</v>
      </c>
      <c r="BR30" s="609">
        <f>IF(BR$7&gt;$N30,0,BQ30*(1-'Interest Rate'!$B$17))</f>
        <v>0</v>
      </c>
      <c r="BS30" s="609">
        <f>IF(BS$7&gt;$N30,0,BR30*(1-'Interest Rate'!$B$17))</f>
        <v>0</v>
      </c>
      <c r="BT30" s="609">
        <f>IF(BT$7&gt;$N30,0,BS30*(1-'Interest Rate'!$B$17))</f>
        <v>0</v>
      </c>
      <c r="BU30" s="609">
        <f>IF(BU$7&gt;$N30,0,BT30*(1-'Interest Rate'!$B$17))</f>
        <v>0</v>
      </c>
      <c r="BV30" s="609">
        <f>IF(BV$7&gt;$N30,0,BU30*(1-'Interest Rate'!$B$17))</f>
        <v>0</v>
      </c>
      <c r="BW30" s="609">
        <f>IF(BW$7&gt;$N30,0,BV30*(1-'Interest Rate'!$B$17))</f>
        <v>0</v>
      </c>
      <c r="BX30" s="609">
        <f>IF(BX$7&gt;$N30,0,BW30*(1-'Interest Rate'!$B$17))</f>
        <v>0</v>
      </c>
      <c r="BY30" s="609">
        <f>IF(BY$7&gt;$N30,0,BX30*(1-'Interest Rate'!$B$17))</f>
        <v>0</v>
      </c>
      <c r="BZ30" s="609">
        <f>IF(BZ$7&gt;$N30,0,BY30*(1-'Interest Rate'!$B$17))</f>
        <v>0</v>
      </c>
      <c r="CA30" s="609">
        <f>IF(CA$7&gt;$N30,0,BZ30*(1-'Interest Rate'!$B$17))</f>
        <v>0</v>
      </c>
      <c r="CB30" s="609">
        <f>IF(CB$7&gt;$N30,0,CA30*(1-'Interest Rate'!$B$17))</f>
        <v>0</v>
      </c>
      <c r="CC30" s="609">
        <f>IF(CC$7&gt;$N30,0,CB30*(1-'Interest Rate'!$B$17))</f>
        <v>0</v>
      </c>
      <c r="CD30" s="609">
        <f>IF(CD$7&gt;$N30,0,CC30*(1-'Interest Rate'!$B$17))</f>
        <v>0</v>
      </c>
      <c r="CE30" s="609">
        <f>IF(CE$7&gt;$N30,0,CD30*(1-'Interest Rate'!$B$17))</f>
        <v>0</v>
      </c>
      <c r="CF30" s="609">
        <f>IF(CF$7&gt;$N30,0,CE30*(1-'Interest Rate'!$B$17))</f>
        <v>0</v>
      </c>
      <c r="CG30" s="609">
        <f>IF(CG$7&gt;$N30,0,CF30*(1-'Interest Rate'!$B$17))</f>
        <v>0</v>
      </c>
      <c r="CH30" s="609">
        <f>IF(CH$7&gt;$N30,0,CG30*(1-'Interest Rate'!$B$17))</f>
        <v>0</v>
      </c>
      <c r="CI30" s="609">
        <f>IF(CI$7&gt;$N30,0,CH30*(1-'Interest Rate'!$B$17))</f>
        <v>0</v>
      </c>
      <c r="CJ30" s="609">
        <f>IF(CJ$7&gt;$N30,0,CI30*(1-'Interest Rate'!$B$17))</f>
        <v>0</v>
      </c>
      <c r="CK30" s="609">
        <f>IF(CK$7&gt;$N30,0,CJ30*(1-'Interest Rate'!$B$17))</f>
        <v>0</v>
      </c>
      <c r="CL30" s="609">
        <f>IF(CL$7&gt;$N30,0,CK30*(1-'Interest Rate'!$B$17))</f>
        <v>0</v>
      </c>
      <c r="CM30" s="609">
        <f>IF(CM$7&gt;$N30,0,CL30*(1-'Interest Rate'!$B$17))</f>
        <v>0</v>
      </c>
      <c r="CN30" s="609">
        <f>IF(CN$7&gt;$N30,0,CM30*(1-'Interest Rate'!$B$17))</f>
        <v>0</v>
      </c>
      <c r="CO30" s="609">
        <f>IF(CO$7&gt;$N30,0,CN30*(1-'Interest Rate'!$B$17))</f>
        <v>0</v>
      </c>
      <c r="CP30" s="609">
        <f>IF(CP$7&gt;$N30,0,CO30*(1-'Interest Rate'!$B$17))</f>
        <v>0</v>
      </c>
      <c r="CQ30" s="609">
        <f>IF(CQ$7&gt;$N30,0,CP30*(1-'Interest Rate'!$B$17))</f>
        <v>0</v>
      </c>
      <c r="CR30" s="609">
        <f>IF(CR$7&gt;$N30,0,CQ30*(1-'Interest Rate'!$B$17))</f>
        <v>0</v>
      </c>
      <c r="CS30" s="609">
        <f>IF(CS$7&gt;$N30,0,CR30*(1-'Interest Rate'!$B$17))</f>
        <v>0</v>
      </c>
      <c r="CT30" s="609">
        <f>IF(CT$7&gt;$N30,0,CS30*(1-'Interest Rate'!$B$17))</f>
        <v>0</v>
      </c>
      <c r="CU30" s="609">
        <f>IF(CU$7&gt;$N30,0,CT30*(1-'Interest Rate'!$B$17))</f>
        <v>0</v>
      </c>
      <c r="CV30" s="609">
        <f>IF(CV$7&gt;$N30,0,CU30*(1-'Interest Rate'!$B$17))</f>
        <v>0</v>
      </c>
      <c r="CW30" s="609">
        <f>IF(CW$7&gt;$N30,0,CV30*(1-'Interest Rate'!$B$17))</f>
        <v>0</v>
      </c>
      <c r="CX30" s="609">
        <f>IF(CX$7&gt;$N30,0,CW30*(1-'Interest Rate'!$B$17))</f>
        <v>0</v>
      </c>
      <c r="CY30" s="609">
        <f>IF(CY$7&gt;$N30,0,CX30*(1-'Interest Rate'!$B$17))</f>
        <v>0</v>
      </c>
      <c r="CZ30" s="609">
        <f>IF(CZ$7&gt;$N30,0,CY30*(1-'Interest Rate'!$B$17))</f>
        <v>0</v>
      </c>
      <c r="DA30" s="609">
        <f>IF(DA$7&gt;$N30,0,CZ30*(1-'Interest Rate'!$B$17))</f>
        <v>0</v>
      </c>
      <c r="DB30" s="609">
        <f>IF(DB$7&gt;$N30,0,DA30*(1-'Interest Rate'!$B$17))</f>
        <v>0</v>
      </c>
      <c r="DC30" s="609">
        <f>IF(DC$7&gt;$N30,0,DB30*(1-'Interest Rate'!$B$17))</f>
        <v>0</v>
      </c>
      <c r="DD30" s="609">
        <f>IF(DD$7&gt;$N30,0,DC30*(1-'Interest Rate'!$B$17))</f>
        <v>0</v>
      </c>
      <c r="DE30" s="609">
        <f>IF(DE$7&gt;$N30,0,DD30*(1-'Interest Rate'!$B$17))</f>
        <v>0</v>
      </c>
      <c r="DF30" s="609">
        <f>IF(DF$7&gt;$N30,0,DE30*(1-'Interest Rate'!$B$17))</f>
        <v>0</v>
      </c>
      <c r="DG30" s="609">
        <f>IF(DG$7&gt;$N30,0,DF30*(1-'Interest Rate'!$B$17))</f>
        <v>0</v>
      </c>
      <c r="DH30" s="609">
        <f>IF(DH$7&gt;$N30,0,DG30*(1-'Interest Rate'!$B$17))</f>
        <v>0</v>
      </c>
      <c r="DI30" s="609">
        <f>IF(DI$7&gt;$N30,0,DH30*(1-'Interest Rate'!$B$17))</f>
        <v>0</v>
      </c>
      <c r="DJ30" s="609">
        <f>IF(DJ$7&gt;$N30,0,DI30*(1-'Interest Rate'!$B$17))</f>
        <v>0</v>
      </c>
      <c r="DK30" s="609">
        <f>IF(DK$7&gt;$N30,0,DJ30*(1-'Interest Rate'!$B$17))</f>
        <v>0</v>
      </c>
      <c r="DL30" s="609">
        <f>IF(DL$7&gt;$N30,0,DK30*(1-'Interest Rate'!$B$17))</f>
        <v>0</v>
      </c>
      <c r="DM30" s="609">
        <f>IF(DM$7&gt;$N30,0,DL30*(1-'Interest Rate'!$B$17))</f>
        <v>0</v>
      </c>
    </row>
    <row r="31" spans="1:117" ht="27.75" customHeight="1" x14ac:dyDescent="0.3">
      <c r="A31" s="600" t="str">
        <f>'EEM Data Entry'!A108</f>
        <v/>
      </c>
      <c r="B31" s="601" t="str">
        <f>'EEM Data Entry'!B108</f>
        <v/>
      </c>
      <c r="C31" s="602" t="str">
        <f>'EEM Data Entry'!F108</f>
        <v/>
      </c>
      <c r="D31" s="602">
        <v>0</v>
      </c>
      <c r="E31" s="602" t="e">
        <f t="shared" si="6"/>
        <v>#VALUE!</v>
      </c>
      <c r="F31" s="602">
        <f>('Savings Summary'!D30*'Savings Summary'!D$5)+('Savings Summary'!F30*'Savings Summary'!F$5)+('Savings Summary'!H30*'Savings Summary'!H$5)+('Savings Summary'!J30*'Savings Summary'!J$5)+('Savings Summary'!L30*'Savings Summary'!L$5)+('Savings Summary'!N30*'Savings Summary'!N$5)+('Savings Summary'!P30*'Savings Summary'!P$5)+('Savings Summary'!R30*'Savings Summary'!R$5)</f>
        <v>0</v>
      </c>
      <c r="G31" s="603">
        <f>'Savings Summary'!T30</f>
        <v>0</v>
      </c>
      <c r="H31" s="604" t="e">
        <f t="shared" si="7"/>
        <v>#VALUE!</v>
      </c>
      <c r="I31" s="600" t="e">
        <f t="shared" si="8"/>
        <v>#VALUE!</v>
      </c>
      <c r="J31" s="605" t="e">
        <f t="shared" si="3"/>
        <v>#NUM!</v>
      </c>
      <c r="K31" s="606" t="e">
        <f>PV('Interest Rate'!$B$17,Table6[[#This Row],[LIFETIME]],-Table6[[#This Row],[ANNUAL ENERGY COST SAVINGS]],Table6[[#This Row],[END-OF-LIFE]],0)-Table6[[#This Row],[CAPITAL INVESTMENT]]</f>
        <v>#VALUE!</v>
      </c>
      <c r="L31" s="600" t="str">
        <f>'EEM Data Entry'!C108</f>
        <v/>
      </c>
      <c r="M31" s="607" t="e">
        <f>Table6[[#This Row],[ANNUAL ENERGY COST SAVINGS]]/Table6[[#This Row],[CAPITAL INVESTMENT]]</f>
        <v>#VALUE!</v>
      </c>
      <c r="N31" s="804" t="str">
        <f>Table6[[#This Row],[LIFETIME]]</f>
        <v/>
      </c>
      <c r="O31" s="607"/>
      <c r="P31" s="607"/>
      <c r="Q31" s="608" t="str">
        <f t="shared" si="4"/>
        <v/>
      </c>
      <c r="R31" s="609">
        <f t="shared" si="5"/>
        <v>0</v>
      </c>
      <c r="S31" s="609">
        <f>IF(S$7&gt;$N31,0,R31*(1-'Interest Rate'!$B$17))</f>
        <v>0</v>
      </c>
      <c r="T31" s="609">
        <f>IF(T$7&gt;$N31,0,S31*(1-'Interest Rate'!$B$17))</f>
        <v>0</v>
      </c>
      <c r="U31" s="609">
        <f>IF(U$7&gt;$N31,0,T31*(1-'Interest Rate'!$B$17))</f>
        <v>0</v>
      </c>
      <c r="V31" s="609">
        <f>IF(V$7&gt;$N31,0,U31*(1-'Interest Rate'!$B$17))</f>
        <v>0</v>
      </c>
      <c r="W31" s="609">
        <f>IF(W$7&gt;$N31,0,V31*(1-'Interest Rate'!$B$17))</f>
        <v>0</v>
      </c>
      <c r="X31" s="609">
        <f>IF(X$7&gt;$N31,0,W31*(1-'Interest Rate'!$B$17))</f>
        <v>0</v>
      </c>
      <c r="Y31" s="609">
        <f>IF(Y$7&gt;$N31,0,X31*(1-'Interest Rate'!$B$17))</f>
        <v>0</v>
      </c>
      <c r="Z31" s="609">
        <f>IF(Z$7&gt;$N31,0,Y31*(1-'Interest Rate'!$B$17))</f>
        <v>0</v>
      </c>
      <c r="AA31" s="609">
        <f>IF(AA$7&gt;$N31,0,Z31*(1-'Interest Rate'!$B$17))</f>
        <v>0</v>
      </c>
      <c r="AB31" s="609">
        <f>IF(AB$7&gt;$N31,0,AA31*(1-'Interest Rate'!$B$17))</f>
        <v>0</v>
      </c>
      <c r="AC31" s="609">
        <f>IF(AC$7&gt;$N31,0,AB31*(1-'Interest Rate'!$B$17))</f>
        <v>0</v>
      </c>
      <c r="AD31" s="609">
        <f>IF(AD$7&gt;$N31,0,AC31*(1-'Interest Rate'!$B$17))</f>
        <v>0</v>
      </c>
      <c r="AE31" s="609">
        <f>IF(AE$7&gt;$N31,0,AD31*(1-'Interest Rate'!$B$17))</f>
        <v>0</v>
      </c>
      <c r="AF31" s="609">
        <f>IF(AF$7&gt;$N31,0,AE31*(1-'Interest Rate'!$B$17))</f>
        <v>0</v>
      </c>
      <c r="AG31" s="609">
        <f>IF(AG$7&gt;$N31,0,AF31*(1-'Interest Rate'!$B$17))</f>
        <v>0</v>
      </c>
      <c r="AH31" s="609">
        <f>IF(AH$7&gt;$N31,0,AG31*(1-'Interest Rate'!$B$17))</f>
        <v>0</v>
      </c>
      <c r="AI31" s="609">
        <f>IF(AI$7&gt;$N31,0,AH31*(1-'Interest Rate'!$B$17))</f>
        <v>0</v>
      </c>
      <c r="AJ31" s="609">
        <f>IF(AJ$7&gt;$N31,0,AI31*(1-'Interest Rate'!$B$17))</f>
        <v>0</v>
      </c>
      <c r="AK31" s="609">
        <f>IF(AK$7&gt;$N31,0,AJ31*(1-'Interest Rate'!$B$17))</f>
        <v>0</v>
      </c>
      <c r="AL31" s="609">
        <f>IF(AL$7&gt;$N31,0,AK31*(1-'Interest Rate'!$B$17))</f>
        <v>0</v>
      </c>
      <c r="AM31" s="609">
        <f>IF(AM$7&gt;$N31,0,AL31*(1-'Interest Rate'!$B$17))</f>
        <v>0</v>
      </c>
      <c r="AN31" s="609">
        <f>IF(AN$7&gt;$N31,0,AM31*(1-'Interest Rate'!$B$17))</f>
        <v>0</v>
      </c>
      <c r="AO31" s="609">
        <f>IF(AO$7&gt;$N31,0,AN31*(1-'Interest Rate'!$B$17))</f>
        <v>0</v>
      </c>
      <c r="AP31" s="609">
        <f>IF(AP$7&gt;$N31,0,AO31*(1-'Interest Rate'!$B$17))</f>
        <v>0</v>
      </c>
      <c r="AQ31" s="609">
        <f>IF(AQ$7&gt;$N31,0,AP31*(1-'Interest Rate'!$B$17))</f>
        <v>0</v>
      </c>
      <c r="AR31" s="609">
        <f>IF(AR$7&gt;$N31,0,AQ31*(1-'Interest Rate'!$B$17))</f>
        <v>0</v>
      </c>
      <c r="AS31" s="609">
        <f>IF(AS$7&gt;$N31,0,AR31*(1-'Interest Rate'!$B$17))</f>
        <v>0</v>
      </c>
      <c r="AT31" s="609">
        <f>IF(AT$7&gt;$N31,0,AS31*(1-'Interest Rate'!$B$17))</f>
        <v>0</v>
      </c>
      <c r="AU31" s="609">
        <f>IF(AU$7&gt;$N31,0,AT31*(1-'Interest Rate'!$B$17))</f>
        <v>0</v>
      </c>
      <c r="AV31" s="609">
        <f>IF(AV$7&gt;$N31,0,AU31*(1-'Interest Rate'!$B$17))</f>
        <v>0</v>
      </c>
      <c r="AW31" s="609">
        <f>IF(AW$7&gt;$N31,0,AV31*(1-'Interest Rate'!$B$17))</f>
        <v>0</v>
      </c>
      <c r="AX31" s="609">
        <f>IF(AX$7&gt;$N31,0,AW31*(1-'Interest Rate'!$B$17))</f>
        <v>0</v>
      </c>
      <c r="AY31" s="609">
        <f>IF(AY$7&gt;$N31,0,AX31*(1-'Interest Rate'!$B$17))</f>
        <v>0</v>
      </c>
      <c r="AZ31" s="609">
        <f>IF(AZ$7&gt;$N31,0,AY31*(1-'Interest Rate'!$B$17))</f>
        <v>0</v>
      </c>
      <c r="BA31" s="609">
        <f>IF(BA$7&gt;$N31,0,AZ31*(1-'Interest Rate'!$B$17))</f>
        <v>0</v>
      </c>
      <c r="BB31" s="609">
        <f>IF(BB$7&gt;$N31,0,BA31*(1-'Interest Rate'!$B$17))</f>
        <v>0</v>
      </c>
      <c r="BC31" s="609">
        <f>IF(BC$7&gt;$N31,0,BB31*(1-'Interest Rate'!$B$17))</f>
        <v>0</v>
      </c>
      <c r="BD31" s="609">
        <f>IF(BD$7&gt;$N31,0,BC31*(1-'Interest Rate'!$B$17))</f>
        <v>0</v>
      </c>
      <c r="BE31" s="609">
        <f>IF(BE$7&gt;$N31,0,BD31*(1-'Interest Rate'!$B$17))</f>
        <v>0</v>
      </c>
      <c r="BF31" s="609">
        <f>IF(BF$7&gt;$N31,0,BE31*(1-'Interest Rate'!$B$17))</f>
        <v>0</v>
      </c>
      <c r="BG31" s="609">
        <f>IF(BG$7&gt;$N31,0,BF31*(1-'Interest Rate'!$B$17))</f>
        <v>0</v>
      </c>
      <c r="BH31" s="609">
        <f>IF(BH$7&gt;$N31,0,BG31*(1-'Interest Rate'!$B$17))</f>
        <v>0</v>
      </c>
      <c r="BI31" s="609">
        <f>IF(BI$7&gt;$N31,0,BH31*(1-'Interest Rate'!$B$17))</f>
        <v>0</v>
      </c>
      <c r="BJ31" s="609">
        <f>IF(BJ$7&gt;$N31,0,BI31*(1-'Interest Rate'!$B$17))</f>
        <v>0</v>
      </c>
      <c r="BK31" s="609">
        <f>IF(BK$7&gt;$N31,0,BJ31*(1-'Interest Rate'!$B$17))</f>
        <v>0</v>
      </c>
      <c r="BL31" s="609">
        <f>IF(BL$7&gt;$N31,0,BK31*(1-'Interest Rate'!$B$17))</f>
        <v>0</v>
      </c>
      <c r="BM31" s="609">
        <f>IF(BM$7&gt;$N31,0,BL31*(1-'Interest Rate'!$B$17))</f>
        <v>0</v>
      </c>
      <c r="BN31" s="609">
        <f>IF(BN$7&gt;$N31,0,BM31*(1-'Interest Rate'!$B$17))</f>
        <v>0</v>
      </c>
      <c r="BO31" s="609">
        <f>IF(BO$7&gt;$N31,0,BN31*(1-'Interest Rate'!$B$17))</f>
        <v>0</v>
      </c>
      <c r="BP31" s="609">
        <f>IF(BP$7&gt;$N31,0,BO31*(1-'Interest Rate'!$B$17))</f>
        <v>0</v>
      </c>
      <c r="BQ31" s="609">
        <f>IF(BQ$7&gt;$N31,0,BP31*(1-'Interest Rate'!$B$17))</f>
        <v>0</v>
      </c>
      <c r="BR31" s="609">
        <f>IF(BR$7&gt;$N31,0,BQ31*(1-'Interest Rate'!$B$17))</f>
        <v>0</v>
      </c>
      <c r="BS31" s="609">
        <f>IF(BS$7&gt;$N31,0,BR31*(1-'Interest Rate'!$B$17))</f>
        <v>0</v>
      </c>
      <c r="BT31" s="609">
        <f>IF(BT$7&gt;$N31,0,BS31*(1-'Interest Rate'!$B$17))</f>
        <v>0</v>
      </c>
      <c r="BU31" s="609">
        <f>IF(BU$7&gt;$N31,0,BT31*(1-'Interest Rate'!$B$17))</f>
        <v>0</v>
      </c>
      <c r="BV31" s="609">
        <f>IF(BV$7&gt;$N31,0,BU31*(1-'Interest Rate'!$B$17))</f>
        <v>0</v>
      </c>
      <c r="BW31" s="609">
        <f>IF(BW$7&gt;$N31,0,BV31*(1-'Interest Rate'!$B$17))</f>
        <v>0</v>
      </c>
      <c r="BX31" s="609">
        <f>IF(BX$7&gt;$N31,0,BW31*(1-'Interest Rate'!$B$17))</f>
        <v>0</v>
      </c>
      <c r="BY31" s="609">
        <f>IF(BY$7&gt;$N31,0,BX31*(1-'Interest Rate'!$B$17))</f>
        <v>0</v>
      </c>
      <c r="BZ31" s="609">
        <f>IF(BZ$7&gt;$N31,0,BY31*(1-'Interest Rate'!$B$17))</f>
        <v>0</v>
      </c>
      <c r="CA31" s="609">
        <f>IF(CA$7&gt;$N31,0,BZ31*(1-'Interest Rate'!$B$17))</f>
        <v>0</v>
      </c>
      <c r="CB31" s="609">
        <f>IF(CB$7&gt;$N31,0,CA31*(1-'Interest Rate'!$B$17))</f>
        <v>0</v>
      </c>
      <c r="CC31" s="609">
        <f>IF(CC$7&gt;$N31,0,CB31*(1-'Interest Rate'!$B$17))</f>
        <v>0</v>
      </c>
      <c r="CD31" s="609">
        <f>IF(CD$7&gt;$N31,0,CC31*(1-'Interest Rate'!$B$17))</f>
        <v>0</v>
      </c>
      <c r="CE31" s="609">
        <f>IF(CE$7&gt;$N31,0,CD31*(1-'Interest Rate'!$B$17))</f>
        <v>0</v>
      </c>
      <c r="CF31" s="609">
        <f>IF(CF$7&gt;$N31,0,CE31*(1-'Interest Rate'!$B$17))</f>
        <v>0</v>
      </c>
      <c r="CG31" s="609">
        <f>IF(CG$7&gt;$N31,0,CF31*(1-'Interest Rate'!$B$17))</f>
        <v>0</v>
      </c>
      <c r="CH31" s="609">
        <f>IF(CH$7&gt;$N31,0,CG31*(1-'Interest Rate'!$B$17))</f>
        <v>0</v>
      </c>
      <c r="CI31" s="609">
        <f>IF(CI$7&gt;$N31,0,CH31*(1-'Interest Rate'!$B$17))</f>
        <v>0</v>
      </c>
      <c r="CJ31" s="609">
        <f>IF(CJ$7&gt;$N31,0,CI31*(1-'Interest Rate'!$B$17))</f>
        <v>0</v>
      </c>
      <c r="CK31" s="609">
        <f>IF(CK$7&gt;$N31,0,CJ31*(1-'Interest Rate'!$B$17))</f>
        <v>0</v>
      </c>
      <c r="CL31" s="609">
        <f>IF(CL$7&gt;$N31,0,CK31*(1-'Interest Rate'!$B$17))</f>
        <v>0</v>
      </c>
      <c r="CM31" s="609">
        <f>IF(CM$7&gt;$N31,0,CL31*(1-'Interest Rate'!$B$17))</f>
        <v>0</v>
      </c>
      <c r="CN31" s="609">
        <f>IF(CN$7&gt;$N31,0,CM31*(1-'Interest Rate'!$B$17))</f>
        <v>0</v>
      </c>
      <c r="CO31" s="609">
        <f>IF(CO$7&gt;$N31,0,CN31*(1-'Interest Rate'!$B$17))</f>
        <v>0</v>
      </c>
      <c r="CP31" s="609">
        <f>IF(CP$7&gt;$N31,0,CO31*(1-'Interest Rate'!$B$17))</f>
        <v>0</v>
      </c>
      <c r="CQ31" s="609">
        <f>IF(CQ$7&gt;$N31,0,CP31*(1-'Interest Rate'!$B$17))</f>
        <v>0</v>
      </c>
      <c r="CR31" s="609">
        <f>IF(CR$7&gt;$N31,0,CQ31*(1-'Interest Rate'!$B$17))</f>
        <v>0</v>
      </c>
      <c r="CS31" s="609">
        <f>IF(CS$7&gt;$N31,0,CR31*(1-'Interest Rate'!$B$17))</f>
        <v>0</v>
      </c>
      <c r="CT31" s="609">
        <f>IF(CT$7&gt;$N31,0,CS31*(1-'Interest Rate'!$B$17))</f>
        <v>0</v>
      </c>
      <c r="CU31" s="609">
        <f>IF(CU$7&gt;$N31,0,CT31*(1-'Interest Rate'!$B$17))</f>
        <v>0</v>
      </c>
      <c r="CV31" s="609">
        <f>IF(CV$7&gt;$N31,0,CU31*(1-'Interest Rate'!$B$17))</f>
        <v>0</v>
      </c>
      <c r="CW31" s="609">
        <f>IF(CW$7&gt;$N31,0,CV31*(1-'Interest Rate'!$B$17))</f>
        <v>0</v>
      </c>
      <c r="CX31" s="609">
        <f>IF(CX$7&gt;$N31,0,CW31*(1-'Interest Rate'!$B$17))</f>
        <v>0</v>
      </c>
      <c r="CY31" s="609">
        <f>IF(CY$7&gt;$N31,0,CX31*(1-'Interest Rate'!$B$17))</f>
        <v>0</v>
      </c>
      <c r="CZ31" s="609">
        <f>IF(CZ$7&gt;$N31,0,CY31*(1-'Interest Rate'!$B$17))</f>
        <v>0</v>
      </c>
      <c r="DA31" s="609">
        <f>IF(DA$7&gt;$N31,0,CZ31*(1-'Interest Rate'!$B$17))</f>
        <v>0</v>
      </c>
      <c r="DB31" s="609">
        <f>IF(DB$7&gt;$N31,0,DA31*(1-'Interest Rate'!$B$17))</f>
        <v>0</v>
      </c>
      <c r="DC31" s="609">
        <f>IF(DC$7&gt;$N31,0,DB31*(1-'Interest Rate'!$B$17))</f>
        <v>0</v>
      </c>
      <c r="DD31" s="609">
        <f>IF(DD$7&gt;$N31,0,DC31*(1-'Interest Rate'!$B$17))</f>
        <v>0</v>
      </c>
      <c r="DE31" s="609">
        <f>IF(DE$7&gt;$N31,0,DD31*(1-'Interest Rate'!$B$17))</f>
        <v>0</v>
      </c>
      <c r="DF31" s="609">
        <f>IF(DF$7&gt;$N31,0,DE31*(1-'Interest Rate'!$B$17))</f>
        <v>0</v>
      </c>
      <c r="DG31" s="609">
        <f>IF(DG$7&gt;$N31,0,DF31*(1-'Interest Rate'!$B$17))</f>
        <v>0</v>
      </c>
      <c r="DH31" s="609">
        <f>IF(DH$7&gt;$N31,0,DG31*(1-'Interest Rate'!$B$17))</f>
        <v>0</v>
      </c>
      <c r="DI31" s="609">
        <f>IF(DI$7&gt;$N31,0,DH31*(1-'Interest Rate'!$B$17))</f>
        <v>0</v>
      </c>
      <c r="DJ31" s="609">
        <f>IF(DJ$7&gt;$N31,0,DI31*(1-'Interest Rate'!$B$17))</f>
        <v>0</v>
      </c>
      <c r="DK31" s="609">
        <f>IF(DK$7&gt;$N31,0,DJ31*(1-'Interest Rate'!$B$17))</f>
        <v>0</v>
      </c>
      <c r="DL31" s="609">
        <f>IF(DL$7&gt;$N31,0,DK31*(1-'Interest Rate'!$B$17))</f>
        <v>0</v>
      </c>
      <c r="DM31" s="609">
        <f>IF(DM$7&gt;$N31,0,DL31*(1-'Interest Rate'!$B$17))</f>
        <v>0</v>
      </c>
    </row>
    <row r="32" spans="1:117" ht="27.75" customHeight="1" x14ac:dyDescent="0.3">
      <c r="A32" s="595" t="s">
        <v>144</v>
      </c>
      <c r="B32" s="595" t="s">
        <v>43</v>
      </c>
      <c r="C32" s="596" t="s">
        <v>35</v>
      </c>
      <c r="D32" s="596" t="s">
        <v>90</v>
      </c>
      <c r="E32" s="596" t="s">
        <v>119</v>
      </c>
      <c r="F32" s="596" t="s">
        <v>118</v>
      </c>
      <c r="G32" s="596" t="s">
        <v>125</v>
      </c>
      <c r="H32" s="596" t="s">
        <v>124</v>
      </c>
      <c r="I32" s="596" t="s">
        <v>142</v>
      </c>
      <c r="J32" s="611" t="s">
        <v>17</v>
      </c>
      <c r="K32" s="611" t="s">
        <v>22</v>
      </c>
      <c r="L32" s="612" t="s">
        <v>158</v>
      </c>
      <c r="M32" s="612" t="s">
        <v>159</v>
      </c>
      <c r="N32" s="607"/>
      <c r="O32" s="612"/>
      <c r="P32" s="612"/>
      <c r="Q32" s="598"/>
      <c r="R32" s="599">
        <v>1</v>
      </c>
      <c r="S32" s="599">
        <v>2</v>
      </c>
      <c r="T32" s="599">
        <v>3</v>
      </c>
      <c r="U32" s="599">
        <v>4</v>
      </c>
      <c r="V32" s="599">
        <v>5</v>
      </c>
      <c r="W32" s="599">
        <v>6</v>
      </c>
      <c r="X32" s="599">
        <v>7</v>
      </c>
      <c r="Y32" s="599">
        <v>8</v>
      </c>
      <c r="Z32" s="599">
        <v>9</v>
      </c>
      <c r="AA32" s="599">
        <v>10</v>
      </c>
      <c r="AB32" s="599">
        <v>11</v>
      </c>
      <c r="AC32" s="599">
        <v>12</v>
      </c>
      <c r="AD32" s="599">
        <v>13</v>
      </c>
      <c r="AE32" s="599">
        <v>14</v>
      </c>
      <c r="AF32" s="599">
        <v>15</v>
      </c>
      <c r="AG32" s="599">
        <v>16</v>
      </c>
      <c r="AH32" s="599">
        <v>17</v>
      </c>
      <c r="AI32" s="599">
        <v>18</v>
      </c>
      <c r="AJ32" s="599">
        <v>19</v>
      </c>
      <c r="AK32" s="599">
        <v>20</v>
      </c>
      <c r="AL32" s="599">
        <v>21</v>
      </c>
      <c r="AM32" s="599">
        <v>22</v>
      </c>
      <c r="AN32" s="599">
        <v>23</v>
      </c>
      <c r="AO32" s="599">
        <v>24</v>
      </c>
      <c r="AP32" s="599">
        <v>25</v>
      </c>
      <c r="AQ32" s="599">
        <v>26</v>
      </c>
      <c r="AR32" s="599">
        <v>27</v>
      </c>
      <c r="AS32" s="599">
        <v>28</v>
      </c>
      <c r="AT32" s="599">
        <v>29</v>
      </c>
      <c r="AU32" s="599">
        <v>30</v>
      </c>
      <c r="AV32" s="599">
        <v>31</v>
      </c>
      <c r="AW32" s="599">
        <v>32</v>
      </c>
      <c r="AX32" s="599">
        <v>33</v>
      </c>
      <c r="AY32" s="599">
        <v>34</v>
      </c>
      <c r="AZ32" s="599">
        <v>35</v>
      </c>
      <c r="BA32" s="599">
        <v>36</v>
      </c>
      <c r="BB32" s="599">
        <v>37</v>
      </c>
      <c r="BC32" s="599">
        <v>38</v>
      </c>
      <c r="BD32" s="599">
        <v>39</v>
      </c>
      <c r="BE32" s="599">
        <v>40</v>
      </c>
      <c r="BF32" s="599">
        <v>41</v>
      </c>
      <c r="BG32" s="599">
        <v>42</v>
      </c>
      <c r="BH32" s="599">
        <v>43</v>
      </c>
      <c r="BI32" s="599">
        <v>44</v>
      </c>
      <c r="BJ32" s="599">
        <v>45</v>
      </c>
      <c r="BK32" s="599">
        <v>46</v>
      </c>
      <c r="BL32" s="599">
        <v>47</v>
      </c>
      <c r="BM32" s="599">
        <v>48</v>
      </c>
      <c r="BN32" s="599">
        <v>49</v>
      </c>
      <c r="BO32" s="599">
        <v>50</v>
      </c>
      <c r="BP32" s="599">
        <v>51</v>
      </c>
      <c r="BQ32" s="599">
        <v>52</v>
      </c>
      <c r="BR32" s="599">
        <v>53</v>
      </c>
      <c r="BS32" s="599">
        <v>54</v>
      </c>
      <c r="BT32" s="599">
        <v>55</v>
      </c>
      <c r="BU32" s="599">
        <v>56</v>
      </c>
      <c r="BV32" s="599">
        <v>57</v>
      </c>
      <c r="BW32" s="599">
        <v>58</v>
      </c>
      <c r="BX32" s="599">
        <v>59</v>
      </c>
      <c r="BY32" s="599">
        <v>60</v>
      </c>
      <c r="BZ32" s="599">
        <v>61</v>
      </c>
      <c r="CA32" s="599">
        <v>62</v>
      </c>
      <c r="CB32" s="599">
        <v>63</v>
      </c>
      <c r="CC32" s="599">
        <v>64</v>
      </c>
      <c r="CD32" s="599">
        <v>65</v>
      </c>
      <c r="CE32" s="599">
        <v>66</v>
      </c>
      <c r="CF32" s="599">
        <v>67</v>
      </c>
      <c r="CG32" s="599">
        <v>68</v>
      </c>
      <c r="CH32" s="599">
        <v>69</v>
      </c>
      <c r="CI32" s="599">
        <v>70</v>
      </c>
      <c r="CJ32" s="599">
        <v>71</v>
      </c>
      <c r="CK32" s="599">
        <v>72</v>
      </c>
      <c r="CL32" s="599">
        <v>73</v>
      </c>
      <c r="CM32" s="599">
        <v>74</v>
      </c>
      <c r="CN32" s="599">
        <v>75</v>
      </c>
      <c r="CO32" s="599">
        <v>76</v>
      </c>
      <c r="CP32" s="599">
        <v>77</v>
      </c>
      <c r="CQ32" s="599">
        <v>78</v>
      </c>
      <c r="CR32" s="599">
        <v>79</v>
      </c>
      <c r="CS32" s="599">
        <v>80</v>
      </c>
      <c r="CT32" s="599">
        <v>81</v>
      </c>
      <c r="CU32" s="599">
        <v>82</v>
      </c>
      <c r="CV32" s="599">
        <v>83</v>
      </c>
      <c r="CW32" s="599">
        <v>84</v>
      </c>
      <c r="CX32" s="599">
        <v>85</v>
      </c>
      <c r="CY32" s="599">
        <v>86</v>
      </c>
      <c r="CZ32" s="599">
        <v>87</v>
      </c>
      <c r="DA32" s="599">
        <v>88</v>
      </c>
      <c r="DB32" s="599">
        <v>89</v>
      </c>
      <c r="DC32" s="599">
        <v>90</v>
      </c>
      <c r="DD32" s="599">
        <v>91</v>
      </c>
      <c r="DE32" s="599">
        <v>92</v>
      </c>
      <c r="DF32" s="599">
        <v>93</v>
      </c>
      <c r="DG32" s="599">
        <v>94</v>
      </c>
      <c r="DH32" s="599">
        <v>95</v>
      </c>
      <c r="DI32" s="599">
        <v>96</v>
      </c>
      <c r="DJ32" s="599">
        <v>97</v>
      </c>
      <c r="DK32" s="599">
        <v>98</v>
      </c>
      <c r="DL32" s="599">
        <v>99</v>
      </c>
      <c r="DM32" s="599">
        <v>100</v>
      </c>
    </row>
    <row r="33" spans="1:117" ht="27.75" customHeight="1" x14ac:dyDescent="0.3">
      <c r="A33" s="600" t="str">
        <f>'EEM Data Entry'!A110</f>
        <v/>
      </c>
      <c r="B33" s="613" t="str">
        <f>'EEM Data Entry'!B110</f>
        <v/>
      </c>
      <c r="C33" s="602" t="str">
        <f>'EEM Data Entry'!F110</f>
        <v/>
      </c>
      <c r="D33" s="602">
        <v>0</v>
      </c>
      <c r="E33" s="602" t="e">
        <f t="shared" ref="E33:E46" si="9">C33-D33</f>
        <v>#VALUE!</v>
      </c>
      <c r="F33" s="602">
        <f>('Savings Summary'!D34*'Savings Summary'!D$5)+('Savings Summary'!F34*'Savings Summary'!F$5)+('Savings Summary'!H34*'Savings Summary'!H$5)+('Savings Summary'!J34*'Savings Summary'!J$5)+('Savings Summary'!L34*'Savings Summary'!L$5)+('Savings Summary'!N34*'Savings Summary'!N$5)+('Savings Summary'!P34*'Savings Summary'!P$5)+('Savings Summary'!R34*'Savings Summary'!R$5)</f>
        <v>0</v>
      </c>
      <c r="G33" s="603">
        <f>'Savings Summary'!T34</f>
        <v>0</v>
      </c>
      <c r="H33" s="604" t="e">
        <f>IF(C33=0,"n/a",E33/F33)</f>
        <v>#VALUE!</v>
      </c>
      <c r="I33" s="600" t="e">
        <f>IF(H33=0, "n/a", IF(H33&gt;100, "no",IF(H33&lt;0, "no", "yes")))</f>
        <v>#VALUE!</v>
      </c>
      <c r="J33" s="605" t="e">
        <f t="shared" ref="J33:J46" si="10">IRR(Q33:DM33,0.1)</f>
        <v>#NUM!</v>
      </c>
      <c r="K33" s="606" t="e">
        <f>PV('Interest Rate'!$B$17,Table7[[#This Row],[LIFETIME]],-Table7[[#This Row],[ANNUAL ENERGY COST SAVINGS]],Table7[[#This Row],[END-OF-LIFE]],0)-Table7[[#This Row],[CAPITAL INVESTMENT]]</f>
        <v>#VALUE!</v>
      </c>
      <c r="L33" s="600" t="str">
        <f>'EEM Data Entry'!C110</f>
        <v/>
      </c>
      <c r="M33" s="607" t="e">
        <f>Table6[[#This Row],[ANNUAL ENERGY COST SAVINGS]]/Table6[[#This Row],[CAPITAL INVESTMENT]]</f>
        <v>#VALUE!</v>
      </c>
      <c r="N33" s="804" t="str">
        <f>Table7[[#This Row],[LIFETIME]]</f>
        <v/>
      </c>
      <c r="O33" s="607"/>
      <c r="P33" s="607"/>
      <c r="Q33" s="608" t="str">
        <f t="shared" si="4"/>
        <v/>
      </c>
      <c r="R33" s="609">
        <f>F33</f>
        <v>0</v>
      </c>
      <c r="S33" s="609">
        <f>IF(S$7&gt;$N33,0,R33*(1-'Interest Rate'!$B$17))</f>
        <v>0</v>
      </c>
      <c r="T33" s="609">
        <f>IF(T$7&gt;$N33,0,S33*(1-'Interest Rate'!$B$17))</f>
        <v>0</v>
      </c>
      <c r="U33" s="609">
        <f>IF(U$7&gt;$N33,0,T33*(1-'Interest Rate'!$B$17))</f>
        <v>0</v>
      </c>
      <c r="V33" s="609">
        <f>IF(V$7&gt;$N33,0,U33*(1-'Interest Rate'!$B$17))</f>
        <v>0</v>
      </c>
      <c r="W33" s="609">
        <f>IF(W$7&gt;$N33,0,V33*(1-'Interest Rate'!$B$17))</f>
        <v>0</v>
      </c>
      <c r="X33" s="609">
        <f>IF(X$7&gt;$N33,0,W33*(1-'Interest Rate'!$B$17))</f>
        <v>0</v>
      </c>
      <c r="Y33" s="609">
        <f>IF(Y$7&gt;$N33,0,X33*(1-'Interest Rate'!$B$17))</f>
        <v>0</v>
      </c>
      <c r="Z33" s="609">
        <f>IF(Z$7&gt;$N33,0,Y33*(1-'Interest Rate'!$B$17))</f>
        <v>0</v>
      </c>
      <c r="AA33" s="609">
        <f>IF(AA$7&gt;$N33,0,Z33*(1-'Interest Rate'!$B$17))</f>
        <v>0</v>
      </c>
      <c r="AB33" s="609">
        <f>IF(AB$7&gt;$N33,0,AA33*(1-'Interest Rate'!$B$17))</f>
        <v>0</v>
      </c>
      <c r="AC33" s="609">
        <f>IF(AC$7&gt;$N33,0,AB33*(1-'Interest Rate'!$B$17))</f>
        <v>0</v>
      </c>
      <c r="AD33" s="609">
        <f>IF(AD$7&gt;$N33,0,AC33*(1-'Interest Rate'!$B$17))</f>
        <v>0</v>
      </c>
      <c r="AE33" s="609">
        <f>IF(AE$7&gt;$N33,0,AD33*(1-'Interest Rate'!$B$17))</f>
        <v>0</v>
      </c>
      <c r="AF33" s="609">
        <f>IF(AF$7&gt;$N33,0,AE33*(1-'Interest Rate'!$B$17))</f>
        <v>0</v>
      </c>
      <c r="AG33" s="609">
        <f>IF(AG$7&gt;$N33,0,AF33*(1-'Interest Rate'!$B$17))</f>
        <v>0</v>
      </c>
      <c r="AH33" s="609">
        <f>IF(AH$7&gt;$N33,0,AG33*(1-'Interest Rate'!$B$17))</f>
        <v>0</v>
      </c>
      <c r="AI33" s="609">
        <f>IF(AI$7&gt;$N33,0,AH33*(1-'Interest Rate'!$B$17))</f>
        <v>0</v>
      </c>
      <c r="AJ33" s="609">
        <f>IF(AJ$7&gt;$N33,0,AI33*(1-'Interest Rate'!$B$17))</f>
        <v>0</v>
      </c>
      <c r="AK33" s="609">
        <f>IF(AK$7&gt;$N33,0,AJ33*(1-'Interest Rate'!$B$17))</f>
        <v>0</v>
      </c>
      <c r="AL33" s="609">
        <f>IF(AL$7&gt;$N33,0,AK33*(1-'Interest Rate'!$B$17))</f>
        <v>0</v>
      </c>
      <c r="AM33" s="609">
        <f>IF(AM$7&gt;$N33,0,AL33*(1-'Interest Rate'!$B$17))</f>
        <v>0</v>
      </c>
      <c r="AN33" s="609">
        <f>IF(AN$7&gt;$N33,0,AM33*(1-'Interest Rate'!$B$17))</f>
        <v>0</v>
      </c>
      <c r="AO33" s="609">
        <f>IF(AO$7&gt;$N33,0,AN33*(1-'Interest Rate'!$B$17))</f>
        <v>0</v>
      </c>
      <c r="AP33" s="609">
        <f>IF(AP$7&gt;$N33,0,AO33*(1-'Interest Rate'!$B$17))</f>
        <v>0</v>
      </c>
      <c r="AQ33" s="609">
        <f>IF(AQ$7&gt;$N33,0,AP33*(1-'Interest Rate'!$B$17))</f>
        <v>0</v>
      </c>
      <c r="AR33" s="609">
        <f>IF(AR$7&gt;$N33,0,AQ33*(1-'Interest Rate'!$B$17))</f>
        <v>0</v>
      </c>
      <c r="AS33" s="609">
        <f>IF(AS$7&gt;$N33,0,AR33*(1-'Interest Rate'!$B$17))</f>
        <v>0</v>
      </c>
      <c r="AT33" s="609">
        <f>IF(AT$7&gt;$N33,0,AS33*(1-'Interest Rate'!$B$17))</f>
        <v>0</v>
      </c>
      <c r="AU33" s="609">
        <f>IF(AU$7&gt;$N33,0,AT33*(1-'Interest Rate'!$B$17))</f>
        <v>0</v>
      </c>
      <c r="AV33" s="609">
        <f>IF(AV$7&gt;$N33,0,AU33*(1-'Interest Rate'!$B$17))</f>
        <v>0</v>
      </c>
      <c r="AW33" s="609">
        <f>IF(AW$7&gt;$N33,0,AV33*(1-'Interest Rate'!$B$17))</f>
        <v>0</v>
      </c>
      <c r="AX33" s="609">
        <f>IF(AX$7&gt;$N33,0,AW33*(1-'Interest Rate'!$B$17))</f>
        <v>0</v>
      </c>
      <c r="AY33" s="609">
        <f>IF(AY$7&gt;$N33,0,AX33*(1-'Interest Rate'!$B$17))</f>
        <v>0</v>
      </c>
      <c r="AZ33" s="609">
        <f>IF(AZ$7&gt;$N33,0,AY33*(1-'Interest Rate'!$B$17))</f>
        <v>0</v>
      </c>
      <c r="BA33" s="609">
        <f>IF(BA$7&gt;$N33,0,AZ33*(1-'Interest Rate'!$B$17))</f>
        <v>0</v>
      </c>
      <c r="BB33" s="609">
        <f>IF(BB$7&gt;$N33,0,BA33*(1-'Interest Rate'!$B$17))</f>
        <v>0</v>
      </c>
      <c r="BC33" s="609">
        <f>IF(BC$7&gt;$N33,0,BB33*(1-'Interest Rate'!$B$17))</f>
        <v>0</v>
      </c>
      <c r="BD33" s="609">
        <f>IF(BD$7&gt;$N33,0,BC33*(1-'Interest Rate'!$B$17))</f>
        <v>0</v>
      </c>
      <c r="BE33" s="609">
        <f>IF(BE$7&gt;$N33,0,BD33*(1-'Interest Rate'!$B$17))</f>
        <v>0</v>
      </c>
      <c r="BF33" s="609">
        <f>IF(BF$7&gt;$N33,0,BE33*(1-'Interest Rate'!$B$17))</f>
        <v>0</v>
      </c>
      <c r="BG33" s="609">
        <f>IF(BG$7&gt;$N33,0,BF33*(1-'Interest Rate'!$B$17))</f>
        <v>0</v>
      </c>
      <c r="BH33" s="609">
        <f>IF(BH$7&gt;$N33,0,BG33*(1-'Interest Rate'!$B$17))</f>
        <v>0</v>
      </c>
      <c r="BI33" s="609">
        <f>IF(BI$7&gt;$N33,0,BH33*(1-'Interest Rate'!$B$17))</f>
        <v>0</v>
      </c>
      <c r="BJ33" s="609">
        <f>IF(BJ$7&gt;$N33,0,BI33*(1-'Interest Rate'!$B$17))</f>
        <v>0</v>
      </c>
      <c r="BK33" s="609">
        <f>IF(BK$7&gt;$N33,0,BJ33*(1-'Interest Rate'!$B$17))</f>
        <v>0</v>
      </c>
      <c r="BL33" s="609">
        <f>IF(BL$7&gt;$N33,0,BK33*(1-'Interest Rate'!$B$17))</f>
        <v>0</v>
      </c>
      <c r="BM33" s="609">
        <f>IF(BM$7&gt;$N33,0,BL33*(1-'Interest Rate'!$B$17))</f>
        <v>0</v>
      </c>
      <c r="BN33" s="609">
        <f>IF(BN$7&gt;$N33,0,BM33*(1-'Interest Rate'!$B$17))</f>
        <v>0</v>
      </c>
      <c r="BO33" s="609">
        <f>IF(BO$7&gt;$N33,0,BN33*(1-'Interest Rate'!$B$17))</f>
        <v>0</v>
      </c>
      <c r="BP33" s="609">
        <f>IF(BP$7&gt;$N33,0,BO33*(1-'Interest Rate'!$B$17))</f>
        <v>0</v>
      </c>
      <c r="BQ33" s="609">
        <f>IF(BQ$7&gt;$N33,0,BP33*(1-'Interest Rate'!$B$17))</f>
        <v>0</v>
      </c>
      <c r="BR33" s="609">
        <f>IF(BR$7&gt;$N33,0,BQ33*(1-'Interest Rate'!$B$17))</f>
        <v>0</v>
      </c>
      <c r="BS33" s="609">
        <f>IF(BS$7&gt;$N33,0,BR33*(1-'Interest Rate'!$B$17))</f>
        <v>0</v>
      </c>
      <c r="BT33" s="609">
        <f>IF(BT$7&gt;$N33,0,BS33*(1-'Interest Rate'!$B$17))</f>
        <v>0</v>
      </c>
      <c r="BU33" s="609">
        <f>IF(BU$7&gt;$N33,0,BT33*(1-'Interest Rate'!$B$17))</f>
        <v>0</v>
      </c>
      <c r="BV33" s="609">
        <f>IF(BV$7&gt;$N33,0,BU33*(1-'Interest Rate'!$B$17))</f>
        <v>0</v>
      </c>
      <c r="BW33" s="609">
        <f>IF(BW$7&gt;$N33,0,BV33*(1-'Interest Rate'!$B$17))</f>
        <v>0</v>
      </c>
      <c r="BX33" s="609">
        <f>IF(BX$7&gt;$N33,0,BW33*(1-'Interest Rate'!$B$17))</f>
        <v>0</v>
      </c>
      <c r="BY33" s="609">
        <f>IF(BY$7&gt;$N33,0,BX33*(1-'Interest Rate'!$B$17))</f>
        <v>0</v>
      </c>
      <c r="BZ33" s="609">
        <f>IF(BZ$7&gt;$N33,0,BY33*(1-'Interest Rate'!$B$17))</f>
        <v>0</v>
      </c>
      <c r="CA33" s="609">
        <f>IF(CA$7&gt;$N33,0,BZ33*(1-'Interest Rate'!$B$17))</f>
        <v>0</v>
      </c>
      <c r="CB33" s="609">
        <f>IF(CB$7&gt;$N33,0,CA33*(1-'Interest Rate'!$B$17))</f>
        <v>0</v>
      </c>
      <c r="CC33" s="609">
        <f>IF(CC$7&gt;$N33,0,CB33*(1-'Interest Rate'!$B$17))</f>
        <v>0</v>
      </c>
      <c r="CD33" s="609">
        <f>IF(CD$7&gt;$N33,0,CC33*(1-'Interest Rate'!$B$17))</f>
        <v>0</v>
      </c>
      <c r="CE33" s="609">
        <f>IF(CE$7&gt;$N33,0,CD33*(1-'Interest Rate'!$B$17))</f>
        <v>0</v>
      </c>
      <c r="CF33" s="609">
        <f>IF(CF$7&gt;$N33,0,CE33*(1-'Interest Rate'!$B$17))</f>
        <v>0</v>
      </c>
      <c r="CG33" s="609">
        <f>IF(CG$7&gt;$N33,0,CF33*(1-'Interest Rate'!$B$17))</f>
        <v>0</v>
      </c>
      <c r="CH33" s="609">
        <f>IF(CH$7&gt;$N33,0,CG33*(1-'Interest Rate'!$B$17))</f>
        <v>0</v>
      </c>
      <c r="CI33" s="609">
        <f>IF(CI$7&gt;$N33,0,CH33*(1-'Interest Rate'!$B$17))</f>
        <v>0</v>
      </c>
      <c r="CJ33" s="609">
        <f>IF(CJ$7&gt;$N33,0,CI33*(1-'Interest Rate'!$B$17))</f>
        <v>0</v>
      </c>
      <c r="CK33" s="609">
        <f>IF(CK$7&gt;$N33,0,CJ33*(1-'Interest Rate'!$B$17))</f>
        <v>0</v>
      </c>
      <c r="CL33" s="609">
        <f>IF(CL$7&gt;$N33,0,CK33*(1-'Interest Rate'!$B$17))</f>
        <v>0</v>
      </c>
      <c r="CM33" s="609">
        <f>IF(CM$7&gt;$N33,0,CL33*(1-'Interest Rate'!$B$17))</f>
        <v>0</v>
      </c>
      <c r="CN33" s="609">
        <f>IF(CN$7&gt;$N33,0,CM33*(1-'Interest Rate'!$B$17))</f>
        <v>0</v>
      </c>
      <c r="CO33" s="609">
        <f>IF(CO$7&gt;$N33,0,CN33*(1-'Interest Rate'!$B$17))</f>
        <v>0</v>
      </c>
      <c r="CP33" s="609">
        <f>IF(CP$7&gt;$N33,0,CO33*(1-'Interest Rate'!$B$17))</f>
        <v>0</v>
      </c>
      <c r="CQ33" s="609">
        <f>IF(CQ$7&gt;$N33,0,CP33*(1-'Interest Rate'!$B$17))</f>
        <v>0</v>
      </c>
      <c r="CR33" s="609">
        <f>IF(CR$7&gt;$N33,0,CQ33*(1-'Interest Rate'!$B$17))</f>
        <v>0</v>
      </c>
      <c r="CS33" s="609">
        <f>IF(CS$7&gt;$N33,0,CR33*(1-'Interest Rate'!$B$17))</f>
        <v>0</v>
      </c>
      <c r="CT33" s="609">
        <f>IF(CT$7&gt;$N33,0,CS33*(1-'Interest Rate'!$B$17))</f>
        <v>0</v>
      </c>
      <c r="CU33" s="609">
        <f>IF(CU$7&gt;$N33,0,CT33*(1-'Interest Rate'!$B$17))</f>
        <v>0</v>
      </c>
      <c r="CV33" s="609">
        <f>IF(CV$7&gt;$N33,0,CU33*(1-'Interest Rate'!$B$17))</f>
        <v>0</v>
      </c>
      <c r="CW33" s="609">
        <f>IF(CW$7&gt;$N33,0,CV33*(1-'Interest Rate'!$B$17))</f>
        <v>0</v>
      </c>
      <c r="CX33" s="609">
        <f>IF(CX$7&gt;$N33,0,CW33*(1-'Interest Rate'!$B$17))</f>
        <v>0</v>
      </c>
      <c r="CY33" s="609">
        <f>IF(CY$7&gt;$N33,0,CX33*(1-'Interest Rate'!$B$17))</f>
        <v>0</v>
      </c>
      <c r="CZ33" s="609">
        <f>IF(CZ$7&gt;$N33,0,CY33*(1-'Interest Rate'!$B$17))</f>
        <v>0</v>
      </c>
      <c r="DA33" s="609">
        <f>IF(DA$7&gt;$N33,0,CZ33*(1-'Interest Rate'!$B$17))</f>
        <v>0</v>
      </c>
      <c r="DB33" s="609">
        <f>IF(DB$7&gt;$N33,0,DA33*(1-'Interest Rate'!$B$17))</f>
        <v>0</v>
      </c>
      <c r="DC33" s="609">
        <f>IF(DC$7&gt;$N33,0,DB33*(1-'Interest Rate'!$B$17))</f>
        <v>0</v>
      </c>
      <c r="DD33" s="609">
        <f>IF(DD$7&gt;$N33,0,DC33*(1-'Interest Rate'!$B$17))</f>
        <v>0</v>
      </c>
      <c r="DE33" s="609">
        <f>IF(DE$7&gt;$N33,0,DD33*(1-'Interest Rate'!$B$17))</f>
        <v>0</v>
      </c>
      <c r="DF33" s="609">
        <f>IF(DF$7&gt;$N33,0,DE33*(1-'Interest Rate'!$B$17))</f>
        <v>0</v>
      </c>
      <c r="DG33" s="609">
        <f>IF(DG$7&gt;$N33,0,DF33*(1-'Interest Rate'!$B$17))</f>
        <v>0</v>
      </c>
      <c r="DH33" s="609">
        <f>IF(DH$7&gt;$N33,0,DG33*(1-'Interest Rate'!$B$17))</f>
        <v>0</v>
      </c>
      <c r="DI33" s="609">
        <f>IF(DI$7&gt;$N33,0,DH33*(1-'Interest Rate'!$B$17))</f>
        <v>0</v>
      </c>
      <c r="DJ33" s="609">
        <f>IF(DJ$7&gt;$N33,0,DI33*(1-'Interest Rate'!$B$17))</f>
        <v>0</v>
      </c>
      <c r="DK33" s="609">
        <f>IF(DK$7&gt;$N33,0,DJ33*(1-'Interest Rate'!$B$17))</f>
        <v>0</v>
      </c>
      <c r="DL33" s="609">
        <f>IF(DL$7&gt;$N33,0,DK33*(1-'Interest Rate'!$B$17))</f>
        <v>0</v>
      </c>
      <c r="DM33" s="609">
        <f>IF(DM$7&gt;$N33,0,DL33*(1-'Interest Rate'!$B$17))</f>
        <v>0</v>
      </c>
    </row>
    <row r="34" spans="1:117" ht="27.75" customHeight="1" x14ac:dyDescent="0.3">
      <c r="A34" s="600" t="str">
        <f>'EEM Data Entry'!A111</f>
        <v/>
      </c>
      <c r="B34" s="613" t="str">
        <f>'EEM Data Entry'!B111</f>
        <v/>
      </c>
      <c r="C34" s="602" t="str">
        <f>'EEM Data Entry'!F111</f>
        <v/>
      </c>
      <c r="D34" s="602">
        <v>0</v>
      </c>
      <c r="E34" s="602" t="e">
        <f t="shared" si="9"/>
        <v>#VALUE!</v>
      </c>
      <c r="F34" s="602">
        <f>('Savings Summary'!D35*'Savings Summary'!D$5)+('Savings Summary'!F35*'Savings Summary'!F$5)+('Savings Summary'!H35*'Savings Summary'!H$5)+('Savings Summary'!J35*'Savings Summary'!J$5)+('Savings Summary'!L35*'Savings Summary'!L$5)+('Savings Summary'!N35*'Savings Summary'!N$5)+('Savings Summary'!P35*'Savings Summary'!P$5)+('Savings Summary'!R35*'Savings Summary'!R$5)</f>
        <v>0</v>
      </c>
      <c r="G34" s="603">
        <f>'Savings Summary'!T35</f>
        <v>0</v>
      </c>
      <c r="H34" s="604" t="e">
        <f>IF(C34=0,"n/a",E34/F34)</f>
        <v>#VALUE!</v>
      </c>
      <c r="I34" s="600" t="e">
        <f t="shared" ref="I34:I46" si="11">IF(H34=0, "n/a", IF(H34&gt;100, "no",IF(H34&lt;0, "no", "yes")))</f>
        <v>#VALUE!</v>
      </c>
      <c r="J34" s="605" t="e">
        <f t="shared" si="10"/>
        <v>#NUM!</v>
      </c>
      <c r="K34" s="606" t="e">
        <f>PV('Interest Rate'!$B$17,Table7[[#This Row],[LIFETIME]],-Table7[[#This Row],[ANNUAL ENERGY COST SAVINGS]],Table7[[#This Row],[END-OF-LIFE]],0)-Table7[[#This Row],[CAPITAL INVESTMENT]]</f>
        <v>#VALUE!</v>
      </c>
      <c r="L34" s="600" t="str">
        <f>'EEM Data Entry'!C111</f>
        <v/>
      </c>
      <c r="M34" s="614" t="e">
        <f>Table6[[#This Row],[ANNUAL ENERGY COST SAVINGS]]/Table6[[#This Row],[CAPITAL INVESTMENT]]</f>
        <v>#VALUE!</v>
      </c>
      <c r="N34" s="804" t="str">
        <f>Table7[[#This Row],[LIFETIME]]</f>
        <v/>
      </c>
      <c r="O34" s="614"/>
      <c r="P34" s="614"/>
      <c r="Q34" s="608" t="str">
        <f t="shared" si="4"/>
        <v/>
      </c>
      <c r="R34" s="609">
        <f t="shared" ref="R34:R46" si="12">F34</f>
        <v>0</v>
      </c>
      <c r="S34" s="609">
        <f>IF(S$7&gt;$N34,0,R34*(1-'Interest Rate'!$B$17))</f>
        <v>0</v>
      </c>
      <c r="T34" s="609">
        <f>IF(T$7&gt;$N34,0,S34*(1-'Interest Rate'!$B$17))</f>
        <v>0</v>
      </c>
      <c r="U34" s="609">
        <f>IF(U$7&gt;$N34,0,T34*(1-'Interest Rate'!$B$17))</f>
        <v>0</v>
      </c>
      <c r="V34" s="609">
        <f>IF(V$7&gt;$N34,0,U34*(1-'Interest Rate'!$B$17))</f>
        <v>0</v>
      </c>
      <c r="W34" s="609">
        <f>IF(W$7&gt;$N34,0,V34*(1-'Interest Rate'!$B$17))</f>
        <v>0</v>
      </c>
      <c r="X34" s="609">
        <f>IF(X$7&gt;$N34,0,W34*(1-'Interest Rate'!$B$17))</f>
        <v>0</v>
      </c>
      <c r="Y34" s="609">
        <f>IF(Y$7&gt;$N34,0,X34*(1-'Interest Rate'!$B$17))</f>
        <v>0</v>
      </c>
      <c r="Z34" s="609">
        <f>IF(Z$7&gt;$N34,0,Y34*(1-'Interest Rate'!$B$17))</f>
        <v>0</v>
      </c>
      <c r="AA34" s="609">
        <f>IF(AA$7&gt;$N34,0,Z34*(1-'Interest Rate'!$B$17))</f>
        <v>0</v>
      </c>
      <c r="AB34" s="609">
        <f>IF(AB$7&gt;$N34,0,AA34*(1-'Interest Rate'!$B$17))</f>
        <v>0</v>
      </c>
      <c r="AC34" s="609">
        <f>IF(AC$7&gt;$N34,0,AB34*(1-'Interest Rate'!$B$17))</f>
        <v>0</v>
      </c>
      <c r="AD34" s="609">
        <f>IF(AD$7&gt;$N34,0,AC34*(1-'Interest Rate'!$B$17))</f>
        <v>0</v>
      </c>
      <c r="AE34" s="609">
        <f>IF(AE$7&gt;$N34,0,AD34*(1-'Interest Rate'!$B$17))</f>
        <v>0</v>
      </c>
      <c r="AF34" s="609">
        <f>IF(AF$7&gt;$N34,0,AE34*(1-'Interest Rate'!$B$17))</f>
        <v>0</v>
      </c>
      <c r="AG34" s="609">
        <f>IF(AG$7&gt;$N34,0,AF34*(1-'Interest Rate'!$B$17))</f>
        <v>0</v>
      </c>
      <c r="AH34" s="609">
        <f>IF(AH$7&gt;$N34,0,AG34*(1-'Interest Rate'!$B$17))</f>
        <v>0</v>
      </c>
      <c r="AI34" s="609">
        <f>IF(AI$7&gt;$N34,0,AH34*(1-'Interest Rate'!$B$17))</f>
        <v>0</v>
      </c>
      <c r="AJ34" s="609">
        <f>IF(AJ$7&gt;$N34,0,AI34*(1-'Interest Rate'!$B$17))</f>
        <v>0</v>
      </c>
      <c r="AK34" s="609">
        <f>IF(AK$7&gt;$N34,0,AJ34*(1-'Interest Rate'!$B$17))</f>
        <v>0</v>
      </c>
      <c r="AL34" s="609">
        <f>IF(AL$7&gt;$N34,0,AK34*(1-'Interest Rate'!$B$17))</f>
        <v>0</v>
      </c>
      <c r="AM34" s="609">
        <f>IF(AM$7&gt;$N34,0,AL34*(1-'Interest Rate'!$B$17))</f>
        <v>0</v>
      </c>
      <c r="AN34" s="609">
        <f>IF(AN$7&gt;$N34,0,AM34*(1-'Interest Rate'!$B$17))</f>
        <v>0</v>
      </c>
      <c r="AO34" s="609">
        <f>IF(AO$7&gt;$N34,0,AN34*(1-'Interest Rate'!$B$17))</f>
        <v>0</v>
      </c>
      <c r="AP34" s="609">
        <f>IF(AP$7&gt;$N34,0,AO34*(1-'Interest Rate'!$B$17))</f>
        <v>0</v>
      </c>
      <c r="AQ34" s="609">
        <f>IF(AQ$7&gt;$N34,0,AP34*(1-'Interest Rate'!$B$17))</f>
        <v>0</v>
      </c>
      <c r="AR34" s="609">
        <f>IF(AR$7&gt;$N34,0,AQ34*(1-'Interest Rate'!$B$17))</f>
        <v>0</v>
      </c>
      <c r="AS34" s="609">
        <f>IF(AS$7&gt;$N34,0,AR34*(1-'Interest Rate'!$B$17))</f>
        <v>0</v>
      </c>
      <c r="AT34" s="609">
        <f>IF(AT$7&gt;$N34,0,AS34*(1-'Interest Rate'!$B$17))</f>
        <v>0</v>
      </c>
      <c r="AU34" s="609">
        <f>IF(AU$7&gt;$N34,0,AT34*(1-'Interest Rate'!$B$17))</f>
        <v>0</v>
      </c>
      <c r="AV34" s="609">
        <f>IF(AV$7&gt;$N34,0,AU34*(1-'Interest Rate'!$B$17))</f>
        <v>0</v>
      </c>
      <c r="AW34" s="609">
        <f>IF(AW$7&gt;$N34,0,AV34*(1-'Interest Rate'!$B$17))</f>
        <v>0</v>
      </c>
      <c r="AX34" s="609">
        <f>IF(AX$7&gt;$N34,0,AW34*(1-'Interest Rate'!$B$17))</f>
        <v>0</v>
      </c>
      <c r="AY34" s="609">
        <f>IF(AY$7&gt;$N34,0,AX34*(1-'Interest Rate'!$B$17))</f>
        <v>0</v>
      </c>
      <c r="AZ34" s="609">
        <f>IF(AZ$7&gt;$N34,0,AY34*(1-'Interest Rate'!$B$17))</f>
        <v>0</v>
      </c>
      <c r="BA34" s="609">
        <f>IF(BA$7&gt;$N34,0,AZ34*(1-'Interest Rate'!$B$17))</f>
        <v>0</v>
      </c>
      <c r="BB34" s="609">
        <f>IF(BB$7&gt;$N34,0,BA34*(1-'Interest Rate'!$B$17))</f>
        <v>0</v>
      </c>
      <c r="BC34" s="609">
        <f>IF(BC$7&gt;$N34,0,BB34*(1-'Interest Rate'!$B$17))</f>
        <v>0</v>
      </c>
      <c r="BD34" s="609">
        <f>IF(BD$7&gt;$N34,0,BC34*(1-'Interest Rate'!$B$17))</f>
        <v>0</v>
      </c>
      <c r="BE34" s="609">
        <f>IF(BE$7&gt;$N34,0,BD34*(1-'Interest Rate'!$B$17))</f>
        <v>0</v>
      </c>
      <c r="BF34" s="609">
        <f>IF(BF$7&gt;$N34,0,BE34*(1-'Interest Rate'!$B$17))</f>
        <v>0</v>
      </c>
      <c r="BG34" s="609">
        <f>IF(BG$7&gt;$N34,0,BF34*(1-'Interest Rate'!$B$17))</f>
        <v>0</v>
      </c>
      <c r="BH34" s="609">
        <f>IF(BH$7&gt;$N34,0,BG34*(1-'Interest Rate'!$B$17))</f>
        <v>0</v>
      </c>
      <c r="BI34" s="609">
        <f>IF(BI$7&gt;$N34,0,BH34*(1-'Interest Rate'!$B$17))</f>
        <v>0</v>
      </c>
      <c r="BJ34" s="609">
        <f>IF(BJ$7&gt;$N34,0,BI34*(1-'Interest Rate'!$B$17))</f>
        <v>0</v>
      </c>
      <c r="BK34" s="609">
        <f>IF(BK$7&gt;$N34,0,BJ34*(1-'Interest Rate'!$B$17))</f>
        <v>0</v>
      </c>
      <c r="BL34" s="609">
        <f>IF(BL$7&gt;$N34,0,BK34*(1-'Interest Rate'!$B$17))</f>
        <v>0</v>
      </c>
      <c r="BM34" s="609">
        <f>IF(BM$7&gt;$N34,0,BL34*(1-'Interest Rate'!$B$17))</f>
        <v>0</v>
      </c>
      <c r="BN34" s="609">
        <f>IF(BN$7&gt;$N34,0,BM34*(1-'Interest Rate'!$B$17))</f>
        <v>0</v>
      </c>
      <c r="BO34" s="609">
        <f>IF(BO$7&gt;$N34,0,BN34*(1-'Interest Rate'!$B$17))</f>
        <v>0</v>
      </c>
      <c r="BP34" s="609">
        <f>IF(BP$7&gt;$N34,0,BO34*(1-'Interest Rate'!$B$17))</f>
        <v>0</v>
      </c>
      <c r="BQ34" s="609">
        <f>IF(BQ$7&gt;$N34,0,BP34*(1-'Interest Rate'!$B$17))</f>
        <v>0</v>
      </c>
      <c r="BR34" s="609">
        <f>IF(BR$7&gt;$N34,0,BQ34*(1-'Interest Rate'!$B$17))</f>
        <v>0</v>
      </c>
      <c r="BS34" s="609">
        <f>IF(BS$7&gt;$N34,0,BR34*(1-'Interest Rate'!$B$17))</f>
        <v>0</v>
      </c>
      <c r="BT34" s="609">
        <f>IF(BT$7&gt;$N34,0,BS34*(1-'Interest Rate'!$B$17))</f>
        <v>0</v>
      </c>
      <c r="BU34" s="609">
        <f>IF(BU$7&gt;$N34,0,BT34*(1-'Interest Rate'!$B$17))</f>
        <v>0</v>
      </c>
      <c r="BV34" s="609">
        <f>IF(BV$7&gt;$N34,0,BU34*(1-'Interest Rate'!$B$17))</f>
        <v>0</v>
      </c>
      <c r="BW34" s="609">
        <f>IF(BW$7&gt;$N34,0,BV34*(1-'Interest Rate'!$B$17))</f>
        <v>0</v>
      </c>
      <c r="BX34" s="609">
        <f>IF(BX$7&gt;$N34,0,BW34*(1-'Interest Rate'!$B$17))</f>
        <v>0</v>
      </c>
      <c r="BY34" s="609">
        <f>IF(BY$7&gt;$N34,0,BX34*(1-'Interest Rate'!$B$17))</f>
        <v>0</v>
      </c>
      <c r="BZ34" s="609">
        <f>IF(BZ$7&gt;$N34,0,BY34*(1-'Interest Rate'!$B$17))</f>
        <v>0</v>
      </c>
      <c r="CA34" s="609">
        <f>IF(CA$7&gt;$N34,0,BZ34*(1-'Interest Rate'!$B$17))</f>
        <v>0</v>
      </c>
      <c r="CB34" s="609">
        <f>IF(CB$7&gt;$N34,0,CA34*(1-'Interest Rate'!$B$17))</f>
        <v>0</v>
      </c>
      <c r="CC34" s="609">
        <f>IF(CC$7&gt;$N34,0,CB34*(1-'Interest Rate'!$B$17))</f>
        <v>0</v>
      </c>
      <c r="CD34" s="609">
        <f>IF(CD$7&gt;$N34,0,CC34*(1-'Interest Rate'!$B$17))</f>
        <v>0</v>
      </c>
      <c r="CE34" s="609">
        <f>IF(CE$7&gt;$N34,0,CD34*(1-'Interest Rate'!$B$17))</f>
        <v>0</v>
      </c>
      <c r="CF34" s="609">
        <f>IF(CF$7&gt;$N34,0,CE34*(1-'Interest Rate'!$B$17))</f>
        <v>0</v>
      </c>
      <c r="CG34" s="609">
        <f>IF(CG$7&gt;$N34,0,CF34*(1-'Interest Rate'!$B$17))</f>
        <v>0</v>
      </c>
      <c r="CH34" s="609">
        <f>IF(CH$7&gt;$N34,0,CG34*(1-'Interest Rate'!$B$17))</f>
        <v>0</v>
      </c>
      <c r="CI34" s="609">
        <f>IF(CI$7&gt;$N34,0,CH34*(1-'Interest Rate'!$B$17))</f>
        <v>0</v>
      </c>
      <c r="CJ34" s="609">
        <f>IF(CJ$7&gt;$N34,0,CI34*(1-'Interest Rate'!$B$17))</f>
        <v>0</v>
      </c>
      <c r="CK34" s="609">
        <f>IF(CK$7&gt;$N34,0,CJ34*(1-'Interest Rate'!$B$17))</f>
        <v>0</v>
      </c>
      <c r="CL34" s="609">
        <f>IF(CL$7&gt;$N34,0,CK34*(1-'Interest Rate'!$B$17))</f>
        <v>0</v>
      </c>
      <c r="CM34" s="609">
        <f>IF(CM$7&gt;$N34,0,CL34*(1-'Interest Rate'!$B$17))</f>
        <v>0</v>
      </c>
      <c r="CN34" s="609">
        <f>IF(CN$7&gt;$N34,0,CM34*(1-'Interest Rate'!$B$17))</f>
        <v>0</v>
      </c>
      <c r="CO34" s="609">
        <f>IF(CO$7&gt;$N34,0,CN34*(1-'Interest Rate'!$B$17))</f>
        <v>0</v>
      </c>
      <c r="CP34" s="609">
        <f>IF(CP$7&gt;$N34,0,CO34*(1-'Interest Rate'!$B$17))</f>
        <v>0</v>
      </c>
      <c r="CQ34" s="609">
        <f>IF(CQ$7&gt;$N34,0,CP34*(1-'Interest Rate'!$B$17))</f>
        <v>0</v>
      </c>
      <c r="CR34" s="609">
        <f>IF(CR$7&gt;$N34,0,CQ34*(1-'Interest Rate'!$B$17))</f>
        <v>0</v>
      </c>
      <c r="CS34" s="609">
        <f>IF(CS$7&gt;$N34,0,CR34*(1-'Interest Rate'!$B$17))</f>
        <v>0</v>
      </c>
      <c r="CT34" s="609">
        <f>IF(CT$7&gt;$N34,0,CS34*(1-'Interest Rate'!$B$17))</f>
        <v>0</v>
      </c>
      <c r="CU34" s="609">
        <f>IF(CU$7&gt;$N34,0,CT34*(1-'Interest Rate'!$B$17))</f>
        <v>0</v>
      </c>
      <c r="CV34" s="609">
        <f>IF(CV$7&gt;$N34,0,CU34*(1-'Interest Rate'!$B$17))</f>
        <v>0</v>
      </c>
      <c r="CW34" s="609">
        <f>IF(CW$7&gt;$N34,0,CV34*(1-'Interest Rate'!$B$17))</f>
        <v>0</v>
      </c>
      <c r="CX34" s="609">
        <f>IF(CX$7&gt;$N34,0,CW34*(1-'Interest Rate'!$B$17))</f>
        <v>0</v>
      </c>
      <c r="CY34" s="609">
        <f>IF(CY$7&gt;$N34,0,CX34*(1-'Interest Rate'!$B$17))</f>
        <v>0</v>
      </c>
      <c r="CZ34" s="609">
        <f>IF(CZ$7&gt;$N34,0,CY34*(1-'Interest Rate'!$B$17))</f>
        <v>0</v>
      </c>
      <c r="DA34" s="609">
        <f>IF(DA$7&gt;$N34,0,CZ34*(1-'Interest Rate'!$B$17))</f>
        <v>0</v>
      </c>
      <c r="DB34" s="609">
        <f>IF(DB$7&gt;$N34,0,DA34*(1-'Interest Rate'!$B$17))</f>
        <v>0</v>
      </c>
      <c r="DC34" s="609">
        <f>IF(DC$7&gt;$N34,0,DB34*(1-'Interest Rate'!$B$17))</f>
        <v>0</v>
      </c>
      <c r="DD34" s="609">
        <f>IF(DD$7&gt;$N34,0,DC34*(1-'Interest Rate'!$B$17))</f>
        <v>0</v>
      </c>
      <c r="DE34" s="609">
        <f>IF(DE$7&gt;$N34,0,DD34*(1-'Interest Rate'!$B$17))</f>
        <v>0</v>
      </c>
      <c r="DF34" s="609">
        <f>IF(DF$7&gt;$N34,0,DE34*(1-'Interest Rate'!$B$17))</f>
        <v>0</v>
      </c>
      <c r="DG34" s="609">
        <f>IF(DG$7&gt;$N34,0,DF34*(1-'Interest Rate'!$B$17))</f>
        <v>0</v>
      </c>
      <c r="DH34" s="609">
        <f>IF(DH$7&gt;$N34,0,DG34*(1-'Interest Rate'!$B$17))</f>
        <v>0</v>
      </c>
      <c r="DI34" s="609">
        <f>IF(DI$7&gt;$N34,0,DH34*(1-'Interest Rate'!$B$17))</f>
        <v>0</v>
      </c>
      <c r="DJ34" s="609">
        <f>IF(DJ$7&gt;$N34,0,DI34*(1-'Interest Rate'!$B$17))</f>
        <v>0</v>
      </c>
      <c r="DK34" s="609">
        <f>IF(DK$7&gt;$N34,0,DJ34*(1-'Interest Rate'!$B$17))</f>
        <v>0</v>
      </c>
      <c r="DL34" s="609">
        <f>IF(DL$7&gt;$N34,0,DK34*(1-'Interest Rate'!$B$17))</f>
        <v>0</v>
      </c>
      <c r="DM34" s="609">
        <f>IF(DM$7&gt;$N34,0,DL34*(1-'Interest Rate'!$B$17))</f>
        <v>0</v>
      </c>
    </row>
    <row r="35" spans="1:117" ht="27.75" customHeight="1" x14ac:dyDescent="0.3">
      <c r="A35" s="600" t="str">
        <f>'EEM Data Entry'!A112</f>
        <v/>
      </c>
      <c r="B35" s="613" t="str">
        <f>'EEM Data Entry'!B112</f>
        <v/>
      </c>
      <c r="C35" s="602" t="str">
        <f>'EEM Data Entry'!F112</f>
        <v/>
      </c>
      <c r="D35" s="602">
        <v>0</v>
      </c>
      <c r="E35" s="602" t="e">
        <f t="shared" si="9"/>
        <v>#VALUE!</v>
      </c>
      <c r="F35" s="602">
        <f>('Savings Summary'!D36*'Savings Summary'!D$5)+('Savings Summary'!F36*'Savings Summary'!F$5)+('Savings Summary'!H36*'Savings Summary'!H$5)+('Savings Summary'!J36*'Savings Summary'!J$5)+('Savings Summary'!L36*'Savings Summary'!L$5)+('Savings Summary'!N36*'Savings Summary'!N$5)+('Savings Summary'!P36*'Savings Summary'!P$5)+('Savings Summary'!R36*'Savings Summary'!R$5)</f>
        <v>0</v>
      </c>
      <c r="G35" s="603">
        <f>'Savings Summary'!T36</f>
        <v>0</v>
      </c>
      <c r="H35" s="604" t="e">
        <f>IF(C35=0,"n/a",E35/F35)</f>
        <v>#VALUE!</v>
      </c>
      <c r="I35" s="600" t="e">
        <f t="shared" si="11"/>
        <v>#VALUE!</v>
      </c>
      <c r="J35" s="605" t="e">
        <f t="shared" si="10"/>
        <v>#NUM!</v>
      </c>
      <c r="K35" s="606" t="e">
        <f>PV('Interest Rate'!$B$17,Table7[[#This Row],[LIFETIME]],-Table7[[#This Row],[ANNUAL ENERGY COST SAVINGS]],Table7[[#This Row],[END-OF-LIFE]],0)-Table7[[#This Row],[CAPITAL INVESTMENT]]</f>
        <v>#VALUE!</v>
      </c>
      <c r="L35" s="600" t="str">
        <f>'EEM Data Entry'!C112</f>
        <v/>
      </c>
      <c r="M35" s="614" t="e">
        <f>Table6[[#This Row],[ANNUAL ENERGY COST SAVINGS]]/Table6[[#This Row],[CAPITAL INVESTMENT]]</f>
        <v>#VALUE!</v>
      </c>
      <c r="N35" s="804" t="str">
        <f>Table7[[#This Row],[LIFETIME]]</f>
        <v/>
      </c>
      <c r="O35" s="614"/>
      <c r="P35" s="614"/>
      <c r="Q35" s="608" t="str">
        <f t="shared" si="4"/>
        <v/>
      </c>
      <c r="R35" s="609">
        <f t="shared" si="12"/>
        <v>0</v>
      </c>
      <c r="S35" s="609">
        <f>IF(S$7&gt;$N35,0,R35*(1-'Interest Rate'!$B$17))</f>
        <v>0</v>
      </c>
      <c r="T35" s="609">
        <f>IF(T$7&gt;$N35,0,S35*(1-'Interest Rate'!$B$17))</f>
        <v>0</v>
      </c>
      <c r="U35" s="609">
        <f>IF(U$7&gt;$N35,0,T35*(1-'Interest Rate'!$B$17))</f>
        <v>0</v>
      </c>
      <c r="V35" s="609">
        <f>IF(V$7&gt;$N35,0,U35*(1-'Interest Rate'!$B$17))</f>
        <v>0</v>
      </c>
      <c r="W35" s="609">
        <f>IF(W$7&gt;$N35,0,V35*(1-'Interest Rate'!$B$17))</f>
        <v>0</v>
      </c>
      <c r="X35" s="609">
        <f>IF(X$7&gt;$N35,0,W35*(1-'Interest Rate'!$B$17))</f>
        <v>0</v>
      </c>
      <c r="Y35" s="609">
        <f>IF(Y$7&gt;$N35,0,X35*(1-'Interest Rate'!$B$17))</f>
        <v>0</v>
      </c>
      <c r="Z35" s="609">
        <f>IF(Z$7&gt;$N35,0,Y35*(1-'Interest Rate'!$B$17))</f>
        <v>0</v>
      </c>
      <c r="AA35" s="609">
        <f>IF(AA$7&gt;$N35,0,Z35*(1-'Interest Rate'!$B$17))</f>
        <v>0</v>
      </c>
      <c r="AB35" s="609">
        <f>IF(AB$7&gt;$N35,0,AA35*(1-'Interest Rate'!$B$17))</f>
        <v>0</v>
      </c>
      <c r="AC35" s="609">
        <f>IF(AC$7&gt;$N35,0,AB35*(1-'Interest Rate'!$B$17))</f>
        <v>0</v>
      </c>
      <c r="AD35" s="609">
        <f>IF(AD$7&gt;$N35,0,AC35*(1-'Interest Rate'!$B$17))</f>
        <v>0</v>
      </c>
      <c r="AE35" s="609">
        <f>IF(AE$7&gt;$N35,0,AD35*(1-'Interest Rate'!$B$17))</f>
        <v>0</v>
      </c>
      <c r="AF35" s="609">
        <f>IF(AF$7&gt;$N35,0,AE35*(1-'Interest Rate'!$B$17))</f>
        <v>0</v>
      </c>
      <c r="AG35" s="609">
        <f>IF(AG$7&gt;$N35,0,AF35*(1-'Interest Rate'!$B$17))</f>
        <v>0</v>
      </c>
      <c r="AH35" s="609">
        <f>IF(AH$7&gt;$N35,0,AG35*(1-'Interest Rate'!$B$17))</f>
        <v>0</v>
      </c>
      <c r="AI35" s="609">
        <f>IF(AI$7&gt;$N35,0,AH35*(1-'Interest Rate'!$B$17))</f>
        <v>0</v>
      </c>
      <c r="AJ35" s="609">
        <f>IF(AJ$7&gt;$N35,0,AI35*(1-'Interest Rate'!$B$17))</f>
        <v>0</v>
      </c>
      <c r="AK35" s="609">
        <f>IF(AK$7&gt;$N35,0,AJ35*(1-'Interest Rate'!$B$17))</f>
        <v>0</v>
      </c>
      <c r="AL35" s="609">
        <f>IF(AL$7&gt;$N35,0,AK35*(1-'Interest Rate'!$B$17))</f>
        <v>0</v>
      </c>
      <c r="AM35" s="609">
        <f>IF(AM$7&gt;$N35,0,AL35*(1-'Interest Rate'!$B$17))</f>
        <v>0</v>
      </c>
      <c r="AN35" s="609">
        <f>IF(AN$7&gt;$N35,0,AM35*(1-'Interest Rate'!$B$17))</f>
        <v>0</v>
      </c>
      <c r="AO35" s="609">
        <f>IF(AO$7&gt;$N35,0,AN35*(1-'Interest Rate'!$B$17))</f>
        <v>0</v>
      </c>
      <c r="AP35" s="609">
        <f>IF(AP$7&gt;$N35,0,AO35*(1-'Interest Rate'!$B$17))</f>
        <v>0</v>
      </c>
      <c r="AQ35" s="609">
        <f>IF(AQ$7&gt;$N35,0,AP35*(1-'Interest Rate'!$B$17))</f>
        <v>0</v>
      </c>
      <c r="AR35" s="609">
        <f>IF(AR$7&gt;$N35,0,AQ35*(1-'Interest Rate'!$B$17))</f>
        <v>0</v>
      </c>
      <c r="AS35" s="609">
        <f>IF(AS$7&gt;$N35,0,AR35*(1-'Interest Rate'!$B$17))</f>
        <v>0</v>
      </c>
      <c r="AT35" s="609">
        <f>IF(AT$7&gt;$N35,0,AS35*(1-'Interest Rate'!$B$17))</f>
        <v>0</v>
      </c>
      <c r="AU35" s="609">
        <f>IF(AU$7&gt;$N35,0,AT35*(1-'Interest Rate'!$B$17))</f>
        <v>0</v>
      </c>
      <c r="AV35" s="609">
        <f>IF(AV$7&gt;$N35,0,AU35*(1-'Interest Rate'!$B$17))</f>
        <v>0</v>
      </c>
      <c r="AW35" s="609">
        <f>IF(AW$7&gt;$N35,0,AV35*(1-'Interest Rate'!$B$17))</f>
        <v>0</v>
      </c>
      <c r="AX35" s="609">
        <f>IF(AX$7&gt;$N35,0,AW35*(1-'Interest Rate'!$B$17))</f>
        <v>0</v>
      </c>
      <c r="AY35" s="609">
        <f>IF(AY$7&gt;$N35,0,AX35*(1-'Interest Rate'!$B$17))</f>
        <v>0</v>
      </c>
      <c r="AZ35" s="609">
        <f>IF(AZ$7&gt;$N35,0,AY35*(1-'Interest Rate'!$B$17))</f>
        <v>0</v>
      </c>
      <c r="BA35" s="609">
        <f>IF(BA$7&gt;$N35,0,AZ35*(1-'Interest Rate'!$B$17))</f>
        <v>0</v>
      </c>
      <c r="BB35" s="609">
        <f>IF(BB$7&gt;$N35,0,BA35*(1-'Interest Rate'!$B$17))</f>
        <v>0</v>
      </c>
      <c r="BC35" s="609">
        <f>IF(BC$7&gt;$N35,0,BB35*(1-'Interest Rate'!$B$17))</f>
        <v>0</v>
      </c>
      <c r="BD35" s="609">
        <f>IF(BD$7&gt;$N35,0,BC35*(1-'Interest Rate'!$B$17))</f>
        <v>0</v>
      </c>
      <c r="BE35" s="609">
        <f>IF(BE$7&gt;$N35,0,BD35*(1-'Interest Rate'!$B$17))</f>
        <v>0</v>
      </c>
      <c r="BF35" s="609">
        <f>IF(BF$7&gt;$N35,0,BE35*(1-'Interest Rate'!$B$17))</f>
        <v>0</v>
      </c>
      <c r="BG35" s="609">
        <f>IF(BG$7&gt;$N35,0,BF35*(1-'Interest Rate'!$B$17))</f>
        <v>0</v>
      </c>
      <c r="BH35" s="609">
        <f>IF(BH$7&gt;$N35,0,BG35*(1-'Interest Rate'!$B$17))</f>
        <v>0</v>
      </c>
      <c r="BI35" s="609">
        <f>IF(BI$7&gt;$N35,0,BH35*(1-'Interest Rate'!$B$17))</f>
        <v>0</v>
      </c>
      <c r="BJ35" s="609">
        <f>IF(BJ$7&gt;$N35,0,BI35*(1-'Interest Rate'!$B$17))</f>
        <v>0</v>
      </c>
      <c r="BK35" s="609">
        <f>IF(BK$7&gt;$N35,0,BJ35*(1-'Interest Rate'!$B$17))</f>
        <v>0</v>
      </c>
      <c r="BL35" s="609">
        <f>IF(BL$7&gt;$N35,0,BK35*(1-'Interest Rate'!$B$17))</f>
        <v>0</v>
      </c>
      <c r="BM35" s="609">
        <f>IF(BM$7&gt;$N35,0,BL35*(1-'Interest Rate'!$B$17))</f>
        <v>0</v>
      </c>
      <c r="BN35" s="609">
        <f>IF(BN$7&gt;$N35,0,BM35*(1-'Interest Rate'!$B$17))</f>
        <v>0</v>
      </c>
      <c r="BO35" s="609">
        <f>IF(BO$7&gt;$N35,0,BN35*(1-'Interest Rate'!$B$17))</f>
        <v>0</v>
      </c>
      <c r="BP35" s="609">
        <f>IF(BP$7&gt;$N35,0,BO35*(1-'Interest Rate'!$B$17))</f>
        <v>0</v>
      </c>
      <c r="BQ35" s="609">
        <f>IF(BQ$7&gt;$N35,0,BP35*(1-'Interest Rate'!$B$17))</f>
        <v>0</v>
      </c>
      <c r="BR35" s="609">
        <f>IF(BR$7&gt;$N35,0,BQ35*(1-'Interest Rate'!$B$17))</f>
        <v>0</v>
      </c>
      <c r="BS35" s="609">
        <f>IF(BS$7&gt;$N35,0,BR35*(1-'Interest Rate'!$B$17))</f>
        <v>0</v>
      </c>
      <c r="BT35" s="609">
        <f>IF(BT$7&gt;$N35,0,BS35*(1-'Interest Rate'!$B$17))</f>
        <v>0</v>
      </c>
      <c r="BU35" s="609">
        <f>IF(BU$7&gt;$N35,0,BT35*(1-'Interest Rate'!$B$17))</f>
        <v>0</v>
      </c>
      <c r="BV35" s="609">
        <f>IF(BV$7&gt;$N35,0,BU35*(1-'Interest Rate'!$B$17))</f>
        <v>0</v>
      </c>
      <c r="BW35" s="609">
        <f>IF(BW$7&gt;$N35,0,BV35*(1-'Interest Rate'!$B$17))</f>
        <v>0</v>
      </c>
      <c r="BX35" s="609">
        <f>IF(BX$7&gt;$N35,0,BW35*(1-'Interest Rate'!$B$17))</f>
        <v>0</v>
      </c>
      <c r="BY35" s="609">
        <f>IF(BY$7&gt;$N35,0,BX35*(1-'Interest Rate'!$B$17))</f>
        <v>0</v>
      </c>
      <c r="BZ35" s="609">
        <f>IF(BZ$7&gt;$N35,0,BY35*(1-'Interest Rate'!$B$17))</f>
        <v>0</v>
      </c>
      <c r="CA35" s="609">
        <f>IF(CA$7&gt;$N35,0,BZ35*(1-'Interest Rate'!$B$17))</f>
        <v>0</v>
      </c>
      <c r="CB35" s="609">
        <f>IF(CB$7&gt;$N35,0,CA35*(1-'Interest Rate'!$B$17))</f>
        <v>0</v>
      </c>
      <c r="CC35" s="609">
        <f>IF(CC$7&gt;$N35,0,CB35*(1-'Interest Rate'!$B$17))</f>
        <v>0</v>
      </c>
      <c r="CD35" s="609">
        <f>IF(CD$7&gt;$N35,0,CC35*(1-'Interest Rate'!$B$17))</f>
        <v>0</v>
      </c>
      <c r="CE35" s="609">
        <f>IF(CE$7&gt;$N35,0,CD35*(1-'Interest Rate'!$B$17))</f>
        <v>0</v>
      </c>
      <c r="CF35" s="609">
        <f>IF(CF$7&gt;$N35,0,CE35*(1-'Interest Rate'!$B$17))</f>
        <v>0</v>
      </c>
      <c r="CG35" s="609">
        <f>IF(CG$7&gt;$N35,0,CF35*(1-'Interest Rate'!$B$17))</f>
        <v>0</v>
      </c>
      <c r="CH35" s="609">
        <f>IF(CH$7&gt;$N35,0,CG35*(1-'Interest Rate'!$B$17))</f>
        <v>0</v>
      </c>
      <c r="CI35" s="609">
        <f>IF(CI$7&gt;$N35,0,CH35*(1-'Interest Rate'!$B$17))</f>
        <v>0</v>
      </c>
      <c r="CJ35" s="609">
        <f>IF(CJ$7&gt;$N35,0,CI35*(1-'Interest Rate'!$B$17))</f>
        <v>0</v>
      </c>
      <c r="CK35" s="609">
        <f>IF(CK$7&gt;$N35,0,CJ35*(1-'Interest Rate'!$B$17))</f>
        <v>0</v>
      </c>
      <c r="CL35" s="609">
        <f>IF(CL$7&gt;$N35,0,CK35*(1-'Interest Rate'!$B$17))</f>
        <v>0</v>
      </c>
      <c r="CM35" s="609">
        <f>IF(CM$7&gt;$N35,0,CL35*(1-'Interest Rate'!$B$17))</f>
        <v>0</v>
      </c>
      <c r="CN35" s="609">
        <f>IF(CN$7&gt;$N35,0,CM35*(1-'Interest Rate'!$B$17))</f>
        <v>0</v>
      </c>
      <c r="CO35" s="609">
        <f>IF(CO$7&gt;$N35,0,CN35*(1-'Interest Rate'!$B$17))</f>
        <v>0</v>
      </c>
      <c r="CP35" s="609">
        <f>IF(CP$7&gt;$N35,0,CO35*(1-'Interest Rate'!$B$17))</f>
        <v>0</v>
      </c>
      <c r="CQ35" s="609">
        <f>IF(CQ$7&gt;$N35,0,CP35*(1-'Interest Rate'!$B$17))</f>
        <v>0</v>
      </c>
      <c r="CR35" s="609">
        <f>IF(CR$7&gt;$N35,0,CQ35*(1-'Interest Rate'!$B$17))</f>
        <v>0</v>
      </c>
      <c r="CS35" s="609">
        <f>IF(CS$7&gt;$N35,0,CR35*(1-'Interest Rate'!$B$17))</f>
        <v>0</v>
      </c>
      <c r="CT35" s="609">
        <f>IF(CT$7&gt;$N35,0,CS35*(1-'Interest Rate'!$B$17))</f>
        <v>0</v>
      </c>
      <c r="CU35" s="609">
        <f>IF(CU$7&gt;$N35,0,CT35*(1-'Interest Rate'!$B$17))</f>
        <v>0</v>
      </c>
      <c r="CV35" s="609">
        <f>IF(CV$7&gt;$N35,0,CU35*(1-'Interest Rate'!$B$17))</f>
        <v>0</v>
      </c>
      <c r="CW35" s="609">
        <f>IF(CW$7&gt;$N35,0,CV35*(1-'Interest Rate'!$B$17))</f>
        <v>0</v>
      </c>
      <c r="CX35" s="609">
        <f>IF(CX$7&gt;$N35,0,CW35*(1-'Interest Rate'!$B$17))</f>
        <v>0</v>
      </c>
      <c r="CY35" s="609">
        <f>IF(CY$7&gt;$N35,0,CX35*(1-'Interest Rate'!$B$17))</f>
        <v>0</v>
      </c>
      <c r="CZ35" s="609">
        <f>IF(CZ$7&gt;$N35,0,CY35*(1-'Interest Rate'!$B$17))</f>
        <v>0</v>
      </c>
      <c r="DA35" s="609">
        <f>IF(DA$7&gt;$N35,0,CZ35*(1-'Interest Rate'!$B$17))</f>
        <v>0</v>
      </c>
      <c r="DB35" s="609">
        <f>IF(DB$7&gt;$N35,0,DA35*(1-'Interest Rate'!$B$17))</f>
        <v>0</v>
      </c>
      <c r="DC35" s="609">
        <f>IF(DC$7&gt;$N35,0,DB35*(1-'Interest Rate'!$B$17))</f>
        <v>0</v>
      </c>
      <c r="DD35" s="609">
        <f>IF(DD$7&gt;$N35,0,DC35*(1-'Interest Rate'!$B$17))</f>
        <v>0</v>
      </c>
      <c r="DE35" s="609">
        <f>IF(DE$7&gt;$N35,0,DD35*(1-'Interest Rate'!$B$17))</f>
        <v>0</v>
      </c>
      <c r="DF35" s="609">
        <f>IF(DF$7&gt;$N35,0,DE35*(1-'Interest Rate'!$B$17))</f>
        <v>0</v>
      </c>
      <c r="DG35" s="609">
        <f>IF(DG$7&gt;$N35,0,DF35*(1-'Interest Rate'!$B$17))</f>
        <v>0</v>
      </c>
      <c r="DH35" s="609">
        <f>IF(DH$7&gt;$N35,0,DG35*(1-'Interest Rate'!$B$17))</f>
        <v>0</v>
      </c>
      <c r="DI35" s="609">
        <f>IF(DI$7&gt;$N35,0,DH35*(1-'Interest Rate'!$B$17))</f>
        <v>0</v>
      </c>
      <c r="DJ35" s="609">
        <f>IF(DJ$7&gt;$N35,0,DI35*(1-'Interest Rate'!$B$17))</f>
        <v>0</v>
      </c>
      <c r="DK35" s="609">
        <f>IF(DK$7&gt;$N35,0,DJ35*(1-'Interest Rate'!$B$17))</f>
        <v>0</v>
      </c>
      <c r="DL35" s="609">
        <f>IF(DL$7&gt;$N35,0,DK35*(1-'Interest Rate'!$B$17))</f>
        <v>0</v>
      </c>
      <c r="DM35" s="609">
        <f>IF(DM$7&gt;$N35,0,DL35*(1-'Interest Rate'!$B$17))</f>
        <v>0</v>
      </c>
    </row>
    <row r="36" spans="1:117" ht="27.75" customHeight="1" x14ac:dyDescent="0.3">
      <c r="A36" s="600" t="str">
        <f>'EEM Data Entry'!A113</f>
        <v/>
      </c>
      <c r="B36" s="613" t="str">
        <f>'EEM Data Entry'!B113</f>
        <v/>
      </c>
      <c r="C36" s="602" t="str">
        <f>'EEM Data Entry'!F113</f>
        <v/>
      </c>
      <c r="D36" s="602">
        <v>0</v>
      </c>
      <c r="E36" s="602" t="e">
        <f t="shared" si="9"/>
        <v>#VALUE!</v>
      </c>
      <c r="F36" s="602">
        <f>('Savings Summary'!D37*'Savings Summary'!D$5)+('Savings Summary'!F37*'Savings Summary'!F$5)+('Savings Summary'!H37*'Savings Summary'!H$5)+('Savings Summary'!J37*'Savings Summary'!J$5)+('Savings Summary'!L37*'Savings Summary'!L$5)+('Savings Summary'!N37*'Savings Summary'!N$5)+('Savings Summary'!P37*'Savings Summary'!P$5)+('Savings Summary'!R37*'Savings Summary'!R$5)</f>
        <v>0</v>
      </c>
      <c r="G36" s="603">
        <f>'Savings Summary'!T37</f>
        <v>0</v>
      </c>
      <c r="H36" s="604" t="e">
        <f t="shared" ref="H36:H45" si="13">IF(C36=0,"n/a",E36/F36)</f>
        <v>#VALUE!</v>
      </c>
      <c r="I36" s="600" t="e">
        <f t="shared" si="11"/>
        <v>#VALUE!</v>
      </c>
      <c r="J36" s="605" t="e">
        <f t="shared" si="10"/>
        <v>#NUM!</v>
      </c>
      <c r="K36" s="606" t="e">
        <f>PV('Interest Rate'!$B$17,Table7[[#This Row],[LIFETIME]],-Table7[[#This Row],[ANNUAL ENERGY COST SAVINGS]],Table7[[#This Row],[END-OF-LIFE]],0)-Table7[[#This Row],[CAPITAL INVESTMENT]]</f>
        <v>#VALUE!</v>
      </c>
      <c r="L36" s="600" t="str">
        <f>'EEM Data Entry'!C113</f>
        <v/>
      </c>
      <c r="M36" s="614" t="e">
        <f>Table6[[#This Row],[ANNUAL ENERGY COST SAVINGS]]/Table6[[#This Row],[CAPITAL INVESTMENT]]</f>
        <v>#VALUE!</v>
      </c>
      <c r="N36" s="804" t="str">
        <f>Table7[[#This Row],[LIFETIME]]</f>
        <v/>
      </c>
      <c r="O36" s="614"/>
      <c r="P36" s="614"/>
      <c r="Q36" s="608" t="str">
        <f t="shared" si="4"/>
        <v/>
      </c>
      <c r="R36" s="609">
        <f t="shared" si="12"/>
        <v>0</v>
      </c>
      <c r="S36" s="609">
        <f>IF(S$7&gt;$N36,0,R36*(1-'Interest Rate'!$B$17))</f>
        <v>0</v>
      </c>
      <c r="T36" s="609">
        <f>IF(T$7&gt;$N36,0,S36*(1-'Interest Rate'!$B$17))</f>
        <v>0</v>
      </c>
      <c r="U36" s="609">
        <f>IF(U$7&gt;$N36,0,T36*(1-'Interest Rate'!$B$17))</f>
        <v>0</v>
      </c>
      <c r="V36" s="609">
        <f>IF(V$7&gt;$N36,0,U36*(1-'Interest Rate'!$B$17))</f>
        <v>0</v>
      </c>
      <c r="W36" s="609">
        <f>IF(W$7&gt;$N36,0,V36*(1-'Interest Rate'!$B$17))</f>
        <v>0</v>
      </c>
      <c r="X36" s="609">
        <f>IF(X$7&gt;$N36,0,W36*(1-'Interest Rate'!$B$17))</f>
        <v>0</v>
      </c>
      <c r="Y36" s="609">
        <f>IF(Y$7&gt;$N36,0,X36*(1-'Interest Rate'!$B$17))</f>
        <v>0</v>
      </c>
      <c r="Z36" s="609">
        <f>IF(Z$7&gt;$N36,0,Y36*(1-'Interest Rate'!$B$17))</f>
        <v>0</v>
      </c>
      <c r="AA36" s="609">
        <f>IF(AA$7&gt;$N36,0,Z36*(1-'Interest Rate'!$B$17))</f>
        <v>0</v>
      </c>
      <c r="AB36" s="609">
        <f>IF(AB$7&gt;$N36,0,AA36*(1-'Interest Rate'!$B$17))</f>
        <v>0</v>
      </c>
      <c r="AC36" s="609">
        <f>IF(AC$7&gt;$N36,0,AB36*(1-'Interest Rate'!$B$17))</f>
        <v>0</v>
      </c>
      <c r="AD36" s="609">
        <f>IF(AD$7&gt;$N36,0,AC36*(1-'Interest Rate'!$B$17))</f>
        <v>0</v>
      </c>
      <c r="AE36" s="609">
        <f>IF(AE$7&gt;$N36,0,AD36*(1-'Interest Rate'!$B$17))</f>
        <v>0</v>
      </c>
      <c r="AF36" s="609">
        <f>IF(AF$7&gt;$N36,0,AE36*(1-'Interest Rate'!$B$17))</f>
        <v>0</v>
      </c>
      <c r="AG36" s="609">
        <f>IF(AG$7&gt;$N36,0,AF36*(1-'Interest Rate'!$B$17))</f>
        <v>0</v>
      </c>
      <c r="AH36" s="609">
        <f>IF(AH$7&gt;$N36,0,AG36*(1-'Interest Rate'!$B$17))</f>
        <v>0</v>
      </c>
      <c r="AI36" s="609">
        <f>IF(AI$7&gt;$N36,0,AH36*(1-'Interest Rate'!$B$17))</f>
        <v>0</v>
      </c>
      <c r="AJ36" s="609">
        <f>IF(AJ$7&gt;$N36,0,AI36*(1-'Interest Rate'!$B$17))</f>
        <v>0</v>
      </c>
      <c r="AK36" s="609">
        <f>IF(AK$7&gt;$N36,0,AJ36*(1-'Interest Rate'!$B$17))</f>
        <v>0</v>
      </c>
      <c r="AL36" s="609">
        <f>IF(AL$7&gt;$N36,0,AK36*(1-'Interest Rate'!$B$17))</f>
        <v>0</v>
      </c>
      <c r="AM36" s="609">
        <f>IF(AM$7&gt;$N36,0,AL36*(1-'Interest Rate'!$B$17))</f>
        <v>0</v>
      </c>
      <c r="AN36" s="609">
        <f>IF(AN$7&gt;$N36,0,AM36*(1-'Interest Rate'!$B$17))</f>
        <v>0</v>
      </c>
      <c r="AO36" s="609">
        <f>IF(AO$7&gt;$N36,0,AN36*(1-'Interest Rate'!$B$17))</f>
        <v>0</v>
      </c>
      <c r="AP36" s="609">
        <f>IF(AP$7&gt;$N36,0,AO36*(1-'Interest Rate'!$B$17))</f>
        <v>0</v>
      </c>
      <c r="AQ36" s="609">
        <f>IF(AQ$7&gt;$N36,0,AP36*(1-'Interest Rate'!$B$17))</f>
        <v>0</v>
      </c>
      <c r="AR36" s="609">
        <f>IF(AR$7&gt;$N36,0,AQ36*(1-'Interest Rate'!$B$17))</f>
        <v>0</v>
      </c>
      <c r="AS36" s="609">
        <f>IF(AS$7&gt;$N36,0,AR36*(1-'Interest Rate'!$B$17))</f>
        <v>0</v>
      </c>
      <c r="AT36" s="609">
        <f>IF(AT$7&gt;$N36,0,AS36*(1-'Interest Rate'!$B$17))</f>
        <v>0</v>
      </c>
      <c r="AU36" s="609">
        <f>IF(AU$7&gt;$N36,0,AT36*(1-'Interest Rate'!$B$17))</f>
        <v>0</v>
      </c>
      <c r="AV36" s="609">
        <f>IF(AV$7&gt;$N36,0,AU36*(1-'Interest Rate'!$B$17))</f>
        <v>0</v>
      </c>
      <c r="AW36" s="609">
        <f>IF(AW$7&gt;$N36,0,AV36*(1-'Interest Rate'!$B$17))</f>
        <v>0</v>
      </c>
      <c r="AX36" s="609">
        <f>IF(AX$7&gt;$N36,0,AW36*(1-'Interest Rate'!$B$17))</f>
        <v>0</v>
      </c>
      <c r="AY36" s="609">
        <f>IF(AY$7&gt;$N36,0,AX36*(1-'Interest Rate'!$B$17))</f>
        <v>0</v>
      </c>
      <c r="AZ36" s="609">
        <f>IF(AZ$7&gt;$N36,0,AY36*(1-'Interest Rate'!$B$17))</f>
        <v>0</v>
      </c>
      <c r="BA36" s="609">
        <f>IF(BA$7&gt;$N36,0,AZ36*(1-'Interest Rate'!$B$17))</f>
        <v>0</v>
      </c>
      <c r="BB36" s="609">
        <f>IF(BB$7&gt;$N36,0,BA36*(1-'Interest Rate'!$B$17))</f>
        <v>0</v>
      </c>
      <c r="BC36" s="609">
        <f>IF(BC$7&gt;$N36,0,BB36*(1-'Interest Rate'!$B$17))</f>
        <v>0</v>
      </c>
      <c r="BD36" s="609">
        <f>IF(BD$7&gt;$N36,0,BC36*(1-'Interest Rate'!$B$17))</f>
        <v>0</v>
      </c>
      <c r="BE36" s="609">
        <f>IF(BE$7&gt;$N36,0,BD36*(1-'Interest Rate'!$B$17))</f>
        <v>0</v>
      </c>
      <c r="BF36" s="609">
        <f>IF(BF$7&gt;$N36,0,BE36*(1-'Interest Rate'!$B$17))</f>
        <v>0</v>
      </c>
      <c r="BG36" s="609">
        <f>IF(BG$7&gt;$N36,0,BF36*(1-'Interest Rate'!$B$17))</f>
        <v>0</v>
      </c>
      <c r="BH36" s="609">
        <f>IF(BH$7&gt;$N36,0,BG36*(1-'Interest Rate'!$B$17))</f>
        <v>0</v>
      </c>
      <c r="BI36" s="609">
        <f>IF(BI$7&gt;$N36,0,BH36*(1-'Interest Rate'!$B$17))</f>
        <v>0</v>
      </c>
      <c r="BJ36" s="609">
        <f>IF(BJ$7&gt;$N36,0,BI36*(1-'Interest Rate'!$B$17))</f>
        <v>0</v>
      </c>
      <c r="BK36" s="609">
        <f>IF(BK$7&gt;$N36,0,BJ36*(1-'Interest Rate'!$B$17))</f>
        <v>0</v>
      </c>
      <c r="BL36" s="609">
        <f>IF(BL$7&gt;$N36,0,BK36*(1-'Interest Rate'!$B$17))</f>
        <v>0</v>
      </c>
      <c r="BM36" s="609">
        <f>IF(BM$7&gt;$N36,0,BL36*(1-'Interest Rate'!$B$17))</f>
        <v>0</v>
      </c>
      <c r="BN36" s="609">
        <f>IF(BN$7&gt;$N36,0,BM36*(1-'Interest Rate'!$B$17))</f>
        <v>0</v>
      </c>
      <c r="BO36" s="609">
        <f>IF(BO$7&gt;$N36,0,BN36*(1-'Interest Rate'!$B$17))</f>
        <v>0</v>
      </c>
      <c r="BP36" s="609">
        <f>IF(BP$7&gt;$N36,0,BO36*(1-'Interest Rate'!$B$17))</f>
        <v>0</v>
      </c>
      <c r="BQ36" s="609">
        <f>IF(BQ$7&gt;$N36,0,BP36*(1-'Interest Rate'!$B$17))</f>
        <v>0</v>
      </c>
      <c r="BR36" s="609">
        <f>IF(BR$7&gt;$N36,0,BQ36*(1-'Interest Rate'!$B$17))</f>
        <v>0</v>
      </c>
      <c r="BS36" s="609">
        <f>IF(BS$7&gt;$N36,0,BR36*(1-'Interest Rate'!$B$17))</f>
        <v>0</v>
      </c>
      <c r="BT36" s="609">
        <f>IF(BT$7&gt;$N36,0,BS36*(1-'Interest Rate'!$B$17))</f>
        <v>0</v>
      </c>
      <c r="BU36" s="609">
        <f>IF(BU$7&gt;$N36,0,BT36*(1-'Interest Rate'!$B$17))</f>
        <v>0</v>
      </c>
      <c r="BV36" s="609">
        <f>IF(BV$7&gt;$N36,0,BU36*(1-'Interest Rate'!$B$17))</f>
        <v>0</v>
      </c>
      <c r="BW36" s="609">
        <f>IF(BW$7&gt;$N36,0,BV36*(1-'Interest Rate'!$B$17))</f>
        <v>0</v>
      </c>
      <c r="BX36" s="609">
        <f>IF(BX$7&gt;$N36,0,BW36*(1-'Interest Rate'!$B$17))</f>
        <v>0</v>
      </c>
      <c r="BY36" s="609">
        <f>IF(BY$7&gt;$N36,0,BX36*(1-'Interest Rate'!$B$17))</f>
        <v>0</v>
      </c>
      <c r="BZ36" s="609">
        <f>IF(BZ$7&gt;$N36,0,BY36*(1-'Interest Rate'!$B$17))</f>
        <v>0</v>
      </c>
      <c r="CA36" s="609">
        <f>IF(CA$7&gt;$N36,0,BZ36*(1-'Interest Rate'!$B$17))</f>
        <v>0</v>
      </c>
      <c r="CB36" s="609">
        <f>IF(CB$7&gt;$N36,0,CA36*(1-'Interest Rate'!$B$17))</f>
        <v>0</v>
      </c>
      <c r="CC36" s="609">
        <f>IF(CC$7&gt;$N36,0,CB36*(1-'Interest Rate'!$B$17))</f>
        <v>0</v>
      </c>
      <c r="CD36" s="609">
        <f>IF(CD$7&gt;$N36,0,CC36*(1-'Interest Rate'!$B$17))</f>
        <v>0</v>
      </c>
      <c r="CE36" s="609">
        <f>IF(CE$7&gt;$N36,0,CD36*(1-'Interest Rate'!$B$17))</f>
        <v>0</v>
      </c>
      <c r="CF36" s="609">
        <f>IF(CF$7&gt;$N36,0,CE36*(1-'Interest Rate'!$B$17))</f>
        <v>0</v>
      </c>
      <c r="CG36" s="609">
        <f>IF(CG$7&gt;$N36,0,CF36*(1-'Interest Rate'!$B$17))</f>
        <v>0</v>
      </c>
      <c r="CH36" s="609">
        <f>IF(CH$7&gt;$N36,0,CG36*(1-'Interest Rate'!$B$17))</f>
        <v>0</v>
      </c>
      <c r="CI36" s="609">
        <f>IF(CI$7&gt;$N36,0,CH36*(1-'Interest Rate'!$B$17))</f>
        <v>0</v>
      </c>
      <c r="CJ36" s="609">
        <f>IF(CJ$7&gt;$N36,0,CI36*(1-'Interest Rate'!$B$17))</f>
        <v>0</v>
      </c>
      <c r="CK36" s="609">
        <f>IF(CK$7&gt;$N36,0,CJ36*(1-'Interest Rate'!$B$17))</f>
        <v>0</v>
      </c>
      <c r="CL36" s="609">
        <f>IF(CL$7&gt;$N36,0,CK36*(1-'Interest Rate'!$B$17))</f>
        <v>0</v>
      </c>
      <c r="CM36" s="609">
        <f>IF(CM$7&gt;$N36,0,CL36*(1-'Interest Rate'!$B$17))</f>
        <v>0</v>
      </c>
      <c r="CN36" s="609">
        <f>IF(CN$7&gt;$N36,0,CM36*(1-'Interest Rate'!$B$17))</f>
        <v>0</v>
      </c>
      <c r="CO36" s="609">
        <f>IF(CO$7&gt;$N36,0,CN36*(1-'Interest Rate'!$B$17))</f>
        <v>0</v>
      </c>
      <c r="CP36" s="609">
        <f>IF(CP$7&gt;$N36,0,CO36*(1-'Interest Rate'!$B$17))</f>
        <v>0</v>
      </c>
      <c r="CQ36" s="609">
        <f>IF(CQ$7&gt;$N36,0,CP36*(1-'Interest Rate'!$B$17))</f>
        <v>0</v>
      </c>
      <c r="CR36" s="609">
        <f>IF(CR$7&gt;$N36,0,CQ36*(1-'Interest Rate'!$B$17))</f>
        <v>0</v>
      </c>
      <c r="CS36" s="609">
        <f>IF(CS$7&gt;$N36,0,CR36*(1-'Interest Rate'!$B$17))</f>
        <v>0</v>
      </c>
      <c r="CT36" s="609">
        <f>IF(CT$7&gt;$N36,0,CS36*(1-'Interest Rate'!$B$17))</f>
        <v>0</v>
      </c>
      <c r="CU36" s="609">
        <f>IF(CU$7&gt;$N36,0,CT36*(1-'Interest Rate'!$B$17))</f>
        <v>0</v>
      </c>
      <c r="CV36" s="609">
        <f>IF(CV$7&gt;$N36,0,CU36*(1-'Interest Rate'!$B$17))</f>
        <v>0</v>
      </c>
      <c r="CW36" s="609">
        <f>IF(CW$7&gt;$N36,0,CV36*(1-'Interest Rate'!$B$17))</f>
        <v>0</v>
      </c>
      <c r="CX36" s="609">
        <f>IF(CX$7&gt;$N36,0,CW36*(1-'Interest Rate'!$B$17))</f>
        <v>0</v>
      </c>
      <c r="CY36" s="609">
        <f>IF(CY$7&gt;$N36,0,CX36*(1-'Interest Rate'!$B$17))</f>
        <v>0</v>
      </c>
      <c r="CZ36" s="609">
        <f>IF(CZ$7&gt;$N36,0,CY36*(1-'Interest Rate'!$B$17))</f>
        <v>0</v>
      </c>
      <c r="DA36" s="609">
        <f>IF(DA$7&gt;$N36,0,CZ36*(1-'Interest Rate'!$B$17))</f>
        <v>0</v>
      </c>
      <c r="DB36" s="609">
        <f>IF(DB$7&gt;$N36,0,DA36*(1-'Interest Rate'!$B$17))</f>
        <v>0</v>
      </c>
      <c r="DC36" s="609">
        <f>IF(DC$7&gt;$N36,0,DB36*(1-'Interest Rate'!$B$17))</f>
        <v>0</v>
      </c>
      <c r="DD36" s="609">
        <f>IF(DD$7&gt;$N36,0,DC36*(1-'Interest Rate'!$B$17))</f>
        <v>0</v>
      </c>
      <c r="DE36" s="609">
        <f>IF(DE$7&gt;$N36,0,DD36*(1-'Interest Rate'!$B$17))</f>
        <v>0</v>
      </c>
      <c r="DF36" s="609">
        <f>IF(DF$7&gt;$N36,0,DE36*(1-'Interest Rate'!$B$17))</f>
        <v>0</v>
      </c>
      <c r="DG36" s="609">
        <f>IF(DG$7&gt;$N36,0,DF36*(1-'Interest Rate'!$B$17))</f>
        <v>0</v>
      </c>
      <c r="DH36" s="609">
        <f>IF(DH$7&gt;$N36,0,DG36*(1-'Interest Rate'!$B$17))</f>
        <v>0</v>
      </c>
      <c r="DI36" s="609">
        <f>IF(DI$7&gt;$N36,0,DH36*(1-'Interest Rate'!$B$17))</f>
        <v>0</v>
      </c>
      <c r="DJ36" s="609">
        <f>IF(DJ$7&gt;$N36,0,DI36*(1-'Interest Rate'!$B$17))</f>
        <v>0</v>
      </c>
      <c r="DK36" s="609">
        <f>IF(DK$7&gt;$N36,0,DJ36*(1-'Interest Rate'!$B$17))</f>
        <v>0</v>
      </c>
      <c r="DL36" s="609">
        <f>IF(DL$7&gt;$N36,0,DK36*(1-'Interest Rate'!$B$17))</f>
        <v>0</v>
      </c>
      <c r="DM36" s="609">
        <f>IF(DM$7&gt;$N36,0,DL36*(1-'Interest Rate'!$B$17))</f>
        <v>0</v>
      </c>
    </row>
    <row r="37" spans="1:117" ht="27.75" customHeight="1" x14ac:dyDescent="0.3">
      <c r="A37" s="600" t="str">
        <f>'EEM Data Entry'!A114</f>
        <v/>
      </c>
      <c r="B37" s="613" t="str">
        <f>'EEM Data Entry'!B114</f>
        <v/>
      </c>
      <c r="C37" s="602" t="str">
        <f>'EEM Data Entry'!F114</f>
        <v/>
      </c>
      <c r="D37" s="602">
        <v>0</v>
      </c>
      <c r="E37" s="602" t="e">
        <f t="shared" si="9"/>
        <v>#VALUE!</v>
      </c>
      <c r="F37" s="602">
        <f>('Savings Summary'!D38*'Savings Summary'!D$5)+('Savings Summary'!F38*'Savings Summary'!F$5)+('Savings Summary'!H38*'Savings Summary'!H$5)+('Savings Summary'!J38*'Savings Summary'!J$5)+('Savings Summary'!L38*'Savings Summary'!L$5)+('Savings Summary'!N38*'Savings Summary'!N$5)+('Savings Summary'!P38*'Savings Summary'!P$5)+('Savings Summary'!R38*'Savings Summary'!R$5)</f>
        <v>0</v>
      </c>
      <c r="G37" s="603">
        <f>'Savings Summary'!T38</f>
        <v>0</v>
      </c>
      <c r="H37" s="604" t="e">
        <f t="shared" si="13"/>
        <v>#VALUE!</v>
      </c>
      <c r="I37" s="600" t="e">
        <f t="shared" si="11"/>
        <v>#VALUE!</v>
      </c>
      <c r="J37" s="605" t="e">
        <f t="shared" si="10"/>
        <v>#NUM!</v>
      </c>
      <c r="K37" s="606" t="e">
        <f>PV('Interest Rate'!$B$17,Table7[[#This Row],[LIFETIME]],-Table7[[#This Row],[ANNUAL ENERGY COST SAVINGS]],Table7[[#This Row],[END-OF-LIFE]],0)-Table7[[#This Row],[CAPITAL INVESTMENT]]</f>
        <v>#VALUE!</v>
      </c>
      <c r="L37" s="600" t="str">
        <f>'EEM Data Entry'!C114</f>
        <v/>
      </c>
      <c r="M37" s="614" t="e">
        <f>Table6[[#This Row],[ANNUAL ENERGY COST SAVINGS]]/Table6[[#This Row],[CAPITAL INVESTMENT]]</f>
        <v>#VALUE!</v>
      </c>
      <c r="N37" s="804" t="str">
        <f>Table7[[#This Row],[LIFETIME]]</f>
        <v/>
      </c>
      <c r="O37" s="614"/>
      <c r="P37" s="614"/>
      <c r="Q37" s="608" t="str">
        <f t="shared" si="4"/>
        <v/>
      </c>
      <c r="R37" s="609">
        <f t="shared" si="12"/>
        <v>0</v>
      </c>
      <c r="S37" s="609">
        <f>IF(S$7&gt;$N37,0,R37*(1-'Interest Rate'!$B$17))</f>
        <v>0</v>
      </c>
      <c r="T37" s="609">
        <f>IF(T$7&gt;$N37,0,S37*(1-'Interest Rate'!$B$17))</f>
        <v>0</v>
      </c>
      <c r="U37" s="609">
        <f>IF(U$7&gt;$N37,0,T37*(1-'Interest Rate'!$B$17))</f>
        <v>0</v>
      </c>
      <c r="V37" s="609">
        <f>IF(V$7&gt;$N37,0,U37*(1-'Interest Rate'!$B$17))</f>
        <v>0</v>
      </c>
      <c r="W37" s="609">
        <f>IF(W$7&gt;$N37,0,V37*(1-'Interest Rate'!$B$17))</f>
        <v>0</v>
      </c>
      <c r="X37" s="609">
        <f>IF(X$7&gt;$N37,0,W37*(1-'Interest Rate'!$B$17))</f>
        <v>0</v>
      </c>
      <c r="Y37" s="609">
        <f>IF(Y$7&gt;$N37,0,X37*(1-'Interest Rate'!$B$17))</f>
        <v>0</v>
      </c>
      <c r="Z37" s="609">
        <f>IF(Z$7&gt;$N37,0,Y37*(1-'Interest Rate'!$B$17))</f>
        <v>0</v>
      </c>
      <c r="AA37" s="609">
        <f>IF(AA$7&gt;$N37,0,Z37*(1-'Interest Rate'!$B$17))</f>
        <v>0</v>
      </c>
      <c r="AB37" s="609">
        <f>IF(AB$7&gt;$N37,0,AA37*(1-'Interest Rate'!$B$17))</f>
        <v>0</v>
      </c>
      <c r="AC37" s="609">
        <f>IF(AC$7&gt;$N37,0,AB37*(1-'Interest Rate'!$B$17))</f>
        <v>0</v>
      </c>
      <c r="AD37" s="609">
        <f>IF(AD$7&gt;$N37,0,AC37*(1-'Interest Rate'!$B$17))</f>
        <v>0</v>
      </c>
      <c r="AE37" s="609">
        <f>IF(AE$7&gt;$N37,0,AD37*(1-'Interest Rate'!$B$17))</f>
        <v>0</v>
      </c>
      <c r="AF37" s="609">
        <f>IF(AF$7&gt;$N37,0,AE37*(1-'Interest Rate'!$B$17))</f>
        <v>0</v>
      </c>
      <c r="AG37" s="609">
        <f>IF(AG$7&gt;$N37,0,AF37*(1-'Interest Rate'!$B$17))</f>
        <v>0</v>
      </c>
      <c r="AH37" s="609">
        <f>IF(AH$7&gt;$N37,0,AG37*(1-'Interest Rate'!$B$17))</f>
        <v>0</v>
      </c>
      <c r="AI37" s="609">
        <f>IF(AI$7&gt;$N37,0,AH37*(1-'Interest Rate'!$B$17))</f>
        <v>0</v>
      </c>
      <c r="AJ37" s="609">
        <f>IF(AJ$7&gt;$N37,0,AI37*(1-'Interest Rate'!$B$17))</f>
        <v>0</v>
      </c>
      <c r="AK37" s="609">
        <f>IF(AK$7&gt;$N37,0,AJ37*(1-'Interest Rate'!$B$17))</f>
        <v>0</v>
      </c>
      <c r="AL37" s="609">
        <f>IF(AL$7&gt;$N37,0,AK37*(1-'Interest Rate'!$B$17))</f>
        <v>0</v>
      </c>
      <c r="AM37" s="609">
        <f>IF(AM$7&gt;$N37,0,AL37*(1-'Interest Rate'!$B$17))</f>
        <v>0</v>
      </c>
      <c r="AN37" s="609">
        <f>IF(AN$7&gt;$N37,0,AM37*(1-'Interest Rate'!$B$17))</f>
        <v>0</v>
      </c>
      <c r="AO37" s="609">
        <f>IF(AO$7&gt;$N37,0,AN37*(1-'Interest Rate'!$B$17))</f>
        <v>0</v>
      </c>
      <c r="AP37" s="609">
        <f>IF(AP$7&gt;$N37,0,AO37*(1-'Interest Rate'!$B$17))</f>
        <v>0</v>
      </c>
      <c r="AQ37" s="609">
        <f>IF(AQ$7&gt;$N37,0,AP37*(1-'Interest Rate'!$B$17))</f>
        <v>0</v>
      </c>
      <c r="AR37" s="609">
        <f>IF(AR$7&gt;$N37,0,AQ37*(1-'Interest Rate'!$B$17))</f>
        <v>0</v>
      </c>
      <c r="AS37" s="609">
        <f>IF(AS$7&gt;$N37,0,AR37*(1-'Interest Rate'!$B$17))</f>
        <v>0</v>
      </c>
      <c r="AT37" s="609">
        <f>IF(AT$7&gt;$N37,0,AS37*(1-'Interest Rate'!$B$17))</f>
        <v>0</v>
      </c>
      <c r="AU37" s="609">
        <f>IF(AU$7&gt;$N37,0,AT37*(1-'Interest Rate'!$B$17))</f>
        <v>0</v>
      </c>
      <c r="AV37" s="609">
        <f>IF(AV$7&gt;$N37,0,AU37*(1-'Interest Rate'!$B$17))</f>
        <v>0</v>
      </c>
      <c r="AW37" s="609">
        <f>IF(AW$7&gt;$N37,0,AV37*(1-'Interest Rate'!$B$17))</f>
        <v>0</v>
      </c>
      <c r="AX37" s="609">
        <f>IF(AX$7&gt;$N37,0,AW37*(1-'Interest Rate'!$B$17))</f>
        <v>0</v>
      </c>
      <c r="AY37" s="609">
        <f>IF(AY$7&gt;$N37,0,AX37*(1-'Interest Rate'!$B$17))</f>
        <v>0</v>
      </c>
      <c r="AZ37" s="609">
        <f>IF(AZ$7&gt;$N37,0,AY37*(1-'Interest Rate'!$B$17))</f>
        <v>0</v>
      </c>
      <c r="BA37" s="609">
        <f>IF(BA$7&gt;$N37,0,AZ37*(1-'Interest Rate'!$B$17))</f>
        <v>0</v>
      </c>
      <c r="BB37" s="609">
        <f>IF(BB$7&gt;$N37,0,BA37*(1-'Interest Rate'!$B$17))</f>
        <v>0</v>
      </c>
      <c r="BC37" s="609">
        <f>IF(BC$7&gt;$N37,0,BB37*(1-'Interest Rate'!$B$17))</f>
        <v>0</v>
      </c>
      <c r="BD37" s="609">
        <f>IF(BD$7&gt;$N37,0,BC37*(1-'Interest Rate'!$B$17))</f>
        <v>0</v>
      </c>
      <c r="BE37" s="609">
        <f>IF(BE$7&gt;$N37,0,BD37*(1-'Interest Rate'!$B$17))</f>
        <v>0</v>
      </c>
      <c r="BF37" s="609">
        <f>IF(BF$7&gt;$N37,0,BE37*(1-'Interest Rate'!$B$17))</f>
        <v>0</v>
      </c>
      <c r="BG37" s="609">
        <f>IF(BG$7&gt;$N37,0,BF37*(1-'Interest Rate'!$B$17))</f>
        <v>0</v>
      </c>
      <c r="BH37" s="609">
        <f>IF(BH$7&gt;$N37,0,BG37*(1-'Interest Rate'!$B$17))</f>
        <v>0</v>
      </c>
      <c r="BI37" s="609">
        <f>IF(BI$7&gt;$N37,0,BH37*(1-'Interest Rate'!$B$17))</f>
        <v>0</v>
      </c>
      <c r="BJ37" s="609">
        <f>IF(BJ$7&gt;$N37,0,BI37*(1-'Interest Rate'!$B$17))</f>
        <v>0</v>
      </c>
      <c r="BK37" s="609">
        <f>IF(BK$7&gt;$N37,0,BJ37*(1-'Interest Rate'!$B$17))</f>
        <v>0</v>
      </c>
      <c r="BL37" s="609">
        <f>IF(BL$7&gt;$N37,0,BK37*(1-'Interest Rate'!$B$17))</f>
        <v>0</v>
      </c>
      <c r="BM37" s="609">
        <f>IF(BM$7&gt;$N37,0,BL37*(1-'Interest Rate'!$B$17))</f>
        <v>0</v>
      </c>
      <c r="BN37" s="609">
        <f>IF(BN$7&gt;$N37,0,BM37*(1-'Interest Rate'!$B$17))</f>
        <v>0</v>
      </c>
      <c r="BO37" s="609">
        <f>IF(BO$7&gt;$N37,0,BN37*(1-'Interest Rate'!$B$17))</f>
        <v>0</v>
      </c>
      <c r="BP37" s="609">
        <f>IF(BP$7&gt;$N37,0,BO37*(1-'Interest Rate'!$B$17))</f>
        <v>0</v>
      </c>
      <c r="BQ37" s="609">
        <f>IF(BQ$7&gt;$N37,0,BP37*(1-'Interest Rate'!$B$17))</f>
        <v>0</v>
      </c>
      <c r="BR37" s="609">
        <f>IF(BR$7&gt;$N37,0,BQ37*(1-'Interest Rate'!$B$17))</f>
        <v>0</v>
      </c>
      <c r="BS37" s="609">
        <f>IF(BS$7&gt;$N37,0,BR37*(1-'Interest Rate'!$B$17))</f>
        <v>0</v>
      </c>
      <c r="BT37" s="609">
        <f>IF(BT$7&gt;$N37,0,BS37*(1-'Interest Rate'!$B$17))</f>
        <v>0</v>
      </c>
      <c r="BU37" s="609">
        <f>IF(BU$7&gt;$N37,0,BT37*(1-'Interest Rate'!$B$17))</f>
        <v>0</v>
      </c>
      <c r="BV37" s="609">
        <f>IF(BV$7&gt;$N37,0,BU37*(1-'Interest Rate'!$B$17))</f>
        <v>0</v>
      </c>
      <c r="BW37" s="609">
        <f>IF(BW$7&gt;$N37,0,BV37*(1-'Interest Rate'!$B$17))</f>
        <v>0</v>
      </c>
      <c r="BX37" s="609">
        <f>IF(BX$7&gt;$N37,0,BW37*(1-'Interest Rate'!$B$17))</f>
        <v>0</v>
      </c>
      <c r="BY37" s="609">
        <f>IF(BY$7&gt;$N37,0,BX37*(1-'Interest Rate'!$B$17))</f>
        <v>0</v>
      </c>
      <c r="BZ37" s="609">
        <f>IF(BZ$7&gt;$N37,0,BY37*(1-'Interest Rate'!$B$17))</f>
        <v>0</v>
      </c>
      <c r="CA37" s="609">
        <f>IF(CA$7&gt;$N37,0,BZ37*(1-'Interest Rate'!$B$17))</f>
        <v>0</v>
      </c>
      <c r="CB37" s="609">
        <f>IF(CB$7&gt;$N37,0,CA37*(1-'Interest Rate'!$B$17))</f>
        <v>0</v>
      </c>
      <c r="CC37" s="609">
        <f>IF(CC$7&gt;$N37,0,CB37*(1-'Interest Rate'!$B$17))</f>
        <v>0</v>
      </c>
      <c r="CD37" s="609">
        <f>IF(CD$7&gt;$N37,0,CC37*(1-'Interest Rate'!$B$17))</f>
        <v>0</v>
      </c>
      <c r="CE37" s="609">
        <f>IF(CE$7&gt;$N37,0,CD37*(1-'Interest Rate'!$B$17))</f>
        <v>0</v>
      </c>
      <c r="CF37" s="609">
        <f>IF(CF$7&gt;$N37,0,CE37*(1-'Interest Rate'!$B$17))</f>
        <v>0</v>
      </c>
      <c r="CG37" s="609">
        <f>IF(CG$7&gt;$N37,0,CF37*(1-'Interest Rate'!$B$17))</f>
        <v>0</v>
      </c>
      <c r="CH37" s="609">
        <f>IF(CH$7&gt;$N37,0,CG37*(1-'Interest Rate'!$B$17))</f>
        <v>0</v>
      </c>
      <c r="CI37" s="609">
        <f>IF(CI$7&gt;$N37,0,CH37*(1-'Interest Rate'!$B$17))</f>
        <v>0</v>
      </c>
      <c r="CJ37" s="609">
        <f>IF(CJ$7&gt;$N37,0,CI37*(1-'Interest Rate'!$B$17))</f>
        <v>0</v>
      </c>
      <c r="CK37" s="609">
        <f>IF(CK$7&gt;$N37,0,CJ37*(1-'Interest Rate'!$B$17))</f>
        <v>0</v>
      </c>
      <c r="CL37" s="609">
        <f>IF(CL$7&gt;$N37,0,CK37*(1-'Interest Rate'!$B$17))</f>
        <v>0</v>
      </c>
      <c r="CM37" s="609">
        <f>IF(CM$7&gt;$N37,0,CL37*(1-'Interest Rate'!$B$17))</f>
        <v>0</v>
      </c>
      <c r="CN37" s="609">
        <f>IF(CN$7&gt;$N37,0,CM37*(1-'Interest Rate'!$B$17))</f>
        <v>0</v>
      </c>
      <c r="CO37" s="609">
        <f>IF(CO$7&gt;$N37,0,CN37*(1-'Interest Rate'!$B$17))</f>
        <v>0</v>
      </c>
      <c r="CP37" s="609">
        <f>IF(CP$7&gt;$N37,0,CO37*(1-'Interest Rate'!$B$17))</f>
        <v>0</v>
      </c>
      <c r="CQ37" s="609">
        <f>IF(CQ$7&gt;$N37,0,CP37*(1-'Interest Rate'!$B$17))</f>
        <v>0</v>
      </c>
      <c r="CR37" s="609">
        <f>IF(CR$7&gt;$N37,0,CQ37*(1-'Interest Rate'!$B$17))</f>
        <v>0</v>
      </c>
      <c r="CS37" s="609">
        <f>IF(CS$7&gt;$N37,0,CR37*(1-'Interest Rate'!$B$17))</f>
        <v>0</v>
      </c>
      <c r="CT37" s="609">
        <f>IF(CT$7&gt;$N37,0,CS37*(1-'Interest Rate'!$B$17))</f>
        <v>0</v>
      </c>
      <c r="CU37" s="609">
        <f>IF(CU$7&gt;$N37,0,CT37*(1-'Interest Rate'!$B$17))</f>
        <v>0</v>
      </c>
      <c r="CV37" s="609">
        <f>IF(CV$7&gt;$N37,0,CU37*(1-'Interest Rate'!$B$17))</f>
        <v>0</v>
      </c>
      <c r="CW37" s="609">
        <f>IF(CW$7&gt;$N37,0,CV37*(1-'Interest Rate'!$B$17))</f>
        <v>0</v>
      </c>
      <c r="CX37" s="609">
        <f>IF(CX$7&gt;$N37,0,CW37*(1-'Interest Rate'!$B$17))</f>
        <v>0</v>
      </c>
      <c r="CY37" s="609">
        <f>IF(CY$7&gt;$N37,0,CX37*(1-'Interest Rate'!$B$17))</f>
        <v>0</v>
      </c>
      <c r="CZ37" s="609">
        <f>IF(CZ$7&gt;$N37,0,CY37*(1-'Interest Rate'!$B$17))</f>
        <v>0</v>
      </c>
      <c r="DA37" s="609">
        <f>IF(DA$7&gt;$N37,0,CZ37*(1-'Interest Rate'!$B$17))</f>
        <v>0</v>
      </c>
      <c r="DB37" s="609">
        <f>IF(DB$7&gt;$N37,0,DA37*(1-'Interest Rate'!$B$17))</f>
        <v>0</v>
      </c>
      <c r="DC37" s="609">
        <f>IF(DC$7&gt;$N37,0,DB37*(1-'Interest Rate'!$B$17))</f>
        <v>0</v>
      </c>
      <c r="DD37" s="609">
        <f>IF(DD$7&gt;$N37,0,DC37*(1-'Interest Rate'!$B$17))</f>
        <v>0</v>
      </c>
      <c r="DE37" s="609">
        <f>IF(DE$7&gt;$N37,0,DD37*(1-'Interest Rate'!$B$17))</f>
        <v>0</v>
      </c>
      <c r="DF37" s="609">
        <f>IF(DF$7&gt;$N37,0,DE37*(1-'Interest Rate'!$B$17))</f>
        <v>0</v>
      </c>
      <c r="DG37" s="609">
        <f>IF(DG$7&gt;$N37,0,DF37*(1-'Interest Rate'!$B$17))</f>
        <v>0</v>
      </c>
      <c r="DH37" s="609">
        <f>IF(DH$7&gt;$N37,0,DG37*(1-'Interest Rate'!$B$17))</f>
        <v>0</v>
      </c>
      <c r="DI37" s="609">
        <f>IF(DI$7&gt;$N37,0,DH37*(1-'Interest Rate'!$B$17))</f>
        <v>0</v>
      </c>
      <c r="DJ37" s="609">
        <f>IF(DJ$7&gt;$N37,0,DI37*(1-'Interest Rate'!$B$17))</f>
        <v>0</v>
      </c>
      <c r="DK37" s="609">
        <f>IF(DK$7&gt;$N37,0,DJ37*(1-'Interest Rate'!$B$17))</f>
        <v>0</v>
      </c>
      <c r="DL37" s="609">
        <f>IF(DL$7&gt;$N37,0,DK37*(1-'Interest Rate'!$B$17))</f>
        <v>0</v>
      </c>
      <c r="DM37" s="609">
        <f>IF(DM$7&gt;$N37,0,DL37*(1-'Interest Rate'!$B$17))</f>
        <v>0</v>
      </c>
    </row>
    <row r="38" spans="1:117" ht="27.75" customHeight="1" x14ac:dyDescent="0.3">
      <c r="A38" s="600" t="str">
        <f>'EEM Data Entry'!A115</f>
        <v/>
      </c>
      <c r="B38" s="613" t="str">
        <f>'EEM Data Entry'!B115</f>
        <v/>
      </c>
      <c r="C38" s="602" t="str">
        <f>'EEM Data Entry'!F115</f>
        <v/>
      </c>
      <c r="D38" s="602">
        <v>0</v>
      </c>
      <c r="E38" s="602" t="e">
        <f t="shared" si="9"/>
        <v>#VALUE!</v>
      </c>
      <c r="F38" s="602">
        <f>('Savings Summary'!D39*'Savings Summary'!D$5)+('Savings Summary'!F39*'Savings Summary'!F$5)+('Savings Summary'!H39*'Savings Summary'!H$5)+('Savings Summary'!J39*'Savings Summary'!J$5)+('Savings Summary'!L39*'Savings Summary'!L$5)+('Savings Summary'!N39*'Savings Summary'!N$5)+('Savings Summary'!P39*'Savings Summary'!P$5)+('Savings Summary'!R39*'Savings Summary'!R$5)</f>
        <v>0</v>
      </c>
      <c r="G38" s="603">
        <f>'Savings Summary'!T39</f>
        <v>0</v>
      </c>
      <c r="H38" s="604" t="e">
        <f t="shared" si="13"/>
        <v>#VALUE!</v>
      </c>
      <c r="I38" s="600" t="e">
        <f t="shared" si="11"/>
        <v>#VALUE!</v>
      </c>
      <c r="J38" s="605" t="e">
        <f t="shared" si="10"/>
        <v>#NUM!</v>
      </c>
      <c r="K38" s="606" t="e">
        <f>PV('Interest Rate'!$B$17,Table7[[#This Row],[LIFETIME]],-Table7[[#This Row],[ANNUAL ENERGY COST SAVINGS]],Table7[[#This Row],[END-OF-LIFE]],0)-Table7[[#This Row],[CAPITAL INVESTMENT]]</f>
        <v>#VALUE!</v>
      </c>
      <c r="L38" s="600" t="str">
        <f>'EEM Data Entry'!C115</f>
        <v/>
      </c>
      <c r="M38" s="614" t="e">
        <f>Table6[[#This Row],[ANNUAL ENERGY COST SAVINGS]]/Table6[[#This Row],[CAPITAL INVESTMENT]]</f>
        <v>#VALUE!</v>
      </c>
      <c r="N38" s="804" t="str">
        <f>Table7[[#This Row],[LIFETIME]]</f>
        <v/>
      </c>
      <c r="O38" s="614"/>
      <c r="P38" s="614"/>
      <c r="Q38" s="608" t="str">
        <f t="shared" si="4"/>
        <v/>
      </c>
      <c r="R38" s="609">
        <f t="shared" si="12"/>
        <v>0</v>
      </c>
      <c r="S38" s="609">
        <f>IF(S$7&gt;$N38,0,R38*(1-'Interest Rate'!$B$17))</f>
        <v>0</v>
      </c>
      <c r="T38" s="609">
        <f>IF(T$7&gt;$N38,0,S38*(1-'Interest Rate'!$B$17))</f>
        <v>0</v>
      </c>
      <c r="U38" s="609">
        <f>IF(U$7&gt;$N38,0,T38*(1-'Interest Rate'!$B$17))</f>
        <v>0</v>
      </c>
      <c r="V38" s="609">
        <f>IF(V$7&gt;$N38,0,U38*(1-'Interest Rate'!$B$17))</f>
        <v>0</v>
      </c>
      <c r="W38" s="609">
        <f>IF(W$7&gt;$N38,0,V38*(1-'Interest Rate'!$B$17))</f>
        <v>0</v>
      </c>
      <c r="X38" s="609">
        <f>IF(X$7&gt;$N38,0,W38*(1-'Interest Rate'!$B$17))</f>
        <v>0</v>
      </c>
      <c r="Y38" s="609">
        <f>IF(Y$7&gt;$N38,0,X38*(1-'Interest Rate'!$B$17))</f>
        <v>0</v>
      </c>
      <c r="Z38" s="609">
        <f>IF(Z$7&gt;$N38,0,Y38*(1-'Interest Rate'!$B$17))</f>
        <v>0</v>
      </c>
      <c r="AA38" s="609">
        <f>IF(AA$7&gt;$N38,0,Z38*(1-'Interest Rate'!$B$17))</f>
        <v>0</v>
      </c>
      <c r="AB38" s="609">
        <f>IF(AB$7&gt;$N38,0,AA38*(1-'Interest Rate'!$B$17))</f>
        <v>0</v>
      </c>
      <c r="AC38" s="609">
        <f>IF(AC$7&gt;$N38,0,AB38*(1-'Interest Rate'!$B$17))</f>
        <v>0</v>
      </c>
      <c r="AD38" s="609">
        <f>IF(AD$7&gt;$N38,0,AC38*(1-'Interest Rate'!$B$17))</f>
        <v>0</v>
      </c>
      <c r="AE38" s="609">
        <f>IF(AE$7&gt;$N38,0,AD38*(1-'Interest Rate'!$B$17))</f>
        <v>0</v>
      </c>
      <c r="AF38" s="609">
        <f>IF(AF$7&gt;$N38,0,AE38*(1-'Interest Rate'!$B$17))</f>
        <v>0</v>
      </c>
      <c r="AG38" s="609">
        <f>IF(AG$7&gt;$N38,0,AF38*(1-'Interest Rate'!$B$17))</f>
        <v>0</v>
      </c>
      <c r="AH38" s="609">
        <f>IF(AH$7&gt;$N38,0,AG38*(1-'Interest Rate'!$B$17))</f>
        <v>0</v>
      </c>
      <c r="AI38" s="609">
        <f>IF(AI$7&gt;$N38,0,AH38*(1-'Interest Rate'!$B$17))</f>
        <v>0</v>
      </c>
      <c r="AJ38" s="609">
        <f>IF(AJ$7&gt;$N38,0,AI38*(1-'Interest Rate'!$B$17))</f>
        <v>0</v>
      </c>
      <c r="AK38" s="609">
        <f>IF(AK$7&gt;$N38,0,AJ38*(1-'Interest Rate'!$B$17))</f>
        <v>0</v>
      </c>
      <c r="AL38" s="609">
        <f>IF(AL$7&gt;$N38,0,AK38*(1-'Interest Rate'!$B$17))</f>
        <v>0</v>
      </c>
      <c r="AM38" s="609">
        <f>IF(AM$7&gt;$N38,0,AL38*(1-'Interest Rate'!$B$17))</f>
        <v>0</v>
      </c>
      <c r="AN38" s="609">
        <f>IF(AN$7&gt;$N38,0,AM38*(1-'Interest Rate'!$B$17))</f>
        <v>0</v>
      </c>
      <c r="AO38" s="609">
        <f>IF(AO$7&gt;$N38,0,AN38*(1-'Interest Rate'!$B$17))</f>
        <v>0</v>
      </c>
      <c r="AP38" s="609">
        <f>IF(AP$7&gt;$N38,0,AO38*(1-'Interest Rate'!$B$17))</f>
        <v>0</v>
      </c>
      <c r="AQ38" s="609">
        <f>IF(AQ$7&gt;$N38,0,AP38*(1-'Interest Rate'!$B$17))</f>
        <v>0</v>
      </c>
      <c r="AR38" s="609">
        <f>IF(AR$7&gt;$N38,0,AQ38*(1-'Interest Rate'!$B$17))</f>
        <v>0</v>
      </c>
      <c r="AS38" s="609">
        <f>IF(AS$7&gt;$N38,0,AR38*(1-'Interest Rate'!$B$17))</f>
        <v>0</v>
      </c>
      <c r="AT38" s="609">
        <f>IF(AT$7&gt;$N38,0,AS38*(1-'Interest Rate'!$B$17))</f>
        <v>0</v>
      </c>
      <c r="AU38" s="609">
        <f>IF(AU$7&gt;$N38,0,AT38*(1-'Interest Rate'!$B$17))</f>
        <v>0</v>
      </c>
      <c r="AV38" s="609">
        <f>IF(AV$7&gt;$N38,0,AU38*(1-'Interest Rate'!$B$17))</f>
        <v>0</v>
      </c>
      <c r="AW38" s="609">
        <f>IF(AW$7&gt;$N38,0,AV38*(1-'Interest Rate'!$B$17))</f>
        <v>0</v>
      </c>
      <c r="AX38" s="609">
        <f>IF(AX$7&gt;$N38,0,AW38*(1-'Interest Rate'!$B$17))</f>
        <v>0</v>
      </c>
      <c r="AY38" s="609">
        <f>IF(AY$7&gt;$N38,0,AX38*(1-'Interest Rate'!$B$17))</f>
        <v>0</v>
      </c>
      <c r="AZ38" s="609">
        <f>IF(AZ$7&gt;$N38,0,AY38*(1-'Interest Rate'!$B$17))</f>
        <v>0</v>
      </c>
      <c r="BA38" s="609">
        <f>IF(BA$7&gt;$N38,0,AZ38*(1-'Interest Rate'!$B$17))</f>
        <v>0</v>
      </c>
      <c r="BB38" s="609">
        <f>IF(BB$7&gt;$N38,0,BA38*(1-'Interest Rate'!$B$17))</f>
        <v>0</v>
      </c>
      <c r="BC38" s="609">
        <f>IF(BC$7&gt;$N38,0,BB38*(1-'Interest Rate'!$B$17))</f>
        <v>0</v>
      </c>
      <c r="BD38" s="609">
        <f>IF(BD$7&gt;$N38,0,BC38*(1-'Interest Rate'!$B$17))</f>
        <v>0</v>
      </c>
      <c r="BE38" s="609">
        <f>IF(BE$7&gt;$N38,0,BD38*(1-'Interest Rate'!$B$17))</f>
        <v>0</v>
      </c>
      <c r="BF38" s="609">
        <f>IF(BF$7&gt;$N38,0,BE38*(1-'Interest Rate'!$B$17))</f>
        <v>0</v>
      </c>
      <c r="BG38" s="609">
        <f>IF(BG$7&gt;$N38,0,BF38*(1-'Interest Rate'!$B$17))</f>
        <v>0</v>
      </c>
      <c r="BH38" s="609">
        <f>IF(BH$7&gt;$N38,0,BG38*(1-'Interest Rate'!$B$17))</f>
        <v>0</v>
      </c>
      <c r="BI38" s="609">
        <f>IF(BI$7&gt;$N38,0,BH38*(1-'Interest Rate'!$B$17))</f>
        <v>0</v>
      </c>
      <c r="BJ38" s="609">
        <f>IF(BJ$7&gt;$N38,0,BI38*(1-'Interest Rate'!$B$17))</f>
        <v>0</v>
      </c>
      <c r="BK38" s="609">
        <f>IF(BK$7&gt;$N38,0,BJ38*(1-'Interest Rate'!$B$17))</f>
        <v>0</v>
      </c>
      <c r="BL38" s="609">
        <f>IF(BL$7&gt;$N38,0,BK38*(1-'Interest Rate'!$B$17))</f>
        <v>0</v>
      </c>
      <c r="BM38" s="609">
        <f>IF(BM$7&gt;$N38,0,BL38*(1-'Interest Rate'!$B$17))</f>
        <v>0</v>
      </c>
      <c r="BN38" s="609">
        <f>IF(BN$7&gt;$N38,0,BM38*(1-'Interest Rate'!$B$17))</f>
        <v>0</v>
      </c>
      <c r="BO38" s="609">
        <f>IF(BO$7&gt;$N38,0,BN38*(1-'Interest Rate'!$B$17))</f>
        <v>0</v>
      </c>
      <c r="BP38" s="609">
        <f>IF(BP$7&gt;$N38,0,BO38*(1-'Interest Rate'!$B$17))</f>
        <v>0</v>
      </c>
      <c r="BQ38" s="609">
        <f>IF(BQ$7&gt;$N38,0,BP38*(1-'Interest Rate'!$B$17))</f>
        <v>0</v>
      </c>
      <c r="BR38" s="609">
        <f>IF(BR$7&gt;$N38,0,BQ38*(1-'Interest Rate'!$B$17))</f>
        <v>0</v>
      </c>
      <c r="BS38" s="609">
        <f>IF(BS$7&gt;$N38,0,BR38*(1-'Interest Rate'!$B$17))</f>
        <v>0</v>
      </c>
      <c r="BT38" s="609">
        <f>IF(BT$7&gt;$N38,0,BS38*(1-'Interest Rate'!$B$17))</f>
        <v>0</v>
      </c>
      <c r="BU38" s="609">
        <f>IF(BU$7&gt;$N38,0,BT38*(1-'Interest Rate'!$B$17))</f>
        <v>0</v>
      </c>
      <c r="BV38" s="609">
        <f>IF(BV$7&gt;$N38,0,BU38*(1-'Interest Rate'!$B$17))</f>
        <v>0</v>
      </c>
      <c r="BW38" s="609">
        <f>IF(BW$7&gt;$N38,0,BV38*(1-'Interest Rate'!$B$17))</f>
        <v>0</v>
      </c>
      <c r="BX38" s="609">
        <f>IF(BX$7&gt;$N38,0,BW38*(1-'Interest Rate'!$B$17))</f>
        <v>0</v>
      </c>
      <c r="BY38" s="609">
        <f>IF(BY$7&gt;$N38,0,BX38*(1-'Interest Rate'!$B$17))</f>
        <v>0</v>
      </c>
      <c r="BZ38" s="609">
        <f>IF(BZ$7&gt;$N38,0,BY38*(1-'Interest Rate'!$B$17))</f>
        <v>0</v>
      </c>
      <c r="CA38" s="609">
        <f>IF(CA$7&gt;$N38,0,BZ38*(1-'Interest Rate'!$B$17))</f>
        <v>0</v>
      </c>
      <c r="CB38" s="609">
        <f>IF(CB$7&gt;$N38,0,CA38*(1-'Interest Rate'!$B$17))</f>
        <v>0</v>
      </c>
      <c r="CC38" s="609">
        <f>IF(CC$7&gt;$N38,0,CB38*(1-'Interest Rate'!$B$17))</f>
        <v>0</v>
      </c>
      <c r="CD38" s="609">
        <f>IF(CD$7&gt;$N38,0,CC38*(1-'Interest Rate'!$B$17))</f>
        <v>0</v>
      </c>
      <c r="CE38" s="609">
        <f>IF(CE$7&gt;$N38,0,CD38*(1-'Interest Rate'!$B$17))</f>
        <v>0</v>
      </c>
      <c r="CF38" s="609">
        <f>IF(CF$7&gt;$N38,0,CE38*(1-'Interest Rate'!$B$17))</f>
        <v>0</v>
      </c>
      <c r="CG38" s="609">
        <f>IF(CG$7&gt;$N38,0,CF38*(1-'Interest Rate'!$B$17))</f>
        <v>0</v>
      </c>
      <c r="CH38" s="609">
        <f>IF(CH$7&gt;$N38,0,CG38*(1-'Interest Rate'!$B$17))</f>
        <v>0</v>
      </c>
      <c r="CI38" s="609">
        <f>IF(CI$7&gt;$N38,0,CH38*(1-'Interest Rate'!$B$17))</f>
        <v>0</v>
      </c>
      <c r="CJ38" s="609">
        <f>IF(CJ$7&gt;$N38,0,CI38*(1-'Interest Rate'!$B$17))</f>
        <v>0</v>
      </c>
      <c r="CK38" s="609">
        <f>IF(CK$7&gt;$N38,0,CJ38*(1-'Interest Rate'!$B$17))</f>
        <v>0</v>
      </c>
      <c r="CL38" s="609">
        <f>IF(CL$7&gt;$N38,0,CK38*(1-'Interest Rate'!$B$17))</f>
        <v>0</v>
      </c>
      <c r="CM38" s="609">
        <f>IF(CM$7&gt;$N38,0,CL38*(1-'Interest Rate'!$B$17))</f>
        <v>0</v>
      </c>
      <c r="CN38" s="609">
        <f>IF(CN$7&gt;$N38,0,CM38*(1-'Interest Rate'!$B$17))</f>
        <v>0</v>
      </c>
      <c r="CO38" s="609">
        <f>IF(CO$7&gt;$N38,0,CN38*(1-'Interest Rate'!$B$17))</f>
        <v>0</v>
      </c>
      <c r="CP38" s="609">
        <f>IF(CP$7&gt;$N38,0,CO38*(1-'Interest Rate'!$B$17))</f>
        <v>0</v>
      </c>
      <c r="CQ38" s="609">
        <f>IF(CQ$7&gt;$N38,0,CP38*(1-'Interest Rate'!$B$17))</f>
        <v>0</v>
      </c>
      <c r="CR38" s="609">
        <f>IF(CR$7&gt;$N38,0,CQ38*(1-'Interest Rate'!$B$17))</f>
        <v>0</v>
      </c>
      <c r="CS38" s="609">
        <f>IF(CS$7&gt;$N38,0,CR38*(1-'Interest Rate'!$B$17))</f>
        <v>0</v>
      </c>
      <c r="CT38" s="609">
        <f>IF(CT$7&gt;$N38,0,CS38*(1-'Interest Rate'!$B$17))</f>
        <v>0</v>
      </c>
      <c r="CU38" s="609">
        <f>IF(CU$7&gt;$N38,0,CT38*(1-'Interest Rate'!$B$17))</f>
        <v>0</v>
      </c>
      <c r="CV38" s="609">
        <f>IF(CV$7&gt;$N38,0,CU38*(1-'Interest Rate'!$B$17))</f>
        <v>0</v>
      </c>
      <c r="CW38" s="609">
        <f>IF(CW$7&gt;$N38,0,CV38*(1-'Interest Rate'!$B$17))</f>
        <v>0</v>
      </c>
      <c r="CX38" s="609">
        <f>IF(CX$7&gt;$N38,0,CW38*(1-'Interest Rate'!$B$17))</f>
        <v>0</v>
      </c>
      <c r="CY38" s="609">
        <f>IF(CY$7&gt;$N38,0,CX38*(1-'Interest Rate'!$B$17))</f>
        <v>0</v>
      </c>
      <c r="CZ38" s="609">
        <f>IF(CZ$7&gt;$N38,0,CY38*(1-'Interest Rate'!$B$17))</f>
        <v>0</v>
      </c>
      <c r="DA38" s="609">
        <f>IF(DA$7&gt;$N38,0,CZ38*(1-'Interest Rate'!$B$17))</f>
        <v>0</v>
      </c>
      <c r="DB38" s="609">
        <f>IF(DB$7&gt;$N38,0,DA38*(1-'Interest Rate'!$B$17))</f>
        <v>0</v>
      </c>
      <c r="DC38" s="609">
        <f>IF(DC$7&gt;$N38,0,DB38*(1-'Interest Rate'!$B$17))</f>
        <v>0</v>
      </c>
      <c r="DD38" s="609">
        <f>IF(DD$7&gt;$N38,0,DC38*(1-'Interest Rate'!$B$17))</f>
        <v>0</v>
      </c>
      <c r="DE38" s="609">
        <f>IF(DE$7&gt;$N38,0,DD38*(1-'Interest Rate'!$B$17))</f>
        <v>0</v>
      </c>
      <c r="DF38" s="609">
        <f>IF(DF$7&gt;$N38,0,DE38*(1-'Interest Rate'!$B$17))</f>
        <v>0</v>
      </c>
      <c r="DG38" s="609">
        <f>IF(DG$7&gt;$N38,0,DF38*(1-'Interest Rate'!$B$17))</f>
        <v>0</v>
      </c>
      <c r="DH38" s="609">
        <f>IF(DH$7&gt;$N38,0,DG38*(1-'Interest Rate'!$B$17))</f>
        <v>0</v>
      </c>
      <c r="DI38" s="609">
        <f>IF(DI$7&gt;$N38,0,DH38*(1-'Interest Rate'!$B$17))</f>
        <v>0</v>
      </c>
      <c r="DJ38" s="609">
        <f>IF(DJ$7&gt;$N38,0,DI38*(1-'Interest Rate'!$B$17))</f>
        <v>0</v>
      </c>
      <c r="DK38" s="609">
        <f>IF(DK$7&gt;$N38,0,DJ38*(1-'Interest Rate'!$B$17))</f>
        <v>0</v>
      </c>
      <c r="DL38" s="609">
        <f>IF(DL$7&gt;$N38,0,DK38*(1-'Interest Rate'!$B$17))</f>
        <v>0</v>
      </c>
      <c r="DM38" s="609">
        <f>IF(DM$7&gt;$N38,0,DL38*(1-'Interest Rate'!$B$17))</f>
        <v>0</v>
      </c>
    </row>
    <row r="39" spans="1:117" ht="27.75" customHeight="1" x14ac:dyDescent="0.3">
      <c r="A39" s="600" t="str">
        <f>'EEM Data Entry'!A116</f>
        <v/>
      </c>
      <c r="B39" s="613" t="str">
        <f>'EEM Data Entry'!B116</f>
        <v/>
      </c>
      <c r="C39" s="602" t="str">
        <f>'EEM Data Entry'!F116</f>
        <v/>
      </c>
      <c r="D39" s="602">
        <v>0</v>
      </c>
      <c r="E39" s="602" t="e">
        <f t="shared" si="9"/>
        <v>#VALUE!</v>
      </c>
      <c r="F39" s="602">
        <f>('Savings Summary'!D40*'Savings Summary'!D$5)+('Savings Summary'!F40*'Savings Summary'!F$5)+('Savings Summary'!H40*'Savings Summary'!H$5)+('Savings Summary'!J40*'Savings Summary'!J$5)+('Savings Summary'!L40*'Savings Summary'!L$5)+('Savings Summary'!N40*'Savings Summary'!N$5)+('Savings Summary'!P40*'Savings Summary'!P$5)+('Savings Summary'!R40*'Savings Summary'!R$5)</f>
        <v>0</v>
      </c>
      <c r="G39" s="603">
        <f>'Savings Summary'!T40</f>
        <v>0</v>
      </c>
      <c r="H39" s="604" t="e">
        <f t="shared" si="13"/>
        <v>#VALUE!</v>
      </c>
      <c r="I39" s="600" t="e">
        <f t="shared" si="11"/>
        <v>#VALUE!</v>
      </c>
      <c r="J39" s="605" t="e">
        <f t="shared" si="10"/>
        <v>#NUM!</v>
      </c>
      <c r="K39" s="606" t="e">
        <f>PV('Interest Rate'!$B$17,Table7[[#This Row],[LIFETIME]],-Table7[[#This Row],[ANNUAL ENERGY COST SAVINGS]],Table7[[#This Row],[END-OF-LIFE]],0)-Table7[[#This Row],[CAPITAL INVESTMENT]]</f>
        <v>#VALUE!</v>
      </c>
      <c r="L39" s="600" t="str">
        <f>'EEM Data Entry'!C116</f>
        <v/>
      </c>
      <c r="M39" s="614" t="e">
        <f>Table6[[#This Row],[ANNUAL ENERGY COST SAVINGS]]/Table6[[#This Row],[CAPITAL INVESTMENT]]</f>
        <v>#VALUE!</v>
      </c>
      <c r="N39" s="804" t="str">
        <f>Table7[[#This Row],[LIFETIME]]</f>
        <v/>
      </c>
      <c r="O39" s="614"/>
      <c r="P39" s="614"/>
      <c r="Q39" s="608" t="str">
        <f t="shared" si="4"/>
        <v/>
      </c>
      <c r="R39" s="609">
        <f t="shared" si="12"/>
        <v>0</v>
      </c>
      <c r="S39" s="609">
        <f>IF(S$7&gt;$N39,0,R39*(1-'Interest Rate'!$B$17))</f>
        <v>0</v>
      </c>
      <c r="T39" s="609">
        <f>IF(T$7&gt;$N39,0,S39*(1-'Interest Rate'!$B$17))</f>
        <v>0</v>
      </c>
      <c r="U39" s="609">
        <f>IF(U$7&gt;$N39,0,T39*(1-'Interest Rate'!$B$17))</f>
        <v>0</v>
      </c>
      <c r="V39" s="609">
        <f>IF(V$7&gt;$N39,0,U39*(1-'Interest Rate'!$B$17))</f>
        <v>0</v>
      </c>
      <c r="W39" s="609">
        <f>IF(W$7&gt;$N39,0,V39*(1-'Interest Rate'!$B$17))</f>
        <v>0</v>
      </c>
      <c r="X39" s="609">
        <f>IF(X$7&gt;$N39,0,W39*(1-'Interest Rate'!$B$17))</f>
        <v>0</v>
      </c>
      <c r="Y39" s="609">
        <f>IF(Y$7&gt;$N39,0,X39*(1-'Interest Rate'!$B$17))</f>
        <v>0</v>
      </c>
      <c r="Z39" s="609">
        <f>IF(Z$7&gt;$N39,0,Y39*(1-'Interest Rate'!$B$17))</f>
        <v>0</v>
      </c>
      <c r="AA39" s="609">
        <f>IF(AA$7&gt;$N39,0,Z39*(1-'Interest Rate'!$B$17))</f>
        <v>0</v>
      </c>
      <c r="AB39" s="609">
        <f>IF(AB$7&gt;$N39,0,AA39*(1-'Interest Rate'!$B$17))</f>
        <v>0</v>
      </c>
      <c r="AC39" s="609">
        <f>IF(AC$7&gt;$N39,0,AB39*(1-'Interest Rate'!$B$17))</f>
        <v>0</v>
      </c>
      <c r="AD39" s="609">
        <f>IF(AD$7&gt;$N39,0,AC39*(1-'Interest Rate'!$B$17))</f>
        <v>0</v>
      </c>
      <c r="AE39" s="609">
        <f>IF(AE$7&gt;$N39,0,AD39*(1-'Interest Rate'!$B$17))</f>
        <v>0</v>
      </c>
      <c r="AF39" s="609">
        <f>IF(AF$7&gt;$N39,0,AE39*(1-'Interest Rate'!$B$17))</f>
        <v>0</v>
      </c>
      <c r="AG39" s="609">
        <f>IF(AG$7&gt;$N39,0,AF39*(1-'Interest Rate'!$B$17))</f>
        <v>0</v>
      </c>
      <c r="AH39" s="609">
        <f>IF(AH$7&gt;$N39,0,AG39*(1-'Interest Rate'!$B$17))</f>
        <v>0</v>
      </c>
      <c r="AI39" s="609">
        <f>IF(AI$7&gt;$N39,0,AH39*(1-'Interest Rate'!$B$17))</f>
        <v>0</v>
      </c>
      <c r="AJ39" s="609">
        <f>IF(AJ$7&gt;$N39,0,AI39*(1-'Interest Rate'!$B$17))</f>
        <v>0</v>
      </c>
      <c r="AK39" s="609">
        <f>IF(AK$7&gt;$N39,0,AJ39*(1-'Interest Rate'!$B$17))</f>
        <v>0</v>
      </c>
      <c r="AL39" s="609">
        <f>IF(AL$7&gt;$N39,0,AK39*(1-'Interest Rate'!$B$17))</f>
        <v>0</v>
      </c>
      <c r="AM39" s="609">
        <f>IF(AM$7&gt;$N39,0,AL39*(1-'Interest Rate'!$B$17))</f>
        <v>0</v>
      </c>
      <c r="AN39" s="609">
        <f>IF(AN$7&gt;$N39,0,AM39*(1-'Interest Rate'!$B$17))</f>
        <v>0</v>
      </c>
      <c r="AO39" s="609">
        <f>IF(AO$7&gt;$N39,0,AN39*(1-'Interest Rate'!$B$17))</f>
        <v>0</v>
      </c>
      <c r="AP39" s="609">
        <f>IF(AP$7&gt;$N39,0,AO39*(1-'Interest Rate'!$B$17))</f>
        <v>0</v>
      </c>
      <c r="AQ39" s="609">
        <f>IF(AQ$7&gt;$N39,0,AP39*(1-'Interest Rate'!$B$17))</f>
        <v>0</v>
      </c>
      <c r="AR39" s="609">
        <f>IF(AR$7&gt;$N39,0,AQ39*(1-'Interest Rate'!$B$17))</f>
        <v>0</v>
      </c>
      <c r="AS39" s="609">
        <f>IF(AS$7&gt;$N39,0,AR39*(1-'Interest Rate'!$B$17))</f>
        <v>0</v>
      </c>
      <c r="AT39" s="609">
        <f>IF(AT$7&gt;$N39,0,AS39*(1-'Interest Rate'!$B$17))</f>
        <v>0</v>
      </c>
      <c r="AU39" s="609">
        <f>IF(AU$7&gt;$N39,0,AT39*(1-'Interest Rate'!$B$17))</f>
        <v>0</v>
      </c>
      <c r="AV39" s="609">
        <f>IF(AV$7&gt;$N39,0,AU39*(1-'Interest Rate'!$B$17))</f>
        <v>0</v>
      </c>
      <c r="AW39" s="609">
        <f>IF(AW$7&gt;$N39,0,AV39*(1-'Interest Rate'!$B$17))</f>
        <v>0</v>
      </c>
      <c r="AX39" s="609">
        <f>IF(AX$7&gt;$N39,0,AW39*(1-'Interest Rate'!$B$17))</f>
        <v>0</v>
      </c>
      <c r="AY39" s="609">
        <f>IF(AY$7&gt;$N39,0,AX39*(1-'Interest Rate'!$B$17))</f>
        <v>0</v>
      </c>
      <c r="AZ39" s="609">
        <f>IF(AZ$7&gt;$N39,0,AY39*(1-'Interest Rate'!$B$17))</f>
        <v>0</v>
      </c>
      <c r="BA39" s="609">
        <f>IF(BA$7&gt;$N39,0,AZ39*(1-'Interest Rate'!$B$17))</f>
        <v>0</v>
      </c>
      <c r="BB39" s="609">
        <f>IF(BB$7&gt;$N39,0,BA39*(1-'Interest Rate'!$B$17))</f>
        <v>0</v>
      </c>
      <c r="BC39" s="609">
        <f>IF(BC$7&gt;$N39,0,BB39*(1-'Interest Rate'!$B$17))</f>
        <v>0</v>
      </c>
      <c r="BD39" s="609">
        <f>IF(BD$7&gt;$N39,0,BC39*(1-'Interest Rate'!$B$17))</f>
        <v>0</v>
      </c>
      <c r="BE39" s="609">
        <f>IF(BE$7&gt;$N39,0,BD39*(1-'Interest Rate'!$B$17))</f>
        <v>0</v>
      </c>
      <c r="BF39" s="609">
        <f>IF(BF$7&gt;$N39,0,BE39*(1-'Interest Rate'!$B$17))</f>
        <v>0</v>
      </c>
      <c r="BG39" s="609">
        <f>IF(BG$7&gt;$N39,0,BF39*(1-'Interest Rate'!$B$17))</f>
        <v>0</v>
      </c>
      <c r="BH39" s="609">
        <f>IF(BH$7&gt;$N39,0,BG39*(1-'Interest Rate'!$B$17))</f>
        <v>0</v>
      </c>
      <c r="BI39" s="609">
        <f>IF(BI$7&gt;$N39,0,BH39*(1-'Interest Rate'!$B$17))</f>
        <v>0</v>
      </c>
      <c r="BJ39" s="609">
        <f>IF(BJ$7&gt;$N39,0,BI39*(1-'Interest Rate'!$B$17))</f>
        <v>0</v>
      </c>
      <c r="BK39" s="609">
        <f>IF(BK$7&gt;$N39,0,BJ39*(1-'Interest Rate'!$B$17))</f>
        <v>0</v>
      </c>
      <c r="BL39" s="609">
        <f>IF(BL$7&gt;$N39,0,BK39*(1-'Interest Rate'!$B$17))</f>
        <v>0</v>
      </c>
      <c r="BM39" s="609">
        <f>IF(BM$7&gt;$N39,0,BL39*(1-'Interest Rate'!$B$17))</f>
        <v>0</v>
      </c>
      <c r="BN39" s="609">
        <f>IF(BN$7&gt;$N39,0,BM39*(1-'Interest Rate'!$B$17))</f>
        <v>0</v>
      </c>
      <c r="BO39" s="609">
        <f>IF(BO$7&gt;$N39,0,BN39*(1-'Interest Rate'!$B$17))</f>
        <v>0</v>
      </c>
      <c r="BP39" s="609">
        <f>IF(BP$7&gt;$N39,0,BO39*(1-'Interest Rate'!$B$17))</f>
        <v>0</v>
      </c>
      <c r="BQ39" s="609">
        <f>IF(BQ$7&gt;$N39,0,BP39*(1-'Interest Rate'!$B$17))</f>
        <v>0</v>
      </c>
      <c r="BR39" s="609">
        <f>IF(BR$7&gt;$N39,0,BQ39*(1-'Interest Rate'!$B$17))</f>
        <v>0</v>
      </c>
      <c r="BS39" s="609">
        <f>IF(BS$7&gt;$N39,0,BR39*(1-'Interest Rate'!$B$17))</f>
        <v>0</v>
      </c>
      <c r="BT39" s="609">
        <f>IF(BT$7&gt;$N39,0,BS39*(1-'Interest Rate'!$B$17))</f>
        <v>0</v>
      </c>
      <c r="BU39" s="609">
        <f>IF(BU$7&gt;$N39,0,BT39*(1-'Interest Rate'!$B$17))</f>
        <v>0</v>
      </c>
      <c r="BV39" s="609">
        <f>IF(BV$7&gt;$N39,0,BU39*(1-'Interest Rate'!$B$17))</f>
        <v>0</v>
      </c>
      <c r="BW39" s="609">
        <f>IF(BW$7&gt;$N39,0,BV39*(1-'Interest Rate'!$B$17))</f>
        <v>0</v>
      </c>
      <c r="BX39" s="609">
        <f>IF(BX$7&gt;$N39,0,BW39*(1-'Interest Rate'!$B$17))</f>
        <v>0</v>
      </c>
      <c r="BY39" s="609">
        <f>IF(BY$7&gt;$N39,0,BX39*(1-'Interest Rate'!$B$17))</f>
        <v>0</v>
      </c>
      <c r="BZ39" s="609">
        <f>IF(BZ$7&gt;$N39,0,BY39*(1-'Interest Rate'!$B$17))</f>
        <v>0</v>
      </c>
      <c r="CA39" s="609">
        <f>IF(CA$7&gt;$N39,0,BZ39*(1-'Interest Rate'!$B$17))</f>
        <v>0</v>
      </c>
      <c r="CB39" s="609">
        <f>IF(CB$7&gt;$N39,0,CA39*(1-'Interest Rate'!$B$17))</f>
        <v>0</v>
      </c>
      <c r="CC39" s="609">
        <f>IF(CC$7&gt;$N39,0,CB39*(1-'Interest Rate'!$B$17))</f>
        <v>0</v>
      </c>
      <c r="CD39" s="609">
        <f>IF(CD$7&gt;$N39,0,CC39*(1-'Interest Rate'!$B$17))</f>
        <v>0</v>
      </c>
      <c r="CE39" s="609">
        <f>IF(CE$7&gt;$N39,0,CD39*(1-'Interest Rate'!$B$17))</f>
        <v>0</v>
      </c>
      <c r="CF39" s="609">
        <f>IF(CF$7&gt;$N39,0,CE39*(1-'Interest Rate'!$B$17))</f>
        <v>0</v>
      </c>
      <c r="CG39" s="609">
        <f>IF(CG$7&gt;$N39,0,CF39*(1-'Interest Rate'!$B$17))</f>
        <v>0</v>
      </c>
      <c r="CH39" s="609">
        <f>IF(CH$7&gt;$N39,0,CG39*(1-'Interest Rate'!$B$17))</f>
        <v>0</v>
      </c>
      <c r="CI39" s="609">
        <f>IF(CI$7&gt;$N39,0,CH39*(1-'Interest Rate'!$B$17))</f>
        <v>0</v>
      </c>
      <c r="CJ39" s="609">
        <f>IF(CJ$7&gt;$N39,0,CI39*(1-'Interest Rate'!$B$17))</f>
        <v>0</v>
      </c>
      <c r="CK39" s="609">
        <f>IF(CK$7&gt;$N39,0,CJ39*(1-'Interest Rate'!$B$17))</f>
        <v>0</v>
      </c>
      <c r="CL39" s="609">
        <f>IF(CL$7&gt;$N39,0,CK39*(1-'Interest Rate'!$B$17))</f>
        <v>0</v>
      </c>
      <c r="CM39" s="609">
        <f>IF(CM$7&gt;$N39,0,CL39*(1-'Interest Rate'!$B$17))</f>
        <v>0</v>
      </c>
      <c r="CN39" s="609">
        <f>IF(CN$7&gt;$N39,0,CM39*(1-'Interest Rate'!$B$17))</f>
        <v>0</v>
      </c>
      <c r="CO39" s="609">
        <f>IF(CO$7&gt;$N39,0,CN39*(1-'Interest Rate'!$B$17))</f>
        <v>0</v>
      </c>
      <c r="CP39" s="609">
        <f>IF(CP$7&gt;$N39,0,CO39*(1-'Interest Rate'!$B$17))</f>
        <v>0</v>
      </c>
      <c r="CQ39" s="609">
        <f>IF(CQ$7&gt;$N39,0,CP39*(1-'Interest Rate'!$B$17))</f>
        <v>0</v>
      </c>
      <c r="CR39" s="609">
        <f>IF(CR$7&gt;$N39,0,CQ39*(1-'Interest Rate'!$B$17))</f>
        <v>0</v>
      </c>
      <c r="CS39" s="609">
        <f>IF(CS$7&gt;$N39,0,CR39*(1-'Interest Rate'!$B$17))</f>
        <v>0</v>
      </c>
      <c r="CT39" s="609">
        <f>IF(CT$7&gt;$N39,0,CS39*(1-'Interest Rate'!$B$17))</f>
        <v>0</v>
      </c>
      <c r="CU39" s="609">
        <f>IF(CU$7&gt;$N39,0,CT39*(1-'Interest Rate'!$B$17))</f>
        <v>0</v>
      </c>
      <c r="CV39" s="609">
        <f>IF(CV$7&gt;$N39,0,CU39*(1-'Interest Rate'!$B$17))</f>
        <v>0</v>
      </c>
      <c r="CW39" s="609">
        <f>IF(CW$7&gt;$N39,0,CV39*(1-'Interest Rate'!$B$17))</f>
        <v>0</v>
      </c>
      <c r="CX39" s="609">
        <f>IF(CX$7&gt;$N39,0,CW39*(1-'Interest Rate'!$B$17))</f>
        <v>0</v>
      </c>
      <c r="CY39" s="609">
        <f>IF(CY$7&gt;$N39,0,CX39*(1-'Interest Rate'!$B$17))</f>
        <v>0</v>
      </c>
      <c r="CZ39" s="609">
        <f>IF(CZ$7&gt;$N39,0,CY39*(1-'Interest Rate'!$B$17))</f>
        <v>0</v>
      </c>
      <c r="DA39" s="609">
        <f>IF(DA$7&gt;$N39,0,CZ39*(1-'Interest Rate'!$B$17))</f>
        <v>0</v>
      </c>
      <c r="DB39" s="609">
        <f>IF(DB$7&gt;$N39,0,DA39*(1-'Interest Rate'!$B$17))</f>
        <v>0</v>
      </c>
      <c r="DC39" s="609">
        <f>IF(DC$7&gt;$N39,0,DB39*(1-'Interest Rate'!$B$17))</f>
        <v>0</v>
      </c>
      <c r="DD39" s="609">
        <f>IF(DD$7&gt;$N39,0,DC39*(1-'Interest Rate'!$B$17))</f>
        <v>0</v>
      </c>
      <c r="DE39" s="609">
        <f>IF(DE$7&gt;$N39,0,DD39*(1-'Interest Rate'!$B$17))</f>
        <v>0</v>
      </c>
      <c r="DF39" s="609">
        <f>IF(DF$7&gt;$N39,0,DE39*(1-'Interest Rate'!$B$17))</f>
        <v>0</v>
      </c>
      <c r="DG39" s="609">
        <f>IF(DG$7&gt;$N39,0,DF39*(1-'Interest Rate'!$B$17))</f>
        <v>0</v>
      </c>
      <c r="DH39" s="609">
        <f>IF(DH$7&gt;$N39,0,DG39*(1-'Interest Rate'!$B$17))</f>
        <v>0</v>
      </c>
      <c r="DI39" s="609">
        <f>IF(DI$7&gt;$N39,0,DH39*(1-'Interest Rate'!$B$17))</f>
        <v>0</v>
      </c>
      <c r="DJ39" s="609">
        <f>IF(DJ$7&gt;$N39,0,DI39*(1-'Interest Rate'!$B$17))</f>
        <v>0</v>
      </c>
      <c r="DK39" s="609">
        <f>IF(DK$7&gt;$N39,0,DJ39*(1-'Interest Rate'!$B$17))</f>
        <v>0</v>
      </c>
      <c r="DL39" s="609">
        <f>IF(DL$7&gt;$N39,0,DK39*(1-'Interest Rate'!$B$17))</f>
        <v>0</v>
      </c>
      <c r="DM39" s="609">
        <f>IF(DM$7&gt;$N39,0,DL39*(1-'Interest Rate'!$B$17))</f>
        <v>0</v>
      </c>
    </row>
    <row r="40" spans="1:117" ht="27.75" customHeight="1" x14ac:dyDescent="0.3">
      <c r="A40" s="600" t="str">
        <f>'EEM Data Entry'!A117</f>
        <v/>
      </c>
      <c r="B40" s="613" t="str">
        <f>'EEM Data Entry'!B117</f>
        <v/>
      </c>
      <c r="C40" s="602" t="str">
        <f>'EEM Data Entry'!F117</f>
        <v/>
      </c>
      <c r="D40" s="602">
        <v>0</v>
      </c>
      <c r="E40" s="602" t="e">
        <f t="shared" si="9"/>
        <v>#VALUE!</v>
      </c>
      <c r="F40" s="602">
        <f>('Savings Summary'!D41*'Savings Summary'!D$5)+('Savings Summary'!F41*'Savings Summary'!F$5)+('Savings Summary'!H41*'Savings Summary'!H$5)+('Savings Summary'!J41*'Savings Summary'!J$5)+('Savings Summary'!L41*'Savings Summary'!L$5)+('Savings Summary'!N41*'Savings Summary'!N$5)+('Savings Summary'!P41*'Savings Summary'!P$5)+('Savings Summary'!R41*'Savings Summary'!R$5)</f>
        <v>0</v>
      </c>
      <c r="G40" s="603">
        <f>'Savings Summary'!T41</f>
        <v>0</v>
      </c>
      <c r="H40" s="604" t="e">
        <f t="shared" si="13"/>
        <v>#VALUE!</v>
      </c>
      <c r="I40" s="600" t="e">
        <f>IF(H40=0, "n/a", IF(H40&gt;100, "no",IF(H40&lt;0, "no", "yes")))</f>
        <v>#VALUE!</v>
      </c>
      <c r="J40" s="605" t="e">
        <f t="shared" si="10"/>
        <v>#NUM!</v>
      </c>
      <c r="K40" s="606" t="e">
        <f>PV('Interest Rate'!$B$17,Table7[[#This Row],[LIFETIME]],-Table7[[#This Row],[ANNUAL ENERGY COST SAVINGS]],Table7[[#This Row],[END-OF-LIFE]],0)-Table7[[#This Row],[CAPITAL INVESTMENT]]</f>
        <v>#VALUE!</v>
      </c>
      <c r="L40" s="600" t="str">
        <f>'EEM Data Entry'!C117</f>
        <v/>
      </c>
      <c r="M40" s="614" t="e">
        <f>Table6[[#This Row],[ANNUAL ENERGY COST SAVINGS]]/Table6[[#This Row],[CAPITAL INVESTMENT]]</f>
        <v>#VALUE!</v>
      </c>
      <c r="N40" s="804" t="str">
        <f>Table7[[#This Row],[LIFETIME]]</f>
        <v/>
      </c>
      <c r="O40" s="614"/>
      <c r="P40" s="614"/>
      <c r="Q40" s="608" t="str">
        <f t="shared" si="4"/>
        <v/>
      </c>
      <c r="R40" s="609">
        <f t="shared" si="12"/>
        <v>0</v>
      </c>
      <c r="S40" s="609">
        <f>IF(S$7&gt;$N40,0,R40*(1-'Interest Rate'!$B$17))</f>
        <v>0</v>
      </c>
      <c r="T40" s="609">
        <f>IF(T$7&gt;$N40,0,S40*(1-'Interest Rate'!$B$17))</f>
        <v>0</v>
      </c>
      <c r="U40" s="609">
        <f>IF(U$7&gt;$N40,0,T40*(1-'Interest Rate'!$B$17))</f>
        <v>0</v>
      </c>
      <c r="V40" s="609">
        <f>IF(V$7&gt;$N40,0,U40*(1-'Interest Rate'!$B$17))</f>
        <v>0</v>
      </c>
      <c r="W40" s="609">
        <f>IF(W$7&gt;$N40,0,V40*(1-'Interest Rate'!$B$17))</f>
        <v>0</v>
      </c>
      <c r="X40" s="609">
        <f>IF(X$7&gt;$N40,0,W40*(1-'Interest Rate'!$B$17))</f>
        <v>0</v>
      </c>
      <c r="Y40" s="609">
        <f>IF(Y$7&gt;$N40,0,X40*(1-'Interest Rate'!$B$17))</f>
        <v>0</v>
      </c>
      <c r="Z40" s="609">
        <f>IF(Z$7&gt;$N40,0,Y40*(1-'Interest Rate'!$B$17))</f>
        <v>0</v>
      </c>
      <c r="AA40" s="609">
        <f>IF(AA$7&gt;$N40,0,Z40*(1-'Interest Rate'!$B$17))</f>
        <v>0</v>
      </c>
      <c r="AB40" s="609">
        <f>IF(AB$7&gt;$N40,0,AA40*(1-'Interest Rate'!$B$17))</f>
        <v>0</v>
      </c>
      <c r="AC40" s="609">
        <f>IF(AC$7&gt;$N40,0,AB40*(1-'Interest Rate'!$B$17))</f>
        <v>0</v>
      </c>
      <c r="AD40" s="609">
        <f>IF(AD$7&gt;$N40,0,AC40*(1-'Interest Rate'!$B$17))</f>
        <v>0</v>
      </c>
      <c r="AE40" s="609">
        <f>IF(AE$7&gt;$N40,0,AD40*(1-'Interest Rate'!$B$17))</f>
        <v>0</v>
      </c>
      <c r="AF40" s="609">
        <f>IF(AF$7&gt;$N40,0,AE40*(1-'Interest Rate'!$B$17))</f>
        <v>0</v>
      </c>
      <c r="AG40" s="609">
        <f>IF(AG$7&gt;$N40,0,AF40*(1-'Interest Rate'!$B$17))</f>
        <v>0</v>
      </c>
      <c r="AH40" s="609">
        <f>IF(AH$7&gt;$N40,0,AG40*(1-'Interest Rate'!$B$17))</f>
        <v>0</v>
      </c>
      <c r="AI40" s="609">
        <f>IF(AI$7&gt;$N40,0,AH40*(1-'Interest Rate'!$B$17))</f>
        <v>0</v>
      </c>
      <c r="AJ40" s="609">
        <f>IF(AJ$7&gt;$N40,0,AI40*(1-'Interest Rate'!$B$17))</f>
        <v>0</v>
      </c>
      <c r="AK40" s="609">
        <f>IF(AK$7&gt;$N40,0,AJ40*(1-'Interest Rate'!$B$17))</f>
        <v>0</v>
      </c>
      <c r="AL40" s="609">
        <f>IF(AL$7&gt;$N40,0,AK40*(1-'Interest Rate'!$B$17))</f>
        <v>0</v>
      </c>
      <c r="AM40" s="609">
        <f>IF(AM$7&gt;$N40,0,AL40*(1-'Interest Rate'!$B$17))</f>
        <v>0</v>
      </c>
      <c r="AN40" s="609">
        <f>IF(AN$7&gt;$N40,0,AM40*(1-'Interest Rate'!$B$17))</f>
        <v>0</v>
      </c>
      <c r="AO40" s="609">
        <f>IF(AO$7&gt;$N40,0,AN40*(1-'Interest Rate'!$B$17))</f>
        <v>0</v>
      </c>
      <c r="AP40" s="609">
        <f>IF(AP$7&gt;$N40,0,AO40*(1-'Interest Rate'!$B$17))</f>
        <v>0</v>
      </c>
      <c r="AQ40" s="609">
        <f>IF(AQ$7&gt;$N40,0,AP40*(1-'Interest Rate'!$B$17))</f>
        <v>0</v>
      </c>
      <c r="AR40" s="609">
        <f>IF(AR$7&gt;$N40,0,AQ40*(1-'Interest Rate'!$B$17))</f>
        <v>0</v>
      </c>
      <c r="AS40" s="609">
        <f>IF(AS$7&gt;$N40,0,AR40*(1-'Interest Rate'!$B$17))</f>
        <v>0</v>
      </c>
      <c r="AT40" s="609">
        <f>IF(AT$7&gt;$N40,0,AS40*(1-'Interest Rate'!$B$17))</f>
        <v>0</v>
      </c>
      <c r="AU40" s="609">
        <f>IF(AU$7&gt;$N40,0,AT40*(1-'Interest Rate'!$B$17))</f>
        <v>0</v>
      </c>
      <c r="AV40" s="609">
        <f>IF(AV$7&gt;$N40,0,AU40*(1-'Interest Rate'!$B$17))</f>
        <v>0</v>
      </c>
      <c r="AW40" s="609">
        <f>IF(AW$7&gt;$N40,0,AV40*(1-'Interest Rate'!$B$17))</f>
        <v>0</v>
      </c>
      <c r="AX40" s="609">
        <f>IF(AX$7&gt;$N40,0,AW40*(1-'Interest Rate'!$B$17))</f>
        <v>0</v>
      </c>
      <c r="AY40" s="609">
        <f>IF(AY$7&gt;$N40,0,AX40*(1-'Interest Rate'!$B$17))</f>
        <v>0</v>
      </c>
      <c r="AZ40" s="609">
        <f>IF(AZ$7&gt;$N40,0,AY40*(1-'Interest Rate'!$B$17))</f>
        <v>0</v>
      </c>
      <c r="BA40" s="609">
        <f>IF(BA$7&gt;$N40,0,AZ40*(1-'Interest Rate'!$B$17))</f>
        <v>0</v>
      </c>
      <c r="BB40" s="609">
        <f>IF(BB$7&gt;$N40,0,BA40*(1-'Interest Rate'!$B$17))</f>
        <v>0</v>
      </c>
      <c r="BC40" s="609">
        <f>IF(BC$7&gt;$N40,0,BB40*(1-'Interest Rate'!$B$17))</f>
        <v>0</v>
      </c>
      <c r="BD40" s="609">
        <f>IF(BD$7&gt;$N40,0,BC40*(1-'Interest Rate'!$B$17))</f>
        <v>0</v>
      </c>
      <c r="BE40" s="609">
        <f>IF(BE$7&gt;$N40,0,BD40*(1-'Interest Rate'!$B$17))</f>
        <v>0</v>
      </c>
      <c r="BF40" s="609">
        <f>IF(BF$7&gt;$N40,0,BE40*(1-'Interest Rate'!$B$17))</f>
        <v>0</v>
      </c>
      <c r="BG40" s="609">
        <f>IF(BG$7&gt;$N40,0,BF40*(1-'Interest Rate'!$B$17))</f>
        <v>0</v>
      </c>
      <c r="BH40" s="609">
        <f>IF(BH$7&gt;$N40,0,BG40*(1-'Interest Rate'!$B$17))</f>
        <v>0</v>
      </c>
      <c r="BI40" s="609">
        <f>IF(BI$7&gt;$N40,0,BH40*(1-'Interest Rate'!$B$17))</f>
        <v>0</v>
      </c>
      <c r="BJ40" s="609">
        <f>IF(BJ$7&gt;$N40,0,BI40*(1-'Interest Rate'!$B$17))</f>
        <v>0</v>
      </c>
      <c r="BK40" s="609">
        <f>IF(BK$7&gt;$N40,0,BJ40*(1-'Interest Rate'!$B$17))</f>
        <v>0</v>
      </c>
      <c r="BL40" s="609">
        <f>IF(BL$7&gt;$N40,0,BK40*(1-'Interest Rate'!$B$17))</f>
        <v>0</v>
      </c>
      <c r="BM40" s="609">
        <f>IF(BM$7&gt;$N40,0,BL40*(1-'Interest Rate'!$B$17))</f>
        <v>0</v>
      </c>
      <c r="BN40" s="609">
        <f>IF(BN$7&gt;$N40,0,BM40*(1-'Interest Rate'!$B$17))</f>
        <v>0</v>
      </c>
      <c r="BO40" s="609">
        <f>IF(BO$7&gt;$N40,0,BN40*(1-'Interest Rate'!$B$17))</f>
        <v>0</v>
      </c>
      <c r="BP40" s="609">
        <f>IF(BP$7&gt;$N40,0,BO40*(1-'Interest Rate'!$B$17))</f>
        <v>0</v>
      </c>
      <c r="BQ40" s="609">
        <f>IF(BQ$7&gt;$N40,0,BP40*(1-'Interest Rate'!$B$17))</f>
        <v>0</v>
      </c>
      <c r="BR40" s="609">
        <f>IF(BR$7&gt;$N40,0,BQ40*(1-'Interest Rate'!$B$17))</f>
        <v>0</v>
      </c>
      <c r="BS40" s="609">
        <f>IF(BS$7&gt;$N40,0,BR40*(1-'Interest Rate'!$B$17))</f>
        <v>0</v>
      </c>
      <c r="BT40" s="609">
        <f>IF(BT$7&gt;$N40,0,BS40*(1-'Interest Rate'!$B$17))</f>
        <v>0</v>
      </c>
      <c r="BU40" s="609">
        <f>IF(BU$7&gt;$N40,0,BT40*(1-'Interest Rate'!$B$17))</f>
        <v>0</v>
      </c>
      <c r="BV40" s="609">
        <f>IF(BV$7&gt;$N40,0,BU40*(1-'Interest Rate'!$B$17))</f>
        <v>0</v>
      </c>
      <c r="BW40" s="609">
        <f>IF(BW$7&gt;$N40,0,BV40*(1-'Interest Rate'!$B$17))</f>
        <v>0</v>
      </c>
      <c r="BX40" s="609">
        <f>IF(BX$7&gt;$N40,0,BW40*(1-'Interest Rate'!$B$17))</f>
        <v>0</v>
      </c>
      <c r="BY40" s="609">
        <f>IF(BY$7&gt;$N40,0,BX40*(1-'Interest Rate'!$B$17))</f>
        <v>0</v>
      </c>
      <c r="BZ40" s="609">
        <f>IF(BZ$7&gt;$N40,0,BY40*(1-'Interest Rate'!$B$17))</f>
        <v>0</v>
      </c>
      <c r="CA40" s="609">
        <f>IF(CA$7&gt;$N40,0,BZ40*(1-'Interest Rate'!$B$17))</f>
        <v>0</v>
      </c>
      <c r="CB40" s="609">
        <f>IF(CB$7&gt;$N40,0,CA40*(1-'Interest Rate'!$B$17))</f>
        <v>0</v>
      </c>
      <c r="CC40" s="609">
        <f>IF(CC$7&gt;$N40,0,CB40*(1-'Interest Rate'!$B$17))</f>
        <v>0</v>
      </c>
      <c r="CD40" s="609">
        <f>IF(CD$7&gt;$N40,0,CC40*(1-'Interest Rate'!$B$17))</f>
        <v>0</v>
      </c>
      <c r="CE40" s="609">
        <f>IF(CE$7&gt;$N40,0,CD40*(1-'Interest Rate'!$B$17))</f>
        <v>0</v>
      </c>
      <c r="CF40" s="609">
        <f>IF(CF$7&gt;$N40,0,CE40*(1-'Interest Rate'!$B$17))</f>
        <v>0</v>
      </c>
      <c r="CG40" s="609">
        <f>IF(CG$7&gt;$N40,0,CF40*(1-'Interest Rate'!$B$17))</f>
        <v>0</v>
      </c>
      <c r="CH40" s="609">
        <f>IF(CH$7&gt;$N40,0,CG40*(1-'Interest Rate'!$B$17))</f>
        <v>0</v>
      </c>
      <c r="CI40" s="609">
        <f>IF(CI$7&gt;$N40,0,CH40*(1-'Interest Rate'!$B$17))</f>
        <v>0</v>
      </c>
      <c r="CJ40" s="609">
        <f>IF(CJ$7&gt;$N40,0,CI40*(1-'Interest Rate'!$B$17))</f>
        <v>0</v>
      </c>
      <c r="CK40" s="609">
        <f>IF(CK$7&gt;$N40,0,CJ40*(1-'Interest Rate'!$B$17))</f>
        <v>0</v>
      </c>
      <c r="CL40" s="609">
        <f>IF(CL$7&gt;$N40,0,CK40*(1-'Interest Rate'!$B$17))</f>
        <v>0</v>
      </c>
      <c r="CM40" s="609">
        <f>IF(CM$7&gt;$N40,0,CL40*(1-'Interest Rate'!$B$17))</f>
        <v>0</v>
      </c>
      <c r="CN40" s="609">
        <f>IF(CN$7&gt;$N40,0,CM40*(1-'Interest Rate'!$B$17))</f>
        <v>0</v>
      </c>
      <c r="CO40" s="609">
        <f>IF(CO$7&gt;$N40,0,CN40*(1-'Interest Rate'!$B$17))</f>
        <v>0</v>
      </c>
      <c r="CP40" s="609">
        <f>IF(CP$7&gt;$N40,0,CO40*(1-'Interest Rate'!$B$17))</f>
        <v>0</v>
      </c>
      <c r="CQ40" s="609">
        <f>IF(CQ$7&gt;$N40,0,CP40*(1-'Interest Rate'!$B$17))</f>
        <v>0</v>
      </c>
      <c r="CR40" s="609">
        <f>IF(CR$7&gt;$N40,0,CQ40*(1-'Interest Rate'!$B$17))</f>
        <v>0</v>
      </c>
      <c r="CS40" s="609">
        <f>IF(CS$7&gt;$N40,0,CR40*(1-'Interest Rate'!$B$17))</f>
        <v>0</v>
      </c>
      <c r="CT40" s="609">
        <f>IF(CT$7&gt;$N40,0,CS40*(1-'Interest Rate'!$B$17))</f>
        <v>0</v>
      </c>
      <c r="CU40" s="609">
        <f>IF(CU$7&gt;$N40,0,CT40*(1-'Interest Rate'!$B$17))</f>
        <v>0</v>
      </c>
      <c r="CV40" s="609">
        <f>IF(CV$7&gt;$N40,0,CU40*(1-'Interest Rate'!$B$17))</f>
        <v>0</v>
      </c>
      <c r="CW40" s="609">
        <f>IF(CW$7&gt;$N40,0,CV40*(1-'Interest Rate'!$B$17))</f>
        <v>0</v>
      </c>
      <c r="CX40" s="609">
        <f>IF(CX$7&gt;$N40,0,CW40*(1-'Interest Rate'!$B$17))</f>
        <v>0</v>
      </c>
      <c r="CY40" s="609">
        <f>IF(CY$7&gt;$N40,0,CX40*(1-'Interest Rate'!$B$17))</f>
        <v>0</v>
      </c>
      <c r="CZ40" s="609">
        <f>IF(CZ$7&gt;$N40,0,CY40*(1-'Interest Rate'!$B$17))</f>
        <v>0</v>
      </c>
      <c r="DA40" s="609">
        <f>IF(DA$7&gt;$N40,0,CZ40*(1-'Interest Rate'!$B$17))</f>
        <v>0</v>
      </c>
      <c r="DB40" s="609">
        <f>IF(DB$7&gt;$N40,0,DA40*(1-'Interest Rate'!$B$17))</f>
        <v>0</v>
      </c>
      <c r="DC40" s="609">
        <f>IF(DC$7&gt;$N40,0,DB40*(1-'Interest Rate'!$B$17))</f>
        <v>0</v>
      </c>
      <c r="DD40" s="609">
        <f>IF(DD$7&gt;$N40,0,DC40*(1-'Interest Rate'!$B$17))</f>
        <v>0</v>
      </c>
      <c r="DE40" s="609">
        <f>IF(DE$7&gt;$N40,0,DD40*(1-'Interest Rate'!$B$17))</f>
        <v>0</v>
      </c>
      <c r="DF40" s="609">
        <f>IF(DF$7&gt;$N40,0,DE40*(1-'Interest Rate'!$B$17))</f>
        <v>0</v>
      </c>
      <c r="DG40" s="609">
        <f>IF(DG$7&gt;$N40,0,DF40*(1-'Interest Rate'!$B$17))</f>
        <v>0</v>
      </c>
      <c r="DH40" s="609">
        <f>IF(DH$7&gt;$N40,0,DG40*(1-'Interest Rate'!$B$17))</f>
        <v>0</v>
      </c>
      <c r="DI40" s="609">
        <f>IF(DI$7&gt;$N40,0,DH40*(1-'Interest Rate'!$B$17))</f>
        <v>0</v>
      </c>
      <c r="DJ40" s="609">
        <f>IF(DJ$7&gt;$N40,0,DI40*(1-'Interest Rate'!$B$17))</f>
        <v>0</v>
      </c>
      <c r="DK40" s="609">
        <f>IF(DK$7&gt;$N40,0,DJ40*(1-'Interest Rate'!$B$17))</f>
        <v>0</v>
      </c>
      <c r="DL40" s="609">
        <f>IF(DL$7&gt;$N40,0,DK40*(1-'Interest Rate'!$B$17))</f>
        <v>0</v>
      </c>
      <c r="DM40" s="609">
        <f>IF(DM$7&gt;$N40,0,DL40*(1-'Interest Rate'!$B$17))</f>
        <v>0</v>
      </c>
    </row>
    <row r="41" spans="1:117" ht="27.75" customHeight="1" x14ac:dyDescent="0.3">
      <c r="A41" s="600" t="str">
        <f>'EEM Data Entry'!A118</f>
        <v/>
      </c>
      <c r="B41" s="613" t="str">
        <f>'EEM Data Entry'!B118</f>
        <v/>
      </c>
      <c r="C41" s="602" t="str">
        <f>'EEM Data Entry'!F118</f>
        <v/>
      </c>
      <c r="D41" s="602">
        <v>0</v>
      </c>
      <c r="E41" s="602" t="e">
        <f t="shared" si="9"/>
        <v>#VALUE!</v>
      </c>
      <c r="F41" s="602">
        <f>('Savings Summary'!D42*'Savings Summary'!D$5)+('Savings Summary'!F42*'Savings Summary'!F$5)+('Savings Summary'!H42*'Savings Summary'!H$5)+('Savings Summary'!J42*'Savings Summary'!J$5)+('Savings Summary'!L42*'Savings Summary'!L$5)+('Savings Summary'!N42*'Savings Summary'!N$5)+('Savings Summary'!P42*'Savings Summary'!P$5)+('Savings Summary'!R42*'Savings Summary'!R$5)</f>
        <v>0</v>
      </c>
      <c r="G41" s="603">
        <f>'Savings Summary'!T42</f>
        <v>0</v>
      </c>
      <c r="H41" s="604" t="e">
        <f t="shared" si="13"/>
        <v>#VALUE!</v>
      </c>
      <c r="I41" s="600" t="e">
        <f>IF(H41=0, "n/a", IF(H41&gt;100, "no",IF(H41&lt;0, "no", "yes")))</f>
        <v>#VALUE!</v>
      </c>
      <c r="J41" s="605" t="e">
        <f t="shared" si="10"/>
        <v>#NUM!</v>
      </c>
      <c r="K41" s="606" t="e">
        <f>PV('Interest Rate'!$B$17,Table7[[#This Row],[LIFETIME]],-Table7[[#This Row],[ANNUAL ENERGY COST SAVINGS]],Table7[[#This Row],[END-OF-LIFE]],0)-Table7[[#This Row],[CAPITAL INVESTMENT]]</f>
        <v>#VALUE!</v>
      </c>
      <c r="L41" s="600" t="str">
        <f>'EEM Data Entry'!C118</f>
        <v/>
      </c>
      <c r="M41" s="614" t="e">
        <f>Table6[[#This Row],[ANNUAL ENERGY COST SAVINGS]]/Table6[[#This Row],[CAPITAL INVESTMENT]]</f>
        <v>#VALUE!</v>
      </c>
      <c r="N41" s="804" t="str">
        <f>Table7[[#This Row],[LIFETIME]]</f>
        <v/>
      </c>
      <c r="O41" s="614"/>
      <c r="P41" s="614"/>
      <c r="Q41" s="608" t="str">
        <f t="shared" si="4"/>
        <v/>
      </c>
      <c r="R41" s="609">
        <f t="shared" si="12"/>
        <v>0</v>
      </c>
      <c r="S41" s="609">
        <f>IF(S$7&gt;$N41,0,R41*(1-'Interest Rate'!$B$17))</f>
        <v>0</v>
      </c>
      <c r="T41" s="609">
        <f>IF(T$7&gt;$N41,0,S41*(1-'Interest Rate'!$B$17))</f>
        <v>0</v>
      </c>
      <c r="U41" s="609">
        <f>IF(U$7&gt;$N41,0,T41*(1-'Interest Rate'!$B$17))</f>
        <v>0</v>
      </c>
      <c r="V41" s="609">
        <f>IF(V$7&gt;$N41,0,U41*(1-'Interest Rate'!$B$17))</f>
        <v>0</v>
      </c>
      <c r="W41" s="609">
        <f>IF(W$7&gt;$N41,0,V41*(1-'Interest Rate'!$B$17))</f>
        <v>0</v>
      </c>
      <c r="X41" s="609">
        <f>IF(X$7&gt;$N41,0,W41*(1-'Interest Rate'!$B$17))</f>
        <v>0</v>
      </c>
      <c r="Y41" s="609">
        <f>IF(Y$7&gt;$N41,0,X41*(1-'Interest Rate'!$B$17))</f>
        <v>0</v>
      </c>
      <c r="Z41" s="609">
        <f>IF(Z$7&gt;$N41,0,Y41*(1-'Interest Rate'!$B$17))</f>
        <v>0</v>
      </c>
      <c r="AA41" s="609">
        <f>IF(AA$7&gt;$N41,0,Z41*(1-'Interest Rate'!$B$17))</f>
        <v>0</v>
      </c>
      <c r="AB41" s="609">
        <f>IF(AB$7&gt;$N41,0,AA41*(1-'Interest Rate'!$B$17))</f>
        <v>0</v>
      </c>
      <c r="AC41" s="609">
        <f>IF(AC$7&gt;$N41,0,AB41*(1-'Interest Rate'!$B$17))</f>
        <v>0</v>
      </c>
      <c r="AD41" s="609">
        <f>IF(AD$7&gt;$N41,0,AC41*(1-'Interest Rate'!$B$17))</f>
        <v>0</v>
      </c>
      <c r="AE41" s="609">
        <f>IF(AE$7&gt;$N41,0,AD41*(1-'Interest Rate'!$B$17))</f>
        <v>0</v>
      </c>
      <c r="AF41" s="609">
        <f>IF(AF$7&gt;$N41,0,AE41*(1-'Interest Rate'!$B$17))</f>
        <v>0</v>
      </c>
      <c r="AG41" s="609">
        <f>IF(AG$7&gt;$N41,0,AF41*(1-'Interest Rate'!$B$17))</f>
        <v>0</v>
      </c>
      <c r="AH41" s="609">
        <f>IF(AH$7&gt;$N41,0,AG41*(1-'Interest Rate'!$B$17))</f>
        <v>0</v>
      </c>
      <c r="AI41" s="609">
        <f>IF(AI$7&gt;$N41,0,AH41*(1-'Interest Rate'!$B$17))</f>
        <v>0</v>
      </c>
      <c r="AJ41" s="609">
        <f>IF(AJ$7&gt;$N41,0,AI41*(1-'Interest Rate'!$B$17))</f>
        <v>0</v>
      </c>
      <c r="AK41" s="609">
        <f>IF(AK$7&gt;$N41,0,AJ41*(1-'Interest Rate'!$B$17))</f>
        <v>0</v>
      </c>
      <c r="AL41" s="609">
        <f>IF(AL$7&gt;$N41,0,AK41*(1-'Interest Rate'!$B$17))</f>
        <v>0</v>
      </c>
      <c r="AM41" s="609">
        <f>IF(AM$7&gt;$N41,0,AL41*(1-'Interest Rate'!$B$17))</f>
        <v>0</v>
      </c>
      <c r="AN41" s="609">
        <f>IF(AN$7&gt;$N41,0,AM41*(1-'Interest Rate'!$B$17))</f>
        <v>0</v>
      </c>
      <c r="AO41" s="609">
        <f>IF(AO$7&gt;$N41,0,AN41*(1-'Interest Rate'!$B$17))</f>
        <v>0</v>
      </c>
      <c r="AP41" s="609">
        <f>IF(AP$7&gt;$N41,0,AO41*(1-'Interest Rate'!$B$17))</f>
        <v>0</v>
      </c>
      <c r="AQ41" s="609">
        <f>IF(AQ$7&gt;$N41,0,AP41*(1-'Interest Rate'!$B$17))</f>
        <v>0</v>
      </c>
      <c r="AR41" s="609">
        <f>IF(AR$7&gt;$N41,0,AQ41*(1-'Interest Rate'!$B$17))</f>
        <v>0</v>
      </c>
      <c r="AS41" s="609">
        <f>IF(AS$7&gt;$N41,0,AR41*(1-'Interest Rate'!$B$17))</f>
        <v>0</v>
      </c>
      <c r="AT41" s="609">
        <f>IF(AT$7&gt;$N41,0,AS41*(1-'Interest Rate'!$B$17))</f>
        <v>0</v>
      </c>
      <c r="AU41" s="609">
        <f>IF(AU$7&gt;$N41,0,AT41*(1-'Interest Rate'!$B$17))</f>
        <v>0</v>
      </c>
      <c r="AV41" s="609">
        <f>IF(AV$7&gt;$N41,0,AU41*(1-'Interest Rate'!$B$17))</f>
        <v>0</v>
      </c>
      <c r="AW41" s="609">
        <f>IF(AW$7&gt;$N41,0,AV41*(1-'Interest Rate'!$B$17))</f>
        <v>0</v>
      </c>
      <c r="AX41" s="609">
        <f>IF(AX$7&gt;$N41,0,AW41*(1-'Interest Rate'!$B$17))</f>
        <v>0</v>
      </c>
      <c r="AY41" s="609">
        <f>IF(AY$7&gt;$N41,0,AX41*(1-'Interest Rate'!$B$17))</f>
        <v>0</v>
      </c>
      <c r="AZ41" s="609">
        <f>IF(AZ$7&gt;$N41,0,AY41*(1-'Interest Rate'!$B$17))</f>
        <v>0</v>
      </c>
      <c r="BA41" s="609">
        <f>IF(BA$7&gt;$N41,0,AZ41*(1-'Interest Rate'!$B$17))</f>
        <v>0</v>
      </c>
      <c r="BB41" s="609">
        <f>IF(BB$7&gt;$N41,0,BA41*(1-'Interest Rate'!$B$17))</f>
        <v>0</v>
      </c>
      <c r="BC41" s="609">
        <f>IF(BC$7&gt;$N41,0,BB41*(1-'Interest Rate'!$B$17))</f>
        <v>0</v>
      </c>
      <c r="BD41" s="609">
        <f>IF(BD$7&gt;$N41,0,BC41*(1-'Interest Rate'!$B$17))</f>
        <v>0</v>
      </c>
      <c r="BE41" s="609">
        <f>IF(BE$7&gt;$N41,0,BD41*(1-'Interest Rate'!$B$17))</f>
        <v>0</v>
      </c>
      <c r="BF41" s="609">
        <f>IF(BF$7&gt;$N41,0,BE41*(1-'Interest Rate'!$B$17))</f>
        <v>0</v>
      </c>
      <c r="BG41" s="609">
        <f>IF(BG$7&gt;$N41,0,BF41*(1-'Interest Rate'!$B$17))</f>
        <v>0</v>
      </c>
      <c r="BH41" s="609">
        <f>IF(BH$7&gt;$N41,0,BG41*(1-'Interest Rate'!$B$17))</f>
        <v>0</v>
      </c>
      <c r="BI41" s="609">
        <f>IF(BI$7&gt;$N41,0,BH41*(1-'Interest Rate'!$B$17))</f>
        <v>0</v>
      </c>
      <c r="BJ41" s="609">
        <f>IF(BJ$7&gt;$N41,0,BI41*(1-'Interest Rate'!$B$17))</f>
        <v>0</v>
      </c>
      <c r="BK41" s="609">
        <f>IF(BK$7&gt;$N41,0,BJ41*(1-'Interest Rate'!$B$17))</f>
        <v>0</v>
      </c>
      <c r="BL41" s="609">
        <f>IF(BL$7&gt;$N41,0,BK41*(1-'Interest Rate'!$B$17))</f>
        <v>0</v>
      </c>
      <c r="BM41" s="609">
        <f>IF(BM$7&gt;$N41,0,BL41*(1-'Interest Rate'!$B$17))</f>
        <v>0</v>
      </c>
      <c r="BN41" s="609">
        <f>IF(BN$7&gt;$N41,0,BM41*(1-'Interest Rate'!$B$17))</f>
        <v>0</v>
      </c>
      <c r="BO41" s="609">
        <f>IF(BO$7&gt;$N41,0,BN41*(1-'Interest Rate'!$B$17))</f>
        <v>0</v>
      </c>
      <c r="BP41" s="609">
        <f>IF(BP$7&gt;$N41,0,BO41*(1-'Interest Rate'!$B$17))</f>
        <v>0</v>
      </c>
      <c r="BQ41" s="609">
        <f>IF(BQ$7&gt;$N41,0,BP41*(1-'Interest Rate'!$B$17))</f>
        <v>0</v>
      </c>
      <c r="BR41" s="609">
        <f>IF(BR$7&gt;$N41,0,BQ41*(1-'Interest Rate'!$B$17))</f>
        <v>0</v>
      </c>
      <c r="BS41" s="609">
        <f>IF(BS$7&gt;$N41,0,BR41*(1-'Interest Rate'!$B$17))</f>
        <v>0</v>
      </c>
      <c r="BT41" s="609">
        <f>IF(BT$7&gt;$N41,0,BS41*(1-'Interest Rate'!$B$17))</f>
        <v>0</v>
      </c>
      <c r="BU41" s="609">
        <f>IF(BU$7&gt;$N41,0,BT41*(1-'Interest Rate'!$B$17))</f>
        <v>0</v>
      </c>
      <c r="BV41" s="609">
        <f>IF(BV$7&gt;$N41,0,BU41*(1-'Interest Rate'!$B$17))</f>
        <v>0</v>
      </c>
      <c r="BW41" s="609">
        <f>IF(BW$7&gt;$N41,0,BV41*(1-'Interest Rate'!$B$17))</f>
        <v>0</v>
      </c>
      <c r="BX41" s="609">
        <f>IF(BX$7&gt;$N41,0,BW41*(1-'Interest Rate'!$B$17))</f>
        <v>0</v>
      </c>
      <c r="BY41" s="609">
        <f>IF(BY$7&gt;$N41,0,BX41*(1-'Interest Rate'!$B$17))</f>
        <v>0</v>
      </c>
      <c r="BZ41" s="609">
        <f>IF(BZ$7&gt;$N41,0,BY41*(1-'Interest Rate'!$B$17))</f>
        <v>0</v>
      </c>
      <c r="CA41" s="609">
        <f>IF(CA$7&gt;$N41,0,BZ41*(1-'Interest Rate'!$B$17))</f>
        <v>0</v>
      </c>
      <c r="CB41" s="609">
        <f>IF(CB$7&gt;$N41,0,CA41*(1-'Interest Rate'!$B$17))</f>
        <v>0</v>
      </c>
      <c r="CC41" s="609">
        <f>IF(CC$7&gt;$N41,0,CB41*(1-'Interest Rate'!$B$17))</f>
        <v>0</v>
      </c>
      <c r="CD41" s="609">
        <f>IF(CD$7&gt;$N41,0,CC41*(1-'Interest Rate'!$B$17))</f>
        <v>0</v>
      </c>
      <c r="CE41" s="609">
        <f>IF(CE$7&gt;$N41,0,CD41*(1-'Interest Rate'!$B$17))</f>
        <v>0</v>
      </c>
      <c r="CF41" s="609">
        <f>IF(CF$7&gt;$N41,0,CE41*(1-'Interest Rate'!$B$17))</f>
        <v>0</v>
      </c>
      <c r="CG41" s="609">
        <f>IF(CG$7&gt;$N41,0,CF41*(1-'Interest Rate'!$B$17))</f>
        <v>0</v>
      </c>
      <c r="CH41" s="609">
        <f>IF(CH$7&gt;$N41,0,CG41*(1-'Interest Rate'!$B$17))</f>
        <v>0</v>
      </c>
      <c r="CI41" s="609">
        <f>IF(CI$7&gt;$N41,0,CH41*(1-'Interest Rate'!$B$17))</f>
        <v>0</v>
      </c>
      <c r="CJ41" s="609">
        <f>IF(CJ$7&gt;$N41,0,CI41*(1-'Interest Rate'!$B$17))</f>
        <v>0</v>
      </c>
      <c r="CK41" s="609">
        <f>IF(CK$7&gt;$N41,0,CJ41*(1-'Interest Rate'!$B$17))</f>
        <v>0</v>
      </c>
      <c r="CL41" s="609">
        <f>IF(CL$7&gt;$N41,0,CK41*(1-'Interest Rate'!$B$17))</f>
        <v>0</v>
      </c>
      <c r="CM41" s="609">
        <f>IF(CM$7&gt;$N41,0,CL41*(1-'Interest Rate'!$B$17))</f>
        <v>0</v>
      </c>
      <c r="CN41" s="609">
        <f>IF(CN$7&gt;$N41,0,CM41*(1-'Interest Rate'!$B$17))</f>
        <v>0</v>
      </c>
      <c r="CO41" s="609">
        <f>IF(CO$7&gt;$N41,0,CN41*(1-'Interest Rate'!$B$17))</f>
        <v>0</v>
      </c>
      <c r="CP41" s="609">
        <f>IF(CP$7&gt;$N41,0,CO41*(1-'Interest Rate'!$B$17))</f>
        <v>0</v>
      </c>
      <c r="CQ41" s="609">
        <f>IF(CQ$7&gt;$N41,0,CP41*(1-'Interest Rate'!$B$17))</f>
        <v>0</v>
      </c>
      <c r="CR41" s="609">
        <f>IF(CR$7&gt;$N41,0,CQ41*(1-'Interest Rate'!$B$17))</f>
        <v>0</v>
      </c>
      <c r="CS41" s="609">
        <f>IF(CS$7&gt;$N41,0,CR41*(1-'Interest Rate'!$B$17))</f>
        <v>0</v>
      </c>
      <c r="CT41" s="609">
        <f>IF(CT$7&gt;$N41,0,CS41*(1-'Interest Rate'!$B$17))</f>
        <v>0</v>
      </c>
      <c r="CU41" s="609">
        <f>IF(CU$7&gt;$N41,0,CT41*(1-'Interest Rate'!$B$17))</f>
        <v>0</v>
      </c>
      <c r="CV41" s="609">
        <f>IF(CV$7&gt;$N41,0,CU41*(1-'Interest Rate'!$B$17))</f>
        <v>0</v>
      </c>
      <c r="CW41" s="609">
        <f>IF(CW$7&gt;$N41,0,CV41*(1-'Interest Rate'!$B$17))</f>
        <v>0</v>
      </c>
      <c r="CX41" s="609">
        <f>IF(CX$7&gt;$N41,0,CW41*(1-'Interest Rate'!$B$17))</f>
        <v>0</v>
      </c>
      <c r="CY41" s="609">
        <f>IF(CY$7&gt;$N41,0,CX41*(1-'Interest Rate'!$B$17))</f>
        <v>0</v>
      </c>
      <c r="CZ41" s="609">
        <f>IF(CZ$7&gt;$N41,0,CY41*(1-'Interest Rate'!$B$17))</f>
        <v>0</v>
      </c>
      <c r="DA41" s="609">
        <f>IF(DA$7&gt;$N41,0,CZ41*(1-'Interest Rate'!$B$17))</f>
        <v>0</v>
      </c>
      <c r="DB41" s="609">
        <f>IF(DB$7&gt;$N41,0,DA41*(1-'Interest Rate'!$B$17))</f>
        <v>0</v>
      </c>
      <c r="DC41" s="609">
        <f>IF(DC$7&gt;$N41,0,DB41*(1-'Interest Rate'!$B$17))</f>
        <v>0</v>
      </c>
      <c r="DD41" s="609">
        <f>IF(DD$7&gt;$N41,0,DC41*(1-'Interest Rate'!$B$17))</f>
        <v>0</v>
      </c>
      <c r="DE41" s="609">
        <f>IF(DE$7&gt;$N41,0,DD41*(1-'Interest Rate'!$B$17))</f>
        <v>0</v>
      </c>
      <c r="DF41" s="609">
        <f>IF(DF$7&gt;$N41,0,DE41*(1-'Interest Rate'!$B$17))</f>
        <v>0</v>
      </c>
      <c r="DG41" s="609">
        <f>IF(DG$7&gt;$N41,0,DF41*(1-'Interest Rate'!$B$17))</f>
        <v>0</v>
      </c>
      <c r="DH41" s="609">
        <f>IF(DH$7&gt;$N41,0,DG41*(1-'Interest Rate'!$B$17))</f>
        <v>0</v>
      </c>
      <c r="DI41" s="609">
        <f>IF(DI$7&gt;$N41,0,DH41*(1-'Interest Rate'!$B$17))</f>
        <v>0</v>
      </c>
      <c r="DJ41" s="609">
        <f>IF(DJ$7&gt;$N41,0,DI41*(1-'Interest Rate'!$B$17))</f>
        <v>0</v>
      </c>
      <c r="DK41" s="609">
        <f>IF(DK$7&gt;$N41,0,DJ41*(1-'Interest Rate'!$B$17))</f>
        <v>0</v>
      </c>
      <c r="DL41" s="609">
        <f>IF(DL$7&gt;$N41,0,DK41*(1-'Interest Rate'!$B$17))</f>
        <v>0</v>
      </c>
      <c r="DM41" s="609">
        <f>IF(DM$7&gt;$N41,0,DL41*(1-'Interest Rate'!$B$17))</f>
        <v>0</v>
      </c>
    </row>
    <row r="42" spans="1:117" s="610" customFormat="1" ht="27.75" customHeight="1" x14ac:dyDescent="0.25">
      <c r="A42" s="600" t="str">
        <f>'EEM Data Entry'!A119</f>
        <v/>
      </c>
      <c r="B42" s="613" t="str">
        <f>'EEM Data Entry'!B119</f>
        <v/>
      </c>
      <c r="C42" s="602" t="str">
        <f>'EEM Data Entry'!F119</f>
        <v/>
      </c>
      <c r="D42" s="602">
        <v>0</v>
      </c>
      <c r="E42" s="602" t="e">
        <f t="shared" si="9"/>
        <v>#VALUE!</v>
      </c>
      <c r="F42" s="602">
        <f>('Savings Summary'!D43*'Savings Summary'!D$5)+('Savings Summary'!F43*'Savings Summary'!F$5)+('Savings Summary'!H43*'Savings Summary'!H$5)+('Savings Summary'!J43*'Savings Summary'!J$5)+('Savings Summary'!L43*'Savings Summary'!L$5)+('Savings Summary'!N43*'Savings Summary'!N$5)+('Savings Summary'!P43*'Savings Summary'!P$5)+('Savings Summary'!R43*'Savings Summary'!R$5)</f>
        <v>0</v>
      </c>
      <c r="G42" s="603">
        <f>'Savings Summary'!T43</f>
        <v>0</v>
      </c>
      <c r="H42" s="604" t="e">
        <f t="shared" si="13"/>
        <v>#VALUE!</v>
      </c>
      <c r="I42" s="600" t="e">
        <f>IF(H42=0, "n/a", IF(H42&gt;100, "no",IF(H42&lt;0, "no", "yes")))</f>
        <v>#VALUE!</v>
      </c>
      <c r="J42" s="605" t="e">
        <f t="shared" si="10"/>
        <v>#NUM!</v>
      </c>
      <c r="K42" s="606" t="e">
        <f>PV('Interest Rate'!$B$17,Table7[[#This Row],[LIFETIME]],-Table7[[#This Row],[ANNUAL ENERGY COST SAVINGS]],Table7[[#This Row],[END-OF-LIFE]],0)-Table7[[#This Row],[CAPITAL INVESTMENT]]</f>
        <v>#VALUE!</v>
      </c>
      <c r="L42" s="600" t="str">
        <f>'EEM Data Entry'!C119</f>
        <v/>
      </c>
      <c r="M42" s="614" t="e">
        <f>Table6[[#This Row],[ANNUAL ENERGY COST SAVINGS]]/Table6[[#This Row],[CAPITAL INVESTMENT]]</f>
        <v>#VALUE!</v>
      </c>
      <c r="N42" s="804" t="str">
        <f>Table7[[#This Row],[LIFETIME]]</f>
        <v/>
      </c>
      <c r="O42" s="614"/>
      <c r="P42" s="614"/>
      <c r="Q42" s="608" t="str">
        <f t="shared" si="4"/>
        <v/>
      </c>
      <c r="R42" s="609">
        <f t="shared" si="12"/>
        <v>0</v>
      </c>
      <c r="S42" s="609">
        <f>IF(S$7&gt;$N42,0,R42*(1-'Interest Rate'!$B$17))</f>
        <v>0</v>
      </c>
      <c r="T42" s="609">
        <f>IF(T$7&gt;$N42,0,S42*(1-'Interest Rate'!$B$17))</f>
        <v>0</v>
      </c>
      <c r="U42" s="609">
        <f>IF(U$7&gt;$N42,0,T42*(1-'Interest Rate'!$B$17))</f>
        <v>0</v>
      </c>
      <c r="V42" s="609">
        <f>IF(V$7&gt;$N42,0,U42*(1-'Interest Rate'!$B$17))</f>
        <v>0</v>
      </c>
      <c r="W42" s="609">
        <f>IF(W$7&gt;$N42,0,V42*(1-'Interest Rate'!$B$17))</f>
        <v>0</v>
      </c>
      <c r="X42" s="609">
        <f>IF(X$7&gt;$N42,0,W42*(1-'Interest Rate'!$B$17))</f>
        <v>0</v>
      </c>
      <c r="Y42" s="609">
        <f>IF(Y$7&gt;$N42,0,X42*(1-'Interest Rate'!$B$17))</f>
        <v>0</v>
      </c>
      <c r="Z42" s="609">
        <f>IF(Z$7&gt;$N42,0,Y42*(1-'Interest Rate'!$B$17))</f>
        <v>0</v>
      </c>
      <c r="AA42" s="609">
        <f>IF(AA$7&gt;$N42,0,Z42*(1-'Interest Rate'!$B$17))</f>
        <v>0</v>
      </c>
      <c r="AB42" s="609">
        <f>IF(AB$7&gt;$N42,0,AA42*(1-'Interest Rate'!$B$17))</f>
        <v>0</v>
      </c>
      <c r="AC42" s="609">
        <f>IF(AC$7&gt;$N42,0,AB42*(1-'Interest Rate'!$B$17))</f>
        <v>0</v>
      </c>
      <c r="AD42" s="609">
        <f>IF(AD$7&gt;$N42,0,AC42*(1-'Interest Rate'!$B$17))</f>
        <v>0</v>
      </c>
      <c r="AE42" s="609">
        <f>IF(AE$7&gt;$N42,0,AD42*(1-'Interest Rate'!$B$17))</f>
        <v>0</v>
      </c>
      <c r="AF42" s="609">
        <f>IF(AF$7&gt;$N42,0,AE42*(1-'Interest Rate'!$B$17))</f>
        <v>0</v>
      </c>
      <c r="AG42" s="609">
        <f>IF(AG$7&gt;$N42,0,AF42*(1-'Interest Rate'!$B$17))</f>
        <v>0</v>
      </c>
      <c r="AH42" s="609">
        <f>IF(AH$7&gt;$N42,0,AG42*(1-'Interest Rate'!$B$17))</f>
        <v>0</v>
      </c>
      <c r="AI42" s="609">
        <f>IF(AI$7&gt;$N42,0,AH42*(1-'Interest Rate'!$B$17))</f>
        <v>0</v>
      </c>
      <c r="AJ42" s="609">
        <f>IF(AJ$7&gt;$N42,0,AI42*(1-'Interest Rate'!$B$17))</f>
        <v>0</v>
      </c>
      <c r="AK42" s="609">
        <f>IF(AK$7&gt;$N42,0,AJ42*(1-'Interest Rate'!$B$17))</f>
        <v>0</v>
      </c>
      <c r="AL42" s="609">
        <f>IF(AL$7&gt;$N42,0,AK42*(1-'Interest Rate'!$B$17))</f>
        <v>0</v>
      </c>
      <c r="AM42" s="609">
        <f>IF(AM$7&gt;$N42,0,AL42*(1-'Interest Rate'!$B$17))</f>
        <v>0</v>
      </c>
      <c r="AN42" s="609">
        <f>IF(AN$7&gt;$N42,0,AM42*(1-'Interest Rate'!$B$17))</f>
        <v>0</v>
      </c>
      <c r="AO42" s="609">
        <f>IF(AO$7&gt;$N42,0,AN42*(1-'Interest Rate'!$B$17))</f>
        <v>0</v>
      </c>
      <c r="AP42" s="609">
        <f>IF(AP$7&gt;$N42,0,AO42*(1-'Interest Rate'!$B$17))</f>
        <v>0</v>
      </c>
      <c r="AQ42" s="609">
        <f>IF(AQ$7&gt;$N42,0,AP42*(1-'Interest Rate'!$B$17))</f>
        <v>0</v>
      </c>
      <c r="AR42" s="609">
        <f>IF(AR$7&gt;$N42,0,AQ42*(1-'Interest Rate'!$B$17))</f>
        <v>0</v>
      </c>
      <c r="AS42" s="609">
        <f>IF(AS$7&gt;$N42,0,AR42*(1-'Interest Rate'!$B$17))</f>
        <v>0</v>
      </c>
      <c r="AT42" s="609">
        <f>IF(AT$7&gt;$N42,0,AS42*(1-'Interest Rate'!$B$17))</f>
        <v>0</v>
      </c>
      <c r="AU42" s="609">
        <f>IF(AU$7&gt;$N42,0,AT42*(1-'Interest Rate'!$B$17))</f>
        <v>0</v>
      </c>
      <c r="AV42" s="609">
        <f>IF(AV$7&gt;$N42,0,AU42*(1-'Interest Rate'!$B$17))</f>
        <v>0</v>
      </c>
      <c r="AW42" s="609">
        <f>IF(AW$7&gt;$N42,0,AV42*(1-'Interest Rate'!$B$17))</f>
        <v>0</v>
      </c>
      <c r="AX42" s="609">
        <f>IF(AX$7&gt;$N42,0,AW42*(1-'Interest Rate'!$B$17))</f>
        <v>0</v>
      </c>
      <c r="AY42" s="609">
        <f>IF(AY$7&gt;$N42,0,AX42*(1-'Interest Rate'!$B$17))</f>
        <v>0</v>
      </c>
      <c r="AZ42" s="609">
        <f>IF(AZ$7&gt;$N42,0,AY42*(1-'Interest Rate'!$B$17))</f>
        <v>0</v>
      </c>
      <c r="BA42" s="609">
        <f>IF(BA$7&gt;$N42,0,AZ42*(1-'Interest Rate'!$B$17))</f>
        <v>0</v>
      </c>
      <c r="BB42" s="609">
        <f>IF(BB$7&gt;$N42,0,BA42*(1-'Interest Rate'!$B$17))</f>
        <v>0</v>
      </c>
      <c r="BC42" s="609">
        <f>IF(BC$7&gt;$N42,0,BB42*(1-'Interest Rate'!$B$17))</f>
        <v>0</v>
      </c>
      <c r="BD42" s="609">
        <f>IF(BD$7&gt;$N42,0,BC42*(1-'Interest Rate'!$B$17))</f>
        <v>0</v>
      </c>
      <c r="BE42" s="609">
        <f>IF(BE$7&gt;$N42,0,BD42*(1-'Interest Rate'!$B$17))</f>
        <v>0</v>
      </c>
      <c r="BF42" s="609">
        <f>IF(BF$7&gt;$N42,0,BE42*(1-'Interest Rate'!$B$17))</f>
        <v>0</v>
      </c>
      <c r="BG42" s="609">
        <f>IF(BG$7&gt;$N42,0,BF42*(1-'Interest Rate'!$B$17))</f>
        <v>0</v>
      </c>
      <c r="BH42" s="609">
        <f>IF(BH$7&gt;$N42,0,BG42*(1-'Interest Rate'!$B$17))</f>
        <v>0</v>
      </c>
      <c r="BI42" s="609">
        <f>IF(BI$7&gt;$N42,0,BH42*(1-'Interest Rate'!$B$17))</f>
        <v>0</v>
      </c>
      <c r="BJ42" s="609">
        <f>IF(BJ$7&gt;$N42,0,BI42*(1-'Interest Rate'!$B$17))</f>
        <v>0</v>
      </c>
      <c r="BK42" s="609">
        <f>IF(BK$7&gt;$N42,0,BJ42*(1-'Interest Rate'!$B$17))</f>
        <v>0</v>
      </c>
      <c r="BL42" s="609">
        <f>IF(BL$7&gt;$N42,0,BK42*(1-'Interest Rate'!$B$17))</f>
        <v>0</v>
      </c>
      <c r="BM42" s="609">
        <f>IF(BM$7&gt;$N42,0,BL42*(1-'Interest Rate'!$B$17))</f>
        <v>0</v>
      </c>
      <c r="BN42" s="609">
        <f>IF(BN$7&gt;$N42,0,BM42*(1-'Interest Rate'!$B$17))</f>
        <v>0</v>
      </c>
      <c r="BO42" s="609">
        <f>IF(BO$7&gt;$N42,0,BN42*(1-'Interest Rate'!$B$17))</f>
        <v>0</v>
      </c>
      <c r="BP42" s="609">
        <f>IF(BP$7&gt;$N42,0,BO42*(1-'Interest Rate'!$B$17))</f>
        <v>0</v>
      </c>
      <c r="BQ42" s="609">
        <f>IF(BQ$7&gt;$N42,0,BP42*(1-'Interest Rate'!$B$17))</f>
        <v>0</v>
      </c>
      <c r="BR42" s="609">
        <f>IF(BR$7&gt;$N42,0,BQ42*(1-'Interest Rate'!$B$17))</f>
        <v>0</v>
      </c>
      <c r="BS42" s="609">
        <f>IF(BS$7&gt;$N42,0,BR42*(1-'Interest Rate'!$B$17))</f>
        <v>0</v>
      </c>
      <c r="BT42" s="609">
        <f>IF(BT$7&gt;$N42,0,BS42*(1-'Interest Rate'!$B$17))</f>
        <v>0</v>
      </c>
      <c r="BU42" s="609">
        <f>IF(BU$7&gt;$N42,0,BT42*(1-'Interest Rate'!$B$17))</f>
        <v>0</v>
      </c>
      <c r="BV42" s="609">
        <f>IF(BV$7&gt;$N42,0,BU42*(1-'Interest Rate'!$B$17))</f>
        <v>0</v>
      </c>
      <c r="BW42" s="609">
        <f>IF(BW$7&gt;$N42,0,BV42*(1-'Interest Rate'!$B$17))</f>
        <v>0</v>
      </c>
      <c r="BX42" s="609">
        <f>IF(BX$7&gt;$N42,0,BW42*(1-'Interest Rate'!$B$17))</f>
        <v>0</v>
      </c>
      <c r="BY42" s="609">
        <f>IF(BY$7&gt;$N42,0,BX42*(1-'Interest Rate'!$B$17))</f>
        <v>0</v>
      </c>
      <c r="BZ42" s="609">
        <f>IF(BZ$7&gt;$N42,0,BY42*(1-'Interest Rate'!$B$17))</f>
        <v>0</v>
      </c>
      <c r="CA42" s="609">
        <f>IF(CA$7&gt;$N42,0,BZ42*(1-'Interest Rate'!$B$17))</f>
        <v>0</v>
      </c>
      <c r="CB42" s="609">
        <f>IF(CB$7&gt;$N42,0,CA42*(1-'Interest Rate'!$B$17))</f>
        <v>0</v>
      </c>
      <c r="CC42" s="609">
        <f>IF(CC$7&gt;$N42,0,CB42*(1-'Interest Rate'!$B$17))</f>
        <v>0</v>
      </c>
      <c r="CD42" s="609">
        <f>IF(CD$7&gt;$N42,0,CC42*(1-'Interest Rate'!$B$17))</f>
        <v>0</v>
      </c>
      <c r="CE42" s="609">
        <f>IF(CE$7&gt;$N42,0,CD42*(1-'Interest Rate'!$B$17))</f>
        <v>0</v>
      </c>
      <c r="CF42" s="609">
        <f>IF(CF$7&gt;$N42,0,CE42*(1-'Interest Rate'!$B$17))</f>
        <v>0</v>
      </c>
      <c r="CG42" s="609">
        <f>IF(CG$7&gt;$N42,0,CF42*(1-'Interest Rate'!$B$17))</f>
        <v>0</v>
      </c>
      <c r="CH42" s="609">
        <f>IF(CH$7&gt;$N42,0,CG42*(1-'Interest Rate'!$B$17))</f>
        <v>0</v>
      </c>
      <c r="CI42" s="609">
        <f>IF(CI$7&gt;$N42,0,CH42*(1-'Interest Rate'!$B$17))</f>
        <v>0</v>
      </c>
      <c r="CJ42" s="609">
        <f>IF(CJ$7&gt;$N42,0,CI42*(1-'Interest Rate'!$B$17))</f>
        <v>0</v>
      </c>
      <c r="CK42" s="609">
        <f>IF(CK$7&gt;$N42,0,CJ42*(1-'Interest Rate'!$B$17))</f>
        <v>0</v>
      </c>
      <c r="CL42" s="609">
        <f>IF(CL$7&gt;$N42,0,CK42*(1-'Interest Rate'!$B$17))</f>
        <v>0</v>
      </c>
      <c r="CM42" s="609">
        <f>IF(CM$7&gt;$N42,0,CL42*(1-'Interest Rate'!$B$17))</f>
        <v>0</v>
      </c>
      <c r="CN42" s="609">
        <f>IF(CN$7&gt;$N42,0,CM42*(1-'Interest Rate'!$B$17))</f>
        <v>0</v>
      </c>
      <c r="CO42" s="609">
        <f>IF(CO$7&gt;$N42,0,CN42*(1-'Interest Rate'!$B$17))</f>
        <v>0</v>
      </c>
      <c r="CP42" s="609">
        <f>IF(CP$7&gt;$N42,0,CO42*(1-'Interest Rate'!$B$17))</f>
        <v>0</v>
      </c>
      <c r="CQ42" s="609">
        <f>IF(CQ$7&gt;$N42,0,CP42*(1-'Interest Rate'!$B$17))</f>
        <v>0</v>
      </c>
      <c r="CR42" s="609">
        <f>IF(CR$7&gt;$N42,0,CQ42*(1-'Interest Rate'!$B$17))</f>
        <v>0</v>
      </c>
      <c r="CS42" s="609">
        <f>IF(CS$7&gt;$N42,0,CR42*(1-'Interest Rate'!$B$17))</f>
        <v>0</v>
      </c>
      <c r="CT42" s="609">
        <f>IF(CT$7&gt;$N42,0,CS42*(1-'Interest Rate'!$B$17))</f>
        <v>0</v>
      </c>
      <c r="CU42" s="609">
        <f>IF(CU$7&gt;$N42,0,CT42*(1-'Interest Rate'!$B$17))</f>
        <v>0</v>
      </c>
      <c r="CV42" s="609">
        <f>IF(CV$7&gt;$N42,0,CU42*(1-'Interest Rate'!$B$17))</f>
        <v>0</v>
      </c>
      <c r="CW42" s="609">
        <f>IF(CW$7&gt;$N42,0,CV42*(1-'Interest Rate'!$B$17))</f>
        <v>0</v>
      </c>
      <c r="CX42" s="609">
        <f>IF(CX$7&gt;$N42,0,CW42*(1-'Interest Rate'!$B$17))</f>
        <v>0</v>
      </c>
      <c r="CY42" s="609">
        <f>IF(CY$7&gt;$N42,0,CX42*(1-'Interest Rate'!$B$17))</f>
        <v>0</v>
      </c>
      <c r="CZ42" s="609">
        <f>IF(CZ$7&gt;$N42,0,CY42*(1-'Interest Rate'!$B$17))</f>
        <v>0</v>
      </c>
      <c r="DA42" s="609">
        <f>IF(DA$7&gt;$N42,0,CZ42*(1-'Interest Rate'!$B$17))</f>
        <v>0</v>
      </c>
      <c r="DB42" s="609">
        <f>IF(DB$7&gt;$N42,0,DA42*(1-'Interest Rate'!$B$17))</f>
        <v>0</v>
      </c>
      <c r="DC42" s="609">
        <f>IF(DC$7&gt;$N42,0,DB42*(1-'Interest Rate'!$B$17))</f>
        <v>0</v>
      </c>
      <c r="DD42" s="609">
        <f>IF(DD$7&gt;$N42,0,DC42*(1-'Interest Rate'!$B$17))</f>
        <v>0</v>
      </c>
      <c r="DE42" s="609">
        <f>IF(DE$7&gt;$N42,0,DD42*(1-'Interest Rate'!$B$17))</f>
        <v>0</v>
      </c>
      <c r="DF42" s="609">
        <f>IF(DF$7&gt;$N42,0,DE42*(1-'Interest Rate'!$B$17))</f>
        <v>0</v>
      </c>
      <c r="DG42" s="609">
        <f>IF(DG$7&gt;$N42,0,DF42*(1-'Interest Rate'!$B$17))</f>
        <v>0</v>
      </c>
      <c r="DH42" s="609">
        <f>IF(DH$7&gt;$N42,0,DG42*(1-'Interest Rate'!$B$17))</f>
        <v>0</v>
      </c>
      <c r="DI42" s="609">
        <f>IF(DI$7&gt;$N42,0,DH42*(1-'Interest Rate'!$B$17))</f>
        <v>0</v>
      </c>
      <c r="DJ42" s="609">
        <f>IF(DJ$7&gt;$N42,0,DI42*(1-'Interest Rate'!$B$17))</f>
        <v>0</v>
      </c>
      <c r="DK42" s="609">
        <f>IF(DK$7&gt;$N42,0,DJ42*(1-'Interest Rate'!$B$17))</f>
        <v>0</v>
      </c>
      <c r="DL42" s="609">
        <f>IF(DL$7&gt;$N42,0,DK42*(1-'Interest Rate'!$B$17))</f>
        <v>0</v>
      </c>
      <c r="DM42" s="609">
        <f>IF(DM$7&gt;$N42,0,DL42*(1-'Interest Rate'!$B$17))</f>
        <v>0</v>
      </c>
    </row>
    <row r="43" spans="1:117" ht="27.75" customHeight="1" x14ac:dyDescent="0.3">
      <c r="A43" s="600" t="str">
        <f>'EEM Data Entry'!A120</f>
        <v/>
      </c>
      <c r="B43" s="613" t="str">
        <f>'EEM Data Entry'!B120</f>
        <v/>
      </c>
      <c r="C43" s="602" t="str">
        <f>'EEM Data Entry'!F120</f>
        <v/>
      </c>
      <c r="D43" s="602">
        <v>0</v>
      </c>
      <c r="E43" s="602" t="e">
        <f t="shared" si="9"/>
        <v>#VALUE!</v>
      </c>
      <c r="F43" s="602">
        <f>('Savings Summary'!D44*'Savings Summary'!D$5)+('Savings Summary'!F44*'Savings Summary'!F$5)+('Savings Summary'!H44*'Savings Summary'!H$5)+('Savings Summary'!J44*'Savings Summary'!J$5)+('Savings Summary'!L44*'Savings Summary'!L$5)+('Savings Summary'!N44*'Savings Summary'!N$5)+('Savings Summary'!P44*'Savings Summary'!P$5)+('Savings Summary'!R44*'Savings Summary'!R$5)</f>
        <v>0</v>
      </c>
      <c r="G43" s="603">
        <f>'Savings Summary'!T44</f>
        <v>0</v>
      </c>
      <c r="H43" s="604" t="e">
        <f t="shared" si="13"/>
        <v>#VALUE!</v>
      </c>
      <c r="I43" s="600" t="e">
        <f>IF(H43=0, "n/a", IF(H43&gt;100, "no",IF(H43&lt;0, "no", "yes")))</f>
        <v>#VALUE!</v>
      </c>
      <c r="J43" s="605" t="e">
        <f t="shared" si="10"/>
        <v>#NUM!</v>
      </c>
      <c r="K43" s="606" t="e">
        <f>PV('Interest Rate'!$B$17,Table7[[#This Row],[LIFETIME]],-Table7[[#This Row],[ANNUAL ENERGY COST SAVINGS]],Table7[[#This Row],[END-OF-LIFE]],0)-Table7[[#This Row],[CAPITAL INVESTMENT]]</f>
        <v>#VALUE!</v>
      </c>
      <c r="L43" s="600" t="str">
        <f>'EEM Data Entry'!C120</f>
        <v/>
      </c>
      <c r="M43" s="614" t="e">
        <f>Table6[[#This Row],[ANNUAL ENERGY COST SAVINGS]]/Table6[[#This Row],[CAPITAL INVESTMENT]]</f>
        <v>#VALUE!</v>
      </c>
      <c r="N43" s="804" t="str">
        <f>Table7[[#This Row],[LIFETIME]]</f>
        <v/>
      </c>
      <c r="O43" s="614"/>
      <c r="P43" s="614"/>
      <c r="Q43" s="608" t="str">
        <f t="shared" si="4"/>
        <v/>
      </c>
      <c r="R43" s="609">
        <f t="shared" si="12"/>
        <v>0</v>
      </c>
      <c r="S43" s="609">
        <f>IF(S$7&gt;$N43,0,R43*(1-'Interest Rate'!$B$17))</f>
        <v>0</v>
      </c>
      <c r="T43" s="609">
        <f>IF(T$7&gt;$N43,0,S43*(1-'Interest Rate'!$B$17))</f>
        <v>0</v>
      </c>
      <c r="U43" s="609">
        <f>IF(U$7&gt;$N43,0,T43*(1-'Interest Rate'!$B$17))</f>
        <v>0</v>
      </c>
      <c r="V43" s="609">
        <f>IF(V$7&gt;$N43,0,U43*(1-'Interest Rate'!$B$17))</f>
        <v>0</v>
      </c>
      <c r="W43" s="609">
        <f>IF(W$7&gt;$N43,0,V43*(1-'Interest Rate'!$B$17))</f>
        <v>0</v>
      </c>
      <c r="X43" s="609">
        <f>IF(X$7&gt;$N43,0,W43*(1-'Interest Rate'!$B$17))</f>
        <v>0</v>
      </c>
      <c r="Y43" s="609">
        <f>IF(Y$7&gt;$N43,0,X43*(1-'Interest Rate'!$B$17))</f>
        <v>0</v>
      </c>
      <c r="Z43" s="609">
        <f>IF(Z$7&gt;$N43,0,Y43*(1-'Interest Rate'!$B$17))</f>
        <v>0</v>
      </c>
      <c r="AA43" s="609">
        <f>IF(AA$7&gt;$N43,0,Z43*(1-'Interest Rate'!$B$17))</f>
        <v>0</v>
      </c>
      <c r="AB43" s="609">
        <f>IF(AB$7&gt;$N43,0,AA43*(1-'Interest Rate'!$B$17))</f>
        <v>0</v>
      </c>
      <c r="AC43" s="609">
        <f>IF(AC$7&gt;$N43,0,AB43*(1-'Interest Rate'!$B$17))</f>
        <v>0</v>
      </c>
      <c r="AD43" s="609">
        <f>IF(AD$7&gt;$N43,0,AC43*(1-'Interest Rate'!$B$17))</f>
        <v>0</v>
      </c>
      <c r="AE43" s="609">
        <f>IF(AE$7&gt;$N43,0,AD43*(1-'Interest Rate'!$B$17))</f>
        <v>0</v>
      </c>
      <c r="AF43" s="609">
        <f>IF(AF$7&gt;$N43,0,AE43*(1-'Interest Rate'!$B$17))</f>
        <v>0</v>
      </c>
      <c r="AG43" s="609">
        <f>IF(AG$7&gt;$N43,0,AF43*(1-'Interest Rate'!$B$17))</f>
        <v>0</v>
      </c>
      <c r="AH43" s="609">
        <f>IF(AH$7&gt;$N43,0,AG43*(1-'Interest Rate'!$B$17))</f>
        <v>0</v>
      </c>
      <c r="AI43" s="609">
        <f>IF(AI$7&gt;$N43,0,AH43*(1-'Interest Rate'!$B$17))</f>
        <v>0</v>
      </c>
      <c r="AJ43" s="609">
        <f>IF(AJ$7&gt;$N43,0,AI43*(1-'Interest Rate'!$B$17))</f>
        <v>0</v>
      </c>
      <c r="AK43" s="609">
        <f>IF(AK$7&gt;$N43,0,AJ43*(1-'Interest Rate'!$B$17))</f>
        <v>0</v>
      </c>
      <c r="AL43" s="609">
        <f>IF(AL$7&gt;$N43,0,AK43*(1-'Interest Rate'!$B$17))</f>
        <v>0</v>
      </c>
      <c r="AM43" s="609">
        <f>IF(AM$7&gt;$N43,0,AL43*(1-'Interest Rate'!$B$17))</f>
        <v>0</v>
      </c>
      <c r="AN43" s="609">
        <f>IF(AN$7&gt;$N43,0,AM43*(1-'Interest Rate'!$B$17))</f>
        <v>0</v>
      </c>
      <c r="AO43" s="609">
        <f>IF(AO$7&gt;$N43,0,AN43*(1-'Interest Rate'!$B$17))</f>
        <v>0</v>
      </c>
      <c r="AP43" s="609">
        <f>IF(AP$7&gt;$N43,0,AO43*(1-'Interest Rate'!$B$17))</f>
        <v>0</v>
      </c>
      <c r="AQ43" s="609">
        <f>IF(AQ$7&gt;$N43,0,AP43*(1-'Interest Rate'!$B$17))</f>
        <v>0</v>
      </c>
      <c r="AR43" s="609">
        <f>IF(AR$7&gt;$N43,0,AQ43*(1-'Interest Rate'!$B$17))</f>
        <v>0</v>
      </c>
      <c r="AS43" s="609">
        <f>IF(AS$7&gt;$N43,0,AR43*(1-'Interest Rate'!$B$17))</f>
        <v>0</v>
      </c>
      <c r="AT43" s="609">
        <f>IF(AT$7&gt;$N43,0,AS43*(1-'Interest Rate'!$B$17))</f>
        <v>0</v>
      </c>
      <c r="AU43" s="609">
        <f>IF(AU$7&gt;$N43,0,AT43*(1-'Interest Rate'!$B$17))</f>
        <v>0</v>
      </c>
      <c r="AV43" s="609">
        <f>IF(AV$7&gt;$N43,0,AU43*(1-'Interest Rate'!$B$17))</f>
        <v>0</v>
      </c>
      <c r="AW43" s="609">
        <f>IF(AW$7&gt;$N43,0,AV43*(1-'Interest Rate'!$B$17))</f>
        <v>0</v>
      </c>
      <c r="AX43" s="609">
        <f>IF(AX$7&gt;$N43,0,AW43*(1-'Interest Rate'!$B$17))</f>
        <v>0</v>
      </c>
      <c r="AY43" s="609">
        <f>IF(AY$7&gt;$N43,0,AX43*(1-'Interest Rate'!$B$17))</f>
        <v>0</v>
      </c>
      <c r="AZ43" s="609">
        <f>IF(AZ$7&gt;$N43,0,AY43*(1-'Interest Rate'!$B$17))</f>
        <v>0</v>
      </c>
      <c r="BA43" s="609">
        <f>IF(BA$7&gt;$N43,0,AZ43*(1-'Interest Rate'!$B$17))</f>
        <v>0</v>
      </c>
      <c r="BB43" s="609">
        <f>IF(BB$7&gt;$N43,0,BA43*(1-'Interest Rate'!$B$17))</f>
        <v>0</v>
      </c>
      <c r="BC43" s="609">
        <f>IF(BC$7&gt;$N43,0,BB43*(1-'Interest Rate'!$B$17))</f>
        <v>0</v>
      </c>
      <c r="BD43" s="609">
        <f>IF(BD$7&gt;$N43,0,BC43*(1-'Interest Rate'!$B$17))</f>
        <v>0</v>
      </c>
      <c r="BE43" s="609">
        <f>IF(BE$7&gt;$N43,0,BD43*(1-'Interest Rate'!$B$17))</f>
        <v>0</v>
      </c>
      <c r="BF43" s="609">
        <f>IF(BF$7&gt;$N43,0,BE43*(1-'Interest Rate'!$B$17))</f>
        <v>0</v>
      </c>
      <c r="BG43" s="609">
        <f>IF(BG$7&gt;$N43,0,BF43*(1-'Interest Rate'!$B$17))</f>
        <v>0</v>
      </c>
      <c r="BH43" s="609">
        <f>IF(BH$7&gt;$N43,0,BG43*(1-'Interest Rate'!$B$17))</f>
        <v>0</v>
      </c>
      <c r="BI43" s="609">
        <f>IF(BI$7&gt;$N43,0,BH43*(1-'Interest Rate'!$B$17))</f>
        <v>0</v>
      </c>
      <c r="BJ43" s="609">
        <f>IF(BJ$7&gt;$N43,0,BI43*(1-'Interest Rate'!$B$17))</f>
        <v>0</v>
      </c>
      <c r="BK43" s="609">
        <f>IF(BK$7&gt;$N43,0,BJ43*(1-'Interest Rate'!$B$17))</f>
        <v>0</v>
      </c>
      <c r="BL43" s="609">
        <f>IF(BL$7&gt;$N43,0,BK43*(1-'Interest Rate'!$B$17))</f>
        <v>0</v>
      </c>
      <c r="BM43" s="609">
        <f>IF(BM$7&gt;$N43,0,BL43*(1-'Interest Rate'!$B$17))</f>
        <v>0</v>
      </c>
      <c r="BN43" s="609">
        <f>IF(BN$7&gt;$N43,0,BM43*(1-'Interest Rate'!$B$17))</f>
        <v>0</v>
      </c>
      <c r="BO43" s="609">
        <f>IF(BO$7&gt;$N43,0,BN43*(1-'Interest Rate'!$B$17))</f>
        <v>0</v>
      </c>
      <c r="BP43" s="609">
        <f>IF(BP$7&gt;$N43,0,BO43*(1-'Interest Rate'!$B$17))</f>
        <v>0</v>
      </c>
      <c r="BQ43" s="609">
        <f>IF(BQ$7&gt;$N43,0,BP43*(1-'Interest Rate'!$B$17))</f>
        <v>0</v>
      </c>
      <c r="BR43" s="609">
        <f>IF(BR$7&gt;$N43,0,BQ43*(1-'Interest Rate'!$B$17))</f>
        <v>0</v>
      </c>
      <c r="BS43" s="609">
        <f>IF(BS$7&gt;$N43,0,BR43*(1-'Interest Rate'!$B$17))</f>
        <v>0</v>
      </c>
      <c r="BT43" s="609">
        <f>IF(BT$7&gt;$N43,0,BS43*(1-'Interest Rate'!$B$17))</f>
        <v>0</v>
      </c>
      <c r="BU43" s="609">
        <f>IF(BU$7&gt;$N43,0,BT43*(1-'Interest Rate'!$B$17))</f>
        <v>0</v>
      </c>
      <c r="BV43" s="609">
        <f>IF(BV$7&gt;$N43,0,BU43*(1-'Interest Rate'!$B$17))</f>
        <v>0</v>
      </c>
      <c r="BW43" s="609">
        <f>IF(BW$7&gt;$N43,0,BV43*(1-'Interest Rate'!$B$17))</f>
        <v>0</v>
      </c>
      <c r="BX43" s="609">
        <f>IF(BX$7&gt;$N43,0,BW43*(1-'Interest Rate'!$B$17))</f>
        <v>0</v>
      </c>
      <c r="BY43" s="609">
        <f>IF(BY$7&gt;$N43,0,BX43*(1-'Interest Rate'!$B$17))</f>
        <v>0</v>
      </c>
      <c r="BZ43" s="609">
        <f>IF(BZ$7&gt;$N43,0,BY43*(1-'Interest Rate'!$B$17))</f>
        <v>0</v>
      </c>
      <c r="CA43" s="609">
        <f>IF(CA$7&gt;$N43,0,BZ43*(1-'Interest Rate'!$B$17))</f>
        <v>0</v>
      </c>
      <c r="CB43" s="609">
        <f>IF(CB$7&gt;$N43,0,CA43*(1-'Interest Rate'!$B$17))</f>
        <v>0</v>
      </c>
      <c r="CC43" s="609">
        <f>IF(CC$7&gt;$N43,0,CB43*(1-'Interest Rate'!$B$17))</f>
        <v>0</v>
      </c>
      <c r="CD43" s="609">
        <f>IF(CD$7&gt;$N43,0,CC43*(1-'Interest Rate'!$B$17))</f>
        <v>0</v>
      </c>
      <c r="CE43" s="609">
        <f>IF(CE$7&gt;$N43,0,CD43*(1-'Interest Rate'!$B$17))</f>
        <v>0</v>
      </c>
      <c r="CF43" s="609">
        <f>IF(CF$7&gt;$N43,0,CE43*(1-'Interest Rate'!$B$17))</f>
        <v>0</v>
      </c>
      <c r="CG43" s="609">
        <f>IF(CG$7&gt;$N43,0,CF43*(1-'Interest Rate'!$B$17))</f>
        <v>0</v>
      </c>
      <c r="CH43" s="609">
        <f>IF(CH$7&gt;$N43,0,CG43*(1-'Interest Rate'!$B$17))</f>
        <v>0</v>
      </c>
      <c r="CI43" s="609">
        <f>IF(CI$7&gt;$N43,0,CH43*(1-'Interest Rate'!$B$17))</f>
        <v>0</v>
      </c>
      <c r="CJ43" s="609">
        <f>IF(CJ$7&gt;$N43,0,CI43*(1-'Interest Rate'!$B$17))</f>
        <v>0</v>
      </c>
      <c r="CK43" s="609">
        <f>IF(CK$7&gt;$N43,0,CJ43*(1-'Interest Rate'!$B$17))</f>
        <v>0</v>
      </c>
      <c r="CL43" s="609">
        <f>IF(CL$7&gt;$N43,0,CK43*(1-'Interest Rate'!$B$17))</f>
        <v>0</v>
      </c>
      <c r="CM43" s="609">
        <f>IF(CM$7&gt;$N43,0,CL43*(1-'Interest Rate'!$B$17))</f>
        <v>0</v>
      </c>
      <c r="CN43" s="609">
        <f>IF(CN$7&gt;$N43,0,CM43*(1-'Interest Rate'!$B$17))</f>
        <v>0</v>
      </c>
      <c r="CO43" s="609">
        <f>IF(CO$7&gt;$N43,0,CN43*(1-'Interest Rate'!$B$17))</f>
        <v>0</v>
      </c>
      <c r="CP43" s="609">
        <f>IF(CP$7&gt;$N43,0,CO43*(1-'Interest Rate'!$B$17))</f>
        <v>0</v>
      </c>
      <c r="CQ43" s="609">
        <f>IF(CQ$7&gt;$N43,0,CP43*(1-'Interest Rate'!$B$17))</f>
        <v>0</v>
      </c>
      <c r="CR43" s="609">
        <f>IF(CR$7&gt;$N43,0,CQ43*(1-'Interest Rate'!$B$17))</f>
        <v>0</v>
      </c>
      <c r="CS43" s="609">
        <f>IF(CS$7&gt;$N43,0,CR43*(1-'Interest Rate'!$B$17))</f>
        <v>0</v>
      </c>
      <c r="CT43" s="609">
        <f>IF(CT$7&gt;$N43,0,CS43*(1-'Interest Rate'!$B$17))</f>
        <v>0</v>
      </c>
      <c r="CU43" s="609">
        <f>IF(CU$7&gt;$N43,0,CT43*(1-'Interest Rate'!$B$17))</f>
        <v>0</v>
      </c>
      <c r="CV43" s="609">
        <f>IF(CV$7&gt;$N43,0,CU43*(1-'Interest Rate'!$B$17))</f>
        <v>0</v>
      </c>
      <c r="CW43" s="609">
        <f>IF(CW$7&gt;$N43,0,CV43*(1-'Interest Rate'!$B$17))</f>
        <v>0</v>
      </c>
      <c r="CX43" s="609">
        <f>IF(CX$7&gt;$N43,0,CW43*(1-'Interest Rate'!$B$17))</f>
        <v>0</v>
      </c>
      <c r="CY43" s="609">
        <f>IF(CY$7&gt;$N43,0,CX43*(1-'Interest Rate'!$B$17))</f>
        <v>0</v>
      </c>
      <c r="CZ43" s="609">
        <f>IF(CZ$7&gt;$N43,0,CY43*(1-'Interest Rate'!$B$17))</f>
        <v>0</v>
      </c>
      <c r="DA43" s="609">
        <f>IF(DA$7&gt;$N43,0,CZ43*(1-'Interest Rate'!$B$17))</f>
        <v>0</v>
      </c>
      <c r="DB43" s="609">
        <f>IF(DB$7&gt;$N43,0,DA43*(1-'Interest Rate'!$B$17))</f>
        <v>0</v>
      </c>
      <c r="DC43" s="609">
        <f>IF(DC$7&gt;$N43,0,DB43*(1-'Interest Rate'!$B$17))</f>
        <v>0</v>
      </c>
      <c r="DD43" s="609">
        <f>IF(DD$7&gt;$N43,0,DC43*(1-'Interest Rate'!$B$17))</f>
        <v>0</v>
      </c>
      <c r="DE43" s="609">
        <f>IF(DE$7&gt;$N43,0,DD43*(1-'Interest Rate'!$B$17))</f>
        <v>0</v>
      </c>
      <c r="DF43" s="609">
        <f>IF(DF$7&gt;$N43,0,DE43*(1-'Interest Rate'!$B$17))</f>
        <v>0</v>
      </c>
      <c r="DG43" s="609">
        <f>IF(DG$7&gt;$N43,0,DF43*(1-'Interest Rate'!$B$17))</f>
        <v>0</v>
      </c>
      <c r="DH43" s="609">
        <f>IF(DH$7&gt;$N43,0,DG43*(1-'Interest Rate'!$B$17))</f>
        <v>0</v>
      </c>
      <c r="DI43" s="609">
        <f>IF(DI$7&gt;$N43,0,DH43*(1-'Interest Rate'!$B$17))</f>
        <v>0</v>
      </c>
      <c r="DJ43" s="609">
        <f>IF(DJ$7&gt;$N43,0,DI43*(1-'Interest Rate'!$B$17))</f>
        <v>0</v>
      </c>
      <c r="DK43" s="609">
        <f>IF(DK$7&gt;$N43,0,DJ43*(1-'Interest Rate'!$B$17))</f>
        <v>0</v>
      </c>
      <c r="DL43" s="609">
        <f>IF(DL$7&gt;$N43,0,DK43*(1-'Interest Rate'!$B$17))</f>
        <v>0</v>
      </c>
      <c r="DM43" s="609">
        <f>IF(DM$7&gt;$N43,0,DL43*(1-'Interest Rate'!$B$17))</f>
        <v>0</v>
      </c>
    </row>
    <row r="44" spans="1:117" ht="27.75" customHeight="1" x14ac:dyDescent="0.3">
      <c r="A44" s="600" t="str">
        <f>'EEM Data Entry'!A121</f>
        <v/>
      </c>
      <c r="B44" s="613" t="str">
        <f>'EEM Data Entry'!B121</f>
        <v/>
      </c>
      <c r="C44" s="602" t="str">
        <f>'EEM Data Entry'!F121</f>
        <v/>
      </c>
      <c r="D44" s="602">
        <v>0</v>
      </c>
      <c r="E44" s="602" t="e">
        <f t="shared" si="9"/>
        <v>#VALUE!</v>
      </c>
      <c r="F44" s="602">
        <f>('Savings Summary'!D45*'Savings Summary'!D$5)+('Savings Summary'!F45*'Savings Summary'!F$5)+('Savings Summary'!H45*'Savings Summary'!H$5)+('Savings Summary'!J45*'Savings Summary'!J$5)+('Savings Summary'!L45*'Savings Summary'!L$5)+('Savings Summary'!N45*'Savings Summary'!N$5)+('Savings Summary'!P45*'Savings Summary'!P$5)+('Savings Summary'!R45*'Savings Summary'!R$5)</f>
        <v>0</v>
      </c>
      <c r="G44" s="603">
        <f>'Savings Summary'!T45</f>
        <v>0</v>
      </c>
      <c r="H44" s="604" t="e">
        <f t="shared" si="13"/>
        <v>#VALUE!</v>
      </c>
      <c r="I44" s="600" t="e">
        <f t="shared" si="11"/>
        <v>#VALUE!</v>
      </c>
      <c r="J44" s="605" t="e">
        <f t="shared" si="10"/>
        <v>#NUM!</v>
      </c>
      <c r="K44" s="606" t="e">
        <f>PV('Interest Rate'!$B$17,Table7[[#This Row],[LIFETIME]],-Table7[[#This Row],[ANNUAL ENERGY COST SAVINGS]],Table7[[#This Row],[END-OF-LIFE]],0)-Table7[[#This Row],[CAPITAL INVESTMENT]]</f>
        <v>#VALUE!</v>
      </c>
      <c r="L44" s="600" t="str">
        <f>'EEM Data Entry'!C121</f>
        <v/>
      </c>
      <c r="M44" s="615" t="e">
        <f>Table6[[#This Row],[ANNUAL ENERGY COST SAVINGS]]/Table6[[#This Row],[CAPITAL INVESTMENT]]</f>
        <v>#VALUE!</v>
      </c>
      <c r="N44" s="804" t="str">
        <f>Table7[[#This Row],[LIFETIME]]</f>
        <v/>
      </c>
      <c r="O44" s="615"/>
      <c r="P44" s="615"/>
      <c r="Q44" s="608" t="str">
        <f t="shared" si="4"/>
        <v/>
      </c>
      <c r="R44" s="609">
        <f t="shared" si="12"/>
        <v>0</v>
      </c>
      <c r="S44" s="609">
        <f>IF(S$7&gt;$N44,0,R44*(1-'Interest Rate'!$B$17))</f>
        <v>0</v>
      </c>
      <c r="T44" s="609">
        <f>IF(T$7&gt;$N44,0,S44*(1-'Interest Rate'!$B$17))</f>
        <v>0</v>
      </c>
      <c r="U44" s="609">
        <f>IF(U$7&gt;$N44,0,T44*(1-'Interest Rate'!$B$17))</f>
        <v>0</v>
      </c>
      <c r="V44" s="609">
        <f>IF(V$7&gt;$N44,0,U44*(1-'Interest Rate'!$B$17))</f>
        <v>0</v>
      </c>
      <c r="W44" s="609">
        <f>IF(W$7&gt;$N44,0,V44*(1-'Interest Rate'!$B$17))</f>
        <v>0</v>
      </c>
      <c r="X44" s="609">
        <f>IF(X$7&gt;$N44,0,W44*(1-'Interest Rate'!$B$17))</f>
        <v>0</v>
      </c>
      <c r="Y44" s="609">
        <f>IF(Y$7&gt;$N44,0,X44*(1-'Interest Rate'!$B$17))</f>
        <v>0</v>
      </c>
      <c r="Z44" s="609">
        <f>IF(Z$7&gt;$N44,0,Y44*(1-'Interest Rate'!$B$17))</f>
        <v>0</v>
      </c>
      <c r="AA44" s="609">
        <f>IF(AA$7&gt;$N44,0,Z44*(1-'Interest Rate'!$B$17))</f>
        <v>0</v>
      </c>
      <c r="AB44" s="609">
        <f>IF(AB$7&gt;$N44,0,AA44*(1-'Interest Rate'!$B$17))</f>
        <v>0</v>
      </c>
      <c r="AC44" s="609">
        <f>IF(AC$7&gt;$N44,0,AB44*(1-'Interest Rate'!$B$17))</f>
        <v>0</v>
      </c>
      <c r="AD44" s="609">
        <f>IF(AD$7&gt;$N44,0,AC44*(1-'Interest Rate'!$B$17))</f>
        <v>0</v>
      </c>
      <c r="AE44" s="609">
        <f>IF(AE$7&gt;$N44,0,AD44*(1-'Interest Rate'!$B$17))</f>
        <v>0</v>
      </c>
      <c r="AF44" s="609">
        <f>IF(AF$7&gt;$N44,0,AE44*(1-'Interest Rate'!$B$17))</f>
        <v>0</v>
      </c>
      <c r="AG44" s="609">
        <f>IF(AG$7&gt;$N44,0,AF44*(1-'Interest Rate'!$B$17))</f>
        <v>0</v>
      </c>
      <c r="AH44" s="609">
        <f>IF(AH$7&gt;$N44,0,AG44*(1-'Interest Rate'!$B$17))</f>
        <v>0</v>
      </c>
      <c r="AI44" s="609">
        <f>IF(AI$7&gt;$N44,0,AH44*(1-'Interest Rate'!$B$17))</f>
        <v>0</v>
      </c>
      <c r="AJ44" s="609">
        <f>IF(AJ$7&gt;$N44,0,AI44*(1-'Interest Rate'!$B$17))</f>
        <v>0</v>
      </c>
      <c r="AK44" s="609">
        <f>IF(AK$7&gt;$N44,0,AJ44*(1-'Interest Rate'!$B$17))</f>
        <v>0</v>
      </c>
      <c r="AL44" s="609">
        <f>IF(AL$7&gt;$N44,0,AK44*(1-'Interest Rate'!$B$17))</f>
        <v>0</v>
      </c>
      <c r="AM44" s="609">
        <f>IF(AM$7&gt;$N44,0,AL44*(1-'Interest Rate'!$B$17))</f>
        <v>0</v>
      </c>
      <c r="AN44" s="609">
        <f>IF(AN$7&gt;$N44,0,AM44*(1-'Interest Rate'!$B$17))</f>
        <v>0</v>
      </c>
      <c r="AO44" s="609">
        <f>IF(AO$7&gt;$N44,0,AN44*(1-'Interest Rate'!$B$17))</f>
        <v>0</v>
      </c>
      <c r="AP44" s="609">
        <f>IF(AP$7&gt;$N44,0,AO44*(1-'Interest Rate'!$B$17))</f>
        <v>0</v>
      </c>
      <c r="AQ44" s="609">
        <f>IF(AQ$7&gt;$N44,0,AP44*(1-'Interest Rate'!$B$17))</f>
        <v>0</v>
      </c>
      <c r="AR44" s="609">
        <f>IF(AR$7&gt;$N44,0,AQ44*(1-'Interest Rate'!$B$17))</f>
        <v>0</v>
      </c>
      <c r="AS44" s="609">
        <f>IF(AS$7&gt;$N44,0,AR44*(1-'Interest Rate'!$B$17))</f>
        <v>0</v>
      </c>
      <c r="AT44" s="609">
        <f>IF(AT$7&gt;$N44,0,AS44*(1-'Interest Rate'!$B$17))</f>
        <v>0</v>
      </c>
      <c r="AU44" s="609">
        <f>IF(AU$7&gt;$N44,0,AT44*(1-'Interest Rate'!$B$17))</f>
        <v>0</v>
      </c>
      <c r="AV44" s="609">
        <f>IF(AV$7&gt;$N44,0,AU44*(1-'Interest Rate'!$B$17))</f>
        <v>0</v>
      </c>
      <c r="AW44" s="609">
        <f>IF(AW$7&gt;$N44,0,AV44*(1-'Interest Rate'!$B$17))</f>
        <v>0</v>
      </c>
      <c r="AX44" s="609">
        <f>IF(AX$7&gt;$N44,0,AW44*(1-'Interest Rate'!$B$17))</f>
        <v>0</v>
      </c>
      <c r="AY44" s="609">
        <f>IF(AY$7&gt;$N44,0,AX44*(1-'Interest Rate'!$B$17))</f>
        <v>0</v>
      </c>
      <c r="AZ44" s="609">
        <f>IF(AZ$7&gt;$N44,0,AY44*(1-'Interest Rate'!$B$17))</f>
        <v>0</v>
      </c>
      <c r="BA44" s="609">
        <f>IF(BA$7&gt;$N44,0,AZ44*(1-'Interest Rate'!$B$17))</f>
        <v>0</v>
      </c>
      <c r="BB44" s="609">
        <f>IF(BB$7&gt;$N44,0,BA44*(1-'Interest Rate'!$B$17))</f>
        <v>0</v>
      </c>
      <c r="BC44" s="609">
        <f>IF(BC$7&gt;$N44,0,BB44*(1-'Interest Rate'!$B$17))</f>
        <v>0</v>
      </c>
      <c r="BD44" s="609">
        <f>IF(BD$7&gt;$N44,0,BC44*(1-'Interest Rate'!$B$17))</f>
        <v>0</v>
      </c>
      <c r="BE44" s="609">
        <f>IF(BE$7&gt;$N44,0,BD44*(1-'Interest Rate'!$B$17))</f>
        <v>0</v>
      </c>
      <c r="BF44" s="609">
        <f>IF(BF$7&gt;$N44,0,BE44*(1-'Interest Rate'!$B$17))</f>
        <v>0</v>
      </c>
      <c r="BG44" s="609">
        <f>IF(BG$7&gt;$N44,0,BF44*(1-'Interest Rate'!$B$17))</f>
        <v>0</v>
      </c>
      <c r="BH44" s="609">
        <f>IF(BH$7&gt;$N44,0,BG44*(1-'Interest Rate'!$B$17))</f>
        <v>0</v>
      </c>
      <c r="BI44" s="609">
        <f>IF(BI$7&gt;$N44,0,BH44*(1-'Interest Rate'!$B$17))</f>
        <v>0</v>
      </c>
      <c r="BJ44" s="609">
        <f>IF(BJ$7&gt;$N44,0,BI44*(1-'Interest Rate'!$B$17))</f>
        <v>0</v>
      </c>
      <c r="BK44" s="609">
        <f>IF(BK$7&gt;$N44,0,BJ44*(1-'Interest Rate'!$B$17))</f>
        <v>0</v>
      </c>
      <c r="BL44" s="609">
        <f>IF(BL$7&gt;$N44,0,BK44*(1-'Interest Rate'!$B$17))</f>
        <v>0</v>
      </c>
      <c r="BM44" s="609">
        <f>IF(BM$7&gt;$N44,0,BL44*(1-'Interest Rate'!$B$17))</f>
        <v>0</v>
      </c>
      <c r="BN44" s="609">
        <f>IF(BN$7&gt;$N44,0,BM44*(1-'Interest Rate'!$B$17))</f>
        <v>0</v>
      </c>
      <c r="BO44" s="609">
        <f>IF(BO$7&gt;$N44,0,BN44*(1-'Interest Rate'!$B$17))</f>
        <v>0</v>
      </c>
      <c r="BP44" s="609">
        <f>IF(BP$7&gt;$N44,0,BO44*(1-'Interest Rate'!$B$17))</f>
        <v>0</v>
      </c>
      <c r="BQ44" s="609">
        <f>IF(BQ$7&gt;$N44,0,BP44*(1-'Interest Rate'!$B$17))</f>
        <v>0</v>
      </c>
      <c r="BR44" s="609">
        <f>IF(BR$7&gt;$N44,0,BQ44*(1-'Interest Rate'!$B$17))</f>
        <v>0</v>
      </c>
      <c r="BS44" s="609">
        <f>IF(BS$7&gt;$N44,0,BR44*(1-'Interest Rate'!$B$17))</f>
        <v>0</v>
      </c>
      <c r="BT44" s="609">
        <f>IF(BT$7&gt;$N44,0,BS44*(1-'Interest Rate'!$B$17))</f>
        <v>0</v>
      </c>
      <c r="BU44" s="609">
        <f>IF(BU$7&gt;$N44,0,BT44*(1-'Interest Rate'!$B$17))</f>
        <v>0</v>
      </c>
      <c r="BV44" s="609">
        <f>IF(BV$7&gt;$N44,0,BU44*(1-'Interest Rate'!$B$17))</f>
        <v>0</v>
      </c>
      <c r="BW44" s="609">
        <f>IF(BW$7&gt;$N44,0,BV44*(1-'Interest Rate'!$B$17))</f>
        <v>0</v>
      </c>
      <c r="BX44" s="609">
        <f>IF(BX$7&gt;$N44,0,BW44*(1-'Interest Rate'!$B$17))</f>
        <v>0</v>
      </c>
      <c r="BY44" s="609">
        <f>IF(BY$7&gt;$N44,0,BX44*(1-'Interest Rate'!$B$17))</f>
        <v>0</v>
      </c>
      <c r="BZ44" s="609">
        <f>IF(BZ$7&gt;$N44,0,BY44*(1-'Interest Rate'!$B$17))</f>
        <v>0</v>
      </c>
      <c r="CA44" s="609">
        <f>IF(CA$7&gt;$N44,0,BZ44*(1-'Interest Rate'!$B$17))</f>
        <v>0</v>
      </c>
      <c r="CB44" s="609">
        <f>IF(CB$7&gt;$N44,0,CA44*(1-'Interest Rate'!$B$17))</f>
        <v>0</v>
      </c>
      <c r="CC44" s="609">
        <f>IF(CC$7&gt;$N44,0,CB44*(1-'Interest Rate'!$B$17))</f>
        <v>0</v>
      </c>
      <c r="CD44" s="609">
        <f>IF(CD$7&gt;$N44,0,CC44*(1-'Interest Rate'!$B$17))</f>
        <v>0</v>
      </c>
      <c r="CE44" s="609">
        <f>IF(CE$7&gt;$N44,0,CD44*(1-'Interest Rate'!$B$17))</f>
        <v>0</v>
      </c>
      <c r="CF44" s="609">
        <f>IF(CF$7&gt;$N44,0,CE44*(1-'Interest Rate'!$B$17))</f>
        <v>0</v>
      </c>
      <c r="CG44" s="609">
        <f>IF(CG$7&gt;$N44,0,CF44*(1-'Interest Rate'!$B$17))</f>
        <v>0</v>
      </c>
      <c r="CH44" s="609">
        <f>IF(CH$7&gt;$N44,0,CG44*(1-'Interest Rate'!$B$17))</f>
        <v>0</v>
      </c>
      <c r="CI44" s="609">
        <f>IF(CI$7&gt;$N44,0,CH44*(1-'Interest Rate'!$B$17))</f>
        <v>0</v>
      </c>
      <c r="CJ44" s="609">
        <f>IF(CJ$7&gt;$N44,0,CI44*(1-'Interest Rate'!$B$17))</f>
        <v>0</v>
      </c>
      <c r="CK44" s="609">
        <f>IF(CK$7&gt;$N44,0,CJ44*(1-'Interest Rate'!$B$17))</f>
        <v>0</v>
      </c>
      <c r="CL44" s="609">
        <f>IF(CL$7&gt;$N44,0,CK44*(1-'Interest Rate'!$B$17))</f>
        <v>0</v>
      </c>
      <c r="CM44" s="609">
        <f>IF(CM$7&gt;$N44,0,CL44*(1-'Interest Rate'!$B$17))</f>
        <v>0</v>
      </c>
      <c r="CN44" s="609">
        <f>IF(CN$7&gt;$N44,0,CM44*(1-'Interest Rate'!$B$17))</f>
        <v>0</v>
      </c>
      <c r="CO44" s="609">
        <f>IF(CO$7&gt;$N44,0,CN44*(1-'Interest Rate'!$B$17))</f>
        <v>0</v>
      </c>
      <c r="CP44" s="609">
        <f>IF(CP$7&gt;$N44,0,CO44*(1-'Interest Rate'!$B$17))</f>
        <v>0</v>
      </c>
      <c r="CQ44" s="609">
        <f>IF(CQ$7&gt;$N44,0,CP44*(1-'Interest Rate'!$B$17))</f>
        <v>0</v>
      </c>
      <c r="CR44" s="609">
        <f>IF(CR$7&gt;$N44,0,CQ44*(1-'Interest Rate'!$B$17))</f>
        <v>0</v>
      </c>
      <c r="CS44" s="609">
        <f>IF(CS$7&gt;$N44,0,CR44*(1-'Interest Rate'!$B$17))</f>
        <v>0</v>
      </c>
      <c r="CT44" s="609">
        <f>IF(CT$7&gt;$N44,0,CS44*(1-'Interest Rate'!$B$17))</f>
        <v>0</v>
      </c>
      <c r="CU44" s="609">
        <f>IF(CU$7&gt;$N44,0,CT44*(1-'Interest Rate'!$B$17))</f>
        <v>0</v>
      </c>
      <c r="CV44" s="609">
        <f>IF(CV$7&gt;$N44,0,CU44*(1-'Interest Rate'!$B$17))</f>
        <v>0</v>
      </c>
      <c r="CW44" s="609">
        <f>IF(CW$7&gt;$N44,0,CV44*(1-'Interest Rate'!$B$17))</f>
        <v>0</v>
      </c>
      <c r="CX44" s="609">
        <f>IF(CX$7&gt;$N44,0,CW44*(1-'Interest Rate'!$B$17))</f>
        <v>0</v>
      </c>
      <c r="CY44" s="609">
        <f>IF(CY$7&gt;$N44,0,CX44*(1-'Interest Rate'!$B$17))</f>
        <v>0</v>
      </c>
      <c r="CZ44" s="609">
        <f>IF(CZ$7&gt;$N44,0,CY44*(1-'Interest Rate'!$B$17))</f>
        <v>0</v>
      </c>
      <c r="DA44" s="609">
        <f>IF(DA$7&gt;$N44,0,CZ44*(1-'Interest Rate'!$B$17))</f>
        <v>0</v>
      </c>
      <c r="DB44" s="609">
        <f>IF(DB$7&gt;$N44,0,DA44*(1-'Interest Rate'!$B$17))</f>
        <v>0</v>
      </c>
      <c r="DC44" s="609">
        <f>IF(DC$7&gt;$N44,0,DB44*(1-'Interest Rate'!$B$17))</f>
        <v>0</v>
      </c>
      <c r="DD44" s="609">
        <f>IF(DD$7&gt;$N44,0,DC44*(1-'Interest Rate'!$B$17))</f>
        <v>0</v>
      </c>
      <c r="DE44" s="609">
        <f>IF(DE$7&gt;$N44,0,DD44*(1-'Interest Rate'!$B$17))</f>
        <v>0</v>
      </c>
      <c r="DF44" s="609">
        <f>IF(DF$7&gt;$N44,0,DE44*(1-'Interest Rate'!$B$17))</f>
        <v>0</v>
      </c>
      <c r="DG44" s="609">
        <f>IF(DG$7&gt;$N44,0,DF44*(1-'Interest Rate'!$B$17))</f>
        <v>0</v>
      </c>
      <c r="DH44" s="609">
        <f>IF(DH$7&gt;$N44,0,DG44*(1-'Interest Rate'!$B$17))</f>
        <v>0</v>
      </c>
      <c r="DI44" s="609">
        <f>IF(DI$7&gt;$N44,0,DH44*(1-'Interest Rate'!$B$17))</f>
        <v>0</v>
      </c>
      <c r="DJ44" s="609">
        <f>IF(DJ$7&gt;$N44,0,DI44*(1-'Interest Rate'!$B$17))</f>
        <v>0</v>
      </c>
      <c r="DK44" s="609">
        <f>IF(DK$7&gt;$N44,0,DJ44*(1-'Interest Rate'!$B$17))</f>
        <v>0</v>
      </c>
      <c r="DL44" s="609">
        <f>IF(DL$7&gt;$N44,0,DK44*(1-'Interest Rate'!$B$17))</f>
        <v>0</v>
      </c>
      <c r="DM44" s="609">
        <f>IF(DM$7&gt;$N44,0,DL44*(1-'Interest Rate'!$B$17))</f>
        <v>0</v>
      </c>
    </row>
    <row r="45" spans="1:117" ht="27.75" customHeight="1" x14ac:dyDescent="0.3">
      <c r="A45" s="600" t="str">
        <f>'EEM Data Entry'!A122</f>
        <v/>
      </c>
      <c r="B45" s="613" t="str">
        <f>'EEM Data Entry'!B122</f>
        <v/>
      </c>
      <c r="C45" s="602" t="str">
        <f>'EEM Data Entry'!F122</f>
        <v/>
      </c>
      <c r="D45" s="602">
        <v>0</v>
      </c>
      <c r="E45" s="602" t="e">
        <f t="shared" si="9"/>
        <v>#VALUE!</v>
      </c>
      <c r="F45" s="602">
        <f>('Savings Summary'!D46*'Savings Summary'!D$5)+('Savings Summary'!F46*'Savings Summary'!F$5)+('Savings Summary'!H46*'Savings Summary'!H$5)+('Savings Summary'!J46*'Savings Summary'!J$5)+('Savings Summary'!L46*'Savings Summary'!L$5)+('Savings Summary'!N46*'Savings Summary'!N$5)+('Savings Summary'!P46*'Savings Summary'!P$5)+('Savings Summary'!R46*'Savings Summary'!R$5)</f>
        <v>0</v>
      </c>
      <c r="G45" s="603">
        <f>'Savings Summary'!T46</f>
        <v>0</v>
      </c>
      <c r="H45" s="604" t="e">
        <f t="shared" si="13"/>
        <v>#VALUE!</v>
      </c>
      <c r="I45" s="600" t="e">
        <f>IF(H45=0, "n/a", IF(H45&gt;100, "no",IF(H45&lt;0, "no", "yes")))</f>
        <v>#VALUE!</v>
      </c>
      <c r="J45" s="605" t="e">
        <f t="shared" si="10"/>
        <v>#NUM!</v>
      </c>
      <c r="K45" s="606" t="e">
        <f>PV('Interest Rate'!$B$17,Table7[[#This Row],[LIFETIME]],-Table7[[#This Row],[ANNUAL ENERGY COST SAVINGS]],Table7[[#This Row],[END-OF-LIFE]],0)-Table7[[#This Row],[CAPITAL INVESTMENT]]</f>
        <v>#VALUE!</v>
      </c>
      <c r="L45" s="600" t="str">
        <f>'EEM Data Entry'!C122</f>
        <v/>
      </c>
      <c r="M45" s="615" t="e">
        <f>Table6[[#This Row],[ANNUAL ENERGY COST SAVINGS]]/Table6[[#This Row],[CAPITAL INVESTMENT]]</f>
        <v>#VALUE!</v>
      </c>
      <c r="N45" s="804" t="str">
        <f>Table7[[#This Row],[LIFETIME]]</f>
        <v/>
      </c>
      <c r="O45" s="615"/>
      <c r="P45" s="615"/>
      <c r="Q45" s="608" t="str">
        <f t="shared" si="4"/>
        <v/>
      </c>
      <c r="R45" s="609">
        <f t="shared" si="12"/>
        <v>0</v>
      </c>
      <c r="S45" s="609">
        <f>IF(S$7&gt;$N45,0,R45*(1-'Interest Rate'!$B$17))</f>
        <v>0</v>
      </c>
      <c r="T45" s="609">
        <f>IF(T$7&gt;$N45,0,S45*(1-'Interest Rate'!$B$17))</f>
        <v>0</v>
      </c>
      <c r="U45" s="609">
        <f>IF(U$7&gt;$N45,0,T45*(1-'Interest Rate'!$B$17))</f>
        <v>0</v>
      </c>
      <c r="V45" s="609">
        <f>IF(V$7&gt;$N45,0,U45*(1-'Interest Rate'!$B$17))</f>
        <v>0</v>
      </c>
      <c r="W45" s="609">
        <f>IF(W$7&gt;$N45,0,V45*(1-'Interest Rate'!$B$17))</f>
        <v>0</v>
      </c>
      <c r="X45" s="609">
        <f>IF(X$7&gt;$N45,0,W45*(1-'Interest Rate'!$B$17))</f>
        <v>0</v>
      </c>
      <c r="Y45" s="609">
        <f>IF(Y$7&gt;$N45,0,X45*(1-'Interest Rate'!$B$17))</f>
        <v>0</v>
      </c>
      <c r="Z45" s="609">
        <f>IF(Z$7&gt;$N45,0,Y45*(1-'Interest Rate'!$B$17))</f>
        <v>0</v>
      </c>
      <c r="AA45" s="609">
        <f>IF(AA$7&gt;$N45,0,Z45*(1-'Interest Rate'!$B$17))</f>
        <v>0</v>
      </c>
      <c r="AB45" s="609">
        <f>IF(AB$7&gt;$N45,0,AA45*(1-'Interest Rate'!$B$17))</f>
        <v>0</v>
      </c>
      <c r="AC45" s="609">
        <f>IF(AC$7&gt;$N45,0,AB45*(1-'Interest Rate'!$B$17))</f>
        <v>0</v>
      </c>
      <c r="AD45" s="609">
        <f>IF(AD$7&gt;$N45,0,AC45*(1-'Interest Rate'!$B$17))</f>
        <v>0</v>
      </c>
      <c r="AE45" s="609">
        <f>IF(AE$7&gt;$N45,0,AD45*(1-'Interest Rate'!$B$17))</f>
        <v>0</v>
      </c>
      <c r="AF45" s="609">
        <f>IF(AF$7&gt;$N45,0,AE45*(1-'Interest Rate'!$B$17))</f>
        <v>0</v>
      </c>
      <c r="AG45" s="609">
        <f>IF(AG$7&gt;$N45,0,AF45*(1-'Interest Rate'!$B$17))</f>
        <v>0</v>
      </c>
      <c r="AH45" s="609">
        <f>IF(AH$7&gt;$N45,0,AG45*(1-'Interest Rate'!$B$17))</f>
        <v>0</v>
      </c>
      <c r="AI45" s="609">
        <f>IF(AI$7&gt;$N45,0,AH45*(1-'Interest Rate'!$B$17))</f>
        <v>0</v>
      </c>
      <c r="AJ45" s="609">
        <f>IF(AJ$7&gt;$N45,0,AI45*(1-'Interest Rate'!$B$17))</f>
        <v>0</v>
      </c>
      <c r="AK45" s="609">
        <f>IF(AK$7&gt;$N45,0,AJ45*(1-'Interest Rate'!$B$17))</f>
        <v>0</v>
      </c>
      <c r="AL45" s="609">
        <f>IF(AL$7&gt;$N45,0,AK45*(1-'Interest Rate'!$B$17))</f>
        <v>0</v>
      </c>
      <c r="AM45" s="609">
        <f>IF(AM$7&gt;$N45,0,AL45*(1-'Interest Rate'!$B$17))</f>
        <v>0</v>
      </c>
      <c r="AN45" s="609">
        <f>IF(AN$7&gt;$N45,0,AM45*(1-'Interest Rate'!$B$17))</f>
        <v>0</v>
      </c>
      <c r="AO45" s="609">
        <f>IF(AO$7&gt;$N45,0,AN45*(1-'Interest Rate'!$B$17))</f>
        <v>0</v>
      </c>
      <c r="AP45" s="609">
        <f>IF(AP$7&gt;$N45,0,AO45*(1-'Interest Rate'!$B$17))</f>
        <v>0</v>
      </c>
      <c r="AQ45" s="609">
        <f>IF(AQ$7&gt;$N45,0,AP45*(1-'Interest Rate'!$B$17))</f>
        <v>0</v>
      </c>
      <c r="AR45" s="609">
        <f>IF(AR$7&gt;$N45,0,AQ45*(1-'Interest Rate'!$B$17))</f>
        <v>0</v>
      </c>
      <c r="AS45" s="609">
        <f>IF(AS$7&gt;$N45,0,AR45*(1-'Interest Rate'!$B$17))</f>
        <v>0</v>
      </c>
      <c r="AT45" s="609">
        <f>IF(AT$7&gt;$N45,0,AS45*(1-'Interest Rate'!$B$17))</f>
        <v>0</v>
      </c>
      <c r="AU45" s="609">
        <f>IF(AU$7&gt;$N45,0,AT45*(1-'Interest Rate'!$B$17))</f>
        <v>0</v>
      </c>
      <c r="AV45" s="609">
        <f>IF(AV$7&gt;$N45,0,AU45*(1-'Interest Rate'!$B$17))</f>
        <v>0</v>
      </c>
      <c r="AW45" s="609">
        <f>IF(AW$7&gt;$N45,0,AV45*(1-'Interest Rate'!$B$17))</f>
        <v>0</v>
      </c>
      <c r="AX45" s="609">
        <f>IF(AX$7&gt;$N45,0,AW45*(1-'Interest Rate'!$B$17))</f>
        <v>0</v>
      </c>
      <c r="AY45" s="609">
        <f>IF(AY$7&gt;$N45,0,AX45*(1-'Interest Rate'!$B$17))</f>
        <v>0</v>
      </c>
      <c r="AZ45" s="609">
        <f>IF(AZ$7&gt;$N45,0,AY45*(1-'Interest Rate'!$B$17))</f>
        <v>0</v>
      </c>
      <c r="BA45" s="609">
        <f>IF(BA$7&gt;$N45,0,AZ45*(1-'Interest Rate'!$B$17))</f>
        <v>0</v>
      </c>
      <c r="BB45" s="609">
        <f>IF(BB$7&gt;$N45,0,BA45*(1-'Interest Rate'!$B$17))</f>
        <v>0</v>
      </c>
      <c r="BC45" s="609">
        <f>IF(BC$7&gt;$N45,0,BB45*(1-'Interest Rate'!$B$17))</f>
        <v>0</v>
      </c>
      <c r="BD45" s="609">
        <f>IF(BD$7&gt;$N45,0,BC45*(1-'Interest Rate'!$B$17))</f>
        <v>0</v>
      </c>
      <c r="BE45" s="609">
        <f>IF(BE$7&gt;$N45,0,BD45*(1-'Interest Rate'!$B$17))</f>
        <v>0</v>
      </c>
      <c r="BF45" s="609">
        <f>IF(BF$7&gt;$N45,0,BE45*(1-'Interest Rate'!$B$17))</f>
        <v>0</v>
      </c>
      <c r="BG45" s="609">
        <f>IF(BG$7&gt;$N45,0,BF45*(1-'Interest Rate'!$B$17))</f>
        <v>0</v>
      </c>
      <c r="BH45" s="609">
        <f>IF(BH$7&gt;$N45,0,BG45*(1-'Interest Rate'!$B$17))</f>
        <v>0</v>
      </c>
      <c r="BI45" s="609">
        <f>IF(BI$7&gt;$N45,0,BH45*(1-'Interest Rate'!$B$17))</f>
        <v>0</v>
      </c>
      <c r="BJ45" s="609">
        <f>IF(BJ$7&gt;$N45,0,BI45*(1-'Interest Rate'!$B$17))</f>
        <v>0</v>
      </c>
      <c r="BK45" s="609">
        <f>IF(BK$7&gt;$N45,0,BJ45*(1-'Interest Rate'!$B$17))</f>
        <v>0</v>
      </c>
      <c r="BL45" s="609">
        <f>IF(BL$7&gt;$N45,0,BK45*(1-'Interest Rate'!$B$17))</f>
        <v>0</v>
      </c>
      <c r="BM45" s="609">
        <f>IF(BM$7&gt;$N45,0,BL45*(1-'Interest Rate'!$B$17))</f>
        <v>0</v>
      </c>
      <c r="BN45" s="609">
        <f>IF(BN$7&gt;$N45,0,BM45*(1-'Interest Rate'!$B$17))</f>
        <v>0</v>
      </c>
      <c r="BO45" s="609">
        <f>IF(BO$7&gt;$N45,0,BN45*(1-'Interest Rate'!$B$17))</f>
        <v>0</v>
      </c>
      <c r="BP45" s="609">
        <f>IF(BP$7&gt;$N45,0,BO45*(1-'Interest Rate'!$B$17))</f>
        <v>0</v>
      </c>
      <c r="BQ45" s="609">
        <f>IF(BQ$7&gt;$N45,0,BP45*(1-'Interest Rate'!$B$17))</f>
        <v>0</v>
      </c>
      <c r="BR45" s="609">
        <f>IF(BR$7&gt;$N45,0,BQ45*(1-'Interest Rate'!$B$17))</f>
        <v>0</v>
      </c>
      <c r="BS45" s="609">
        <f>IF(BS$7&gt;$N45,0,BR45*(1-'Interest Rate'!$B$17))</f>
        <v>0</v>
      </c>
      <c r="BT45" s="609">
        <f>IF(BT$7&gt;$N45,0,BS45*(1-'Interest Rate'!$B$17))</f>
        <v>0</v>
      </c>
      <c r="BU45" s="609">
        <f>IF(BU$7&gt;$N45,0,BT45*(1-'Interest Rate'!$B$17))</f>
        <v>0</v>
      </c>
      <c r="BV45" s="609">
        <f>IF(BV$7&gt;$N45,0,BU45*(1-'Interest Rate'!$B$17))</f>
        <v>0</v>
      </c>
      <c r="BW45" s="609">
        <f>IF(BW$7&gt;$N45,0,BV45*(1-'Interest Rate'!$B$17))</f>
        <v>0</v>
      </c>
      <c r="BX45" s="609">
        <f>IF(BX$7&gt;$N45,0,BW45*(1-'Interest Rate'!$B$17))</f>
        <v>0</v>
      </c>
      <c r="BY45" s="609">
        <f>IF(BY$7&gt;$N45,0,BX45*(1-'Interest Rate'!$B$17))</f>
        <v>0</v>
      </c>
      <c r="BZ45" s="609">
        <f>IF(BZ$7&gt;$N45,0,BY45*(1-'Interest Rate'!$B$17))</f>
        <v>0</v>
      </c>
      <c r="CA45" s="609">
        <f>IF(CA$7&gt;$N45,0,BZ45*(1-'Interest Rate'!$B$17))</f>
        <v>0</v>
      </c>
      <c r="CB45" s="609">
        <f>IF(CB$7&gt;$N45,0,CA45*(1-'Interest Rate'!$B$17))</f>
        <v>0</v>
      </c>
      <c r="CC45" s="609">
        <f>IF(CC$7&gt;$N45,0,CB45*(1-'Interest Rate'!$B$17))</f>
        <v>0</v>
      </c>
      <c r="CD45" s="609">
        <f>IF(CD$7&gt;$N45,0,CC45*(1-'Interest Rate'!$B$17))</f>
        <v>0</v>
      </c>
      <c r="CE45" s="609">
        <f>IF(CE$7&gt;$N45,0,CD45*(1-'Interest Rate'!$B$17))</f>
        <v>0</v>
      </c>
      <c r="CF45" s="609">
        <f>IF(CF$7&gt;$N45,0,CE45*(1-'Interest Rate'!$B$17))</f>
        <v>0</v>
      </c>
      <c r="CG45" s="609">
        <f>IF(CG$7&gt;$N45,0,CF45*(1-'Interest Rate'!$B$17))</f>
        <v>0</v>
      </c>
      <c r="CH45" s="609">
        <f>IF(CH$7&gt;$N45,0,CG45*(1-'Interest Rate'!$B$17))</f>
        <v>0</v>
      </c>
      <c r="CI45" s="609">
        <f>IF(CI$7&gt;$N45,0,CH45*(1-'Interest Rate'!$B$17))</f>
        <v>0</v>
      </c>
      <c r="CJ45" s="609">
        <f>IF(CJ$7&gt;$N45,0,CI45*(1-'Interest Rate'!$B$17))</f>
        <v>0</v>
      </c>
      <c r="CK45" s="609">
        <f>IF(CK$7&gt;$N45,0,CJ45*(1-'Interest Rate'!$B$17))</f>
        <v>0</v>
      </c>
      <c r="CL45" s="609">
        <f>IF(CL$7&gt;$N45,0,CK45*(1-'Interest Rate'!$B$17))</f>
        <v>0</v>
      </c>
      <c r="CM45" s="609">
        <f>IF(CM$7&gt;$N45,0,CL45*(1-'Interest Rate'!$B$17))</f>
        <v>0</v>
      </c>
      <c r="CN45" s="609">
        <f>IF(CN$7&gt;$N45,0,CM45*(1-'Interest Rate'!$B$17))</f>
        <v>0</v>
      </c>
      <c r="CO45" s="609">
        <f>IF(CO$7&gt;$N45,0,CN45*(1-'Interest Rate'!$B$17))</f>
        <v>0</v>
      </c>
      <c r="CP45" s="609">
        <f>IF(CP$7&gt;$N45,0,CO45*(1-'Interest Rate'!$B$17))</f>
        <v>0</v>
      </c>
      <c r="CQ45" s="609">
        <f>IF(CQ$7&gt;$N45,0,CP45*(1-'Interest Rate'!$B$17))</f>
        <v>0</v>
      </c>
      <c r="CR45" s="609">
        <f>IF(CR$7&gt;$N45,0,CQ45*(1-'Interest Rate'!$B$17))</f>
        <v>0</v>
      </c>
      <c r="CS45" s="609">
        <f>IF(CS$7&gt;$N45,0,CR45*(1-'Interest Rate'!$B$17))</f>
        <v>0</v>
      </c>
      <c r="CT45" s="609">
        <f>IF(CT$7&gt;$N45,0,CS45*(1-'Interest Rate'!$B$17))</f>
        <v>0</v>
      </c>
      <c r="CU45" s="609">
        <f>IF(CU$7&gt;$N45,0,CT45*(1-'Interest Rate'!$B$17))</f>
        <v>0</v>
      </c>
      <c r="CV45" s="609">
        <f>IF(CV$7&gt;$N45,0,CU45*(1-'Interest Rate'!$B$17))</f>
        <v>0</v>
      </c>
      <c r="CW45" s="609">
        <f>IF(CW$7&gt;$N45,0,CV45*(1-'Interest Rate'!$B$17))</f>
        <v>0</v>
      </c>
      <c r="CX45" s="609">
        <f>IF(CX$7&gt;$N45,0,CW45*(1-'Interest Rate'!$B$17))</f>
        <v>0</v>
      </c>
      <c r="CY45" s="609">
        <f>IF(CY$7&gt;$N45,0,CX45*(1-'Interest Rate'!$B$17))</f>
        <v>0</v>
      </c>
      <c r="CZ45" s="609">
        <f>IF(CZ$7&gt;$N45,0,CY45*(1-'Interest Rate'!$B$17))</f>
        <v>0</v>
      </c>
      <c r="DA45" s="609">
        <f>IF(DA$7&gt;$N45,0,CZ45*(1-'Interest Rate'!$B$17))</f>
        <v>0</v>
      </c>
      <c r="DB45" s="609">
        <f>IF(DB$7&gt;$N45,0,DA45*(1-'Interest Rate'!$B$17))</f>
        <v>0</v>
      </c>
      <c r="DC45" s="609">
        <f>IF(DC$7&gt;$N45,0,DB45*(1-'Interest Rate'!$B$17))</f>
        <v>0</v>
      </c>
      <c r="DD45" s="609">
        <f>IF(DD$7&gt;$N45,0,DC45*(1-'Interest Rate'!$B$17))</f>
        <v>0</v>
      </c>
      <c r="DE45" s="609">
        <f>IF(DE$7&gt;$N45,0,DD45*(1-'Interest Rate'!$B$17))</f>
        <v>0</v>
      </c>
      <c r="DF45" s="609">
        <f>IF(DF$7&gt;$N45,0,DE45*(1-'Interest Rate'!$B$17))</f>
        <v>0</v>
      </c>
      <c r="DG45" s="609">
        <f>IF(DG$7&gt;$N45,0,DF45*(1-'Interest Rate'!$B$17))</f>
        <v>0</v>
      </c>
      <c r="DH45" s="609">
        <f>IF(DH$7&gt;$N45,0,DG45*(1-'Interest Rate'!$B$17))</f>
        <v>0</v>
      </c>
      <c r="DI45" s="609">
        <f>IF(DI$7&gt;$N45,0,DH45*(1-'Interest Rate'!$B$17))</f>
        <v>0</v>
      </c>
      <c r="DJ45" s="609">
        <f>IF(DJ$7&gt;$N45,0,DI45*(1-'Interest Rate'!$B$17))</f>
        <v>0</v>
      </c>
      <c r="DK45" s="609">
        <f>IF(DK$7&gt;$N45,0,DJ45*(1-'Interest Rate'!$B$17))</f>
        <v>0</v>
      </c>
      <c r="DL45" s="609">
        <f>IF(DL$7&gt;$N45,0,DK45*(1-'Interest Rate'!$B$17))</f>
        <v>0</v>
      </c>
      <c r="DM45" s="609">
        <f>IF(DM$7&gt;$N45,0,DL45*(1-'Interest Rate'!$B$17))</f>
        <v>0</v>
      </c>
    </row>
    <row r="46" spans="1:117" ht="27.75" customHeight="1" x14ac:dyDescent="0.3">
      <c r="A46" s="600" t="str">
        <f>'EEM Data Entry'!A123</f>
        <v/>
      </c>
      <c r="B46" s="613" t="str">
        <f>'EEM Data Entry'!B123</f>
        <v/>
      </c>
      <c r="C46" s="602" t="str">
        <f>'EEM Data Entry'!F123</f>
        <v/>
      </c>
      <c r="D46" s="602">
        <v>0</v>
      </c>
      <c r="E46" s="602" t="e">
        <f t="shared" si="9"/>
        <v>#VALUE!</v>
      </c>
      <c r="F46" s="602">
        <f>('Savings Summary'!D47*'Savings Summary'!D$5)+('Savings Summary'!F47*'Savings Summary'!F$5)+('Savings Summary'!H47*'Savings Summary'!H$5)+('Savings Summary'!J47*'Savings Summary'!J$5)+('Savings Summary'!L47*'Savings Summary'!L$5)+('Savings Summary'!N47*'Savings Summary'!N$5)+('Savings Summary'!P47*'Savings Summary'!P$5)+('Savings Summary'!R47*'Savings Summary'!R$5)</f>
        <v>0</v>
      </c>
      <c r="G46" s="603">
        <f>'Savings Summary'!T47</f>
        <v>0</v>
      </c>
      <c r="H46" s="604" t="e">
        <f>IF(C46=0,"n/a",E46/F46)</f>
        <v>#VALUE!</v>
      </c>
      <c r="I46" s="600" t="e">
        <f t="shared" si="11"/>
        <v>#VALUE!</v>
      </c>
      <c r="J46" s="605" t="e">
        <f t="shared" si="10"/>
        <v>#NUM!</v>
      </c>
      <c r="K46" s="606" t="e">
        <f>PV('Interest Rate'!$B$17,Table7[[#This Row],[LIFETIME]],-Table7[[#This Row],[ANNUAL ENERGY COST SAVINGS]],Table7[[#This Row],[END-OF-LIFE]],0)-Table7[[#This Row],[CAPITAL INVESTMENT]]</f>
        <v>#VALUE!</v>
      </c>
      <c r="L46" s="600" t="str">
        <f>'EEM Data Entry'!C123</f>
        <v/>
      </c>
      <c r="M46" s="615" t="e">
        <f>Table6[[#This Row],[ANNUAL ENERGY COST SAVINGS]]/Table6[[#This Row],[CAPITAL INVESTMENT]]</f>
        <v>#VALUE!</v>
      </c>
      <c r="N46" s="804" t="str">
        <f>Table7[[#This Row],[LIFETIME]]</f>
        <v/>
      </c>
      <c r="O46" s="615"/>
      <c r="P46" s="615"/>
      <c r="Q46" s="608" t="str">
        <f t="shared" si="4"/>
        <v/>
      </c>
      <c r="R46" s="609">
        <f t="shared" si="12"/>
        <v>0</v>
      </c>
      <c r="S46" s="609">
        <f>IF(S$7&gt;$N46,0,R46*(1-'Interest Rate'!$B$17))</f>
        <v>0</v>
      </c>
      <c r="T46" s="609">
        <f>IF(T$7&gt;$N46,0,S46*(1-'Interest Rate'!$B$17))</f>
        <v>0</v>
      </c>
      <c r="U46" s="609">
        <f>IF(U$7&gt;$N46,0,T46*(1-'Interest Rate'!$B$17))</f>
        <v>0</v>
      </c>
      <c r="V46" s="609">
        <f>IF(V$7&gt;$N46,0,U46*(1-'Interest Rate'!$B$17))</f>
        <v>0</v>
      </c>
      <c r="W46" s="609">
        <f>IF(W$7&gt;$N46,0,V46*(1-'Interest Rate'!$B$17))</f>
        <v>0</v>
      </c>
      <c r="X46" s="609">
        <f>IF(X$7&gt;$N46,0,W46*(1-'Interest Rate'!$B$17))</f>
        <v>0</v>
      </c>
      <c r="Y46" s="609">
        <f>IF(Y$7&gt;$N46,0,X46*(1-'Interest Rate'!$B$17))</f>
        <v>0</v>
      </c>
      <c r="Z46" s="609">
        <f>IF(Z$7&gt;$N46,0,Y46*(1-'Interest Rate'!$B$17))</f>
        <v>0</v>
      </c>
      <c r="AA46" s="609">
        <f>IF(AA$7&gt;$N46,0,Z46*(1-'Interest Rate'!$B$17))</f>
        <v>0</v>
      </c>
      <c r="AB46" s="609">
        <f>IF(AB$7&gt;$N46,0,AA46*(1-'Interest Rate'!$B$17))</f>
        <v>0</v>
      </c>
      <c r="AC46" s="609">
        <f>IF(AC$7&gt;$N46,0,AB46*(1-'Interest Rate'!$B$17))</f>
        <v>0</v>
      </c>
      <c r="AD46" s="609">
        <f>IF(AD$7&gt;$N46,0,AC46*(1-'Interest Rate'!$B$17))</f>
        <v>0</v>
      </c>
      <c r="AE46" s="609">
        <f>IF(AE$7&gt;$N46,0,AD46*(1-'Interest Rate'!$B$17))</f>
        <v>0</v>
      </c>
      <c r="AF46" s="609">
        <f>IF(AF$7&gt;$N46,0,AE46*(1-'Interest Rate'!$B$17))</f>
        <v>0</v>
      </c>
      <c r="AG46" s="609">
        <f>IF(AG$7&gt;$N46,0,AF46*(1-'Interest Rate'!$B$17))</f>
        <v>0</v>
      </c>
      <c r="AH46" s="609">
        <f>IF(AH$7&gt;$N46,0,AG46*(1-'Interest Rate'!$B$17))</f>
        <v>0</v>
      </c>
      <c r="AI46" s="609">
        <f>IF(AI$7&gt;$N46,0,AH46*(1-'Interest Rate'!$B$17))</f>
        <v>0</v>
      </c>
      <c r="AJ46" s="609">
        <f>IF(AJ$7&gt;$N46,0,AI46*(1-'Interest Rate'!$B$17))</f>
        <v>0</v>
      </c>
      <c r="AK46" s="609">
        <f>IF(AK$7&gt;$N46,0,AJ46*(1-'Interest Rate'!$B$17))</f>
        <v>0</v>
      </c>
      <c r="AL46" s="609">
        <f>IF(AL$7&gt;$N46,0,AK46*(1-'Interest Rate'!$B$17))</f>
        <v>0</v>
      </c>
      <c r="AM46" s="609">
        <f>IF(AM$7&gt;$N46,0,AL46*(1-'Interest Rate'!$B$17))</f>
        <v>0</v>
      </c>
      <c r="AN46" s="609">
        <f>IF(AN$7&gt;$N46,0,AM46*(1-'Interest Rate'!$B$17))</f>
        <v>0</v>
      </c>
      <c r="AO46" s="609">
        <f>IF(AO$7&gt;$N46,0,AN46*(1-'Interest Rate'!$B$17))</f>
        <v>0</v>
      </c>
      <c r="AP46" s="609">
        <f>IF(AP$7&gt;$N46,0,AO46*(1-'Interest Rate'!$B$17))</f>
        <v>0</v>
      </c>
      <c r="AQ46" s="609">
        <f>IF(AQ$7&gt;$N46,0,AP46*(1-'Interest Rate'!$B$17))</f>
        <v>0</v>
      </c>
      <c r="AR46" s="609">
        <f>IF(AR$7&gt;$N46,0,AQ46*(1-'Interest Rate'!$B$17))</f>
        <v>0</v>
      </c>
      <c r="AS46" s="609">
        <f>IF(AS$7&gt;$N46,0,AR46*(1-'Interest Rate'!$B$17))</f>
        <v>0</v>
      </c>
      <c r="AT46" s="609">
        <f>IF(AT$7&gt;$N46,0,AS46*(1-'Interest Rate'!$B$17))</f>
        <v>0</v>
      </c>
      <c r="AU46" s="609">
        <f>IF(AU$7&gt;$N46,0,AT46*(1-'Interest Rate'!$B$17))</f>
        <v>0</v>
      </c>
      <c r="AV46" s="609">
        <f>IF(AV$7&gt;$N46,0,AU46*(1-'Interest Rate'!$B$17))</f>
        <v>0</v>
      </c>
      <c r="AW46" s="609">
        <f>IF(AW$7&gt;$N46,0,AV46*(1-'Interest Rate'!$B$17))</f>
        <v>0</v>
      </c>
      <c r="AX46" s="609">
        <f>IF(AX$7&gt;$N46,0,AW46*(1-'Interest Rate'!$B$17))</f>
        <v>0</v>
      </c>
      <c r="AY46" s="609">
        <f>IF(AY$7&gt;$N46,0,AX46*(1-'Interest Rate'!$B$17))</f>
        <v>0</v>
      </c>
      <c r="AZ46" s="609">
        <f>IF(AZ$7&gt;$N46,0,AY46*(1-'Interest Rate'!$B$17))</f>
        <v>0</v>
      </c>
      <c r="BA46" s="609">
        <f>IF(BA$7&gt;$N46,0,AZ46*(1-'Interest Rate'!$B$17))</f>
        <v>0</v>
      </c>
      <c r="BB46" s="609">
        <f>IF(BB$7&gt;$N46,0,BA46*(1-'Interest Rate'!$B$17))</f>
        <v>0</v>
      </c>
      <c r="BC46" s="609">
        <f>IF(BC$7&gt;$N46,0,BB46*(1-'Interest Rate'!$B$17))</f>
        <v>0</v>
      </c>
      <c r="BD46" s="609">
        <f>IF(BD$7&gt;$N46,0,BC46*(1-'Interest Rate'!$B$17))</f>
        <v>0</v>
      </c>
      <c r="BE46" s="609">
        <f>IF(BE$7&gt;$N46,0,BD46*(1-'Interest Rate'!$B$17))</f>
        <v>0</v>
      </c>
      <c r="BF46" s="609">
        <f>IF(BF$7&gt;$N46,0,BE46*(1-'Interest Rate'!$B$17))</f>
        <v>0</v>
      </c>
      <c r="BG46" s="609">
        <f>IF(BG$7&gt;$N46,0,BF46*(1-'Interest Rate'!$B$17))</f>
        <v>0</v>
      </c>
      <c r="BH46" s="609">
        <f>IF(BH$7&gt;$N46,0,BG46*(1-'Interest Rate'!$B$17))</f>
        <v>0</v>
      </c>
      <c r="BI46" s="609">
        <f>IF(BI$7&gt;$N46,0,BH46*(1-'Interest Rate'!$B$17))</f>
        <v>0</v>
      </c>
      <c r="BJ46" s="609">
        <f>IF(BJ$7&gt;$N46,0,BI46*(1-'Interest Rate'!$B$17))</f>
        <v>0</v>
      </c>
      <c r="BK46" s="609">
        <f>IF(BK$7&gt;$N46,0,BJ46*(1-'Interest Rate'!$B$17))</f>
        <v>0</v>
      </c>
      <c r="BL46" s="609">
        <f>IF(BL$7&gt;$N46,0,BK46*(1-'Interest Rate'!$B$17))</f>
        <v>0</v>
      </c>
      <c r="BM46" s="609">
        <f>IF(BM$7&gt;$N46,0,BL46*(1-'Interest Rate'!$B$17))</f>
        <v>0</v>
      </c>
      <c r="BN46" s="609">
        <f>IF(BN$7&gt;$N46,0,BM46*(1-'Interest Rate'!$B$17))</f>
        <v>0</v>
      </c>
      <c r="BO46" s="609">
        <f>IF(BO$7&gt;$N46,0,BN46*(1-'Interest Rate'!$B$17))</f>
        <v>0</v>
      </c>
      <c r="BP46" s="609">
        <f>IF(BP$7&gt;$N46,0,BO46*(1-'Interest Rate'!$B$17))</f>
        <v>0</v>
      </c>
      <c r="BQ46" s="609">
        <f>IF(BQ$7&gt;$N46,0,BP46*(1-'Interest Rate'!$B$17))</f>
        <v>0</v>
      </c>
      <c r="BR46" s="609">
        <f>IF(BR$7&gt;$N46,0,BQ46*(1-'Interest Rate'!$B$17))</f>
        <v>0</v>
      </c>
      <c r="BS46" s="609">
        <f>IF(BS$7&gt;$N46,0,BR46*(1-'Interest Rate'!$B$17))</f>
        <v>0</v>
      </c>
      <c r="BT46" s="609">
        <f>IF(BT$7&gt;$N46,0,BS46*(1-'Interest Rate'!$B$17))</f>
        <v>0</v>
      </c>
      <c r="BU46" s="609">
        <f>IF(BU$7&gt;$N46,0,BT46*(1-'Interest Rate'!$B$17))</f>
        <v>0</v>
      </c>
      <c r="BV46" s="609">
        <f>IF(BV$7&gt;$N46,0,BU46*(1-'Interest Rate'!$B$17))</f>
        <v>0</v>
      </c>
      <c r="BW46" s="609">
        <f>IF(BW$7&gt;$N46,0,BV46*(1-'Interest Rate'!$B$17))</f>
        <v>0</v>
      </c>
      <c r="BX46" s="609">
        <f>IF(BX$7&gt;$N46,0,BW46*(1-'Interest Rate'!$B$17))</f>
        <v>0</v>
      </c>
      <c r="BY46" s="609">
        <f>IF(BY$7&gt;$N46,0,BX46*(1-'Interest Rate'!$B$17))</f>
        <v>0</v>
      </c>
      <c r="BZ46" s="609">
        <f>IF(BZ$7&gt;$N46,0,BY46*(1-'Interest Rate'!$B$17))</f>
        <v>0</v>
      </c>
      <c r="CA46" s="609">
        <f>IF(CA$7&gt;$N46,0,BZ46*(1-'Interest Rate'!$B$17))</f>
        <v>0</v>
      </c>
      <c r="CB46" s="609">
        <f>IF(CB$7&gt;$N46,0,CA46*(1-'Interest Rate'!$B$17))</f>
        <v>0</v>
      </c>
      <c r="CC46" s="609">
        <f>IF(CC$7&gt;$N46,0,CB46*(1-'Interest Rate'!$B$17))</f>
        <v>0</v>
      </c>
      <c r="CD46" s="609">
        <f>IF(CD$7&gt;$N46,0,CC46*(1-'Interest Rate'!$B$17))</f>
        <v>0</v>
      </c>
      <c r="CE46" s="609">
        <f>IF(CE$7&gt;$N46,0,CD46*(1-'Interest Rate'!$B$17))</f>
        <v>0</v>
      </c>
      <c r="CF46" s="609">
        <f>IF(CF$7&gt;$N46,0,CE46*(1-'Interest Rate'!$B$17))</f>
        <v>0</v>
      </c>
      <c r="CG46" s="609">
        <f>IF(CG$7&gt;$N46,0,CF46*(1-'Interest Rate'!$B$17))</f>
        <v>0</v>
      </c>
      <c r="CH46" s="609">
        <f>IF(CH$7&gt;$N46,0,CG46*(1-'Interest Rate'!$B$17))</f>
        <v>0</v>
      </c>
      <c r="CI46" s="609">
        <f>IF(CI$7&gt;$N46,0,CH46*(1-'Interest Rate'!$B$17))</f>
        <v>0</v>
      </c>
      <c r="CJ46" s="609">
        <f>IF(CJ$7&gt;$N46,0,CI46*(1-'Interest Rate'!$B$17))</f>
        <v>0</v>
      </c>
      <c r="CK46" s="609">
        <f>IF(CK$7&gt;$N46,0,CJ46*(1-'Interest Rate'!$B$17))</f>
        <v>0</v>
      </c>
      <c r="CL46" s="609">
        <f>IF(CL$7&gt;$N46,0,CK46*(1-'Interest Rate'!$B$17))</f>
        <v>0</v>
      </c>
      <c r="CM46" s="609">
        <f>IF(CM$7&gt;$N46,0,CL46*(1-'Interest Rate'!$B$17))</f>
        <v>0</v>
      </c>
      <c r="CN46" s="609">
        <f>IF(CN$7&gt;$N46,0,CM46*(1-'Interest Rate'!$B$17))</f>
        <v>0</v>
      </c>
      <c r="CO46" s="609">
        <f>IF(CO$7&gt;$N46,0,CN46*(1-'Interest Rate'!$B$17))</f>
        <v>0</v>
      </c>
      <c r="CP46" s="609">
        <f>IF(CP$7&gt;$N46,0,CO46*(1-'Interest Rate'!$B$17))</f>
        <v>0</v>
      </c>
      <c r="CQ46" s="609">
        <f>IF(CQ$7&gt;$N46,0,CP46*(1-'Interest Rate'!$B$17))</f>
        <v>0</v>
      </c>
      <c r="CR46" s="609">
        <f>IF(CR$7&gt;$N46,0,CQ46*(1-'Interest Rate'!$B$17))</f>
        <v>0</v>
      </c>
      <c r="CS46" s="609">
        <f>IF(CS$7&gt;$N46,0,CR46*(1-'Interest Rate'!$B$17))</f>
        <v>0</v>
      </c>
      <c r="CT46" s="609">
        <f>IF(CT$7&gt;$N46,0,CS46*(1-'Interest Rate'!$B$17))</f>
        <v>0</v>
      </c>
      <c r="CU46" s="609">
        <f>IF(CU$7&gt;$N46,0,CT46*(1-'Interest Rate'!$B$17))</f>
        <v>0</v>
      </c>
      <c r="CV46" s="609">
        <f>IF(CV$7&gt;$N46,0,CU46*(1-'Interest Rate'!$B$17))</f>
        <v>0</v>
      </c>
      <c r="CW46" s="609">
        <f>IF(CW$7&gt;$N46,0,CV46*(1-'Interest Rate'!$B$17))</f>
        <v>0</v>
      </c>
      <c r="CX46" s="609">
        <f>IF(CX$7&gt;$N46,0,CW46*(1-'Interest Rate'!$B$17))</f>
        <v>0</v>
      </c>
      <c r="CY46" s="609">
        <f>IF(CY$7&gt;$N46,0,CX46*(1-'Interest Rate'!$B$17))</f>
        <v>0</v>
      </c>
      <c r="CZ46" s="609">
        <f>IF(CZ$7&gt;$N46,0,CY46*(1-'Interest Rate'!$B$17))</f>
        <v>0</v>
      </c>
      <c r="DA46" s="609">
        <f>IF(DA$7&gt;$N46,0,CZ46*(1-'Interest Rate'!$B$17))</f>
        <v>0</v>
      </c>
      <c r="DB46" s="609">
        <f>IF(DB$7&gt;$N46,0,DA46*(1-'Interest Rate'!$B$17))</f>
        <v>0</v>
      </c>
      <c r="DC46" s="609">
        <f>IF(DC$7&gt;$N46,0,DB46*(1-'Interest Rate'!$B$17))</f>
        <v>0</v>
      </c>
      <c r="DD46" s="609">
        <f>IF(DD$7&gt;$N46,0,DC46*(1-'Interest Rate'!$B$17))</f>
        <v>0</v>
      </c>
      <c r="DE46" s="609">
        <f>IF(DE$7&gt;$N46,0,DD46*(1-'Interest Rate'!$B$17))</f>
        <v>0</v>
      </c>
      <c r="DF46" s="609">
        <f>IF(DF$7&gt;$N46,0,DE46*(1-'Interest Rate'!$B$17))</f>
        <v>0</v>
      </c>
      <c r="DG46" s="609">
        <f>IF(DG$7&gt;$N46,0,DF46*(1-'Interest Rate'!$B$17))</f>
        <v>0</v>
      </c>
      <c r="DH46" s="609">
        <f>IF(DH$7&gt;$N46,0,DG46*(1-'Interest Rate'!$B$17))</f>
        <v>0</v>
      </c>
      <c r="DI46" s="609">
        <f>IF(DI$7&gt;$N46,0,DH46*(1-'Interest Rate'!$B$17))</f>
        <v>0</v>
      </c>
      <c r="DJ46" s="609">
        <f>IF(DJ$7&gt;$N46,0,DI46*(1-'Interest Rate'!$B$17))</f>
        <v>0</v>
      </c>
      <c r="DK46" s="609">
        <f>IF(DK$7&gt;$N46,0,DJ46*(1-'Interest Rate'!$B$17))</f>
        <v>0</v>
      </c>
      <c r="DL46" s="609">
        <f>IF(DL$7&gt;$N46,0,DK46*(1-'Interest Rate'!$B$17))</f>
        <v>0</v>
      </c>
      <c r="DM46" s="609">
        <f>IF(DM$7&gt;$N46,0,DL46*(1-'Interest Rate'!$B$17))</f>
        <v>0</v>
      </c>
    </row>
    <row r="47" spans="1:117" ht="27.75" customHeight="1" x14ac:dyDescent="0.3">
      <c r="A47" s="616"/>
      <c r="B47" s="617"/>
      <c r="C47" s="618"/>
      <c r="E47" s="618"/>
      <c r="F47" s="618"/>
      <c r="G47" s="619"/>
      <c r="H47" s="620"/>
      <c r="J47" s="621"/>
      <c r="K47" s="621"/>
      <c r="N47" s="607"/>
      <c r="Q47" s="622"/>
      <c r="R47" s="623"/>
      <c r="S47" s="623"/>
      <c r="T47" s="623"/>
      <c r="U47" s="623"/>
      <c r="V47" s="623"/>
      <c r="W47" s="623"/>
      <c r="X47" s="623"/>
      <c r="Y47" s="623"/>
      <c r="Z47" s="623"/>
      <c r="AA47" s="623"/>
      <c r="AB47" s="623"/>
      <c r="AC47" s="623"/>
      <c r="AD47" s="623"/>
      <c r="AE47" s="623"/>
      <c r="AF47" s="623"/>
      <c r="AG47" s="623"/>
      <c r="AH47" s="623"/>
      <c r="AI47" s="623"/>
      <c r="AJ47" s="623"/>
      <c r="AK47" s="623"/>
      <c r="AL47" s="623"/>
      <c r="AM47" s="623"/>
      <c r="AN47" s="623"/>
      <c r="AO47" s="623"/>
      <c r="AP47" s="623"/>
      <c r="AQ47" s="623"/>
      <c r="AR47" s="623"/>
      <c r="AS47" s="623"/>
      <c r="AT47" s="623"/>
      <c r="AU47" s="623"/>
      <c r="AV47" s="623"/>
      <c r="AW47" s="623"/>
      <c r="AX47" s="623"/>
      <c r="AY47" s="623"/>
      <c r="AZ47" s="623"/>
      <c r="BA47" s="623"/>
      <c r="BB47" s="623"/>
      <c r="BC47" s="623"/>
      <c r="BD47" s="623"/>
      <c r="BE47" s="623"/>
    </row>
    <row r="48" spans="1:117" ht="27.75" customHeight="1" x14ac:dyDescent="0.3">
      <c r="A48" s="595" t="s">
        <v>144</v>
      </c>
      <c r="B48" s="595" t="s">
        <v>406</v>
      </c>
      <c r="C48" s="596" t="s">
        <v>35</v>
      </c>
      <c r="D48" s="596" t="s">
        <v>90</v>
      </c>
      <c r="E48" s="596" t="s">
        <v>119</v>
      </c>
      <c r="F48" s="596" t="s">
        <v>118</v>
      </c>
      <c r="G48" s="596" t="s">
        <v>125</v>
      </c>
      <c r="H48" s="596" t="s">
        <v>124</v>
      </c>
      <c r="I48" s="596" t="s">
        <v>72</v>
      </c>
      <c r="J48" s="611" t="s">
        <v>17</v>
      </c>
      <c r="K48" s="611" t="s">
        <v>22</v>
      </c>
      <c r="L48" s="596" t="s">
        <v>158</v>
      </c>
      <c r="M48" s="596" t="s">
        <v>159</v>
      </c>
      <c r="N48" s="607"/>
      <c r="O48" s="596"/>
      <c r="P48" s="596"/>
      <c r="Q48" s="608"/>
      <c r="R48" s="599">
        <v>1</v>
      </c>
      <c r="S48" s="599">
        <v>2</v>
      </c>
      <c r="T48" s="599">
        <v>3</v>
      </c>
      <c r="U48" s="599">
        <v>4</v>
      </c>
      <c r="V48" s="599">
        <v>5</v>
      </c>
      <c r="W48" s="599">
        <v>6</v>
      </c>
      <c r="X48" s="599">
        <v>7</v>
      </c>
      <c r="Y48" s="599">
        <v>8</v>
      </c>
      <c r="Z48" s="599">
        <v>9</v>
      </c>
      <c r="AA48" s="599">
        <v>10</v>
      </c>
      <c r="AB48" s="599">
        <v>11</v>
      </c>
      <c r="AC48" s="599">
        <v>12</v>
      </c>
      <c r="AD48" s="599">
        <v>13</v>
      </c>
      <c r="AE48" s="599">
        <v>14</v>
      </c>
      <c r="AF48" s="599">
        <v>15</v>
      </c>
      <c r="AG48" s="599">
        <v>16</v>
      </c>
      <c r="AH48" s="599">
        <v>17</v>
      </c>
      <c r="AI48" s="599">
        <v>18</v>
      </c>
      <c r="AJ48" s="599">
        <v>19</v>
      </c>
      <c r="AK48" s="599">
        <v>20</v>
      </c>
      <c r="AL48" s="599">
        <v>21</v>
      </c>
      <c r="AM48" s="599">
        <v>22</v>
      </c>
      <c r="AN48" s="599">
        <v>23</v>
      </c>
      <c r="AO48" s="599">
        <v>24</v>
      </c>
      <c r="AP48" s="599">
        <v>25</v>
      </c>
      <c r="AQ48" s="599">
        <v>26</v>
      </c>
      <c r="AR48" s="599">
        <v>27</v>
      </c>
      <c r="AS48" s="599">
        <v>28</v>
      </c>
      <c r="AT48" s="599">
        <v>29</v>
      </c>
      <c r="AU48" s="599">
        <v>30</v>
      </c>
      <c r="AV48" s="599">
        <v>31</v>
      </c>
      <c r="AW48" s="599">
        <v>32</v>
      </c>
      <c r="AX48" s="599">
        <v>33</v>
      </c>
      <c r="AY48" s="599">
        <v>34</v>
      </c>
      <c r="AZ48" s="599">
        <v>35</v>
      </c>
      <c r="BA48" s="599">
        <v>36</v>
      </c>
      <c r="BB48" s="599">
        <v>37</v>
      </c>
      <c r="BC48" s="599">
        <v>38</v>
      </c>
      <c r="BD48" s="599">
        <v>39</v>
      </c>
      <c r="BE48" s="599">
        <v>40</v>
      </c>
      <c r="BF48" s="599">
        <v>41</v>
      </c>
      <c r="BG48" s="599">
        <v>42</v>
      </c>
      <c r="BH48" s="599">
        <v>43</v>
      </c>
      <c r="BI48" s="599">
        <v>44</v>
      </c>
      <c r="BJ48" s="599">
        <v>45</v>
      </c>
      <c r="BK48" s="599">
        <v>46</v>
      </c>
      <c r="BL48" s="599">
        <v>47</v>
      </c>
      <c r="BM48" s="599">
        <v>48</v>
      </c>
      <c r="BN48" s="599">
        <v>49</v>
      </c>
      <c r="BO48" s="599">
        <v>50</v>
      </c>
      <c r="BP48" s="599">
        <v>51</v>
      </c>
      <c r="BQ48" s="599">
        <v>52</v>
      </c>
      <c r="BR48" s="599">
        <v>53</v>
      </c>
      <c r="BS48" s="599">
        <v>54</v>
      </c>
      <c r="BT48" s="599">
        <v>55</v>
      </c>
      <c r="BU48" s="599">
        <v>56</v>
      </c>
      <c r="BV48" s="599">
        <v>57</v>
      </c>
      <c r="BW48" s="599">
        <v>58</v>
      </c>
      <c r="BX48" s="599">
        <v>59</v>
      </c>
      <c r="BY48" s="599">
        <v>60</v>
      </c>
      <c r="BZ48" s="599">
        <v>61</v>
      </c>
      <c r="CA48" s="599">
        <v>62</v>
      </c>
      <c r="CB48" s="599">
        <v>63</v>
      </c>
      <c r="CC48" s="599">
        <v>64</v>
      </c>
      <c r="CD48" s="599">
        <v>65</v>
      </c>
      <c r="CE48" s="599">
        <v>66</v>
      </c>
      <c r="CF48" s="599">
        <v>67</v>
      </c>
      <c r="CG48" s="599">
        <v>68</v>
      </c>
      <c r="CH48" s="599">
        <v>69</v>
      </c>
      <c r="CI48" s="599">
        <v>70</v>
      </c>
      <c r="CJ48" s="599">
        <v>71</v>
      </c>
      <c r="CK48" s="599">
        <v>72</v>
      </c>
      <c r="CL48" s="599">
        <v>73</v>
      </c>
      <c r="CM48" s="599">
        <v>74</v>
      </c>
      <c r="CN48" s="599">
        <v>75</v>
      </c>
      <c r="CO48" s="599">
        <v>76</v>
      </c>
      <c r="CP48" s="599">
        <v>77</v>
      </c>
      <c r="CQ48" s="599">
        <v>78</v>
      </c>
      <c r="CR48" s="599">
        <v>79</v>
      </c>
      <c r="CS48" s="599">
        <v>80</v>
      </c>
      <c r="CT48" s="599">
        <v>81</v>
      </c>
      <c r="CU48" s="599">
        <v>82</v>
      </c>
      <c r="CV48" s="599">
        <v>83</v>
      </c>
      <c r="CW48" s="599">
        <v>84</v>
      </c>
      <c r="CX48" s="599">
        <v>85</v>
      </c>
      <c r="CY48" s="599">
        <v>86</v>
      </c>
      <c r="CZ48" s="599">
        <v>87</v>
      </c>
      <c r="DA48" s="599">
        <v>88</v>
      </c>
      <c r="DB48" s="599">
        <v>89</v>
      </c>
      <c r="DC48" s="599">
        <v>90</v>
      </c>
      <c r="DD48" s="599">
        <v>91</v>
      </c>
      <c r="DE48" s="599">
        <v>92</v>
      </c>
      <c r="DF48" s="599">
        <v>93</v>
      </c>
      <c r="DG48" s="599">
        <v>94</v>
      </c>
      <c r="DH48" s="599">
        <v>95</v>
      </c>
      <c r="DI48" s="599">
        <v>96</v>
      </c>
      <c r="DJ48" s="599">
        <v>97</v>
      </c>
      <c r="DK48" s="599">
        <v>98</v>
      </c>
      <c r="DL48" s="599">
        <v>99</v>
      </c>
      <c r="DM48" s="599">
        <v>100</v>
      </c>
    </row>
    <row r="49" spans="1:117" ht="27.75" customHeight="1" x14ac:dyDescent="0.3">
      <c r="A49" s="624" t="str">
        <f>'EEM Data Entry'!A125</f>
        <v/>
      </c>
      <c r="B49" s="625" t="str">
        <f>IF('EEM Data Entry'!B125="  ","  ", 'EEM Data Entry'!B125)</f>
        <v/>
      </c>
      <c r="C49" s="626" t="str">
        <f>'EEM Data Entry'!F125</f>
        <v/>
      </c>
      <c r="D49" s="626">
        <v>0</v>
      </c>
      <c r="E49" s="626" t="e">
        <f>C49-D49</f>
        <v>#VALUE!</v>
      </c>
      <c r="F49" s="626">
        <f>('Savings Summary'!D51*'Savings Summary'!D$5)+('Savings Summary'!F51*'Savings Summary'!F$5)+('Savings Summary'!H51*'Savings Summary'!H$5)+('Savings Summary'!J51*'Savings Summary'!J$5)+('Savings Summary'!L51*'Savings Summary'!L$5)+('Savings Summary'!N51*'Savings Summary'!N$5)+('Savings Summary'!P51*'Savings Summary'!P$5)+('Savings Summary'!R51*'Savings Summary'!R$5)</f>
        <v>0</v>
      </c>
      <c r="G49" s="627">
        <f>'Savings Summary'!T51</f>
        <v>0</v>
      </c>
      <c r="H49" s="628" t="e">
        <f>IF(C49=0,"n/a",E49/F49)</f>
        <v>#VALUE!</v>
      </c>
      <c r="I49" s="624" t="e">
        <f>IF(H49=0, "n/a", IF(H49&gt;100, "no",IF(H49&lt;0, "no", "yes")))</f>
        <v>#VALUE!</v>
      </c>
      <c r="J49" s="605" t="e">
        <f t="shared" ref="J49:J63" si="14">IRR(Q49:DM49,0.1)</f>
        <v>#NUM!</v>
      </c>
      <c r="K49" s="630" t="e">
        <f>PV('Interest Rate'!$B$17,Table8[[#This Row],[LIFETIME]],-Table8[[#This Row],[ANNUAL ENERGY COST SAVINGS]],Table8[[#This Row],[END-OF-LIFE]],0)-Table8[[#This Row],[CAPITAL INVESTMENT]]</f>
        <v>#VALUE!</v>
      </c>
      <c r="L49" s="624" t="str">
        <f>'EEM Data Entry'!C125</f>
        <v/>
      </c>
      <c r="M49" s="607" t="e">
        <f>Table6[[#This Row],[ANNUAL ENERGY COST SAVINGS]]/Table6[[#This Row],[CAPITAL INVESTMENT]]</f>
        <v>#VALUE!</v>
      </c>
      <c r="N49" s="804" t="str">
        <f>Table8[[#This Row],[LIFETIME]]</f>
        <v/>
      </c>
      <c r="O49" s="607"/>
      <c r="P49" s="607"/>
      <c r="Q49" s="608" t="str">
        <f t="shared" ref="Q49:Q63" si="15">IF(ISNUMBER(E49)=TRUE,-E49,"")</f>
        <v/>
      </c>
      <c r="R49" s="609">
        <f>F49</f>
        <v>0</v>
      </c>
      <c r="S49" s="609">
        <f>IF(S$7&gt;$N49,0,R49*(1-'Interest Rate'!$B$17))</f>
        <v>0</v>
      </c>
      <c r="T49" s="609">
        <f>IF(T$7&gt;$N49,0,S49*(1-'Interest Rate'!$B$17))</f>
        <v>0</v>
      </c>
      <c r="U49" s="609">
        <f>IF(U$7&gt;$N49,0,T49*(1-'Interest Rate'!$B$17))</f>
        <v>0</v>
      </c>
      <c r="V49" s="609">
        <f>IF(V$7&gt;$N49,0,U49*(1-'Interest Rate'!$B$17))</f>
        <v>0</v>
      </c>
      <c r="W49" s="609">
        <f>IF(W$7&gt;$N49,0,V49*(1-'Interest Rate'!$B$17))</f>
        <v>0</v>
      </c>
      <c r="X49" s="609">
        <f>IF(X$7&gt;$N49,0,W49*(1-'Interest Rate'!$B$17))</f>
        <v>0</v>
      </c>
      <c r="Y49" s="609">
        <f>IF(Y$7&gt;$N49,0,X49*(1-'Interest Rate'!$B$17))</f>
        <v>0</v>
      </c>
      <c r="Z49" s="609">
        <f>IF(Z$7&gt;$N49,0,Y49*(1-'Interest Rate'!$B$17))</f>
        <v>0</v>
      </c>
      <c r="AA49" s="609">
        <f>IF(AA$7&gt;$N49,0,Z49*(1-'Interest Rate'!$B$17))</f>
        <v>0</v>
      </c>
      <c r="AB49" s="609">
        <f>IF(AB$7&gt;$N49,0,AA49*(1-'Interest Rate'!$B$17))</f>
        <v>0</v>
      </c>
      <c r="AC49" s="609">
        <f>IF(AC$7&gt;$N49,0,AB49*(1-'Interest Rate'!$B$17))</f>
        <v>0</v>
      </c>
      <c r="AD49" s="609">
        <f>IF(AD$7&gt;$N49,0,AC49*(1-'Interest Rate'!$B$17))</f>
        <v>0</v>
      </c>
      <c r="AE49" s="609">
        <f>IF(AE$7&gt;$N49,0,AD49*(1-'Interest Rate'!$B$17))</f>
        <v>0</v>
      </c>
      <c r="AF49" s="609">
        <f>IF(AF$7&gt;$N49,0,AE49*(1-'Interest Rate'!$B$17))</f>
        <v>0</v>
      </c>
      <c r="AG49" s="609">
        <f>IF(AG$7&gt;$N49,0,AF49*(1-'Interest Rate'!$B$17))</f>
        <v>0</v>
      </c>
      <c r="AH49" s="609">
        <f>IF(AH$7&gt;$N49,0,AG49*(1-'Interest Rate'!$B$17))</f>
        <v>0</v>
      </c>
      <c r="AI49" s="609">
        <f>IF(AI$7&gt;$N49,0,AH49*(1-'Interest Rate'!$B$17))</f>
        <v>0</v>
      </c>
      <c r="AJ49" s="609">
        <f>IF(AJ$7&gt;$N49,0,AI49*(1-'Interest Rate'!$B$17))</f>
        <v>0</v>
      </c>
      <c r="AK49" s="609">
        <f>IF(AK$7&gt;$N49,0,AJ49*(1-'Interest Rate'!$B$17))</f>
        <v>0</v>
      </c>
      <c r="AL49" s="609">
        <f>IF(AL$7&gt;$N49,0,AK49*(1-'Interest Rate'!$B$17))</f>
        <v>0</v>
      </c>
      <c r="AM49" s="609">
        <f>IF(AM$7&gt;$N49,0,AL49*(1-'Interest Rate'!$B$17))</f>
        <v>0</v>
      </c>
      <c r="AN49" s="609">
        <f>IF(AN$7&gt;$N49,0,AM49*(1-'Interest Rate'!$B$17))</f>
        <v>0</v>
      </c>
      <c r="AO49" s="609">
        <f>IF(AO$7&gt;$N49,0,AN49*(1-'Interest Rate'!$B$17))</f>
        <v>0</v>
      </c>
      <c r="AP49" s="609">
        <f>IF(AP$7&gt;$N49,0,AO49*(1-'Interest Rate'!$B$17))</f>
        <v>0</v>
      </c>
      <c r="AQ49" s="609">
        <f>IF(AQ$7&gt;$N49,0,AP49*(1-'Interest Rate'!$B$17))</f>
        <v>0</v>
      </c>
      <c r="AR49" s="609">
        <f>IF(AR$7&gt;$N49,0,AQ49*(1-'Interest Rate'!$B$17))</f>
        <v>0</v>
      </c>
      <c r="AS49" s="609">
        <f>IF(AS$7&gt;$N49,0,AR49*(1-'Interest Rate'!$B$17))</f>
        <v>0</v>
      </c>
      <c r="AT49" s="609">
        <f>IF(AT$7&gt;$N49,0,AS49*(1-'Interest Rate'!$B$17))</f>
        <v>0</v>
      </c>
      <c r="AU49" s="609">
        <f>IF(AU$7&gt;$N49,0,AT49*(1-'Interest Rate'!$B$17))</f>
        <v>0</v>
      </c>
      <c r="AV49" s="609">
        <f>IF(AV$7&gt;$N49,0,AU49*(1-'Interest Rate'!$B$17))</f>
        <v>0</v>
      </c>
      <c r="AW49" s="609">
        <f>IF(AW$7&gt;$N49,0,AV49*(1-'Interest Rate'!$B$17))</f>
        <v>0</v>
      </c>
      <c r="AX49" s="609">
        <f>IF(AX$7&gt;$N49,0,AW49*(1-'Interest Rate'!$B$17))</f>
        <v>0</v>
      </c>
      <c r="AY49" s="609">
        <f>IF(AY$7&gt;$N49,0,AX49*(1-'Interest Rate'!$B$17))</f>
        <v>0</v>
      </c>
      <c r="AZ49" s="609">
        <f>IF(AZ$7&gt;$N49,0,AY49*(1-'Interest Rate'!$B$17))</f>
        <v>0</v>
      </c>
      <c r="BA49" s="609">
        <f>IF(BA$7&gt;$N49,0,AZ49*(1-'Interest Rate'!$B$17))</f>
        <v>0</v>
      </c>
      <c r="BB49" s="609">
        <f>IF(BB$7&gt;$N49,0,BA49*(1-'Interest Rate'!$B$17))</f>
        <v>0</v>
      </c>
      <c r="BC49" s="609">
        <f>IF(BC$7&gt;$N49,0,BB49*(1-'Interest Rate'!$B$17))</f>
        <v>0</v>
      </c>
      <c r="BD49" s="609">
        <f>IF(BD$7&gt;$N49,0,BC49*(1-'Interest Rate'!$B$17))</f>
        <v>0</v>
      </c>
      <c r="BE49" s="609">
        <f>IF(BE$7&gt;$N49,0,BD49*(1-'Interest Rate'!$B$17))</f>
        <v>0</v>
      </c>
      <c r="BF49" s="609">
        <f>IF(BF$7&gt;$N49,0,BE49*(1-'Interest Rate'!$B$17))</f>
        <v>0</v>
      </c>
      <c r="BG49" s="609">
        <f>IF(BG$7&gt;$N49,0,BF49*(1-'Interest Rate'!$B$17))</f>
        <v>0</v>
      </c>
      <c r="BH49" s="609">
        <f>IF(BH$7&gt;$N49,0,BG49*(1-'Interest Rate'!$B$17))</f>
        <v>0</v>
      </c>
      <c r="BI49" s="609">
        <f>IF(BI$7&gt;$N49,0,BH49*(1-'Interest Rate'!$B$17))</f>
        <v>0</v>
      </c>
      <c r="BJ49" s="609">
        <f>IF(BJ$7&gt;$N49,0,BI49*(1-'Interest Rate'!$B$17))</f>
        <v>0</v>
      </c>
      <c r="BK49" s="609">
        <f>IF(BK$7&gt;$N49,0,BJ49*(1-'Interest Rate'!$B$17))</f>
        <v>0</v>
      </c>
      <c r="BL49" s="609">
        <f>IF(BL$7&gt;$N49,0,BK49*(1-'Interest Rate'!$B$17))</f>
        <v>0</v>
      </c>
      <c r="BM49" s="609">
        <f>IF(BM$7&gt;$N49,0,BL49*(1-'Interest Rate'!$B$17))</f>
        <v>0</v>
      </c>
      <c r="BN49" s="609">
        <f>IF(BN$7&gt;$N49,0,BM49*(1-'Interest Rate'!$B$17))</f>
        <v>0</v>
      </c>
      <c r="BO49" s="609">
        <f>IF(BO$7&gt;$N49,0,BN49*(1-'Interest Rate'!$B$17))</f>
        <v>0</v>
      </c>
      <c r="BP49" s="609">
        <f>IF(BP$7&gt;$N49,0,BO49*(1-'Interest Rate'!$B$17))</f>
        <v>0</v>
      </c>
      <c r="BQ49" s="609">
        <f>IF(BQ$7&gt;$N49,0,BP49*(1-'Interest Rate'!$B$17))</f>
        <v>0</v>
      </c>
      <c r="BR49" s="609">
        <f>IF(BR$7&gt;$N49,0,BQ49*(1-'Interest Rate'!$B$17))</f>
        <v>0</v>
      </c>
      <c r="BS49" s="609">
        <f>IF(BS$7&gt;$N49,0,BR49*(1-'Interest Rate'!$B$17))</f>
        <v>0</v>
      </c>
      <c r="BT49" s="609">
        <f>IF(BT$7&gt;$N49,0,BS49*(1-'Interest Rate'!$B$17))</f>
        <v>0</v>
      </c>
      <c r="BU49" s="609">
        <f>IF(BU$7&gt;$N49,0,BT49*(1-'Interest Rate'!$B$17))</f>
        <v>0</v>
      </c>
      <c r="BV49" s="609">
        <f>IF(BV$7&gt;$N49,0,BU49*(1-'Interest Rate'!$B$17))</f>
        <v>0</v>
      </c>
      <c r="BW49" s="609">
        <f>IF(BW$7&gt;$N49,0,BV49*(1-'Interest Rate'!$B$17))</f>
        <v>0</v>
      </c>
      <c r="BX49" s="609">
        <f>IF(BX$7&gt;$N49,0,BW49*(1-'Interest Rate'!$B$17))</f>
        <v>0</v>
      </c>
      <c r="BY49" s="609">
        <f>IF(BY$7&gt;$N49,0,BX49*(1-'Interest Rate'!$B$17))</f>
        <v>0</v>
      </c>
      <c r="BZ49" s="609">
        <f>IF(BZ$7&gt;$N49,0,BY49*(1-'Interest Rate'!$B$17))</f>
        <v>0</v>
      </c>
      <c r="CA49" s="609">
        <f>IF(CA$7&gt;$N49,0,BZ49*(1-'Interest Rate'!$B$17))</f>
        <v>0</v>
      </c>
      <c r="CB49" s="609">
        <f>IF(CB$7&gt;$N49,0,CA49*(1-'Interest Rate'!$B$17))</f>
        <v>0</v>
      </c>
      <c r="CC49" s="609">
        <f>IF(CC$7&gt;$N49,0,CB49*(1-'Interest Rate'!$B$17))</f>
        <v>0</v>
      </c>
      <c r="CD49" s="609">
        <f>IF(CD$7&gt;$N49,0,CC49*(1-'Interest Rate'!$B$17))</f>
        <v>0</v>
      </c>
      <c r="CE49" s="609">
        <f>IF(CE$7&gt;$N49,0,CD49*(1-'Interest Rate'!$B$17))</f>
        <v>0</v>
      </c>
      <c r="CF49" s="609">
        <f>IF(CF$7&gt;$N49,0,CE49*(1-'Interest Rate'!$B$17))</f>
        <v>0</v>
      </c>
      <c r="CG49" s="609">
        <f>IF(CG$7&gt;$N49,0,CF49*(1-'Interest Rate'!$B$17))</f>
        <v>0</v>
      </c>
      <c r="CH49" s="609">
        <f>IF(CH$7&gt;$N49,0,CG49*(1-'Interest Rate'!$B$17))</f>
        <v>0</v>
      </c>
      <c r="CI49" s="609">
        <f>IF(CI$7&gt;$N49,0,CH49*(1-'Interest Rate'!$B$17))</f>
        <v>0</v>
      </c>
      <c r="CJ49" s="609">
        <f>IF(CJ$7&gt;$N49,0,CI49*(1-'Interest Rate'!$B$17))</f>
        <v>0</v>
      </c>
      <c r="CK49" s="609">
        <f>IF(CK$7&gt;$N49,0,CJ49*(1-'Interest Rate'!$B$17))</f>
        <v>0</v>
      </c>
      <c r="CL49" s="609">
        <f>IF(CL$7&gt;$N49,0,CK49*(1-'Interest Rate'!$B$17))</f>
        <v>0</v>
      </c>
      <c r="CM49" s="609">
        <f>IF(CM$7&gt;$N49,0,CL49*(1-'Interest Rate'!$B$17))</f>
        <v>0</v>
      </c>
      <c r="CN49" s="609">
        <f>IF(CN$7&gt;$N49,0,CM49*(1-'Interest Rate'!$B$17))</f>
        <v>0</v>
      </c>
      <c r="CO49" s="609">
        <f>IF(CO$7&gt;$N49,0,CN49*(1-'Interest Rate'!$B$17))</f>
        <v>0</v>
      </c>
      <c r="CP49" s="609">
        <f>IF(CP$7&gt;$N49,0,CO49*(1-'Interest Rate'!$B$17))</f>
        <v>0</v>
      </c>
      <c r="CQ49" s="609">
        <f>IF(CQ$7&gt;$N49,0,CP49*(1-'Interest Rate'!$B$17))</f>
        <v>0</v>
      </c>
      <c r="CR49" s="609">
        <f>IF(CR$7&gt;$N49,0,CQ49*(1-'Interest Rate'!$B$17))</f>
        <v>0</v>
      </c>
      <c r="CS49" s="609">
        <f>IF(CS$7&gt;$N49,0,CR49*(1-'Interest Rate'!$B$17))</f>
        <v>0</v>
      </c>
      <c r="CT49" s="609">
        <f>IF(CT$7&gt;$N49,0,CS49*(1-'Interest Rate'!$B$17))</f>
        <v>0</v>
      </c>
      <c r="CU49" s="609">
        <f>IF(CU$7&gt;$N49,0,CT49*(1-'Interest Rate'!$B$17))</f>
        <v>0</v>
      </c>
      <c r="CV49" s="609">
        <f>IF(CV$7&gt;$N49,0,CU49*(1-'Interest Rate'!$B$17))</f>
        <v>0</v>
      </c>
      <c r="CW49" s="609">
        <f>IF(CW$7&gt;$N49,0,CV49*(1-'Interest Rate'!$B$17))</f>
        <v>0</v>
      </c>
      <c r="CX49" s="609">
        <f>IF(CX$7&gt;$N49,0,CW49*(1-'Interest Rate'!$B$17))</f>
        <v>0</v>
      </c>
      <c r="CY49" s="609">
        <f>IF(CY$7&gt;$N49,0,CX49*(1-'Interest Rate'!$B$17))</f>
        <v>0</v>
      </c>
      <c r="CZ49" s="609">
        <f>IF(CZ$7&gt;$N49,0,CY49*(1-'Interest Rate'!$B$17))</f>
        <v>0</v>
      </c>
      <c r="DA49" s="609">
        <f>IF(DA$7&gt;$N49,0,CZ49*(1-'Interest Rate'!$B$17))</f>
        <v>0</v>
      </c>
      <c r="DB49" s="609">
        <f>IF(DB$7&gt;$N49,0,DA49*(1-'Interest Rate'!$B$17))</f>
        <v>0</v>
      </c>
      <c r="DC49" s="609">
        <f>IF(DC$7&gt;$N49,0,DB49*(1-'Interest Rate'!$B$17))</f>
        <v>0</v>
      </c>
      <c r="DD49" s="609">
        <f>IF(DD$7&gt;$N49,0,DC49*(1-'Interest Rate'!$B$17))</f>
        <v>0</v>
      </c>
      <c r="DE49" s="609">
        <f>IF(DE$7&gt;$N49,0,DD49*(1-'Interest Rate'!$B$17))</f>
        <v>0</v>
      </c>
      <c r="DF49" s="609">
        <f>IF(DF$7&gt;$N49,0,DE49*(1-'Interest Rate'!$B$17))</f>
        <v>0</v>
      </c>
      <c r="DG49" s="609">
        <f>IF(DG$7&gt;$N49,0,DF49*(1-'Interest Rate'!$B$17))</f>
        <v>0</v>
      </c>
      <c r="DH49" s="609">
        <f>IF(DH$7&gt;$N49,0,DG49*(1-'Interest Rate'!$B$17))</f>
        <v>0</v>
      </c>
      <c r="DI49" s="609">
        <f>IF(DI$7&gt;$N49,0,DH49*(1-'Interest Rate'!$B$17))</f>
        <v>0</v>
      </c>
      <c r="DJ49" s="609">
        <f>IF(DJ$7&gt;$N49,0,DI49*(1-'Interest Rate'!$B$17))</f>
        <v>0</v>
      </c>
      <c r="DK49" s="609">
        <f>IF(DK$7&gt;$N49,0,DJ49*(1-'Interest Rate'!$B$17))</f>
        <v>0</v>
      </c>
      <c r="DL49" s="609">
        <f>IF(DL$7&gt;$N49,0,DK49*(1-'Interest Rate'!$B$17))</f>
        <v>0</v>
      </c>
      <c r="DM49" s="609">
        <f>IF(DM$7&gt;$N49,0,DL49*(1-'Interest Rate'!$B$17))</f>
        <v>0</v>
      </c>
    </row>
    <row r="50" spans="1:117" ht="27.75" customHeight="1" x14ac:dyDescent="0.3">
      <c r="A50" s="624" t="str">
        <f>'EEM Data Entry'!A126</f>
        <v/>
      </c>
      <c r="B50" s="625" t="str">
        <f>IF('EEM Data Entry'!B126="  ","  ", 'EEM Data Entry'!B126)</f>
        <v/>
      </c>
      <c r="C50" s="626" t="str">
        <f>'EEM Data Entry'!F126</f>
        <v/>
      </c>
      <c r="D50" s="626">
        <v>0</v>
      </c>
      <c r="E50" s="626" t="e">
        <f t="shared" ref="E50:E63" si="16">C50-D50</f>
        <v>#VALUE!</v>
      </c>
      <c r="F50" s="626">
        <f>('Savings Summary'!D52*'Savings Summary'!D$5)+('Savings Summary'!F52*'Savings Summary'!F$5)+('Savings Summary'!H52*'Savings Summary'!H$5)+('Savings Summary'!J52*'Savings Summary'!J$5)+('Savings Summary'!L52*'Savings Summary'!L$5)+('Savings Summary'!N52*'Savings Summary'!N$5)+('Savings Summary'!P52*'Savings Summary'!P$5)+('Savings Summary'!R52*'Savings Summary'!R$5)</f>
        <v>0</v>
      </c>
      <c r="G50" s="627">
        <f>'Savings Summary'!T52</f>
        <v>0</v>
      </c>
      <c r="H50" s="628" t="e">
        <f t="shared" ref="H50:H62" si="17">IF(C50=0,"n/a",E50/F50)</f>
        <v>#VALUE!</v>
      </c>
      <c r="I50" s="624" t="e">
        <f t="shared" ref="I50:I62" si="18">IF(H50=0, "n/a", IF(H50&gt;100, "no",IF(H50&lt;0, "no", "yes")))</f>
        <v>#VALUE!</v>
      </c>
      <c r="J50" s="629" t="e">
        <f t="shared" si="14"/>
        <v>#NUM!</v>
      </c>
      <c r="K50" s="630" t="e">
        <f>PV('Interest Rate'!$B$17,Table8[[#This Row],[LIFETIME]],-Table8[[#This Row],[ANNUAL ENERGY COST SAVINGS]],Table8[[#This Row],[END-OF-LIFE]],0)-Table8[[#This Row],[CAPITAL INVESTMENT]]</f>
        <v>#VALUE!</v>
      </c>
      <c r="L50" s="624" t="str">
        <f>'EEM Data Entry'!C126</f>
        <v/>
      </c>
      <c r="M50" s="631" t="e">
        <f>Table6[[#This Row],[ANNUAL ENERGY COST SAVINGS]]/Table6[[#This Row],[CAPITAL INVESTMENT]]</f>
        <v>#VALUE!</v>
      </c>
      <c r="N50" s="804" t="str">
        <f>Table8[[#This Row],[LIFETIME]]</f>
        <v/>
      </c>
      <c r="O50" s="803"/>
      <c r="P50" s="803"/>
      <c r="Q50" s="608" t="str">
        <f t="shared" si="15"/>
        <v/>
      </c>
      <c r="R50" s="609">
        <f t="shared" ref="R50:R63" si="19">F50</f>
        <v>0</v>
      </c>
      <c r="S50" s="609">
        <f>IF(S$7&gt;$N50,0,R50*(1-'Interest Rate'!$B$17))</f>
        <v>0</v>
      </c>
      <c r="T50" s="609">
        <f>IF(T$7&gt;$N50,0,S50*(1-'Interest Rate'!$B$17))</f>
        <v>0</v>
      </c>
      <c r="U50" s="609">
        <f>IF(U$7&gt;$N50,0,T50*(1-'Interest Rate'!$B$17))</f>
        <v>0</v>
      </c>
      <c r="V50" s="609">
        <f>IF(V$7&gt;$N50,0,U50*(1-'Interest Rate'!$B$17))</f>
        <v>0</v>
      </c>
      <c r="W50" s="609">
        <f>IF(W$7&gt;$N50,0,V50*(1-'Interest Rate'!$B$17))</f>
        <v>0</v>
      </c>
      <c r="X50" s="609">
        <f>IF(X$7&gt;$N50,0,W50*(1-'Interest Rate'!$B$17))</f>
        <v>0</v>
      </c>
      <c r="Y50" s="609">
        <f>IF(Y$7&gt;$N50,0,X50*(1-'Interest Rate'!$B$17))</f>
        <v>0</v>
      </c>
      <c r="Z50" s="609">
        <f>IF(Z$7&gt;$N50,0,Y50*(1-'Interest Rate'!$B$17))</f>
        <v>0</v>
      </c>
      <c r="AA50" s="609">
        <f>IF(AA$7&gt;$N50,0,Z50*(1-'Interest Rate'!$B$17))</f>
        <v>0</v>
      </c>
      <c r="AB50" s="609">
        <f>IF(AB$7&gt;$N50,0,AA50*(1-'Interest Rate'!$B$17))</f>
        <v>0</v>
      </c>
      <c r="AC50" s="609">
        <f>IF(AC$7&gt;$N50,0,AB50*(1-'Interest Rate'!$B$17))</f>
        <v>0</v>
      </c>
      <c r="AD50" s="609">
        <f>IF(AD$7&gt;$N50,0,AC50*(1-'Interest Rate'!$B$17))</f>
        <v>0</v>
      </c>
      <c r="AE50" s="609">
        <f>IF(AE$7&gt;$N50,0,AD50*(1-'Interest Rate'!$B$17))</f>
        <v>0</v>
      </c>
      <c r="AF50" s="609">
        <f>IF(AF$7&gt;$N50,0,AE50*(1-'Interest Rate'!$B$17))</f>
        <v>0</v>
      </c>
      <c r="AG50" s="609">
        <f>IF(AG$7&gt;$N50,0,AF50*(1-'Interest Rate'!$B$17))</f>
        <v>0</v>
      </c>
      <c r="AH50" s="609">
        <f>IF(AH$7&gt;$N50,0,AG50*(1-'Interest Rate'!$B$17))</f>
        <v>0</v>
      </c>
      <c r="AI50" s="609">
        <f>IF(AI$7&gt;$N50,0,AH50*(1-'Interest Rate'!$B$17))</f>
        <v>0</v>
      </c>
      <c r="AJ50" s="609">
        <f>IF(AJ$7&gt;$N50,0,AI50*(1-'Interest Rate'!$B$17))</f>
        <v>0</v>
      </c>
      <c r="AK50" s="609">
        <f>IF(AK$7&gt;$N50,0,AJ50*(1-'Interest Rate'!$B$17))</f>
        <v>0</v>
      </c>
      <c r="AL50" s="609">
        <f>IF(AL$7&gt;$N50,0,AK50*(1-'Interest Rate'!$B$17))</f>
        <v>0</v>
      </c>
      <c r="AM50" s="609">
        <f>IF(AM$7&gt;$N50,0,AL50*(1-'Interest Rate'!$B$17))</f>
        <v>0</v>
      </c>
      <c r="AN50" s="609">
        <f>IF(AN$7&gt;$N50,0,AM50*(1-'Interest Rate'!$B$17))</f>
        <v>0</v>
      </c>
      <c r="AO50" s="609">
        <f>IF(AO$7&gt;$N50,0,AN50*(1-'Interest Rate'!$B$17))</f>
        <v>0</v>
      </c>
      <c r="AP50" s="609">
        <f>IF(AP$7&gt;$N50,0,AO50*(1-'Interest Rate'!$B$17))</f>
        <v>0</v>
      </c>
      <c r="AQ50" s="609">
        <f>IF(AQ$7&gt;$N50,0,AP50*(1-'Interest Rate'!$B$17))</f>
        <v>0</v>
      </c>
      <c r="AR50" s="609">
        <f>IF(AR$7&gt;$N50,0,AQ50*(1-'Interest Rate'!$B$17))</f>
        <v>0</v>
      </c>
      <c r="AS50" s="609">
        <f>IF(AS$7&gt;$N50,0,AR50*(1-'Interest Rate'!$B$17))</f>
        <v>0</v>
      </c>
      <c r="AT50" s="609">
        <f>IF(AT$7&gt;$N50,0,AS50*(1-'Interest Rate'!$B$17))</f>
        <v>0</v>
      </c>
      <c r="AU50" s="609">
        <f>IF(AU$7&gt;$N50,0,AT50*(1-'Interest Rate'!$B$17))</f>
        <v>0</v>
      </c>
      <c r="AV50" s="609">
        <f>IF(AV$7&gt;$N50,0,AU50*(1-'Interest Rate'!$B$17))</f>
        <v>0</v>
      </c>
      <c r="AW50" s="609">
        <f>IF(AW$7&gt;$N50,0,AV50*(1-'Interest Rate'!$B$17))</f>
        <v>0</v>
      </c>
      <c r="AX50" s="609">
        <f>IF(AX$7&gt;$N50,0,AW50*(1-'Interest Rate'!$B$17))</f>
        <v>0</v>
      </c>
      <c r="AY50" s="609">
        <f>IF(AY$7&gt;$N50,0,AX50*(1-'Interest Rate'!$B$17))</f>
        <v>0</v>
      </c>
      <c r="AZ50" s="609">
        <f>IF(AZ$7&gt;$N50,0,AY50*(1-'Interest Rate'!$B$17))</f>
        <v>0</v>
      </c>
      <c r="BA50" s="609">
        <f>IF(BA$7&gt;$N50,0,AZ50*(1-'Interest Rate'!$B$17))</f>
        <v>0</v>
      </c>
      <c r="BB50" s="609">
        <f>IF(BB$7&gt;$N50,0,BA50*(1-'Interest Rate'!$B$17))</f>
        <v>0</v>
      </c>
      <c r="BC50" s="609">
        <f>IF(BC$7&gt;$N50,0,BB50*(1-'Interest Rate'!$B$17))</f>
        <v>0</v>
      </c>
      <c r="BD50" s="609">
        <f>IF(BD$7&gt;$N50,0,BC50*(1-'Interest Rate'!$B$17))</f>
        <v>0</v>
      </c>
      <c r="BE50" s="609">
        <f>IF(BE$7&gt;$N50,0,BD50*(1-'Interest Rate'!$B$17))</f>
        <v>0</v>
      </c>
      <c r="BF50" s="609">
        <f>IF(BF$7&gt;$N50,0,BE50*(1-'Interest Rate'!$B$17))</f>
        <v>0</v>
      </c>
      <c r="BG50" s="609">
        <f>IF(BG$7&gt;$N50,0,BF50*(1-'Interest Rate'!$B$17))</f>
        <v>0</v>
      </c>
      <c r="BH50" s="609">
        <f>IF(BH$7&gt;$N50,0,BG50*(1-'Interest Rate'!$B$17))</f>
        <v>0</v>
      </c>
      <c r="BI50" s="609">
        <f>IF(BI$7&gt;$N50,0,BH50*(1-'Interest Rate'!$B$17))</f>
        <v>0</v>
      </c>
      <c r="BJ50" s="609">
        <f>IF(BJ$7&gt;$N50,0,BI50*(1-'Interest Rate'!$B$17))</f>
        <v>0</v>
      </c>
      <c r="BK50" s="609">
        <f>IF(BK$7&gt;$N50,0,BJ50*(1-'Interest Rate'!$B$17))</f>
        <v>0</v>
      </c>
      <c r="BL50" s="609">
        <f>IF(BL$7&gt;$N50,0,BK50*(1-'Interest Rate'!$B$17))</f>
        <v>0</v>
      </c>
      <c r="BM50" s="609">
        <f>IF(BM$7&gt;$N50,0,BL50*(1-'Interest Rate'!$B$17))</f>
        <v>0</v>
      </c>
      <c r="BN50" s="609">
        <f>IF(BN$7&gt;$N50,0,BM50*(1-'Interest Rate'!$B$17))</f>
        <v>0</v>
      </c>
      <c r="BO50" s="609">
        <f>IF(BO$7&gt;$N50,0,BN50*(1-'Interest Rate'!$B$17))</f>
        <v>0</v>
      </c>
      <c r="BP50" s="609">
        <f>IF(BP$7&gt;$N50,0,BO50*(1-'Interest Rate'!$B$17))</f>
        <v>0</v>
      </c>
      <c r="BQ50" s="609">
        <f>IF(BQ$7&gt;$N50,0,BP50*(1-'Interest Rate'!$B$17))</f>
        <v>0</v>
      </c>
      <c r="BR50" s="609">
        <f>IF(BR$7&gt;$N50,0,BQ50*(1-'Interest Rate'!$B$17))</f>
        <v>0</v>
      </c>
      <c r="BS50" s="609">
        <f>IF(BS$7&gt;$N50,0,BR50*(1-'Interest Rate'!$B$17))</f>
        <v>0</v>
      </c>
      <c r="BT50" s="609">
        <f>IF(BT$7&gt;$N50,0,BS50*(1-'Interest Rate'!$B$17))</f>
        <v>0</v>
      </c>
      <c r="BU50" s="609">
        <f>IF(BU$7&gt;$N50,0,BT50*(1-'Interest Rate'!$B$17))</f>
        <v>0</v>
      </c>
      <c r="BV50" s="609">
        <f>IF(BV$7&gt;$N50,0,BU50*(1-'Interest Rate'!$B$17))</f>
        <v>0</v>
      </c>
      <c r="BW50" s="609">
        <f>IF(BW$7&gt;$N50,0,BV50*(1-'Interest Rate'!$B$17))</f>
        <v>0</v>
      </c>
      <c r="BX50" s="609">
        <f>IF(BX$7&gt;$N50,0,BW50*(1-'Interest Rate'!$B$17))</f>
        <v>0</v>
      </c>
      <c r="BY50" s="609">
        <f>IF(BY$7&gt;$N50,0,BX50*(1-'Interest Rate'!$B$17))</f>
        <v>0</v>
      </c>
      <c r="BZ50" s="609">
        <f>IF(BZ$7&gt;$N50,0,BY50*(1-'Interest Rate'!$B$17))</f>
        <v>0</v>
      </c>
      <c r="CA50" s="609">
        <f>IF(CA$7&gt;$N50,0,BZ50*(1-'Interest Rate'!$B$17))</f>
        <v>0</v>
      </c>
      <c r="CB50" s="609">
        <f>IF(CB$7&gt;$N50,0,CA50*(1-'Interest Rate'!$B$17))</f>
        <v>0</v>
      </c>
      <c r="CC50" s="609">
        <f>IF(CC$7&gt;$N50,0,CB50*(1-'Interest Rate'!$B$17))</f>
        <v>0</v>
      </c>
      <c r="CD50" s="609">
        <f>IF(CD$7&gt;$N50,0,CC50*(1-'Interest Rate'!$B$17))</f>
        <v>0</v>
      </c>
      <c r="CE50" s="609">
        <f>IF(CE$7&gt;$N50,0,CD50*(1-'Interest Rate'!$B$17))</f>
        <v>0</v>
      </c>
      <c r="CF50" s="609">
        <f>IF(CF$7&gt;$N50,0,CE50*(1-'Interest Rate'!$B$17))</f>
        <v>0</v>
      </c>
      <c r="CG50" s="609">
        <f>IF(CG$7&gt;$N50,0,CF50*(1-'Interest Rate'!$B$17))</f>
        <v>0</v>
      </c>
      <c r="CH50" s="609">
        <f>IF(CH$7&gt;$N50,0,CG50*(1-'Interest Rate'!$B$17))</f>
        <v>0</v>
      </c>
      <c r="CI50" s="609">
        <f>IF(CI$7&gt;$N50,0,CH50*(1-'Interest Rate'!$B$17))</f>
        <v>0</v>
      </c>
      <c r="CJ50" s="609">
        <f>IF(CJ$7&gt;$N50,0,CI50*(1-'Interest Rate'!$B$17))</f>
        <v>0</v>
      </c>
      <c r="CK50" s="609">
        <f>IF(CK$7&gt;$N50,0,CJ50*(1-'Interest Rate'!$B$17))</f>
        <v>0</v>
      </c>
      <c r="CL50" s="609">
        <f>IF(CL$7&gt;$N50,0,CK50*(1-'Interest Rate'!$B$17))</f>
        <v>0</v>
      </c>
      <c r="CM50" s="609">
        <f>IF(CM$7&gt;$N50,0,CL50*(1-'Interest Rate'!$B$17))</f>
        <v>0</v>
      </c>
      <c r="CN50" s="609">
        <f>IF(CN$7&gt;$N50,0,CM50*(1-'Interest Rate'!$B$17))</f>
        <v>0</v>
      </c>
      <c r="CO50" s="609">
        <f>IF(CO$7&gt;$N50,0,CN50*(1-'Interest Rate'!$B$17))</f>
        <v>0</v>
      </c>
      <c r="CP50" s="609">
        <f>IF(CP$7&gt;$N50,0,CO50*(1-'Interest Rate'!$B$17))</f>
        <v>0</v>
      </c>
      <c r="CQ50" s="609">
        <f>IF(CQ$7&gt;$N50,0,CP50*(1-'Interest Rate'!$B$17))</f>
        <v>0</v>
      </c>
      <c r="CR50" s="609">
        <f>IF(CR$7&gt;$N50,0,CQ50*(1-'Interest Rate'!$B$17))</f>
        <v>0</v>
      </c>
      <c r="CS50" s="609">
        <f>IF(CS$7&gt;$N50,0,CR50*(1-'Interest Rate'!$B$17))</f>
        <v>0</v>
      </c>
      <c r="CT50" s="609">
        <f>IF(CT$7&gt;$N50,0,CS50*(1-'Interest Rate'!$B$17))</f>
        <v>0</v>
      </c>
      <c r="CU50" s="609">
        <f>IF(CU$7&gt;$N50,0,CT50*(1-'Interest Rate'!$B$17))</f>
        <v>0</v>
      </c>
      <c r="CV50" s="609">
        <f>IF(CV$7&gt;$N50,0,CU50*(1-'Interest Rate'!$B$17))</f>
        <v>0</v>
      </c>
      <c r="CW50" s="609">
        <f>IF(CW$7&gt;$N50,0,CV50*(1-'Interest Rate'!$B$17))</f>
        <v>0</v>
      </c>
      <c r="CX50" s="609">
        <f>IF(CX$7&gt;$N50,0,CW50*(1-'Interest Rate'!$B$17))</f>
        <v>0</v>
      </c>
      <c r="CY50" s="609">
        <f>IF(CY$7&gt;$N50,0,CX50*(1-'Interest Rate'!$B$17))</f>
        <v>0</v>
      </c>
      <c r="CZ50" s="609">
        <f>IF(CZ$7&gt;$N50,0,CY50*(1-'Interest Rate'!$B$17))</f>
        <v>0</v>
      </c>
      <c r="DA50" s="609">
        <f>IF(DA$7&gt;$N50,0,CZ50*(1-'Interest Rate'!$B$17))</f>
        <v>0</v>
      </c>
      <c r="DB50" s="609">
        <f>IF(DB$7&gt;$N50,0,DA50*(1-'Interest Rate'!$B$17))</f>
        <v>0</v>
      </c>
      <c r="DC50" s="609">
        <f>IF(DC$7&gt;$N50,0,DB50*(1-'Interest Rate'!$B$17))</f>
        <v>0</v>
      </c>
      <c r="DD50" s="609">
        <f>IF(DD$7&gt;$N50,0,DC50*(1-'Interest Rate'!$B$17))</f>
        <v>0</v>
      </c>
      <c r="DE50" s="609">
        <f>IF(DE$7&gt;$N50,0,DD50*(1-'Interest Rate'!$B$17))</f>
        <v>0</v>
      </c>
      <c r="DF50" s="609">
        <f>IF(DF$7&gt;$N50,0,DE50*(1-'Interest Rate'!$B$17))</f>
        <v>0</v>
      </c>
      <c r="DG50" s="609">
        <f>IF(DG$7&gt;$N50,0,DF50*(1-'Interest Rate'!$B$17))</f>
        <v>0</v>
      </c>
      <c r="DH50" s="609">
        <f>IF(DH$7&gt;$N50,0,DG50*(1-'Interest Rate'!$B$17))</f>
        <v>0</v>
      </c>
      <c r="DI50" s="609">
        <f>IF(DI$7&gt;$N50,0,DH50*(1-'Interest Rate'!$B$17))</f>
        <v>0</v>
      </c>
      <c r="DJ50" s="609">
        <f>IF(DJ$7&gt;$N50,0,DI50*(1-'Interest Rate'!$B$17))</f>
        <v>0</v>
      </c>
      <c r="DK50" s="609">
        <f>IF(DK$7&gt;$N50,0,DJ50*(1-'Interest Rate'!$B$17))</f>
        <v>0</v>
      </c>
      <c r="DL50" s="609">
        <f>IF(DL$7&gt;$N50,0,DK50*(1-'Interest Rate'!$B$17))</f>
        <v>0</v>
      </c>
      <c r="DM50" s="609">
        <f>IF(DM$7&gt;$N50,0,DL50*(1-'Interest Rate'!$B$17))</f>
        <v>0</v>
      </c>
    </row>
    <row r="51" spans="1:117" ht="27.75" customHeight="1" x14ac:dyDescent="0.3">
      <c r="A51" s="624" t="str">
        <f>'EEM Data Entry'!A127</f>
        <v/>
      </c>
      <c r="B51" s="625" t="str">
        <f>IF('EEM Data Entry'!B127="  ","  ", 'EEM Data Entry'!B127)</f>
        <v/>
      </c>
      <c r="C51" s="626" t="str">
        <f>'EEM Data Entry'!F127</f>
        <v/>
      </c>
      <c r="D51" s="626">
        <v>0</v>
      </c>
      <c r="E51" s="626" t="e">
        <f t="shared" si="16"/>
        <v>#VALUE!</v>
      </c>
      <c r="F51" s="626">
        <f>('Savings Summary'!D53*'Savings Summary'!D$5)+('Savings Summary'!F53*'Savings Summary'!F$5)+('Savings Summary'!H53*'Savings Summary'!H$5)+('Savings Summary'!J53*'Savings Summary'!J$5)+('Savings Summary'!L53*'Savings Summary'!L$5)+('Savings Summary'!N53*'Savings Summary'!N$5)+('Savings Summary'!P53*'Savings Summary'!P$5)+('Savings Summary'!R53*'Savings Summary'!R$5)</f>
        <v>0</v>
      </c>
      <c r="G51" s="627">
        <f>'Savings Summary'!T53</f>
        <v>0</v>
      </c>
      <c r="H51" s="628" t="e">
        <f t="shared" si="17"/>
        <v>#VALUE!</v>
      </c>
      <c r="I51" s="624" t="e">
        <f t="shared" si="18"/>
        <v>#VALUE!</v>
      </c>
      <c r="J51" s="629" t="e">
        <f t="shared" si="14"/>
        <v>#NUM!</v>
      </c>
      <c r="K51" s="630" t="e">
        <f>PV('Interest Rate'!$B$17,Table8[[#This Row],[LIFETIME]],-Table8[[#This Row],[ANNUAL ENERGY COST SAVINGS]],Table8[[#This Row],[END-OF-LIFE]],0)-Table8[[#This Row],[CAPITAL INVESTMENT]]</f>
        <v>#VALUE!</v>
      </c>
      <c r="L51" s="624" t="str">
        <f>'EEM Data Entry'!C127</f>
        <v/>
      </c>
      <c r="M51" s="631" t="e">
        <f>Table6[[#This Row],[ANNUAL ENERGY COST SAVINGS]]/Table6[[#This Row],[CAPITAL INVESTMENT]]</f>
        <v>#VALUE!</v>
      </c>
      <c r="N51" s="804" t="str">
        <f>Table8[[#This Row],[LIFETIME]]</f>
        <v/>
      </c>
      <c r="O51" s="803"/>
      <c r="P51" s="803"/>
      <c r="Q51" s="608" t="str">
        <f t="shared" si="15"/>
        <v/>
      </c>
      <c r="R51" s="609">
        <f t="shared" si="19"/>
        <v>0</v>
      </c>
      <c r="S51" s="609">
        <f>IF(S$7&gt;$N51,0,R51*(1-'Interest Rate'!$B$17))</f>
        <v>0</v>
      </c>
      <c r="T51" s="609">
        <f>IF(T$7&gt;$N51,0,S51*(1-'Interest Rate'!$B$17))</f>
        <v>0</v>
      </c>
      <c r="U51" s="609">
        <f>IF(U$7&gt;$N51,0,T51*(1-'Interest Rate'!$B$17))</f>
        <v>0</v>
      </c>
      <c r="V51" s="609">
        <f>IF(V$7&gt;$N51,0,U51*(1-'Interest Rate'!$B$17))</f>
        <v>0</v>
      </c>
      <c r="W51" s="609">
        <f>IF(W$7&gt;$N51,0,V51*(1-'Interest Rate'!$B$17))</f>
        <v>0</v>
      </c>
      <c r="X51" s="609">
        <f>IF(X$7&gt;$N51,0,W51*(1-'Interest Rate'!$B$17))</f>
        <v>0</v>
      </c>
      <c r="Y51" s="609">
        <f>IF(Y$7&gt;$N51,0,X51*(1-'Interest Rate'!$B$17))</f>
        <v>0</v>
      </c>
      <c r="Z51" s="609">
        <f>IF(Z$7&gt;$N51,0,Y51*(1-'Interest Rate'!$B$17))</f>
        <v>0</v>
      </c>
      <c r="AA51" s="609">
        <f>IF(AA$7&gt;$N51,0,Z51*(1-'Interest Rate'!$B$17))</f>
        <v>0</v>
      </c>
      <c r="AB51" s="609">
        <f>IF(AB$7&gt;$N51,0,AA51*(1-'Interest Rate'!$B$17))</f>
        <v>0</v>
      </c>
      <c r="AC51" s="609">
        <f>IF(AC$7&gt;$N51,0,AB51*(1-'Interest Rate'!$B$17))</f>
        <v>0</v>
      </c>
      <c r="AD51" s="609">
        <f>IF(AD$7&gt;$N51,0,AC51*(1-'Interest Rate'!$B$17))</f>
        <v>0</v>
      </c>
      <c r="AE51" s="609">
        <f>IF(AE$7&gt;$N51,0,AD51*(1-'Interest Rate'!$B$17))</f>
        <v>0</v>
      </c>
      <c r="AF51" s="609">
        <f>IF(AF$7&gt;$N51,0,AE51*(1-'Interest Rate'!$B$17))</f>
        <v>0</v>
      </c>
      <c r="AG51" s="609">
        <f>IF(AG$7&gt;$N51,0,AF51*(1-'Interest Rate'!$B$17))</f>
        <v>0</v>
      </c>
      <c r="AH51" s="609">
        <f>IF(AH$7&gt;$N51,0,AG51*(1-'Interest Rate'!$B$17))</f>
        <v>0</v>
      </c>
      <c r="AI51" s="609">
        <f>IF(AI$7&gt;$N51,0,AH51*(1-'Interest Rate'!$B$17))</f>
        <v>0</v>
      </c>
      <c r="AJ51" s="609">
        <f>IF(AJ$7&gt;$N51,0,AI51*(1-'Interest Rate'!$B$17))</f>
        <v>0</v>
      </c>
      <c r="AK51" s="609">
        <f>IF(AK$7&gt;$N51,0,AJ51*(1-'Interest Rate'!$B$17))</f>
        <v>0</v>
      </c>
      <c r="AL51" s="609">
        <f>IF(AL$7&gt;$N51,0,AK51*(1-'Interest Rate'!$B$17))</f>
        <v>0</v>
      </c>
      <c r="AM51" s="609">
        <f>IF(AM$7&gt;$N51,0,AL51*(1-'Interest Rate'!$B$17))</f>
        <v>0</v>
      </c>
      <c r="AN51" s="609">
        <f>IF(AN$7&gt;$N51,0,AM51*(1-'Interest Rate'!$B$17))</f>
        <v>0</v>
      </c>
      <c r="AO51" s="609">
        <f>IF(AO$7&gt;$N51,0,AN51*(1-'Interest Rate'!$B$17))</f>
        <v>0</v>
      </c>
      <c r="AP51" s="609">
        <f>IF(AP$7&gt;$N51,0,AO51*(1-'Interest Rate'!$B$17))</f>
        <v>0</v>
      </c>
      <c r="AQ51" s="609">
        <f>IF(AQ$7&gt;$N51,0,AP51*(1-'Interest Rate'!$B$17))</f>
        <v>0</v>
      </c>
      <c r="AR51" s="609">
        <f>IF(AR$7&gt;$N51,0,AQ51*(1-'Interest Rate'!$B$17))</f>
        <v>0</v>
      </c>
      <c r="AS51" s="609">
        <f>IF(AS$7&gt;$N51,0,AR51*(1-'Interest Rate'!$B$17))</f>
        <v>0</v>
      </c>
      <c r="AT51" s="609">
        <f>IF(AT$7&gt;$N51,0,AS51*(1-'Interest Rate'!$B$17))</f>
        <v>0</v>
      </c>
      <c r="AU51" s="609">
        <f>IF(AU$7&gt;$N51,0,AT51*(1-'Interest Rate'!$B$17))</f>
        <v>0</v>
      </c>
      <c r="AV51" s="609">
        <f>IF(AV$7&gt;$N51,0,AU51*(1-'Interest Rate'!$B$17))</f>
        <v>0</v>
      </c>
      <c r="AW51" s="609">
        <f>IF(AW$7&gt;$N51,0,AV51*(1-'Interest Rate'!$B$17))</f>
        <v>0</v>
      </c>
      <c r="AX51" s="609">
        <f>IF(AX$7&gt;$N51,0,AW51*(1-'Interest Rate'!$B$17))</f>
        <v>0</v>
      </c>
      <c r="AY51" s="609">
        <f>IF(AY$7&gt;$N51,0,AX51*(1-'Interest Rate'!$B$17))</f>
        <v>0</v>
      </c>
      <c r="AZ51" s="609">
        <f>IF(AZ$7&gt;$N51,0,AY51*(1-'Interest Rate'!$B$17))</f>
        <v>0</v>
      </c>
      <c r="BA51" s="609">
        <f>IF(BA$7&gt;$N51,0,AZ51*(1-'Interest Rate'!$B$17))</f>
        <v>0</v>
      </c>
      <c r="BB51" s="609">
        <f>IF(BB$7&gt;$N51,0,BA51*(1-'Interest Rate'!$B$17))</f>
        <v>0</v>
      </c>
      <c r="BC51" s="609">
        <f>IF(BC$7&gt;$N51,0,BB51*(1-'Interest Rate'!$B$17))</f>
        <v>0</v>
      </c>
      <c r="BD51" s="609">
        <f>IF(BD$7&gt;$N51,0,BC51*(1-'Interest Rate'!$B$17))</f>
        <v>0</v>
      </c>
      <c r="BE51" s="609">
        <f>IF(BE$7&gt;$N51,0,BD51*(1-'Interest Rate'!$B$17))</f>
        <v>0</v>
      </c>
      <c r="BF51" s="609">
        <f>IF(BF$7&gt;$N51,0,BE51*(1-'Interest Rate'!$B$17))</f>
        <v>0</v>
      </c>
      <c r="BG51" s="609">
        <f>IF(BG$7&gt;$N51,0,BF51*(1-'Interest Rate'!$B$17))</f>
        <v>0</v>
      </c>
      <c r="BH51" s="609">
        <f>IF(BH$7&gt;$N51,0,BG51*(1-'Interest Rate'!$B$17))</f>
        <v>0</v>
      </c>
      <c r="BI51" s="609">
        <f>IF(BI$7&gt;$N51,0,BH51*(1-'Interest Rate'!$B$17))</f>
        <v>0</v>
      </c>
      <c r="BJ51" s="609">
        <f>IF(BJ$7&gt;$N51,0,BI51*(1-'Interest Rate'!$B$17))</f>
        <v>0</v>
      </c>
      <c r="BK51" s="609">
        <f>IF(BK$7&gt;$N51,0,BJ51*(1-'Interest Rate'!$B$17))</f>
        <v>0</v>
      </c>
      <c r="BL51" s="609">
        <f>IF(BL$7&gt;$N51,0,BK51*(1-'Interest Rate'!$B$17))</f>
        <v>0</v>
      </c>
      <c r="BM51" s="609">
        <f>IF(BM$7&gt;$N51,0,BL51*(1-'Interest Rate'!$B$17))</f>
        <v>0</v>
      </c>
      <c r="BN51" s="609">
        <f>IF(BN$7&gt;$N51,0,BM51*(1-'Interest Rate'!$B$17))</f>
        <v>0</v>
      </c>
      <c r="BO51" s="609">
        <f>IF(BO$7&gt;$N51,0,BN51*(1-'Interest Rate'!$B$17))</f>
        <v>0</v>
      </c>
      <c r="BP51" s="609">
        <f>IF(BP$7&gt;$N51,0,BO51*(1-'Interest Rate'!$B$17))</f>
        <v>0</v>
      </c>
      <c r="BQ51" s="609">
        <f>IF(BQ$7&gt;$N51,0,BP51*(1-'Interest Rate'!$B$17))</f>
        <v>0</v>
      </c>
      <c r="BR51" s="609">
        <f>IF(BR$7&gt;$N51,0,BQ51*(1-'Interest Rate'!$B$17))</f>
        <v>0</v>
      </c>
      <c r="BS51" s="609">
        <f>IF(BS$7&gt;$N51,0,BR51*(1-'Interest Rate'!$B$17))</f>
        <v>0</v>
      </c>
      <c r="BT51" s="609">
        <f>IF(BT$7&gt;$N51,0,BS51*(1-'Interest Rate'!$B$17))</f>
        <v>0</v>
      </c>
      <c r="BU51" s="609">
        <f>IF(BU$7&gt;$N51,0,BT51*(1-'Interest Rate'!$B$17))</f>
        <v>0</v>
      </c>
      <c r="BV51" s="609">
        <f>IF(BV$7&gt;$N51,0,BU51*(1-'Interest Rate'!$B$17))</f>
        <v>0</v>
      </c>
      <c r="BW51" s="609">
        <f>IF(BW$7&gt;$N51,0,BV51*(1-'Interest Rate'!$B$17))</f>
        <v>0</v>
      </c>
      <c r="BX51" s="609">
        <f>IF(BX$7&gt;$N51,0,BW51*(1-'Interest Rate'!$B$17))</f>
        <v>0</v>
      </c>
      <c r="BY51" s="609">
        <f>IF(BY$7&gt;$N51,0,BX51*(1-'Interest Rate'!$B$17))</f>
        <v>0</v>
      </c>
      <c r="BZ51" s="609">
        <f>IF(BZ$7&gt;$N51,0,BY51*(1-'Interest Rate'!$B$17))</f>
        <v>0</v>
      </c>
      <c r="CA51" s="609">
        <f>IF(CA$7&gt;$N51,0,BZ51*(1-'Interest Rate'!$B$17))</f>
        <v>0</v>
      </c>
      <c r="CB51" s="609">
        <f>IF(CB$7&gt;$N51,0,CA51*(1-'Interest Rate'!$B$17))</f>
        <v>0</v>
      </c>
      <c r="CC51" s="609">
        <f>IF(CC$7&gt;$N51,0,CB51*(1-'Interest Rate'!$B$17))</f>
        <v>0</v>
      </c>
      <c r="CD51" s="609">
        <f>IF(CD$7&gt;$N51,0,CC51*(1-'Interest Rate'!$B$17))</f>
        <v>0</v>
      </c>
      <c r="CE51" s="609">
        <f>IF(CE$7&gt;$N51,0,CD51*(1-'Interest Rate'!$B$17))</f>
        <v>0</v>
      </c>
      <c r="CF51" s="609">
        <f>IF(CF$7&gt;$N51,0,CE51*(1-'Interest Rate'!$B$17))</f>
        <v>0</v>
      </c>
      <c r="CG51" s="609">
        <f>IF(CG$7&gt;$N51,0,CF51*(1-'Interest Rate'!$B$17))</f>
        <v>0</v>
      </c>
      <c r="CH51" s="609">
        <f>IF(CH$7&gt;$N51,0,CG51*(1-'Interest Rate'!$B$17))</f>
        <v>0</v>
      </c>
      <c r="CI51" s="609">
        <f>IF(CI$7&gt;$N51,0,CH51*(1-'Interest Rate'!$B$17))</f>
        <v>0</v>
      </c>
      <c r="CJ51" s="609">
        <f>IF(CJ$7&gt;$N51,0,CI51*(1-'Interest Rate'!$B$17))</f>
        <v>0</v>
      </c>
      <c r="CK51" s="609">
        <f>IF(CK$7&gt;$N51,0,CJ51*(1-'Interest Rate'!$B$17))</f>
        <v>0</v>
      </c>
      <c r="CL51" s="609">
        <f>IF(CL$7&gt;$N51,0,CK51*(1-'Interest Rate'!$B$17))</f>
        <v>0</v>
      </c>
      <c r="CM51" s="609">
        <f>IF(CM$7&gt;$N51,0,CL51*(1-'Interest Rate'!$B$17))</f>
        <v>0</v>
      </c>
      <c r="CN51" s="609">
        <f>IF(CN$7&gt;$N51,0,CM51*(1-'Interest Rate'!$B$17))</f>
        <v>0</v>
      </c>
      <c r="CO51" s="609">
        <f>IF(CO$7&gt;$N51,0,CN51*(1-'Interest Rate'!$B$17))</f>
        <v>0</v>
      </c>
      <c r="CP51" s="609">
        <f>IF(CP$7&gt;$N51,0,CO51*(1-'Interest Rate'!$B$17))</f>
        <v>0</v>
      </c>
      <c r="CQ51" s="609">
        <f>IF(CQ$7&gt;$N51,0,CP51*(1-'Interest Rate'!$B$17))</f>
        <v>0</v>
      </c>
      <c r="CR51" s="609">
        <f>IF(CR$7&gt;$N51,0,CQ51*(1-'Interest Rate'!$B$17))</f>
        <v>0</v>
      </c>
      <c r="CS51" s="609">
        <f>IF(CS$7&gt;$N51,0,CR51*(1-'Interest Rate'!$B$17))</f>
        <v>0</v>
      </c>
      <c r="CT51" s="609">
        <f>IF(CT$7&gt;$N51,0,CS51*(1-'Interest Rate'!$B$17))</f>
        <v>0</v>
      </c>
      <c r="CU51" s="609">
        <f>IF(CU$7&gt;$N51,0,CT51*(1-'Interest Rate'!$B$17))</f>
        <v>0</v>
      </c>
      <c r="CV51" s="609">
        <f>IF(CV$7&gt;$N51,0,CU51*(1-'Interest Rate'!$B$17))</f>
        <v>0</v>
      </c>
      <c r="CW51" s="609">
        <f>IF(CW$7&gt;$N51,0,CV51*(1-'Interest Rate'!$B$17))</f>
        <v>0</v>
      </c>
      <c r="CX51" s="609">
        <f>IF(CX$7&gt;$N51,0,CW51*(1-'Interest Rate'!$B$17))</f>
        <v>0</v>
      </c>
      <c r="CY51" s="609">
        <f>IF(CY$7&gt;$N51,0,CX51*(1-'Interest Rate'!$B$17))</f>
        <v>0</v>
      </c>
      <c r="CZ51" s="609">
        <f>IF(CZ$7&gt;$N51,0,CY51*(1-'Interest Rate'!$B$17))</f>
        <v>0</v>
      </c>
      <c r="DA51" s="609">
        <f>IF(DA$7&gt;$N51,0,CZ51*(1-'Interest Rate'!$B$17))</f>
        <v>0</v>
      </c>
      <c r="DB51" s="609">
        <f>IF(DB$7&gt;$N51,0,DA51*(1-'Interest Rate'!$B$17))</f>
        <v>0</v>
      </c>
      <c r="DC51" s="609">
        <f>IF(DC$7&gt;$N51,0,DB51*(1-'Interest Rate'!$B$17))</f>
        <v>0</v>
      </c>
      <c r="DD51" s="609">
        <f>IF(DD$7&gt;$N51,0,DC51*(1-'Interest Rate'!$B$17))</f>
        <v>0</v>
      </c>
      <c r="DE51" s="609">
        <f>IF(DE$7&gt;$N51,0,DD51*(1-'Interest Rate'!$B$17))</f>
        <v>0</v>
      </c>
      <c r="DF51" s="609">
        <f>IF(DF$7&gt;$N51,0,DE51*(1-'Interest Rate'!$B$17))</f>
        <v>0</v>
      </c>
      <c r="DG51" s="609">
        <f>IF(DG$7&gt;$N51,0,DF51*(1-'Interest Rate'!$B$17))</f>
        <v>0</v>
      </c>
      <c r="DH51" s="609">
        <f>IF(DH$7&gt;$N51,0,DG51*(1-'Interest Rate'!$B$17))</f>
        <v>0</v>
      </c>
      <c r="DI51" s="609">
        <f>IF(DI$7&gt;$N51,0,DH51*(1-'Interest Rate'!$B$17))</f>
        <v>0</v>
      </c>
      <c r="DJ51" s="609">
        <f>IF(DJ$7&gt;$N51,0,DI51*(1-'Interest Rate'!$B$17))</f>
        <v>0</v>
      </c>
      <c r="DK51" s="609">
        <f>IF(DK$7&gt;$N51,0,DJ51*(1-'Interest Rate'!$B$17))</f>
        <v>0</v>
      </c>
      <c r="DL51" s="609">
        <f>IF(DL$7&gt;$N51,0,DK51*(1-'Interest Rate'!$B$17))</f>
        <v>0</v>
      </c>
      <c r="DM51" s="609">
        <f>IF(DM$7&gt;$N51,0,DL51*(1-'Interest Rate'!$B$17))</f>
        <v>0</v>
      </c>
    </row>
    <row r="52" spans="1:117" ht="27.75" customHeight="1" x14ac:dyDescent="0.3">
      <c r="A52" s="624" t="str">
        <f>'EEM Data Entry'!A128</f>
        <v/>
      </c>
      <c r="B52" s="625" t="str">
        <f>IF('EEM Data Entry'!B128="  ","  ", 'EEM Data Entry'!B128)</f>
        <v/>
      </c>
      <c r="C52" s="626" t="str">
        <f>'EEM Data Entry'!F128</f>
        <v/>
      </c>
      <c r="D52" s="626">
        <v>0</v>
      </c>
      <c r="E52" s="626" t="e">
        <f t="shared" si="16"/>
        <v>#VALUE!</v>
      </c>
      <c r="F52" s="626">
        <f>('Savings Summary'!D54*'Savings Summary'!D$5)+('Savings Summary'!F54*'Savings Summary'!F$5)+('Savings Summary'!H54*'Savings Summary'!H$5)+('Savings Summary'!J54*'Savings Summary'!J$5)+('Savings Summary'!L54*'Savings Summary'!L$5)+('Savings Summary'!N54*'Savings Summary'!N$5)+('Savings Summary'!P54*'Savings Summary'!P$5)+('Savings Summary'!R54*'Savings Summary'!R$5)</f>
        <v>0</v>
      </c>
      <c r="G52" s="627">
        <v>0</v>
      </c>
      <c r="H52" s="628" t="e">
        <f>IF(C52=0,"n/a",E52/F52)</f>
        <v>#VALUE!</v>
      </c>
      <c r="I52" s="624" t="e">
        <f>IF(H52=0, "n/a", IF(H52&gt;100, "no",IF(H52&lt;0, "no", "yes")))</f>
        <v>#VALUE!</v>
      </c>
      <c r="J52" s="629" t="e">
        <f t="shared" si="14"/>
        <v>#NUM!</v>
      </c>
      <c r="K52" s="630" t="e">
        <f>PV('Interest Rate'!$B$17,Table8[[#This Row],[LIFETIME]],-Table8[[#This Row],[ANNUAL ENERGY COST SAVINGS]],Table8[[#This Row],[END-OF-LIFE]],0)-Table8[[#This Row],[CAPITAL INVESTMENT]]</f>
        <v>#VALUE!</v>
      </c>
      <c r="L52" s="624" t="str">
        <f>'EEM Data Entry'!C128</f>
        <v/>
      </c>
      <c r="M52" s="631" t="e">
        <f>Table6[[#This Row],[ANNUAL ENERGY COST SAVINGS]]/Table6[[#This Row],[CAPITAL INVESTMENT]]</f>
        <v>#VALUE!</v>
      </c>
      <c r="N52" s="804" t="str">
        <f>Table8[[#This Row],[LIFETIME]]</f>
        <v/>
      </c>
      <c r="O52" s="803"/>
      <c r="P52" s="803"/>
      <c r="Q52" s="608" t="str">
        <f t="shared" si="15"/>
        <v/>
      </c>
      <c r="R52" s="609">
        <f t="shared" si="19"/>
        <v>0</v>
      </c>
      <c r="S52" s="609">
        <f>IF(S$7&gt;$N52,0,R52*(1-'Interest Rate'!$B$17))</f>
        <v>0</v>
      </c>
      <c r="T52" s="609">
        <f>IF(T$7&gt;$N52,0,S52*(1-'Interest Rate'!$B$17))</f>
        <v>0</v>
      </c>
      <c r="U52" s="609">
        <f>IF(U$7&gt;$N52,0,T52*(1-'Interest Rate'!$B$17))</f>
        <v>0</v>
      </c>
      <c r="V52" s="609">
        <f>IF(V$7&gt;$N52,0,U52*(1-'Interest Rate'!$B$17))</f>
        <v>0</v>
      </c>
      <c r="W52" s="609">
        <f>IF(W$7&gt;$N52,0,V52*(1-'Interest Rate'!$B$17))</f>
        <v>0</v>
      </c>
      <c r="X52" s="609">
        <f>IF(X$7&gt;$N52,0,W52*(1-'Interest Rate'!$B$17))</f>
        <v>0</v>
      </c>
      <c r="Y52" s="609">
        <f>IF(Y$7&gt;$N52,0,X52*(1-'Interest Rate'!$B$17))</f>
        <v>0</v>
      </c>
      <c r="Z52" s="609">
        <f>IF(Z$7&gt;$N52,0,Y52*(1-'Interest Rate'!$B$17))</f>
        <v>0</v>
      </c>
      <c r="AA52" s="609">
        <f>IF(AA$7&gt;$N52,0,Z52*(1-'Interest Rate'!$B$17))</f>
        <v>0</v>
      </c>
      <c r="AB52" s="609">
        <f>IF(AB$7&gt;$N52,0,AA52*(1-'Interest Rate'!$B$17))</f>
        <v>0</v>
      </c>
      <c r="AC52" s="609">
        <f>IF(AC$7&gt;$N52,0,AB52*(1-'Interest Rate'!$B$17))</f>
        <v>0</v>
      </c>
      <c r="AD52" s="609">
        <f>IF(AD$7&gt;$N52,0,AC52*(1-'Interest Rate'!$B$17))</f>
        <v>0</v>
      </c>
      <c r="AE52" s="609">
        <f>IF(AE$7&gt;$N52,0,AD52*(1-'Interest Rate'!$B$17))</f>
        <v>0</v>
      </c>
      <c r="AF52" s="609">
        <f>IF(AF$7&gt;$N52,0,AE52*(1-'Interest Rate'!$B$17))</f>
        <v>0</v>
      </c>
      <c r="AG52" s="609">
        <f>IF(AG$7&gt;$N52,0,AF52*(1-'Interest Rate'!$B$17))</f>
        <v>0</v>
      </c>
      <c r="AH52" s="609">
        <f>IF(AH$7&gt;$N52,0,AG52*(1-'Interest Rate'!$B$17))</f>
        <v>0</v>
      </c>
      <c r="AI52" s="609">
        <f>IF(AI$7&gt;$N52,0,AH52*(1-'Interest Rate'!$B$17))</f>
        <v>0</v>
      </c>
      <c r="AJ52" s="609">
        <f>IF(AJ$7&gt;$N52,0,AI52*(1-'Interest Rate'!$B$17))</f>
        <v>0</v>
      </c>
      <c r="AK52" s="609">
        <f>IF(AK$7&gt;$N52,0,AJ52*(1-'Interest Rate'!$B$17))</f>
        <v>0</v>
      </c>
      <c r="AL52" s="609">
        <f>IF(AL$7&gt;$N52,0,AK52*(1-'Interest Rate'!$B$17))</f>
        <v>0</v>
      </c>
      <c r="AM52" s="609">
        <f>IF(AM$7&gt;$N52,0,AL52*(1-'Interest Rate'!$B$17))</f>
        <v>0</v>
      </c>
      <c r="AN52" s="609">
        <f>IF(AN$7&gt;$N52,0,AM52*(1-'Interest Rate'!$B$17))</f>
        <v>0</v>
      </c>
      <c r="AO52" s="609">
        <f>IF(AO$7&gt;$N52,0,AN52*(1-'Interest Rate'!$B$17))</f>
        <v>0</v>
      </c>
      <c r="AP52" s="609">
        <f>IF(AP$7&gt;$N52,0,AO52*(1-'Interest Rate'!$B$17))</f>
        <v>0</v>
      </c>
      <c r="AQ52" s="609">
        <f>IF(AQ$7&gt;$N52,0,AP52*(1-'Interest Rate'!$B$17))</f>
        <v>0</v>
      </c>
      <c r="AR52" s="609">
        <f>IF(AR$7&gt;$N52,0,AQ52*(1-'Interest Rate'!$B$17))</f>
        <v>0</v>
      </c>
      <c r="AS52" s="609">
        <f>IF(AS$7&gt;$N52,0,AR52*(1-'Interest Rate'!$B$17))</f>
        <v>0</v>
      </c>
      <c r="AT52" s="609">
        <f>IF(AT$7&gt;$N52,0,AS52*(1-'Interest Rate'!$B$17))</f>
        <v>0</v>
      </c>
      <c r="AU52" s="609">
        <f>IF(AU$7&gt;$N52,0,AT52*(1-'Interest Rate'!$B$17))</f>
        <v>0</v>
      </c>
      <c r="AV52" s="609">
        <f>IF(AV$7&gt;$N52,0,AU52*(1-'Interest Rate'!$B$17))</f>
        <v>0</v>
      </c>
      <c r="AW52" s="609">
        <f>IF(AW$7&gt;$N52,0,AV52*(1-'Interest Rate'!$B$17))</f>
        <v>0</v>
      </c>
      <c r="AX52" s="609">
        <f>IF(AX$7&gt;$N52,0,AW52*(1-'Interest Rate'!$B$17))</f>
        <v>0</v>
      </c>
      <c r="AY52" s="609">
        <f>IF(AY$7&gt;$N52,0,AX52*(1-'Interest Rate'!$B$17))</f>
        <v>0</v>
      </c>
      <c r="AZ52" s="609">
        <f>IF(AZ$7&gt;$N52,0,AY52*(1-'Interest Rate'!$B$17))</f>
        <v>0</v>
      </c>
      <c r="BA52" s="609">
        <f>IF(BA$7&gt;$N52,0,AZ52*(1-'Interest Rate'!$B$17))</f>
        <v>0</v>
      </c>
      <c r="BB52" s="609">
        <f>IF(BB$7&gt;$N52,0,BA52*(1-'Interest Rate'!$B$17))</f>
        <v>0</v>
      </c>
      <c r="BC52" s="609">
        <f>IF(BC$7&gt;$N52,0,BB52*(1-'Interest Rate'!$B$17))</f>
        <v>0</v>
      </c>
      <c r="BD52" s="609">
        <f>IF(BD$7&gt;$N52,0,BC52*(1-'Interest Rate'!$B$17))</f>
        <v>0</v>
      </c>
      <c r="BE52" s="609">
        <f>IF(BE$7&gt;$N52,0,BD52*(1-'Interest Rate'!$B$17))</f>
        <v>0</v>
      </c>
      <c r="BF52" s="609">
        <f>IF(BF$7&gt;$N52,0,BE52*(1-'Interest Rate'!$B$17))</f>
        <v>0</v>
      </c>
      <c r="BG52" s="609">
        <f>IF(BG$7&gt;$N52,0,BF52*(1-'Interest Rate'!$B$17))</f>
        <v>0</v>
      </c>
      <c r="BH52" s="609">
        <f>IF(BH$7&gt;$N52,0,BG52*(1-'Interest Rate'!$B$17))</f>
        <v>0</v>
      </c>
      <c r="BI52" s="609">
        <f>IF(BI$7&gt;$N52,0,BH52*(1-'Interest Rate'!$B$17))</f>
        <v>0</v>
      </c>
      <c r="BJ52" s="609">
        <f>IF(BJ$7&gt;$N52,0,BI52*(1-'Interest Rate'!$B$17))</f>
        <v>0</v>
      </c>
      <c r="BK52" s="609">
        <f>IF(BK$7&gt;$N52,0,BJ52*(1-'Interest Rate'!$B$17))</f>
        <v>0</v>
      </c>
      <c r="BL52" s="609">
        <f>IF(BL$7&gt;$N52,0,BK52*(1-'Interest Rate'!$B$17))</f>
        <v>0</v>
      </c>
      <c r="BM52" s="609">
        <f>IF(BM$7&gt;$N52,0,BL52*(1-'Interest Rate'!$B$17))</f>
        <v>0</v>
      </c>
      <c r="BN52" s="609">
        <f>IF(BN$7&gt;$N52,0,BM52*(1-'Interest Rate'!$B$17))</f>
        <v>0</v>
      </c>
      <c r="BO52" s="609">
        <f>IF(BO$7&gt;$N52,0,BN52*(1-'Interest Rate'!$B$17))</f>
        <v>0</v>
      </c>
      <c r="BP52" s="609">
        <f>IF(BP$7&gt;$N52,0,BO52*(1-'Interest Rate'!$B$17))</f>
        <v>0</v>
      </c>
      <c r="BQ52" s="609">
        <f>IF(BQ$7&gt;$N52,0,BP52*(1-'Interest Rate'!$B$17))</f>
        <v>0</v>
      </c>
      <c r="BR52" s="609">
        <f>IF(BR$7&gt;$N52,0,BQ52*(1-'Interest Rate'!$B$17))</f>
        <v>0</v>
      </c>
      <c r="BS52" s="609">
        <f>IF(BS$7&gt;$N52,0,BR52*(1-'Interest Rate'!$B$17))</f>
        <v>0</v>
      </c>
      <c r="BT52" s="609">
        <f>IF(BT$7&gt;$N52,0,BS52*(1-'Interest Rate'!$B$17))</f>
        <v>0</v>
      </c>
      <c r="BU52" s="609">
        <f>IF(BU$7&gt;$N52,0,BT52*(1-'Interest Rate'!$B$17))</f>
        <v>0</v>
      </c>
      <c r="BV52" s="609">
        <f>IF(BV$7&gt;$N52,0,BU52*(1-'Interest Rate'!$B$17))</f>
        <v>0</v>
      </c>
      <c r="BW52" s="609">
        <f>IF(BW$7&gt;$N52,0,BV52*(1-'Interest Rate'!$B$17))</f>
        <v>0</v>
      </c>
      <c r="BX52" s="609">
        <f>IF(BX$7&gt;$N52,0,BW52*(1-'Interest Rate'!$B$17))</f>
        <v>0</v>
      </c>
      <c r="BY52" s="609">
        <f>IF(BY$7&gt;$N52,0,BX52*(1-'Interest Rate'!$B$17))</f>
        <v>0</v>
      </c>
      <c r="BZ52" s="609">
        <f>IF(BZ$7&gt;$N52,0,BY52*(1-'Interest Rate'!$B$17))</f>
        <v>0</v>
      </c>
      <c r="CA52" s="609">
        <f>IF(CA$7&gt;$N52,0,BZ52*(1-'Interest Rate'!$B$17))</f>
        <v>0</v>
      </c>
      <c r="CB52" s="609">
        <f>IF(CB$7&gt;$N52,0,CA52*(1-'Interest Rate'!$B$17))</f>
        <v>0</v>
      </c>
      <c r="CC52" s="609">
        <f>IF(CC$7&gt;$N52,0,CB52*(1-'Interest Rate'!$B$17))</f>
        <v>0</v>
      </c>
      <c r="CD52" s="609">
        <f>IF(CD$7&gt;$N52,0,CC52*(1-'Interest Rate'!$B$17))</f>
        <v>0</v>
      </c>
      <c r="CE52" s="609">
        <f>IF(CE$7&gt;$N52,0,CD52*(1-'Interest Rate'!$B$17))</f>
        <v>0</v>
      </c>
      <c r="CF52" s="609">
        <f>IF(CF$7&gt;$N52,0,CE52*(1-'Interest Rate'!$B$17))</f>
        <v>0</v>
      </c>
      <c r="CG52" s="609">
        <f>IF(CG$7&gt;$N52,0,CF52*(1-'Interest Rate'!$B$17))</f>
        <v>0</v>
      </c>
      <c r="CH52" s="609">
        <f>IF(CH$7&gt;$N52,0,CG52*(1-'Interest Rate'!$B$17))</f>
        <v>0</v>
      </c>
      <c r="CI52" s="609">
        <f>IF(CI$7&gt;$N52,0,CH52*(1-'Interest Rate'!$B$17))</f>
        <v>0</v>
      </c>
      <c r="CJ52" s="609">
        <f>IF(CJ$7&gt;$N52,0,CI52*(1-'Interest Rate'!$B$17))</f>
        <v>0</v>
      </c>
      <c r="CK52" s="609">
        <f>IF(CK$7&gt;$N52,0,CJ52*(1-'Interest Rate'!$B$17))</f>
        <v>0</v>
      </c>
      <c r="CL52" s="609">
        <f>IF(CL$7&gt;$N52,0,CK52*(1-'Interest Rate'!$B$17))</f>
        <v>0</v>
      </c>
      <c r="CM52" s="609">
        <f>IF(CM$7&gt;$N52,0,CL52*(1-'Interest Rate'!$B$17))</f>
        <v>0</v>
      </c>
      <c r="CN52" s="609">
        <f>IF(CN$7&gt;$N52,0,CM52*(1-'Interest Rate'!$B$17))</f>
        <v>0</v>
      </c>
      <c r="CO52" s="609">
        <f>IF(CO$7&gt;$N52,0,CN52*(1-'Interest Rate'!$B$17))</f>
        <v>0</v>
      </c>
      <c r="CP52" s="609">
        <f>IF(CP$7&gt;$N52,0,CO52*(1-'Interest Rate'!$B$17))</f>
        <v>0</v>
      </c>
      <c r="CQ52" s="609">
        <f>IF(CQ$7&gt;$N52,0,CP52*(1-'Interest Rate'!$B$17))</f>
        <v>0</v>
      </c>
      <c r="CR52" s="609">
        <f>IF(CR$7&gt;$N52,0,CQ52*(1-'Interest Rate'!$B$17))</f>
        <v>0</v>
      </c>
      <c r="CS52" s="609">
        <f>IF(CS$7&gt;$N52,0,CR52*(1-'Interest Rate'!$B$17))</f>
        <v>0</v>
      </c>
      <c r="CT52" s="609">
        <f>IF(CT$7&gt;$N52,0,CS52*(1-'Interest Rate'!$B$17))</f>
        <v>0</v>
      </c>
      <c r="CU52" s="609">
        <f>IF(CU$7&gt;$N52,0,CT52*(1-'Interest Rate'!$B$17))</f>
        <v>0</v>
      </c>
      <c r="CV52" s="609">
        <f>IF(CV$7&gt;$N52,0,CU52*(1-'Interest Rate'!$B$17))</f>
        <v>0</v>
      </c>
      <c r="CW52" s="609">
        <f>IF(CW$7&gt;$N52,0,CV52*(1-'Interest Rate'!$B$17))</f>
        <v>0</v>
      </c>
      <c r="CX52" s="609">
        <f>IF(CX$7&gt;$N52,0,CW52*(1-'Interest Rate'!$B$17))</f>
        <v>0</v>
      </c>
      <c r="CY52" s="609">
        <f>IF(CY$7&gt;$N52,0,CX52*(1-'Interest Rate'!$B$17))</f>
        <v>0</v>
      </c>
      <c r="CZ52" s="609">
        <f>IF(CZ$7&gt;$N52,0,CY52*(1-'Interest Rate'!$B$17))</f>
        <v>0</v>
      </c>
      <c r="DA52" s="609">
        <f>IF(DA$7&gt;$N52,0,CZ52*(1-'Interest Rate'!$B$17))</f>
        <v>0</v>
      </c>
      <c r="DB52" s="609">
        <f>IF(DB$7&gt;$N52,0,DA52*(1-'Interest Rate'!$B$17))</f>
        <v>0</v>
      </c>
      <c r="DC52" s="609">
        <f>IF(DC$7&gt;$N52,0,DB52*(1-'Interest Rate'!$B$17))</f>
        <v>0</v>
      </c>
      <c r="DD52" s="609">
        <f>IF(DD$7&gt;$N52,0,DC52*(1-'Interest Rate'!$B$17))</f>
        <v>0</v>
      </c>
      <c r="DE52" s="609">
        <f>IF(DE$7&gt;$N52,0,DD52*(1-'Interest Rate'!$B$17))</f>
        <v>0</v>
      </c>
      <c r="DF52" s="609">
        <f>IF(DF$7&gt;$N52,0,DE52*(1-'Interest Rate'!$B$17))</f>
        <v>0</v>
      </c>
      <c r="DG52" s="609">
        <f>IF(DG$7&gt;$N52,0,DF52*(1-'Interest Rate'!$B$17))</f>
        <v>0</v>
      </c>
      <c r="DH52" s="609">
        <f>IF(DH$7&gt;$N52,0,DG52*(1-'Interest Rate'!$B$17))</f>
        <v>0</v>
      </c>
      <c r="DI52" s="609">
        <f>IF(DI$7&gt;$N52,0,DH52*(1-'Interest Rate'!$B$17))</f>
        <v>0</v>
      </c>
      <c r="DJ52" s="609">
        <f>IF(DJ$7&gt;$N52,0,DI52*(1-'Interest Rate'!$B$17))</f>
        <v>0</v>
      </c>
      <c r="DK52" s="609">
        <f>IF(DK$7&gt;$N52,0,DJ52*(1-'Interest Rate'!$B$17))</f>
        <v>0</v>
      </c>
      <c r="DL52" s="609">
        <f>IF(DL$7&gt;$N52,0,DK52*(1-'Interest Rate'!$B$17))</f>
        <v>0</v>
      </c>
      <c r="DM52" s="609">
        <f>IF(DM$7&gt;$N52,0,DL52*(1-'Interest Rate'!$B$17))</f>
        <v>0</v>
      </c>
    </row>
    <row r="53" spans="1:117" ht="27.75" customHeight="1" x14ac:dyDescent="0.3">
      <c r="A53" s="624" t="str">
        <f>'EEM Data Entry'!A129</f>
        <v/>
      </c>
      <c r="B53" s="625" t="str">
        <f>IF('EEM Data Entry'!B129="  ","  ", 'EEM Data Entry'!B129)</f>
        <v/>
      </c>
      <c r="C53" s="626" t="str">
        <f>'EEM Data Entry'!F129</f>
        <v/>
      </c>
      <c r="D53" s="626">
        <v>0</v>
      </c>
      <c r="E53" s="626" t="e">
        <f t="shared" si="16"/>
        <v>#VALUE!</v>
      </c>
      <c r="F53" s="626">
        <f>('Savings Summary'!D55*'Savings Summary'!D$5)+('Savings Summary'!F55*'Savings Summary'!F$5)+('Savings Summary'!H55*'Savings Summary'!H$5)+('Savings Summary'!J55*'Savings Summary'!J$5)+('Savings Summary'!L55*'Savings Summary'!L$5)+('Savings Summary'!N55*'Savings Summary'!N$5)+('Savings Summary'!P55*'Savings Summary'!P$5)+('Savings Summary'!R55*'Savings Summary'!R$5)</f>
        <v>0</v>
      </c>
      <c r="G53" s="627">
        <f>'Savings Summary'!T54</f>
        <v>0</v>
      </c>
      <c r="H53" s="628" t="e">
        <f>IF(C53=0,"n/a",E53/F53)</f>
        <v>#VALUE!</v>
      </c>
      <c r="I53" s="624" t="e">
        <f>IF(H53=0, "n/a", IF(H53&gt;100, "no",IF(H53&lt;0, "no", "yes")))</f>
        <v>#VALUE!</v>
      </c>
      <c r="J53" s="629" t="e">
        <f t="shared" si="14"/>
        <v>#NUM!</v>
      </c>
      <c r="K53" s="630" t="e">
        <f>PV('Interest Rate'!$B$17,Table8[[#This Row],[LIFETIME]],-Table8[[#This Row],[ANNUAL ENERGY COST SAVINGS]],Table8[[#This Row],[END-OF-LIFE]],0)-Table8[[#This Row],[CAPITAL INVESTMENT]]</f>
        <v>#VALUE!</v>
      </c>
      <c r="L53" s="624" t="str">
        <f>'EEM Data Entry'!C129</f>
        <v/>
      </c>
      <c r="M53" s="631" t="e">
        <f>Table6[[#This Row],[ANNUAL ENERGY COST SAVINGS]]/Table6[[#This Row],[CAPITAL INVESTMENT]]</f>
        <v>#VALUE!</v>
      </c>
      <c r="N53" s="804" t="str">
        <f>Table8[[#This Row],[LIFETIME]]</f>
        <v/>
      </c>
      <c r="O53" s="803"/>
      <c r="P53" s="803"/>
      <c r="Q53" s="608" t="str">
        <f t="shared" si="15"/>
        <v/>
      </c>
      <c r="R53" s="609">
        <f t="shared" si="19"/>
        <v>0</v>
      </c>
      <c r="S53" s="609">
        <f>IF(S$7&gt;$N53,0,R53*(1-'Interest Rate'!$B$17))</f>
        <v>0</v>
      </c>
      <c r="T53" s="609">
        <f>IF(T$7&gt;$N53,0,S53*(1-'Interest Rate'!$B$17))</f>
        <v>0</v>
      </c>
      <c r="U53" s="609">
        <f>IF(U$7&gt;$N53,0,T53*(1-'Interest Rate'!$B$17))</f>
        <v>0</v>
      </c>
      <c r="V53" s="609">
        <f>IF(V$7&gt;$N53,0,U53*(1-'Interest Rate'!$B$17))</f>
        <v>0</v>
      </c>
      <c r="W53" s="609">
        <f>IF(W$7&gt;$N53,0,V53*(1-'Interest Rate'!$B$17))</f>
        <v>0</v>
      </c>
      <c r="X53" s="609">
        <f>IF(X$7&gt;$N53,0,W53*(1-'Interest Rate'!$B$17))</f>
        <v>0</v>
      </c>
      <c r="Y53" s="609">
        <f>IF(Y$7&gt;$N53,0,X53*(1-'Interest Rate'!$B$17))</f>
        <v>0</v>
      </c>
      <c r="Z53" s="609">
        <f>IF(Z$7&gt;$N53,0,Y53*(1-'Interest Rate'!$B$17))</f>
        <v>0</v>
      </c>
      <c r="AA53" s="609">
        <f>IF(AA$7&gt;$N53,0,Z53*(1-'Interest Rate'!$B$17))</f>
        <v>0</v>
      </c>
      <c r="AB53" s="609">
        <f>IF(AB$7&gt;$N53,0,AA53*(1-'Interest Rate'!$B$17))</f>
        <v>0</v>
      </c>
      <c r="AC53" s="609">
        <f>IF(AC$7&gt;$N53,0,AB53*(1-'Interest Rate'!$B$17))</f>
        <v>0</v>
      </c>
      <c r="AD53" s="609">
        <f>IF(AD$7&gt;$N53,0,AC53*(1-'Interest Rate'!$B$17))</f>
        <v>0</v>
      </c>
      <c r="AE53" s="609">
        <f>IF(AE$7&gt;$N53,0,AD53*(1-'Interest Rate'!$B$17))</f>
        <v>0</v>
      </c>
      <c r="AF53" s="609">
        <f>IF(AF$7&gt;$N53,0,AE53*(1-'Interest Rate'!$B$17))</f>
        <v>0</v>
      </c>
      <c r="AG53" s="609">
        <f>IF(AG$7&gt;$N53,0,AF53*(1-'Interest Rate'!$B$17))</f>
        <v>0</v>
      </c>
      <c r="AH53" s="609">
        <f>IF(AH$7&gt;$N53,0,AG53*(1-'Interest Rate'!$B$17))</f>
        <v>0</v>
      </c>
      <c r="AI53" s="609">
        <f>IF(AI$7&gt;$N53,0,AH53*(1-'Interest Rate'!$B$17))</f>
        <v>0</v>
      </c>
      <c r="AJ53" s="609">
        <f>IF(AJ$7&gt;$N53,0,AI53*(1-'Interest Rate'!$B$17))</f>
        <v>0</v>
      </c>
      <c r="AK53" s="609">
        <f>IF(AK$7&gt;$N53,0,AJ53*(1-'Interest Rate'!$B$17))</f>
        <v>0</v>
      </c>
      <c r="AL53" s="609">
        <f>IF(AL$7&gt;$N53,0,AK53*(1-'Interest Rate'!$B$17))</f>
        <v>0</v>
      </c>
      <c r="AM53" s="609">
        <f>IF(AM$7&gt;$N53,0,AL53*(1-'Interest Rate'!$B$17))</f>
        <v>0</v>
      </c>
      <c r="AN53" s="609">
        <f>IF(AN$7&gt;$N53,0,AM53*(1-'Interest Rate'!$B$17))</f>
        <v>0</v>
      </c>
      <c r="AO53" s="609">
        <f>IF(AO$7&gt;$N53,0,AN53*(1-'Interest Rate'!$B$17))</f>
        <v>0</v>
      </c>
      <c r="AP53" s="609">
        <f>IF(AP$7&gt;$N53,0,AO53*(1-'Interest Rate'!$B$17))</f>
        <v>0</v>
      </c>
      <c r="AQ53" s="609">
        <f>IF(AQ$7&gt;$N53,0,AP53*(1-'Interest Rate'!$B$17))</f>
        <v>0</v>
      </c>
      <c r="AR53" s="609">
        <f>IF(AR$7&gt;$N53,0,AQ53*(1-'Interest Rate'!$B$17))</f>
        <v>0</v>
      </c>
      <c r="AS53" s="609">
        <f>IF(AS$7&gt;$N53,0,AR53*(1-'Interest Rate'!$B$17))</f>
        <v>0</v>
      </c>
      <c r="AT53" s="609">
        <f>IF(AT$7&gt;$N53,0,AS53*(1-'Interest Rate'!$B$17))</f>
        <v>0</v>
      </c>
      <c r="AU53" s="609">
        <f>IF(AU$7&gt;$N53,0,AT53*(1-'Interest Rate'!$B$17))</f>
        <v>0</v>
      </c>
      <c r="AV53" s="609">
        <f>IF(AV$7&gt;$N53,0,AU53*(1-'Interest Rate'!$B$17))</f>
        <v>0</v>
      </c>
      <c r="AW53" s="609">
        <f>IF(AW$7&gt;$N53,0,AV53*(1-'Interest Rate'!$B$17))</f>
        <v>0</v>
      </c>
      <c r="AX53" s="609">
        <f>IF(AX$7&gt;$N53,0,AW53*(1-'Interest Rate'!$B$17))</f>
        <v>0</v>
      </c>
      <c r="AY53" s="609">
        <f>IF(AY$7&gt;$N53,0,AX53*(1-'Interest Rate'!$B$17))</f>
        <v>0</v>
      </c>
      <c r="AZ53" s="609">
        <f>IF(AZ$7&gt;$N53,0,AY53*(1-'Interest Rate'!$B$17))</f>
        <v>0</v>
      </c>
      <c r="BA53" s="609">
        <f>IF(BA$7&gt;$N53,0,AZ53*(1-'Interest Rate'!$B$17))</f>
        <v>0</v>
      </c>
      <c r="BB53" s="609">
        <f>IF(BB$7&gt;$N53,0,BA53*(1-'Interest Rate'!$B$17))</f>
        <v>0</v>
      </c>
      <c r="BC53" s="609">
        <f>IF(BC$7&gt;$N53,0,BB53*(1-'Interest Rate'!$B$17))</f>
        <v>0</v>
      </c>
      <c r="BD53" s="609">
        <f>IF(BD$7&gt;$N53,0,BC53*(1-'Interest Rate'!$B$17))</f>
        <v>0</v>
      </c>
      <c r="BE53" s="609">
        <f>IF(BE$7&gt;$N53,0,BD53*(1-'Interest Rate'!$B$17))</f>
        <v>0</v>
      </c>
      <c r="BF53" s="609">
        <f>IF(BF$7&gt;$N53,0,BE53*(1-'Interest Rate'!$B$17))</f>
        <v>0</v>
      </c>
      <c r="BG53" s="609">
        <f>IF(BG$7&gt;$N53,0,BF53*(1-'Interest Rate'!$B$17))</f>
        <v>0</v>
      </c>
      <c r="BH53" s="609">
        <f>IF(BH$7&gt;$N53,0,BG53*(1-'Interest Rate'!$B$17))</f>
        <v>0</v>
      </c>
      <c r="BI53" s="609">
        <f>IF(BI$7&gt;$N53,0,BH53*(1-'Interest Rate'!$B$17))</f>
        <v>0</v>
      </c>
      <c r="BJ53" s="609">
        <f>IF(BJ$7&gt;$N53,0,BI53*(1-'Interest Rate'!$B$17))</f>
        <v>0</v>
      </c>
      <c r="BK53" s="609">
        <f>IF(BK$7&gt;$N53,0,BJ53*(1-'Interest Rate'!$B$17))</f>
        <v>0</v>
      </c>
      <c r="BL53" s="609">
        <f>IF(BL$7&gt;$N53,0,BK53*(1-'Interest Rate'!$B$17))</f>
        <v>0</v>
      </c>
      <c r="BM53" s="609">
        <f>IF(BM$7&gt;$N53,0,BL53*(1-'Interest Rate'!$B$17))</f>
        <v>0</v>
      </c>
      <c r="BN53" s="609">
        <f>IF(BN$7&gt;$N53,0,BM53*(1-'Interest Rate'!$B$17))</f>
        <v>0</v>
      </c>
      <c r="BO53" s="609">
        <f>IF(BO$7&gt;$N53,0,BN53*(1-'Interest Rate'!$B$17))</f>
        <v>0</v>
      </c>
      <c r="BP53" s="609">
        <f>IF(BP$7&gt;$N53,0,BO53*(1-'Interest Rate'!$B$17))</f>
        <v>0</v>
      </c>
      <c r="BQ53" s="609">
        <f>IF(BQ$7&gt;$N53,0,BP53*(1-'Interest Rate'!$B$17))</f>
        <v>0</v>
      </c>
      <c r="BR53" s="609">
        <f>IF(BR$7&gt;$N53,0,BQ53*(1-'Interest Rate'!$B$17))</f>
        <v>0</v>
      </c>
      <c r="BS53" s="609">
        <f>IF(BS$7&gt;$N53,0,BR53*(1-'Interest Rate'!$B$17))</f>
        <v>0</v>
      </c>
      <c r="BT53" s="609">
        <f>IF(BT$7&gt;$N53,0,BS53*(1-'Interest Rate'!$B$17))</f>
        <v>0</v>
      </c>
      <c r="BU53" s="609">
        <f>IF(BU$7&gt;$N53,0,BT53*(1-'Interest Rate'!$B$17))</f>
        <v>0</v>
      </c>
      <c r="BV53" s="609">
        <f>IF(BV$7&gt;$N53,0,BU53*(1-'Interest Rate'!$B$17))</f>
        <v>0</v>
      </c>
      <c r="BW53" s="609">
        <f>IF(BW$7&gt;$N53,0,BV53*(1-'Interest Rate'!$B$17))</f>
        <v>0</v>
      </c>
      <c r="BX53" s="609">
        <f>IF(BX$7&gt;$N53,0,BW53*(1-'Interest Rate'!$B$17))</f>
        <v>0</v>
      </c>
      <c r="BY53" s="609">
        <f>IF(BY$7&gt;$N53,0,BX53*(1-'Interest Rate'!$B$17))</f>
        <v>0</v>
      </c>
      <c r="BZ53" s="609">
        <f>IF(BZ$7&gt;$N53,0,BY53*(1-'Interest Rate'!$B$17))</f>
        <v>0</v>
      </c>
      <c r="CA53" s="609">
        <f>IF(CA$7&gt;$N53,0,BZ53*(1-'Interest Rate'!$B$17))</f>
        <v>0</v>
      </c>
      <c r="CB53" s="609">
        <f>IF(CB$7&gt;$N53,0,CA53*(1-'Interest Rate'!$B$17))</f>
        <v>0</v>
      </c>
      <c r="CC53" s="609">
        <f>IF(CC$7&gt;$N53,0,CB53*(1-'Interest Rate'!$B$17))</f>
        <v>0</v>
      </c>
      <c r="CD53" s="609">
        <f>IF(CD$7&gt;$N53,0,CC53*(1-'Interest Rate'!$B$17))</f>
        <v>0</v>
      </c>
      <c r="CE53" s="609">
        <f>IF(CE$7&gt;$N53,0,CD53*(1-'Interest Rate'!$B$17))</f>
        <v>0</v>
      </c>
      <c r="CF53" s="609">
        <f>IF(CF$7&gt;$N53,0,CE53*(1-'Interest Rate'!$B$17))</f>
        <v>0</v>
      </c>
      <c r="CG53" s="609">
        <f>IF(CG$7&gt;$N53,0,CF53*(1-'Interest Rate'!$B$17))</f>
        <v>0</v>
      </c>
      <c r="CH53" s="609">
        <f>IF(CH$7&gt;$N53,0,CG53*(1-'Interest Rate'!$B$17))</f>
        <v>0</v>
      </c>
      <c r="CI53" s="609">
        <f>IF(CI$7&gt;$N53,0,CH53*(1-'Interest Rate'!$B$17))</f>
        <v>0</v>
      </c>
      <c r="CJ53" s="609">
        <f>IF(CJ$7&gt;$N53,0,CI53*(1-'Interest Rate'!$B$17))</f>
        <v>0</v>
      </c>
      <c r="CK53" s="609">
        <f>IF(CK$7&gt;$N53,0,CJ53*(1-'Interest Rate'!$B$17))</f>
        <v>0</v>
      </c>
      <c r="CL53" s="609">
        <f>IF(CL$7&gt;$N53,0,CK53*(1-'Interest Rate'!$B$17))</f>
        <v>0</v>
      </c>
      <c r="CM53" s="609">
        <f>IF(CM$7&gt;$N53,0,CL53*(1-'Interest Rate'!$B$17))</f>
        <v>0</v>
      </c>
      <c r="CN53" s="609">
        <f>IF(CN$7&gt;$N53,0,CM53*(1-'Interest Rate'!$B$17))</f>
        <v>0</v>
      </c>
      <c r="CO53" s="609">
        <f>IF(CO$7&gt;$N53,0,CN53*(1-'Interest Rate'!$B$17))</f>
        <v>0</v>
      </c>
      <c r="CP53" s="609">
        <f>IF(CP$7&gt;$N53,0,CO53*(1-'Interest Rate'!$B$17))</f>
        <v>0</v>
      </c>
      <c r="CQ53" s="609">
        <f>IF(CQ$7&gt;$N53,0,CP53*(1-'Interest Rate'!$B$17))</f>
        <v>0</v>
      </c>
      <c r="CR53" s="609">
        <f>IF(CR$7&gt;$N53,0,CQ53*(1-'Interest Rate'!$B$17))</f>
        <v>0</v>
      </c>
      <c r="CS53" s="609">
        <f>IF(CS$7&gt;$N53,0,CR53*(1-'Interest Rate'!$B$17))</f>
        <v>0</v>
      </c>
      <c r="CT53" s="609">
        <f>IF(CT$7&gt;$N53,0,CS53*(1-'Interest Rate'!$B$17))</f>
        <v>0</v>
      </c>
      <c r="CU53" s="609">
        <f>IF(CU$7&gt;$N53,0,CT53*(1-'Interest Rate'!$B$17))</f>
        <v>0</v>
      </c>
      <c r="CV53" s="609">
        <f>IF(CV$7&gt;$N53,0,CU53*(1-'Interest Rate'!$B$17))</f>
        <v>0</v>
      </c>
      <c r="CW53" s="609">
        <f>IF(CW$7&gt;$N53,0,CV53*(1-'Interest Rate'!$B$17))</f>
        <v>0</v>
      </c>
      <c r="CX53" s="609">
        <f>IF(CX$7&gt;$N53,0,CW53*(1-'Interest Rate'!$B$17))</f>
        <v>0</v>
      </c>
      <c r="CY53" s="609">
        <f>IF(CY$7&gt;$N53,0,CX53*(1-'Interest Rate'!$B$17))</f>
        <v>0</v>
      </c>
      <c r="CZ53" s="609">
        <f>IF(CZ$7&gt;$N53,0,CY53*(1-'Interest Rate'!$B$17))</f>
        <v>0</v>
      </c>
      <c r="DA53" s="609">
        <f>IF(DA$7&gt;$N53,0,CZ53*(1-'Interest Rate'!$B$17))</f>
        <v>0</v>
      </c>
      <c r="DB53" s="609">
        <f>IF(DB$7&gt;$N53,0,DA53*(1-'Interest Rate'!$B$17))</f>
        <v>0</v>
      </c>
      <c r="DC53" s="609">
        <f>IF(DC$7&gt;$N53,0,DB53*(1-'Interest Rate'!$B$17))</f>
        <v>0</v>
      </c>
      <c r="DD53" s="609">
        <f>IF(DD$7&gt;$N53,0,DC53*(1-'Interest Rate'!$B$17))</f>
        <v>0</v>
      </c>
      <c r="DE53" s="609">
        <f>IF(DE$7&gt;$N53,0,DD53*(1-'Interest Rate'!$B$17))</f>
        <v>0</v>
      </c>
      <c r="DF53" s="609">
        <f>IF(DF$7&gt;$N53,0,DE53*(1-'Interest Rate'!$B$17))</f>
        <v>0</v>
      </c>
      <c r="DG53" s="609">
        <f>IF(DG$7&gt;$N53,0,DF53*(1-'Interest Rate'!$B$17))</f>
        <v>0</v>
      </c>
      <c r="DH53" s="609">
        <f>IF(DH$7&gt;$N53,0,DG53*(1-'Interest Rate'!$B$17))</f>
        <v>0</v>
      </c>
      <c r="DI53" s="609">
        <f>IF(DI$7&gt;$N53,0,DH53*(1-'Interest Rate'!$B$17))</f>
        <v>0</v>
      </c>
      <c r="DJ53" s="609">
        <f>IF(DJ$7&gt;$N53,0,DI53*(1-'Interest Rate'!$B$17))</f>
        <v>0</v>
      </c>
      <c r="DK53" s="609">
        <f>IF(DK$7&gt;$N53,0,DJ53*(1-'Interest Rate'!$B$17))</f>
        <v>0</v>
      </c>
      <c r="DL53" s="609">
        <f>IF(DL$7&gt;$N53,0,DK53*(1-'Interest Rate'!$B$17))</f>
        <v>0</v>
      </c>
      <c r="DM53" s="609">
        <f>IF(DM$7&gt;$N53,0,DL53*(1-'Interest Rate'!$B$17))</f>
        <v>0</v>
      </c>
    </row>
    <row r="54" spans="1:117" ht="27.75" customHeight="1" x14ac:dyDescent="0.3">
      <c r="A54" s="624" t="str">
        <f>'EEM Data Entry'!A130</f>
        <v/>
      </c>
      <c r="B54" s="625" t="str">
        <f>IF('EEM Data Entry'!B130="  ","  ", 'EEM Data Entry'!B130)</f>
        <v/>
      </c>
      <c r="C54" s="626" t="str">
        <f>'EEM Data Entry'!F130</f>
        <v/>
      </c>
      <c r="D54" s="626">
        <v>0</v>
      </c>
      <c r="E54" s="626" t="e">
        <f t="shared" si="16"/>
        <v>#VALUE!</v>
      </c>
      <c r="F54" s="626">
        <f>('Savings Summary'!D56*'Savings Summary'!D$5)+('Savings Summary'!F56*'Savings Summary'!F$5)+('Savings Summary'!H56*'Savings Summary'!H$5)+('Savings Summary'!J56*'Savings Summary'!J$5)+('Savings Summary'!L56*'Savings Summary'!L$5)+('Savings Summary'!N56*'Savings Summary'!N$5)+('Savings Summary'!P56*'Savings Summary'!P$5)+('Savings Summary'!R56*'Savings Summary'!R$5)</f>
        <v>0</v>
      </c>
      <c r="G54" s="627">
        <f>'Savings Summary'!T55</f>
        <v>0</v>
      </c>
      <c r="H54" s="628" t="e">
        <f>IF(C54=0,"n/a",E54/F54)</f>
        <v>#VALUE!</v>
      </c>
      <c r="I54" s="624" t="e">
        <f t="shared" si="18"/>
        <v>#VALUE!</v>
      </c>
      <c r="J54" s="629" t="e">
        <f t="shared" si="14"/>
        <v>#NUM!</v>
      </c>
      <c r="K54" s="630" t="e">
        <f>PV('Interest Rate'!$B$17,Table8[[#This Row],[LIFETIME]],-Table8[[#This Row],[ANNUAL ENERGY COST SAVINGS]],Table8[[#This Row],[END-OF-LIFE]],0)-Table8[[#This Row],[CAPITAL INVESTMENT]]</f>
        <v>#VALUE!</v>
      </c>
      <c r="L54" s="624" t="str">
        <f>'EEM Data Entry'!C130</f>
        <v/>
      </c>
      <c r="M54" s="631" t="e">
        <f>Table6[[#This Row],[ANNUAL ENERGY COST SAVINGS]]/Table6[[#This Row],[CAPITAL INVESTMENT]]</f>
        <v>#VALUE!</v>
      </c>
      <c r="N54" s="804" t="str">
        <f>Table8[[#This Row],[LIFETIME]]</f>
        <v/>
      </c>
      <c r="O54" s="803"/>
      <c r="P54" s="803"/>
      <c r="Q54" s="608" t="str">
        <f t="shared" si="15"/>
        <v/>
      </c>
      <c r="R54" s="609">
        <f t="shared" si="19"/>
        <v>0</v>
      </c>
      <c r="S54" s="609">
        <f>IF(S$7&gt;$N54,0,R54*(1-'Interest Rate'!$B$17))</f>
        <v>0</v>
      </c>
      <c r="T54" s="609">
        <f>IF(T$7&gt;$N54,0,S54*(1-'Interest Rate'!$B$17))</f>
        <v>0</v>
      </c>
      <c r="U54" s="609">
        <f>IF(U$7&gt;$N54,0,T54*(1-'Interest Rate'!$B$17))</f>
        <v>0</v>
      </c>
      <c r="V54" s="609">
        <f>IF(V$7&gt;$N54,0,U54*(1-'Interest Rate'!$B$17))</f>
        <v>0</v>
      </c>
      <c r="W54" s="609">
        <f>IF(W$7&gt;$N54,0,V54*(1-'Interest Rate'!$B$17))</f>
        <v>0</v>
      </c>
      <c r="X54" s="609">
        <f>IF(X$7&gt;$N54,0,W54*(1-'Interest Rate'!$B$17))</f>
        <v>0</v>
      </c>
      <c r="Y54" s="609">
        <f>IF(Y$7&gt;$N54,0,X54*(1-'Interest Rate'!$B$17))</f>
        <v>0</v>
      </c>
      <c r="Z54" s="609">
        <f>IF(Z$7&gt;$N54,0,Y54*(1-'Interest Rate'!$B$17))</f>
        <v>0</v>
      </c>
      <c r="AA54" s="609">
        <f>IF(AA$7&gt;$N54,0,Z54*(1-'Interest Rate'!$B$17))</f>
        <v>0</v>
      </c>
      <c r="AB54" s="609">
        <f>IF(AB$7&gt;$N54,0,AA54*(1-'Interest Rate'!$B$17))</f>
        <v>0</v>
      </c>
      <c r="AC54" s="609">
        <f>IF(AC$7&gt;$N54,0,AB54*(1-'Interest Rate'!$B$17))</f>
        <v>0</v>
      </c>
      <c r="AD54" s="609">
        <f>IF(AD$7&gt;$N54,0,AC54*(1-'Interest Rate'!$B$17))</f>
        <v>0</v>
      </c>
      <c r="AE54" s="609">
        <f>IF(AE$7&gt;$N54,0,AD54*(1-'Interest Rate'!$B$17))</f>
        <v>0</v>
      </c>
      <c r="AF54" s="609">
        <f>IF(AF$7&gt;$N54,0,AE54*(1-'Interest Rate'!$B$17))</f>
        <v>0</v>
      </c>
      <c r="AG54" s="609">
        <f>IF(AG$7&gt;$N54,0,AF54*(1-'Interest Rate'!$B$17))</f>
        <v>0</v>
      </c>
      <c r="AH54" s="609">
        <f>IF(AH$7&gt;$N54,0,AG54*(1-'Interest Rate'!$B$17))</f>
        <v>0</v>
      </c>
      <c r="AI54" s="609">
        <f>IF(AI$7&gt;$N54,0,AH54*(1-'Interest Rate'!$B$17))</f>
        <v>0</v>
      </c>
      <c r="AJ54" s="609">
        <f>IF(AJ$7&gt;$N54,0,AI54*(1-'Interest Rate'!$B$17))</f>
        <v>0</v>
      </c>
      <c r="AK54" s="609">
        <f>IF(AK$7&gt;$N54,0,AJ54*(1-'Interest Rate'!$B$17))</f>
        <v>0</v>
      </c>
      <c r="AL54" s="609">
        <f>IF(AL$7&gt;$N54,0,AK54*(1-'Interest Rate'!$B$17))</f>
        <v>0</v>
      </c>
      <c r="AM54" s="609">
        <f>IF(AM$7&gt;$N54,0,AL54*(1-'Interest Rate'!$B$17))</f>
        <v>0</v>
      </c>
      <c r="AN54" s="609">
        <f>IF(AN$7&gt;$N54,0,AM54*(1-'Interest Rate'!$B$17))</f>
        <v>0</v>
      </c>
      <c r="AO54" s="609">
        <f>IF(AO$7&gt;$N54,0,AN54*(1-'Interest Rate'!$B$17))</f>
        <v>0</v>
      </c>
      <c r="AP54" s="609">
        <f>IF(AP$7&gt;$N54,0,AO54*(1-'Interest Rate'!$B$17))</f>
        <v>0</v>
      </c>
      <c r="AQ54" s="609">
        <f>IF(AQ$7&gt;$N54,0,AP54*(1-'Interest Rate'!$B$17))</f>
        <v>0</v>
      </c>
      <c r="AR54" s="609">
        <f>IF(AR$7&gt;$N54,0,AQ54*(1-'Interest Rate'!$B$17))</f>
        <v>0</v>
      </c>
      <c r="AS54" s="609">
        <f>IF(AS$7&gt;$N54,0,AR54*(1-'Interest Rate'!$B$17))</f>
        <v>0</v>
      </c>
      <c r="AT54" s="609">
        <f>IF(AT$7&gt;$N54,0,AS54*(1-'Interest Rate'!$B$17))</f>
        <v>0</v>
      </c>
      <c r="AU54" s="609">
        <f>IF(AU$7&gt;$N54,0,AT54*(1-'Interest Rate'!$B$17))</f>
        <v>0</v>
      </c>
      <c r="AV54" s="609">
        <f>IF(AV$7&gt;$N54,0,AU54*(1-'Interest Rate'!$B$17))</f>
        <v>0</v>
      </c>
      <c r="AW54" s="609">
        <f>IF(AW$7&gt;$N54,0,AV54*(1-'Interest Rate'!$B$17))</f>
        <v>0</v>
      </c>
      <c r="AX54" s="609">
        <f>IF(AX$7&gt;$N54,0,AW54*(1-'Interest Rate'!$B$17))</f>
        <v>0</v>
      </c>
      <c r="AY54" s="609">
        <f>IF(AY$7&gt;$N54,0,AX54*(1-'Interest Rate'!$B$17))</f>
        <v>0</v>
      </c>
      <c r="AZ54" s="609">
        <f>IF(AZ$7&gt;$N54,0,AY54*(1-'Interest Rate'!$B$17))</f>
        <v>0</v>
      </c>
      <c r="BA54" s="609">
        <f>IF(BA$7&gt;$N54,0,AZ54*(1-'Interest Rate'!$B$17))</f>
        <v>0</v>
      </c>
      <c r="BB54" s="609">
        <f>IF(BB$7&gt;$N54,0,BA54*(1-'Interest Rate'!$B$17))</f>
        <v>0</v>
      </c>
      <c r="BC54" s="609">
        <f>IF(BC$7&gt;$N54,0,BB54*(1-'Interest Rate'!$B$17))</f>
        <v>0</v>
      </c>
      <c r="BD54" s="609">
        <f>IF(BD$7&gt;$N54,0,BC54*(1-'Interest Rate'!$B$17))</f>
        <v>0</v>
      </c>
      <c r="BE54" s="609">
        <f>IF(BE$7&gt;$N54,0,BD54*(1-'Interest Rate'!$B$17))</f>
        <v>0</v>
      </c>
      <c r="BF54" s="609">
        <f>IF(BF$7&gt;$N54,0,BE54*(1-'Interest Rate'!$B$17))</f>
        <v>0</v>
      </c>
      <c r="BG54" s="609">
        <f>IF(BG$7&gt;$N54,0,BF54*(1-'Interest Rate'!$B$17))</f>
        <v>0</v>
      </c>
      <c r="BH54" s="609">
        <f>IF(BH$7&gt;$N54,0,BG54*(1-'Interest Rate'!$B$17))</f>
        <v>0</v>
      </c>
      <c r="BI54" s="609">
        <f>IF(BI$7&gt;$N54,0,BH54*(1-'Interest Rate'!$B$17))</f>
        <v>0</v>
      </c>
      <c r="BJ54" s="609">
        <f>IF(BJ$7&gt;$N54,0,BI54*(1-'Interest Rate'!$B$17))</f>
        <v>0</v>
      </c>
      <c r="BK54" s="609">
        <f>IF(BK$7&gt;$N54,0,BJ54*(1-'Interest Rate'!$B$17))</f>
        <v>0</v>
      </c>
      <c r="BL54" s="609">
        <f>IF(BL$7&gt;$N54,0,BK54*(1-'Interest Rate'!$B$17))</f>
        <v>0</v>
      </c>
      <c r="BM54" s="609">
        <f>IF(BM$7&gt;$N54,0,BL54*(1-'Interest Rate'!$B$17))</f>
        <v>0</v>
      </c>
      <c r="BN54" s="609">
        <f>IF(BN$7&gt;$N54,0,BM54*(1-'Interest Rate'!$B$17))</f>
        <v>0</v>
      </c>
      <c r="BO54" s="609">
        <f>IF(BO$7&gt;$N54,0,BN54*(1-'Interest Rate'!$B$17))</f>
        <v>0</v>
      </c>
      <c r="BP54" s="609">
        <f>IF(BP$7&gt;$N54,0,BO54*(1-'Interest Rate'!$B$17))</f>
        <v>0</v>
      </c>
      <c r="BQ54" s="609">
        <f>IF(BQ$7&gt;$N54,0,BP54*(1-'Interest Rate'!$B$17))</f>
        <v>0</v>
      </c>
      <c r="BR54" s="609">
        <f>IF(BR$7&gt;$N54,0,BQ54*(1-'Interest Rate'!$B$17))</f>
        <v>0</v>
      </c>
      <c r="BS54" s="609">
        <f>IF(BS$7&gt;$N54,0,BR54*(1-'Interest Rate'!$B$17))</f>
        <v>0</v>
      </c>
      <c r="BT54" s="609">
        <f>IF(BT$7&gt;$N54,0,BS54*(1-'Interest Rate'!$B$17))</f>
        <v>0</v>
      </c>
      <c r="BU54" s="609">
        <f>IF(BU$7&gt;$N54,0,BT54*(1-'Interest Rate'!$B$17))</f>
        <v>0</v>
      </c>
      <c r="BV54" s="609">
        <f>IF(BV$7&gt;$N54,0,BU54*(1-'Interest Rate'!$B$17))</f>
        <v>0</v>
      </c>
      <c r="BW54" s="609">
        <f>IF(BW$7&gt;$N54,0,BV54*(1-'Interest Rate'!$B$17))</f>
        <v>0</v>
      </c>
      <c r="BX54" s="609">
        <f>IF(BX$7&gt;$N54,0,BW54*(1-'Interest Rate'!$B$17))</f>
        <v>0</v>
      </c>
      <c r="BY54" s="609">
        <f>IF(BY$7&gt;$N54,0,BX54*(1-'Interest Rate'!$B$17))</f>
        <v>0</v>
      </c>
      <c r="BZ54" s="609">
        <f>IF(BZ$7&gt;$N54,0,BY54*(1-'Interest Rate'!$B$17))</f>
        <v>0</v>
      </c>
      <c r="CA54" s="609">
        <f>IF(CA$7&gt;$N54,0,BZ54*(1-'Interest Rate'!$B$17))</f>
        <v>0</v>
      </c>
      <c r="CB54" s="609">
        <f>IF(CB$7&gt;$N54,0,CA54*(1-'Interest Rate'!$B$17))</f>
        <v>0</v>
      </c>
      <c r="CC54" s="609">
        <f>IF(CC$7&gt;$N54,0,CB54*(1-'Interest Rate'!$B$17))</f>
        <v>0</v>
      </c>
      <c r="CD54" s="609">
        <f>IF(CD$7&gt;$N54,0,CC54*(1-'Interest Rate'!$B$17))</f>
        <v>0</v>
      </c>
      <c r="CE54" s="609">
        <f>IF(CE$7&gt;$N54,0,CD54*(1-'Interest Rate'!$B$17))</f>
        <v>0</v>
      </c>
      <c r="CF54" s="609">
        <f>IF(CF$7&gt;$N54,0,CE54*(1-'Interest Rate'!$B$17))</f>
        <v>0</v>
      </c>
      <c r="CG54" s="609">
        <f>IF(CG$7&gt;$N54,0,CF54*(1-'Interest Rate'!$B$17))</f>
        <v>0</v>
      </c>
      <c r="CH54" s="609">
        <f>IF(CH$7&gt;$N54,0,CG54*(1-'Interest Rate'!$B$17))</f>
        <v>0</v>
      </c>
      <c r="CI54" s="609">
        <f>IF(CI$7&gt;$N54,0,CH54*(1-'Interest Rate'!$B$17))</f>
        <v>0</v>
      </c>
      <c r="CJ54" s="609">
        <f>IF(CJ$7&gt;$N54,0,CI54*(1-'Interest Rate'!$B$17))</f>
        <v>0</v>
      </c>
      <c r="CK54" s="609">
        <f>IF(CK$7&gt;$N54,0,CJ54*(1-'Interest Rate'!$B$17))</f>
        <v>0</v>
      </c>
      <c r="CL54" s="609">
        <f>IF(CL$7&gt;$N54,0,CK54*(1-'Interest Rate'!$B$17))</f>
        <v>0</v>
      </c>
      <c r="CM54" s="609">
        <f>IF(CM$7&gt;$N54,0,CL54*(1-'Interest Rate'!$B$17))</f>
        <v>0</v>
      </c>
      <c r="CN54" s="609">
        <f>IF(CN$7&gt;$N54,0,CM54*(1-'Interest Rate'!$B$17))</f>
        <v>0</v>
      </c>
      <c r="CO54" s="609">
        <f>IF(CO$7&gt;$N54,0,CN54*(1-'Interest Rate'!$B$17))</f>
        <v>0</v>
      </c>
      <c r="CP54" s="609">
        <f>IF(CP$7&gt;$N54,0,CO54*(1-'Interest Rate'!$B$17))</f>
        <v>0</v>
      </c>
      <c r="CQ54" s="609">
        <f>IF(CQ$7&gt;$N54,0,CP54*(1-'Interest Rate'!$B$17))</f>
        <v>0</v>
      </c>
      <c r="CR54" s="609">
        <f>IF(CR$7&gt;$N54,0,CQ54*(1-'Interest Rate'!$B$17))</f>
        <v>0</v>
      </c>
      <c r="CS54" s="609">
        <f>IF(CS$7&gt;$N54,0,CR54*(1-'Interest Rate'!$B$17))</f>
        <v>0</v>
      </c>
      <c r="CT54" s="609">
        <f>IF(CT$7&gt;$N54,0,CS54*(1-'Interest Rate'!$B$17))</f>
        <v>0</v>
      </c>
      <c r="CU54" s="609">
        <f>IF(CU$7&gt;$N54,0,CT54*(1-'Interest Rate'!$B$17))</f>
        <v>0</v>
      </c>
      <c r="CV54" s="609">
        <f>IF(CV$7&gt;$N54,0,CU54*(1-'Interest Rate'!$B$17))</f>
        <v>0</v>
      </c>
      <c r="CW54" s="609">
        <f>IF(CW$7&gt;$N54,0,CV54*(1-'Interest Rate'!$B$17))</f>
        <v>0</v>
      </c>
      <c r="CX54" s="609">
        <f>IF(CX$7&gt;$N54,0,CW54*(1-'Interest Rate'!$B$17))</f>
        <v>0</v>
      </c>
      <c r="CY54" s="609">
        <f>IF(CY$7&gt;$N54,0,CX54*(1-'Interest Rate'!$B$17))</f>
        <v>0</v>
      </c>
      <c r="CZ54" s="609">
        <f>IF(CZ$7&gt;$N54,0,CY54*(1-'Interest Rate'!$B$17))</f>
        <v>0</v>
      </c>
      <c r="DA54" s="609">
        <f>IF(DA$7&gt;$N54,0,CZ54*(1-'Interest Rate'!$B$17))</f>
        <v>0</v>
      </c>
      <c r="DB54" s="609">
        <f>IF(DB$7&gt;$N54,0,DA54*(1-'Interest Rate'!$B$17))</f>
        <v>0</v>
      </c>
      <c r="DC54" s="609">
        <f>IF(DC$7&gt;$N54,0,DB54*(1-'Interest Rate'!$B$17))</f>
        <v>0</v>
      </c>
      <c r="DD54" s="609">
        <f>IF(DD$7&gt;$N54,0,DC54*(1-'Interest Rate'!$B$17))</f>
        <v>0</v>
      </c>
      <c r="DE54" s="609">
        <f>IF(DE$7&gt;$N54,0,DD54*(1-'Interest Rate'!$B$17))</f>
        <v>0</v>
      </c>
      <c r="DF54" s="609">
        <f>IF(DF$7&gt;$N54,0,DE54*(1-'Interest Rate'!$B$17))</f>
        <v>0</v>
      </c>
      <c r="DG54" s="609">
        <f>IF(DG$7&gt;$N54,0,DF54*(1-'Interest Rate'!$B$17))</f>
        <v>0</v>
      </c>
      <c r="DH54" s="609">
        <f>IF(DH$7&gt;$N54,0,DG54*(1-'Interest Rate'!$B$17))</f>
        <v>0</v>
      </c>
      <c r="DI54" s="609">
        <f>IF(DI$7&gt;$N54,0,DH54*(1-'Interest Rate'!$B$17))</f>
        <v>0</v>
      </c>
      <c r="DJ54" s="609">
        <f>IF(DJ$7&gt;$N54,0,DI54*(1-'Interest Rate'!$B$17))</f>
        <v>0</v>
      </c>
      <c r="DK54" s="609">
        <f>IF(DK$7&gt;$N54,0,DJ54*(1-'Interest Rate'!$B$17))</f>
        <v>0</v>
      </c>
      <c r="DL54" s="609">
        <f>IF(DL$7&gt;$N54,0,DK54*(1-'Interest Rate'!$B$17))</f>
        <v>0</v>
      </c>
      <c r="DM54" s="609">
        <f>IF(DM$7&gt;$N54,0,DL54*(1-'Interest Rate'!$B$17))</f>
        <v>0</v>
      </c>
    </row>
    <row r="55" spans="1:117" ht="27.75" customHeight="1" x14ac:dyDescent="0.3">
      <c r="A55" s="624" t="str">
        <f>'EEM Data Entry'!A131</f>
        <v/>
      </c>
      <c r="B55" s="625" t="str">
        <f>IF('EEM Data Entry'!B131="  ","  ", 'EEM Data Entry'!B131)</f>
        <v/>
      </c>
      <c r="C55" s="626" t="str">
        <f>'EEM Data Entry'!F131</f>
        <v/>
      </c>
      <c r="D55" s="626">
        <v>0</v>
      </c>
      <c r="E55" s="626" t="e">
        <f t="shared" si="16"/>
        <v>#VALUE!</v>
      </c>
      <c r="F55" s="626">
        <f>('Savings Summary'!D57*'Savings Summary'!D$5)+('Savings Summary'!F57*'Savings Summary'!F$5)+('Savings Summary'!H57*'Savings Summary'!H$5)+('Savings Summary'!J57*'Savings Summary'!J$5)+('Savings Summary'!L57*'Savings Summary'!L$5)+('Savings Summary'!N57*'Savings Summary'!N$5)+('Savings Summary'!P57*'Savings Summary'!P$5)+('Savings Summary'!R57*'Savings Summary'!R$5)</f>
        <v>0</v>
      </c>
      <c r="G55" s="627">
        <f>'Savings Summary'!T56</f>
        <v>0</v>
      </c>
      <c r="H55" s="628" t="e">
        <f t="shared" si="17"/>
        <v>#VALUE!</v>
      </c>
      <c r="I55" s="624" t="e">
        <f t="shared" si="18"/>
        <v>#VALUE!</v>
      </c>
      <c r="J55" s="629" t="e">
        <f t="shared" si="14"/>
        <v>#NUM!</v>
      </c>
      <c r="K55" s="630" t="e">
        <f>PV('Interest Rate'!$B$17,Table8[[#This Row],[LIFETIME]],-Table8[[#This Row],[ANNUAL ENERGY COST SAVINGS]],Table8[[#This Row],[END-OF-LIFE]],0)-Table8[[#This Row],[CAPITAL INVESTMENT]]</f>
        <v>#VALUE!</v>
      </c>
      <c r="L55" s="624" t="str">
        <f>'EEM Data Entry'!C131</f>
        <v/>
      </c>
      <c r="M55" s="631" t="e">
        <f>Table6[[#This Row],[ANNUAL ENERGY COST SAVINGS]]/Table6[[#This Row],[CAPITAL INVESTMENT]]</f>
        <v>#VALUE!</v>
      </c>
      <c r="N55" s="804" t="str">
        <f>Table8[[#This Row],[LIFETIME]]</f>
        <v/>
      </c>
      <c r="O55" s="803"/>
      <c r="P55" s="803"/>
      <c r="Q55" s="608" t="str">
        <f t="shared" si="15"/>
        <v/>
      </c>
      <c r="R55" s="609">
        <f t="shared" si="19"/>
        <v>0</v>
      </c>
      <c r="S55" s="609">
        <f>IF(S$7&gt;$N55,0,R55*(1-'Interest Rate'!$B$17))</f>
        <v>0</v>
      </c>
      <c r="T55" s="609">
        <f>IF(T$7&gt;$N55,0,S55*(1-'Interest Rate'!$B$17))</f>
        <v>0</v>
      </c>
      <c r="U55" s="609">
        <f>IF(U$7&gt;$N55,0,T55*(1-'Interest Rate'!$B$17))</f>
        <v>0</v>
      </c>
      <c r="V55" s="609">
        <f>IF(V$7&gt;$N55,0,U55*(1-'Interest Rate'!$B$17))</f>
        <v>0</v>
      </c>
      <c r="W55" s="609">
        <f>IF(W$7&gt;$N55,0,V55*(1-'Interest Rate'!$B$17))</f>
        <v>0</v>
      </c>
      <c r="X55" s="609">
        <f>IF(X$7&gt;$N55,0,W55*(1-'Interest Rate'!$B$17))</f>
        <v>0</v>
      </c>
      <c r="Y55" s="609">
        <f>IF(Y$7&gt;$N55,0,X55*(1-'Interest Rate'!$B$17))</f>
        <v>0</v>
      </c>
      <c r="Z55" s="609">
        <f>IF(Z$7&gt;$N55,0,Y55*(1-'Interest Rate'!$B$17))</f>
        <v>0</v>
      </c>
      <c r="AA55" s="609">
        <f>IF(AA$7&gt;$N55,0,Z55*(1-'Interest Rate'!$B$17))</f>
        <v>0</v>
      </c>
      <c r="AB55" s="609">
        <f>IF(AB$7&gt;$N55,0,AA55*(1-'Interest Rate'!$B$17))</f>
        <v>0</v>
      </c>
      <c r="AC55" s="609">
        <f>IF(AC$7&gt;$N55,0,AB55*(1-'Interest Rate'!$B$17))</f>
        <v>0</v>
      </c>
      <c r="AD55" s="609">
        <f>IF(AD$7&gt;$N55,0,AC55*(1-'Interest Rate'!$B$17))</f>
        <v>0</v>
      </c>
      <c r="AE55" s="609">
        <f>IF(AE$7&gt;$N55,0,AD55*(1-'Interest Rate'!$B$17))</f>
        <v>0</v>
      </c>
      <c r="AF55" s="609">
        <f>IF(AF$7&gt;$N55,0,AE55*(1-'Interest Rate'!$B$17))</f>
        <v>0</v>
      </c>
      <c r="AG55" s="609">
        <f>IF(AG$7&gt;$N55,0,AF55*(1-'Interest Rate'!$B$17))</f>
        <v>0</v>
      </c>
      <c r="AH55" s="609">
        <f>IF(AH$7&gt;$N55,0,AG55*(1-'Interest Rate'!$B$17))</f>
        <v>0</v>
      </c>
      <c r="AI55" s="609">
        <f>IF(AI$7&gt;$N55,0,AH55*(1-'Interest Rate'!$B$17))</f>
        <v>0</v>
      </c>
      <c r="AJ55" s="609">
        <f>IF(AJ$7&gt;$N55,0,AI55*(1-'Interest Rate'!$B$17))</f>
        <v>0</v>
      </c>
      <c r="AK55" s="609">
        <f>IF(AK$7&gt;$N55,0,AJ55*(1-'Interest Rate'!$B$17))</f>
        <v>0</v>
      </c>
      <c r="AL55" s="609">
        <f>IF(AL$7&gt;$N55,0,AK55*(1-'Interest Rate'!$B$17))</f>
        <v>0</v>
      </c>
      <c r="AM55" s="609">
        <f>IF(AM$7&gt;$N55,0,AL55*(1-'Interest Rate'!$B$17))</f>
        <v>0</v>
      </c>
      <c r="AN55" s="609">
        <f>IF(AN$7&gt;$N55,0,AM55*(1-'Interest Rate'!$B$17))</f>
        <v>0</v>
      </c>
      <c r="AO55" s="609">
        <f>IF(AO$7&gt;$N55,0,AN55*(1-'Interest Rate'!$B$17))</f>
        <v>0</v>
      </c>
      <c r="AP55" s="609">
        <f>IF(AP$7&gt;$N55,0,AO55*(1-'Interest Rate'!$B$17))</f>
        <v>0</v>
      </c>
      <c r="AQ55" s="609">
        <f>IF(AQ$7&gt;$N55,0,AP55*(1-'Interest Rate'!$B$17))</f>
        <v>0</v>
      </c>
      <c r="AR55" s="609">
        <f>IF(AR$7&gt;$N55,0,AQ55*(1-'Interest Rate'!$B$17))</f>
        <v>0</v>
      </c>
      <c r="AS55" s="609">
        <f>IF(AS$7&gt;$N55,0,AR55*(1-'Interest Rate'!$B$17))</f>
        <v>0</v>
      </c>
      <c r="AT55" s="609">
        <f>IF(AT$7&gt;$N55,0,AS55*(1-'Interest Rate'!$B$17))</f>
        <v>0</v>
      </c>
      <c r="AU55" s="609">
        <f>IF(AU$7&gt;$N55,0,AT55*(1-'Interest Rate'!$B$17))</f>
        <v>0</v>
      </c>
      <c r="AV55" s="609">
        <f>IF(AV$7&gt;$N55,0,AU55*(1-'Interest Rate'!$B$17))</f>
        <v>0</v>
      </c>
      <c r="AW55" s="609">
        <f>IF(AW$7&gt;$N55,0,AV55*(1-'Interest Rate'!$B$17))</f>
        <v>0</v>
      </c>
      <c r="AX55" s="609">
        <f>IF(AX$7&gt;$N55,0,AW55*(1-'Interest Rate'!$B$17))</f>
        <v>0</v>
      </c>
      <c r="AY55" s="609">
        <f>IF(AY$7&gt;$N55,0,AX55*(1-'Interest Rate'!$B$17))</f>
        <v>0</v>
      </c>
      <c r="AZ55" s="609">
        <f>IF(AZ$7&gt;$N55,0,AY55*(1-'Interest Rate'!$B$17))</f>
        <v>0</v>
      </c>
      <c r="BA55" s="609">
        <f>IF(BA$7&gt;$N55,0,AZ55*(1-'Interest Rate'!$B$17))</f>
        <v>0</v>
      </c>
      <c r="BB55" s="609">
        <f>IF(BB$7&gt;$N55,0,BA55*(1-'Interest Rate'!$B$17))</f>
        <v>0</v>
      </c>
      <c r="BC55" s="609">
        <f>IF(BC$7&gt;$N55,0,BB55*(1-'Interest Rate'!$B$17))</f>
        <v>0</v>
      </c>
      <c r="BD55" s="609">
        <f>IF(BD$7&gt;$N55,0,BC55*(1-'Interest Rate'!$B$17))</f>
        <v>0</v>
      </c>
      <c r="BE55" s="609">
        <f>IF(BE$7&gt;$N55,0,BD55*(1-'Interest Rate'!$B$17))</f>
        <v>0</v>
      </c>
      <c r="BF55" s="609">
        <f>IF(BF$7&gt;$N55,0,BE55*(1-'Interest Rate'!$B$17))</f>
        <v>0</v>
      </c>
      <c r="BG55" s="609">
        <f>IF(BG$7&gt;$N55,0,BF55*(1-'Interest Rate'!$B$17))</f>
        <v>0</v>
      </c>
      <c r="BH55" s="609">
        <f>IF(BH$7&gt;$N55,0,BG55*(1-'Interest Rate'!$B$17))</f>
        <v>0</v>
      </c>
      <c r="BI55" s="609">
        <f>IF(BI$7&gt;$N55,0,BH55*(1-'Interest Rate'!$B$17))</f>
        <v>0</v>
      </c>
      <c r="BJ55" s="609">
        <f>IF(BJ$7&gt;$N55,0,BI55*(1-'Interest Rate'!$B$17))</f>
        <v>0</v>
      </c>
      <c r="BK55" s="609">
        <f>IF(BK$7&gt;$N55,0,BJ55*(1-'Interest Rate'!$B$17))</f>
        <v>0</v>
      </c>
      <c r="BL55" s="609">
        <f>IF(BL$7&gt;$N55,0,BK55*(1-'Interest Rate'!$B$17))</f>
        <v>0</v>
      </c>
      <c r="BM55" s="609">
        <f>IF(BM$7&gt;$N55,0,BL55*(1-'Interest Rate'!$B$17))</f>
        <v>0</v>
      </c>
      <c r="BN55" s="609">
        <f>IF(BN$7&gt;$N55,0,BM55*(1-'Interest Rate'!$B$17))</f>
        <v>0</v>
      </c>
      <c r="BO55" s="609">
        <f>IF(BO$7&gt;$N55,0,BN55*(1-'Interest Rate'!$B$17))</f>
        <v>0</v>
      </c>
      <c r="BP55" s="609">
        <f>IF(BP$7&gt;$N55,0,BO55*(1-'Interest Rate'!$B$17))</f>
        <v>0</v>
      </c>
      <c r="BQ55" s="609">
        <f>IF(BQ$7&gt;$N55,0,BP55*(1-'Interest Rate'!$B$17))</f>
        <v>0</v>
      </c>
      <c r="BR55" s="609">
        <f>IF(BR$7&gt;$N55,0,BQ55*(1-'Interest Rate'!$B$17))</f>
        <v>0</v>
      </c>
      <c r="BS55" s="609">
        <f>IF(BS$7&gt;$N55,0,BR55*(1-'Interest Rate'!$B$17))</f>
        <v>0</v>
      </c>
      <c r="BT55" s="609">
        <f>IF(BT$7&gt;$N55,0,BS55*(1-'Interest Rate'!$B$17))</f>
        <v>0</v>
      </c>
      <c r="BU55" s="609">
        <f>IF(BU$7&gt;$N55,0,BT55*(1-'Interest Rate'!$B$17))</f>
        <v>0</v>
      </c>
      <c r="BV55" s="609">
        <f>IF(BV$7&gt;$N55,0,BU55*(1-'Interest Rate'!$B$17))</f>
        <v>0</v>
      </c>
      <c r="BW55" s="609">
        <f>IF(BW$7&gt;$N55,0,BV55*(1-'Interest Rate'!$B$17))</f>
        <v>0</v>
      </c>
      <c r="BX55" s="609">
        <f>IF(BX$7&gt;$N55,0,BW55*(1-'Interest Rate'!$B$17))</f>
        <v>0</v>
      </c>
      <c r="BY55" s="609">
        <f>IF(BY$7&gt;$N55,0,BX55*(1-'Interest Rate'!$B$17))</f>
        <v>0</v>
      </c>
      <c r="BZ55" s="609">
        <f>IF(BZ$7&gt;$N55,0,BY55*(1-'Interest Rate'!$B$17))</f>
        <v>0</v>
      </c>
      <c r="CA55" s="609">
        <f>IF(CA$7&gt;$N55,0,BZ55*(1-'Interest Rate'!$B$17))</f>
        <v>0</v>
      </c>
      <c r="CB55" s="609">
        <f>IF(CB$7&gt;$N55,0,CA55*(1-'Interest Rate'!$B$17))</f>
        <v>0</v>
      </c>
      <c r="CC55" s="609">
        <f>IF(CC$7&gt;$N55,0,CB55*(1-'Interest Rate'!$B$17))</f>
        <v>0</v>
      </c>
      <c r="CD55" s="609">
        <f>IF(CD$7&gt;$N55,0,CC55*(1-'Interest Rate'!$B$17))</f>
        <v>0</v>
      </c>
      <c r="CE55" s="609">
        <f>IF(CE$7&gt;$N55,0,CD55*(1-'Interest Rate'!$B$17))</f>
        <v>0</v>
      </c>
      <c r="CF55" s="609">
        <f>IF(CF$7&gt;$N55,0,CE55*(1-'Interest Rate'!$B$17))</f>
        <v>0</v>
      </c>
      <c r="CG55" s="609">
        <f>IF(CG$7&gt;$N55,0,CF55*(1-'Interest Rate'!$B$17))</f>
        <v>0</v>
      </c>
      <c r="CH55" s="609">
        <f>IF(CH$7&gt;$N55,0,CG55*(1-'Interest Rate'!$B$17))</f>
        <v>0</v>
      </c>
      <c r="CI55" s="609">
        <f>IF(CI$7&gt;$N55,0,CH55*(1-'Interest Rate'!$B$17))</f>
        <v>0</v>
      </c>
      <c r="CJ55" s="609">
        <f>IF(CJ$7&gt;$N55,0,CI55*(1-'Interest Rate'!$B$17))</f>
        <v>0</v>
      </c>
      <c r="CK55" s="609">
        <f>IF(CK$7&gt;$N55,0,CJ55*(1-'Interest Rate'!$B$17))</f>
        <v>0</v>
      </c>
      <c r="CL55" s="609">
        <f>IF(CL$7&gt;$N55,0,CK55*(1-'Interest Rate'!$B$17))</f>
        <v>0</v>
      </c>
      <c r="CM55" s="609">
        <f>IF(CM$7&gt;$N55,0,CL55*(1-'Interest Rate'!$B$17))</f>
        <v>0</v>
      </c>
      <c r="CN55" s="609">
        <f>IF(CN$7&gt;$N55,0,CM55*(1-'Interest Rate'!$B$17))</f>
        <v>0</v>
      </c>
      <c r="CO55" s="609">
        <f>IF(CO$7&gt;$N55,0,CN55*(1-'Interest Rate'!$B$17))</f>
        <v>0</v>
      </c>
      <c r="CP55" s="609">
        <f>IF(CP$7&gt;$N55,0,CO55*(1-'Interest Rate'!$B$17))</f>
        <v>0</v>
      </c>
      <c r="CQ55" s="609">
        <f>IF(CQ$7&gt;$N55,0,CP55*(1-'Interest Rate'!$B$17))</f>
        <v>0</v>
      </c>
      <c r="CR55" s="609">
        <f>IF(CR$7&gt;$N55,0,CQ55*(1-'Interest Rate'!$B$17))</f>
        <v>0</v>
      </c>
      <c r="CS55" s="609">
        <f>IF(CS$7&gt;$N55,0,CR55*(1-'Interest Rate'!$B$17))</f>
        <v>0</v>
      </c>
      <c r="CT55" s="609">
        <f>IF(CT$7&gt;$N55,0,CS55*(1-'Interest Rate'!$B$17))</f>
        <v>0</v>
      </c>
      <c r="CU55" s="609">
        <f>IF(CU$7&gt;$N55,0,CT55*(1-'Interest Rate'!$B$17))</f>
        <v>0</v>
      </c>
      <c r="CV55" s="609">
        <f>IF(CV$7&gt;$N55,0,CU55*(1-'Interest Rate'!$B$17))</f>
        <v>0</v>
      </c>
      <c r="CW55" s="609">
        <f>IF(CW$7&gt;$N55,0,CV55*(1-'Interest Rate'!$B$17))</f>
        <v>0</v>
      </c>
      <c r="CX55" s="609">
        <f>IF(CX$7&gt;$N55,0,CW55*(1-'Interest Rate'!$B$17))</f>
        <v>0</v>
      </c>
      <c r="CY55" s="609">
        <f>IF(CY$7&gt;$N55,0,CX55*(1-'Interest Rate'!$B$17))</f>
        <v>0</v>
      </c>
      <c r="CZ55" s="609">
        <f>IF(CZ$7&gt;$N55,0,CY55*(1-'Interest Rate'!$B$17))</f>
        <v>0</v>
      </c>
      <c r="DA55" s="609">
        <f>IF(DA$7&gt;$N55,0,CZ55*(1-'Interest Rate'!$B$17))</f>
        <v>0</v>
      </c>
      <c r="DB55" s="609">
        <f>IF(DB$7&gt;$N55,0,DA55*(1-'Interest Rate'!$B$17))</f>
        <v>0</v>
      </c>
      <c r="DC55" s="609">
        <f>IF(DC$7&gt;$N55,0,DB55*(1-'Interest Rate'!$B$17))</f>
        <v>0</v>
      </c>
      <c r="DD55" s="609">
        <f>IF(DD$7&gt;$N55,0,DC55*(1-'Interest Rate'!$B$17))</f>
        <v>0</v>
      </c>
      <c r="DE55" s="609">
        <f>IF(DE$7&gt;$N55,0,DD55*(1-'Interest Rate'!$B$17))</f>
        <v>0</v>
      </c>
      <c r="DF55" s="609">
        <f>IF(DF$7&gt;$N55,0,DE55*(1-'Interest Rate'!$B$17))</f>
        <v>0</v>
      </c>
      <c r="DG55" s="609">
        <f>IF(DG$7&gt;$N55,0,DF55*(1-'Interest Rate'!$B$17))</f>
        <v>0</v>
      </c>
      <c r="DH55" s="609">
        <f>IF(DH$7&gt;$N55,0,DG55*(1-'Interest Rate'!$B$17))</f>
        <v>0</v>
      </c>
      <c r="DI55" s="609">
        <f>IF(DI$7&gt;$N55,0,DH55*(1-'Interest Rate'!$B$17))</f>
        <v>0</v>
      </c>
      <c r="DJ55" s="609">
        <f>IF(DJ$7&gt;$N55,0,DI55*(1-'Interest Rate'!$B$17))</f>
        <v>0</v>
      </c>
      <c r="DK55" s="609">
        <f>IF(DK$7&gt;$N55,0,DJ55*(1-'Interest Rate'!$B$17))</f>
        <v>0</v>
      </c>
      <c r="DL55" s="609">
        <f>IF(DL$7&gt;$N55,0,DK55*(1-'Interest Rate'!$B$17))</f>
        <v>0</v>
      </c>
      <c r="DM55" s="609">
        <f>IF(DM$7&gt;$N55,0,DL55*(1-'Interest Rate'!$B$17))</f>
        <v>0</v>
      </c>
    </row>
    <row r="56" spans="1:117" ht="27.75" customHeight="1" x14ac:dyDescent="0.3">
      <c r="A56" s="624" t="str">
        <f>'EEM Data Entry'!A132</f>
        <v/>
      </c>
      <c r="B56" s="625" t="str">
        <f>IF('EEM Data Entry'!B132="  ","  ", 'EEM Data Entry'!B132)</f>
        <v/>
      </c>
      <c r="C56" s="626" t="str">
        <f>'EEM Data Entry'!F132</f>
        <v/>
      </c>
      <c r="D56" s="626">
        <v>0</v>
      </c>
      <c r="E56" s="626" t="e">
        <f t="shared" si="16"/>
        <v>#VALUE!</v>
      </c>
      <c r="F56" s="626">
        <f>('Savings Summary'!D58*'Savings Summary'!D$5)+('Savings Summary'!F58*'Savings Summary'!F$5)+('Savings Summary'!H58*'Savings Summary'!H$5)+('Savings Summary'!J58*'Savings Summary'!J$5)+('Savings Summary'!L58*'Savings Summary'!L$5)+('Savings Summary'!N58*'Savings Summary'!N$5)+('Savings Summary'!P58*'Savings Summary'!P$5)+('Savings Summary'!R58*'Savings Summary'!R$5)</f>
        <v>0</v>
      </c>
      <c r="G56" s="627">
        <f>'Savings Summary'!T57</f>
        <v>0</v>
      </c>
      <c r="H56" s="628" t="e">
        <f t="shared" si="17"/>
        <v>#VALUE!</v>
      </c>
      <c r="I56" s="624" t="e">
        <f t="shared" si="18"/>
        <v>#VALUE!</v>
      </c>
      <c r="J56" s="629" t="e">
        <f t="shared" si="14"/>
        <v>#NUM!</v>
      </c>
      <c r="K56" s="630" t="e">
        <f>PV('Interest Rate'!$B$17,Table8[[#This Row],[LIFETIME]],-Table8[[#This Row],[ANNUAL ENERGY COST SAVINGS]],Table8[[#This Row],[END-OF-LIFE]],0)-Table8[[#This Row],[CAPITAL INVESTMENT]]</f>
        <v>#VALUE!</v>
      </c>
      <c r="L56" s="624" t="str">
        <f>'EEM Data Entry'!C132</f>
        <v/>
      </c>
      <c r="M56" s="631" t="e">
        <f>Table6[[#This Row],[ANNUAL ENERGY COST SAVINGS]]/Table6[[#This Row],[CAPITAL INVESTMENT]]</f>
        <v>#VALUE!</v>
      </c>
      <c r="N56" s="804" t="str">
        <f>Table8[[#This Row],[LIFETIME]]</f>
        <v/>
      </c>
      <c r="O56" s="803"/>
      <c r="P56" s="803"/>
      <c r="Q56" s="608" t="str">
        <f t="shared" si="15"/>
        <v/>
      </c>
      <c r="R56" s="609">
        <f t="shared" si="19"/>
        <v>0</v>
      </c>
      <c r="S56" s="609">
        <f>IF(S$7&gt;$N56,0,R56*(1-'Interest Rate'!$B$17))</f>
        <v>0</v>
      </c>
      <c r="T56" s="609">
        <f>IF(T$7&gt;$N56,0,S56*(1-'Interest Rate'!$B$17))</f>
        <v>0</v>
      </c>
      <c r="U56" s="609">
        <f>IF(U$7&gt;$N56,0,T56*(1-'Interest Rate'!$B$17))</f>
        <v>0</v>
      </c>
      <c r="V56" s="609">
        <f>IF(V$7&gt;$N56,0,U56*(1-'Interest Rate'!$B$17))</f>
        <v>0</v>
      </c>
      <c r="W56" s="609">
        <f>IF(W$7&gt;$N56,0,V56*(1-'Interest Rate'!$B$17))</f>
        <v>0</v>
      </c>
      <c r="X56" s="609">
        <f>IF(X$7&gt;$N56,0,W56*(1-'Interest Rate'!$B$17))</f>
        <v>0</v>
      </c>
      <c r="Y56" s="609">
        <f>IF(Y$7&gt;$N56,0,X56*(1-'Interest Rate'!$B$17))</f>
        <v>0</v>
      </c>
      <c r="Z56" s="609">
        <f>IF(Z$7&gt;$N56,0,Y56*(1-'Interest Rate'!$B$17))</f>
        <v>0</v>
      </c>
      <c r="AA56" s="609">
        <f>IF(AA$7&gt;$N56,0,Z56*(1-'Interest Rate'!$B$17))</f>
        <v>0</v>
      </c>
      <c r="AB56" s="609">
        <f>IF(AB$7&gt;$N56,0,AA56*(1-'Interest Rate'!$B$17))</f>
        <v>0</v>
      </c>
      <c r="AC56" s="609">
        <f>IF(AC$7&gt;$N56,0,AB56*(1-'Interest Rate'!$B$17))</f>
        <v>0</v>
      </c>
      <c r="AD56" s="609">
        <f>IF(AD$7&gt;$N56,0,AC56*(1-'Interest Rate'!$B$17))</f>
        <v>0</v>
      </c>
      <c r="AE56" s="609">
        <f>IF(AE$7&gt;$N56,0,AD56*(1-'Interest Rate'!$B$17))</f>
        <v>0</v>
      </c>
      <c r="AF56" s="609">
        <f>IF(AF$7&gt;$N56,0,AE56*(1-'Interest Rate'!$B$17))</f>
        <v>0</v>
      </c>
      <c r="AG56" s="609">
        <f>IF(AG$7&gt;$N56,0,AF56*(1-'Interest Rate'!$B$17))</f>
        <v>0</v>
      </c>
      <c r="AH56" s="609">
        <f>IF(AH$7&gt;$N56,0,AG56*(1-'Interest Rate'!$B$17))</f>
        <v>0</v>
      </c>
      <c r="AI56" s="609">
        <f>IF(AI$7&gt;$N56,0,AH56*(1-'Interest Rate'!$B$17))</f>
        <v>0</v>
      </c>
      <c r="AJ56" s="609">
        <f>IF(AJ$7&gt;$N56,0,AI56*(1-'Interest Rate'!$B$17))</f>
        <v>0</v>
      </c>
      <c r="AK56" s="609">
        <f>IF(AK$7&gt;$N56,0,AJ56*(1-'Interest Rate'!$B$17))</f>
        <v>0</v>
      </c>
      <c r="AL56" s="609">
        <f>IF(AL$7&gt;$N56,0,AK56*(1-'Interest Rate'!$B$17))</f>
        <v>0</v>
      </c>
      <c r="AM56" s="609">
        <f>IF(AM$7&gt;$N56,0,AL56*(1-'Interest Rate'!$B$17))</f>
        <v>0</v>
      </c>
      <c r="AN56" s="609">
        <f>IF(AN$7&gt;$N56,0,AM56*(1-'Interest Rate'!$B$17))</f>
        <v>0</v>
      </c>
      <c r="AO56" s="609">
        <f>IF(AO$7&gt;$N56,0,AN56*(1-'Interest Rate'!$B$17))</f>
        <v>0</v>
      </c>
      <c r="AP56" s="609">
        <f>IF(AP$7&gt;$N56,0,AO56*(1-'Interest Rate'!$B$17))</f>
        <v>0</v>
      </c>
      <c r="AQ56" s="609">
        <f>IF(AQ$7&gt;$N56,0,AP56*(1-'Interest Rate'!$B$17))</f>
        <v>0</v>
      </c>
      <c r="AR56" s="609">
        <f>IF(AR$7&gt;$N56,0,AQ56*(1-'Interest Rate'!$B$17))</f>
        <v>0</v>
      </c>
      <c r="AS56" s="609">
        <f>IF(AS$7&gt;$N56,0,AR56*(1-'Interest Rate'!$B$17))</f>
        <v>0</v>
      </c>
      <c r="AT56" s="609">
        <f>IF(AT$7&gt;$N56,0,AS56*(1-'Interest Rate'!$B$17))</f>
        <v>0</v>
      </c>
      <c r="AU56" s="609">
        <f>IF(AU$7&gt;$N56,0,AT56*(1-'Interest Rate'!$B$17))</f>
        <v>0</v>
      </c>
      <c r="AV56" s="609">
        <f>IF(AV$7&gt;$N56,0,AU56*(1-'Interest Rate'!$B$17))</f>
        <v>0</v>
      </c>
      <c r="AW56" s="609">
        <f>IF(AW$7&gt;$N56,0,AV56*(1-'Interest Rate'!$B$17))</f>
        <v>0</v>
      </c>
      <c r="AX56" s="609">
        <f>IF(AX$7&gt;$N56,0,AW56*(1-'Interest Rate'!$B$17))</f>
        <v>0</v>
      </c>
      <c r="AY56" s="609">
        <f>IF(AY$7&gt;$N56,0,AX56*(1-'Interest Rate'!$B$17))</f>
        <v>0</v>
      </c>
      <c r="AZ56" s="609">
        <f>IF(AZ$7&gt;$N56,0,AY56*(1-'Interest Rate'!$B$17))</f>
        <v>0</v>
      </c>
      <c r="BA56" s="609">
        <f>IF(BA$7&gt;$N56,0,AZ56*(1-'Interest Rate'!$B$17))</f>
        <v>0</v>
      </c>
      <c r="BB56" s="609">
        <f>IF(BB$7&gt;$N56,0,BA56*(1-'Interest Rate'!$B$17))</f>
        <v>0</v>
      </c>
      <c r="BC56" s="609">
        <f>IF(BC$7&gt;$N56,0,BB56*(1-'Interest Rate'!$B$17))</f>
        <v>0</v>
      </c>
      <c r="BD56" s="609">
        <f>IF(BD$7&gt;$N56,0,BC56*(1-'Interest Rate'!$B$17))</f>
        <v>0</v>
      </c>
      <c r="BE56" s="609">
        <f>IF(BE$7&gt;$N56,0,BD56*(1-'Interest Rate'!$B$17))</f>
        <v>0</v>
      </c>
      <c r="BF56" s="609">
        <f>IF(BF$7&gt;$N56,0,BE56*(1-'Interest Rate'!$B$17))</f>
        <v>0</v>
      </c>
      <c r="BG56" s="609">
        <f>IF(BG$7&gt;$N56,0,BF56*(1-'Interest Rate'!$B$17))</f>
        <v>0</v>
      </c>
      <c r="BH56" s="609">
        <f>IF(BH$7&gt;$N56,0,BG56*(1-'Interest Rate'!$B$17))</f>
        <v>0</v>
      </c>
      <c r="BI56" s="609">
        <f>IF(BI$7&gt;$N56,0,BH56*(1-'Interest Rate'!$B$17))</f>
        <v>0</v>
      </c>
      <c r="BJ56" s="609">
        <f>IF(BJ$7&gt;$N56,0,BI56*(1-'Interest Rate'!$B$17))</f>
        <v>0</v>
      </c>
      <c r="BK56" s="609">
        <f>IF(BK$7&gt;$N56,0,BJ56*(1-'Interest Rate'!$B$17))</f>
        <v>0</v>
      </c>
      <c r="BL56" s="609">
        <f>IF(BL$7&gt;$N56,0,BK56*(1-'Interest Rate'!$B$17))</f>
        <v>0</v>
      </c>
      <c r="BM56" s="609">
        <f>IF(BM$7&gt;$N56,0,BL56*(1-'Interest Rate'!$B$17))</f>
        <v>0</v>
      </c>
      <c r="BN56" s="609">
        <f>IF(BN$7&gt;$N56,0,BM56*(1-'Interest Rate'!$B$17))</f>
        <v>0</v>
      </c>
      <c r="BO56" s="609">
        <f>IF(BO$7&gt;$N56,0,BN56*(1-'Interest Rate'!$B$17))</f>
        <v>0</v>
      </c>
      <c r="BP56" s="609">
        <f>IF(BP$7&gt;$N56,0,BO56*(1-'Interest Rate'!$B$17))</f>
        <v>0</v>
      </c>
      <c r="BQ56" s="609">
        <f>IF(BQ$7&gt;$N56,0,BP56*(1-'Interest Rate'!$B$17))</f>
        <v>0</v>
      </c>
      <c r="BR56" s="609">
        <f>IF(BR$7&gt;$N56,0,BQ56*(1-'Interest Rate'!$B$17))</f>
        <v>0</v>
      </c>
      <c r="BS56" s="609">
        <f>IF(BS$7&gt;$N56,0,BR56*(1-'Interest Rate'!$B$17))</f>
        <v>0</v>
      </c>
      <c r="BT56" s="609">
        <f>IF(BT$7&gt;$N56,0,BS56*(1-'Interest Rate'!$B$17))</f>
        <v>0</v>
      </c>
      <c r="BU56" s="609">
        <f>IF(BU$7&gt;$N56,0,BT56*(1-'Interest Rate'!$B$17))</f>
        <v>0</v>
      </c>
      <c r="BV56" s="609">
        <f>IF(BV$7&gt;$N56,0,BU56*(1-'Interest Rate'!$B$17))</f>
        <v>0</v>
      </c>
      <c r="BW56" s="609">
        <f>IF(BW$7&gt;$N56,0,BV56*(1-'Interest Rate'!$B$17))</f>
        <v>0</v>
      </c>
      <c r="BX56" s="609">
        <f>IF(BX$7&gt;$N56,0,BW56*(1-'Interest Rate'!$B$17))</f>
        <v>0</v>
      </c>
      <c r="BY56" s="609">
        <f>IF(BY$7&gt;$N56,0,BX56*(1-'Interest Rate'!$B$17))</f>
        <v>0</v>
      </c>
      <c r="BZ56" s="609">
        <f>IF(BZ$7&gt;$N56,0,BY56*(1-'Interest Rate'!$B$17))</f>
        <v>0</v>
      </c>
      <c r="CA56" s="609">
        <f>IF(CA$7&gt;$N56,0,BZ56*(1-'Interest Rate'!$B$17))</f>
        <v>0</v>
      </c>
      <c r="CB56" s="609">
        <f>IF(CB$7&gt;$N56,0,CA56*(1-'Interest Rate'!$B$17))</f>
        <v>0</v>
      </c>
      <c r="CC56" s="609">
        <f>IF(CC$7&gt;$N56,0,CB56*(1-'Interest Rate'!$B$17))</f>
        <v>0</v>
      </c>
      <c r="CD56" s="609">
        <f>IF(CD$7&gt;$N56,0,CC56*(1-'Interest Rate'!$B$17))</f>
        <v>0</v>
      </c>
      <c r="CE56" s="609">
        <f>IF(CE$7&gt;$N56,0,CD56*(1-'Interest Rate'!$B$17))</f>
        <v>0</v>
      </c>
      <c r="CF56" s="609">
        <f>IF(CF$7&gt;$N56,0,CE56*(1-'Interest Rate'!$B$17))</f>
        <v>0</v>
      </c>
      <c r="CG56" s="609">
        <f>IF(CG$7&gt;$N56,0,CF56*(1-'Interest Rate'!$B$17))</f>
        <v>0</v>
      </c>
      <c r="CH56" s="609">
        <f>IF(CH$7&gt;$N56,0,CG56*(1-'Interest Rate'!$B$17))</f>
        <v>0</v>
      </c>
      <c r="CI56" s="609">
        <f>IF(CI$7&gt;$N56,0,CH56*(1-'Interest Rate'!$B$17))</f>
        <v>0</v>
      </c>
      <c r="CJ56" s="609">
        <f>IF(CJ$7&gt;$N56,0,CI56*(1-'Interest Rate'!$B$17))</f>
        <v>0</v>
      </c>
      <c r="CK56" s="609">
        <f>IF(CK$7&gt;$N56,0,CJ56*(1-'Interest Rate'!$B$17))</f>
        <v>0</v>
      </c>
      <c r="CL56" s="609">
        <f>IF(CL$7&gt;$N56,0,CK56*(1-'Interest Rate'!$B$17))</f>
        <v>0</v>
      </c>
      <c r="CM56" s="609">
        <f>IF(CM$7&gt;$N56,0,CL56*(1-'Interest Rate'!$B$17))</f>
        <v>0</v>
      </c>
      <c r="CN56" s="609">
        <f>IF(CN$7&gt;$N56,0,CM56*(1-'Interest Rate'!$B$17))</f>
        <v>0</v>
      </c>
      <c r="CO56" s="609">
        <f>IF(CO$7&gt;$N56,0,CN56*(1-'Interest Rate'!$B$17))</f>
        <v>0</v>
      </c>
      <c r="CP56" s="609">
        <f>IF(CP$7&gt;$N56,0,CO56*(1-'Interest Rate'!$B$17))</f>
        <v>0</v>
      </c>
      <c r="CQ56" s="609">
        <f>IF(CQ$7&gt;$N56,0,CP56*(1-'Interest Rate'!$B$17))</f>
        <v>0</v>
      </c>
      <c r="CR56" s="609">
        <f>IF(CR$7&gt;$N56,0,CQ56*(1-'Interest Rate'!$B$17))</f>
        <v>0</v>
      </c>
      <c r="CS56" s="609">
        <f>IF(CS$7&gt;$N56,0,CR56*(1-'Interest Rate'!$B$17))</f>
        <v>0</v>
      </c>
      <c r="CT56" s="609">
        <f>IF(CT$7&gt;$N56,0,CS56*(1-'Interest Rate'!$B$17))</f>
        <v>0</v>
      </c>
      <c r="CU56" s="609">
        <f>IF(CU$7&gt;$N56,0,CT56*(1-'Interest Rate'!$B$17))</f>
        <v>0</v>
      </c>
      <c r="CV56" s="609">
        <f>IF(CV$7&gt;$N56,0,CU56*(1-'Interest Rate'!$B$17))</f>
        <v>0</v>
      </c>
      <c r="CW56" s="609">
        <f>IF(CW$7&gt;$N56,0,CV56*(1-'Interest Rate'!$B$17))</f>
        <v>0</v>
      </c>
      <c r="CX56" s="609">
        <f>IF(CX$7&gt;$N56,0,CW56*(1-'Interest Rate'!$B$17))</f>
        <v>0</v>
      </c>
      <c r="CY56" s="609">
        <f>IF(CY$7&gt;$N56,0,CX56*(1-'Interest Rate'!$B$17))</f>
        <v>0</v>
      </c>
      <c r="CZ56" s="609">
        <f>IF(CZ$7&gt;$N56,0,CY56*(1-'Interest Rate'!$B$17))</f>
        <v>0</v>
      </c>
      <c r="DA56" s="609">
        <f>IF(DA$7&gt;$N56,0,CZ56*(1-'Interest Rate'!$B$17))</f>
        <v>0</v>
      </c>
      <c r="DB56" s="609">
        <f>IF(DB$7&gt;$N56,0,DA56*(1-'Interest Rate'!$B$17))</f>
        <v>0</v>
      </c>
      <c r="DC56" s="609">
        <f>IF(DC$7&gt;$N56,0,DB56*(1-'Interest Rate'!$B$17))</f>
        <v>0</v>
      </c>
      <c r="DD56" s="609">
        <f>IF(DD$7&gt;$N56,0,DC56*(1-'Interest Rate'!$B$17))</f>
        <v>0</v>
      </c>
      <c r="DE56" s="609">
        <f>IF(DE$7&gt;$N56,0,DD56*(1-'Interest Rate'!$B$17))</f>
        <v>0</v>
      </c>
      <c r="DF56" s="609">
        <f>IF(DF$7&gt;$N56,0,DE56*(1-'Interest Rate'!$B$17))</f>
        <v>0</v>
      </c>
      <c r="DG56" s="609">
        <f>IF(DG$7&gt;$N56,0,DF56*(1-'Interest Rate'!$B$17))</f>
        <v>0</v>
      </c>
      <c r="DH56" s="609">
        <f>IF(DH$7&gt;$N56,0,DG56*(1-'Interest Rate'!$B$17))</f>
        <v>0</v>
      </c>
      <c r="DI56" s="609">
        <f>IF(DI$7&gt;$N56,0,DH56*(1-'Interest Rate'!$B$17))</f>
        <v>0</v>
      </c>
      <c r="DJ56" s="609">
        <f>IF(DJ$7&gt;$N56,0,DI56*(1-'Interest Rate'!$B$17))</f>
        <v>0</v>
      </c>
      <c r="DK56" s="609">
        <f>IF(DK$7&gt;$N56,0,DJ56*(1-'Interest Rate'!$B$17))</f>
        <v>0</v>
      </c>
      <c r="DL56" s="609">
        <f>IF(DL$7&gt;$N56,0,DK56*(1-'Interest Rate'!$B$17))</f>
        <v>0</v>
      </c>
      <c r="DM56" s="609">
        <f>IF(DM$7&gt;$N56,0,DL56*(1-'Interest Rate'!$B$17))</f>
        <v>0</v>
      </c>
    </row>
    <row r="57" spans="1:117" ht="27.75" customHeight="1" x14ac:dyDescent="0.3">
      <c r="A57" s="624" t="str">
        <f>'EEM Data Entry'!A133</f>
        <v/>
      </c>
      <c r="B57" s="625" t="str">
        <f>IF('EEM Data Entry'!B133="  ","  ", 'EEM Data Entry'!B133)</f>
        <v/>
      </c>
      <c r="C57" s="626" t="str">
        <f>'EEM Data Entry'!F133</f>
        <v/>
      </c>
      <c r="D57" s="626">
        <v>0</v>
      </c>
      <c r="E57" s="626" t="e">
        <f t="shared" si="16"/>
        <v>#VALUE!</v>
      </c>
      <c r="F57" s="626">
        <f>('Savings Summary'!D59*'Savings Summary'!D$5)+('Savings Summary'!F59*'Savings Summary'!F$5)+('Savings Summary'!H59*'Savings Summary'!H$5)+('Savings Summary'!J59*'Savings Summary'!J$5)+('Savings Summary'!L59*'Savings Summary'!L$5)+('Savings Summary'!N59*'Savings Summary'!N$5)+('Savings Summary'!P59*'Savings Summary'!P$5)+('Savings Summary'!R59*'Savings Summary'!R$5)</f>
        <v>0</v>
      </c>
      <c r="G57" s="627">
        <f>'Savings Summary'!T58</f>
        <v>0</v>
      </c>
      <c r="H57" s="628" t="e">
        <f t="shared" si="17"/>
        <v>#VALUE!</v>
      </c>
      <c r="I57" s="624" t="e">
        <f t="shared" si="18"/>
        <v>#VALUE!</v>
      </c>
      <c r="J57" s="629" t="e">
        <f t="shared" si="14"/>
        <v>#NUM!</v>
      </c>
      <c r="K57" s="630" t="e">
        <f>PV('Interest Rate'!$B$17,Table8[[#This Row],[LIFETIME]],-Table8[[#This Row],[ANNUAL ENERGY COST SAVINGS]],Table8[[#This Row],[END-OF-LIFE]],0)-Table8[[#This Row],[CAPITAL INVESTMENT]]</f>
        <v>#VALUE!</v>
      </c>
      <c r="L57" s="624" t="str">
        <f>'EEM Data Entry'!C133</f>
        <v/>
      </c>
      <c r="M57" s="631" t="e">
        <f>Table6[[#This Row],[ANNUAL ENERGY COST SAVINGS]]/Table6[[#This Row],[CAPITAL INVESTMENT]]</f>
        <v>#VALUE!</v>
      </c>
      <c r="N57" s="804" t="str">
        <f>Table8[[#This Row],[LIFETIME]]</f>
        <v/>
      </c>
      <c r="O57" s="803"/>
      <c r="P57" s="803"/>
      <c r="Q57" s="608" t="str">
        <f t="shared" si="15"/>
        <v/>
      </c>
      <c r="R57" s="609">
        <f t="shared" si="19"/>
        <v>0</v>
      </c>
      <c r="S57" s="609">
        <f>IF(S$7&gt;$N57,0,R57*(1-'Interest Rate'!$B$17))</f>
        <v>0</v>
      </c>
      <c r="T57" s="609">
        <f>IF(T$7&gt;$N57,0,S57*(1-'Interest Rate'!$B$17))</f>
        <v>0</v>
      </c>
      <c r="U57" s="609">
        <f>IF(U$7&gt;$N57,0,T57*(1-'Interest Rate'!$B$17))</f>
        <v>0</v>
      </c>
      <c r="V57" s="609">
        <f>IF(V$7&gt;$N57,0,U57*(1-'Interest Rate'!$B$17))</f>
        <v>0</v>
      </c>
      <c r="W57" s="609">
        <f>IF(W$7&gt;$N57,0,V57*(1-'Interest Rate'!$B$17))</f>
        <v>0</v>
      </c>
      <c r="X57" s="609">
        <f>IF(X$7&gt;$N57,0,W57*(1-'Interest Rate'!$B$17))</f>
        <v>0</v>
      </c>
      <c r="Y57" s="609">
        <f>IF(Y$7&gt;$N57,0,X57*(1-'Interest Rate'!$B$17))</f>
        <v>0</v>
      </c>
      <c r="Z57" s="609">
        <f>IF(Z$7&gt;$N57,0,Y57*(1-'Interest Rate'!$B$17))</f>
        <v>0</v>
      </c>
      <c r="AA57" s="609">
        <f>IF(AA$7&gt;$N57,0,Z57*(1-'Interest Rate'!$B$17))</f>
        <v>0</v>
      </c>
      <c r="AB57" s="609">
        <f>IF(AB$7&gt;$N57,0,AA57*(1-'Interest Rate'!$B$17))</f>
        <v>0</v>
      </c>
      <c r="AC57" s="609">
        <f>IF(AC$7&gt;$N57,0,AB57*(1-'Interest Rate'!$B$17))</f>
        <v>0</v>
      </c>
      <c r="AD57" s="609">
        <f>IF(AD$7&gt;$N57,0,AC57*(1-'Interest Rate'!$B$17))</f>
        <v>0</v>
      </c>
      <c r="AE57" s="609">
        <f>IF(AE$7&gt;$N57,0,AD57*(1-'Interest Rate'!$B$17))</f>
        <v>0</v>
      </c>
      <c r="AF57" s="609">
        <f>IF(AF$7&gt;$N57,0,AE57*(1-'Interest Rate'!$B$17))</f>
        <v>0</v>
      </c>
      <c r="AG57" s="609">
        <f>IF(AG$7&gt;$N57,0,AF57*(1-'Interest Rate'!$B$17))</f>
        <v>0</v>
      </c>
      <c r="AH57" s="609">
        <f>IF(AH$7&gt;$N57,0,AG57*(1-'Interest Rate'!$B$17))</f>
        <v>0</v>
      </c>
      <c r="AI57" s="609">
        <f>IF(AI$7&gt;$N57,0,AH57*(1-'Interest Rate'!$B$17))</f>
        <v>0</v>
      </c>
      <c r="AJ57" s="609">
        <f>IF(AJ$7&gt;$N57,0,AI57*(1-'Interest Rate'!$B$17))</f>
        <v>0</v>
      </c>
      <c r="AK57" s="609">
        <f>IF(AK$7&gt;$N57,0,AJ57*(1-'Interest Rate'!$B$17))</f>
        <v>0</v>
      </c>
      <c r="AL57" s="609">
        <f>IF(AL$7&gt;$N57,0,AK57*(1-'Interest Rate'!$B$17))</f>
        <v>0</v>
      </c>
      <c r="AM57" s="609">
        <f>IF(AM$7&gt;$N57,0,AL57*(1-'Interest Rate'!$B$17))</f>
        <v>0</v>
      </c>
      <c r="AN57" s="609">
        <f>IF(AN$7&gt;$N57,0,AM57*(1-'Interest Rate'!$B$17))</f>
        <v>0</v>
      </c>
      <c r="AO57" s="609">
        <f>IF(AO$7&gt;$N57,0,AN57*(1-'Interest Rate'!$B$17))</f>
        <v>0</v>
      </c>
      <c r="AP57" s="609">
        <f>IF(AP$7&gt;$N57,0,AO57*(1-'Interest Rate'!$B$17))</f>
        <v>0</v>
      </c>
      <c r="AQ57" s="609">
        <f>IF(AQ$7&gt;$N57,0,AP57*(1-'Interest Rate'!$B$17))</f>
        <v>0</v>
      </c>
      <c r="AR57" s="609">
        <f>IF(AR$7&gt;$N57,0,AQ57*(1-'Interest Rate'!$B$17))</f>
        <v>0</v>
      </c>
      <c r="AS57" s="609">
        <f>IF(AS$7&gt;$N57,0,AR57*(1-'Interest Rate'!$B$17))</f>
        <v>0</v>
      </c>
      <c r="AT57" s="609">
        <f>IF(AT$7&gt;$N57,0,AS57*(1-'Interest Rate'!$B$17))</f>
        <v>0</v>
      </c>
      <c r="AU57" s="609">
        <f>IF(AU$7&gt;$N57,0,AT57*(1-'Interest Rate'!$B$17))</f>
        <v>0</v>
      </c>
      <c r="AV57" s="609">
        <f>IF(AV$7&gt;$N57,0,AU57*(1-'Interest Rate'!$B$17))</f>
        <v>0</v>
      </c>
      <c r="AW57" s="609">
        <f>IF(AW$7&gt;$N57,0,AV57*(1-'Interest Rate'!$B$17))</f>
        <v>0</v>
      </c>
      <c r="AX57" s="609">
        <f>IF(AX$7&gt;$N57,0,AW57*(1-'Interest Rate'!$B$17))</f>
        <v>0</v>
      </c>
      <c r="AY57" s="609">
        <f>IF(AY$7&gt;$N57,0,AX57*(1-'Interest Rate'!$B$17))</f>
        <v>0</v>
      </c>
      <c r="AZ57" s="609">
        <f>IF(AZ$7&gt;$N57,0,AY57*(1-'Interest Rate'!$B$17))</f>
        <v>0</v>
      </c>
      <c r="BA57" s="609">
        <f>IF(BA$7&gt;$N57,0,AZ57*(1-'Interest Rate'!$B$17))</f>
        <v>0</v>
      </c>
      <c r="BB57" s="609">
        <f>IF(BB$7&gt;$N57,0,BA57*(1-'Interest Rate'!$B$17))</f>
        <v>0</v>
      </c>
      <c r="BC57" s="609">
        <f>IF(BC$7&gt;$N57,0,BB57*(1-'Interest Rate'!$B$17))</f>
        <v>0</v>
      </c>
      <c r="BD57" s="609">
        <f>IF(BD$7&gt;$N57,0,BC57*(1-'Interest Rate'!$B$17))</f>
        <v>0</v>
      </c>
      <c r="BE57" s="609">
        <f>IF(BE$7&gt;$N57,0,BD57*(1-'Interest Rate'!$B$17))</f>
        <v>0</v>
      </c>
      <c r="BF57" s="609">
        <f>IF(BF$7&gt;$N57,0,BE57*(1-'Interest Rate'!$B$17))</f>
        <v>0</v>
      </c>
      <c r="BG57" s="609">
        <f>IF(BG$7&gt;$N57,0,BF57*(1-'Interest Rate'!$B$17))</f>
        <v>0</v>
      </c>
      <c r="BH57" s="609">
        <f>IF(BH$7&gt;$N57,0,BG57*(1-'Interest Rate'!$B$17))</f>
        <v>0</v>
      </c>
      <c r="BI57" s="609">
        <f>IF(BI$7&gt;$N57,0,BH57*(1-'Interest Rate'!$B$17))</f>
        <v>0</v>
      </c>
      <c r="BJ57" s="609">
        <f>IF(BJ$7&gt;$N57,0,BI57*(1-'Interest Rate'!$B$17))</f>
        <v>0</v>
      </c>
      <c r="BK57" s="609">
        <f>IF(BK$7&gt;$N57,0,BJ57*(1-'Interest Rate'!$B$17))</f>
        <v>0</v>
      </c>
      <c r="BL57" s="609">
        <f>IF(BL$7&gt;$N57,0,BK57*(1-'Interest Rate'!$B$17))</f>
        <v>0</v>
      </c>
      <c r="BM57" s="609">
        <f>IF(BM$7&gt;$N57,0,BL57*(1-'Interest Rate'!$B$17))</f>
        <v>0</v>
      </c>
      <c r="BN57" s="609">
        <f>IF(BN$7&gt;$N57,0,BM57*(1-'Interest Rate'!$B$17))</f>
        <v>0</v>
      </c>
      <c r="BO57" s="609">
        <f>IF(BO$7&gt;$N57,0,BN57*(1-'Interest Rate'!$B$17))</f>
        <v>0</v>
      </c>
      <c r="BP57" s="609">
        <f>IF(BP$7&gt;$N57,0,BO57*(1-'Interest Rate'!$B$17))</f>
        <v>0</v>
      </c>
      <c r="BQ57" s="609">
        <f>IF(BQ$7&gt;$N57,0,BP57*(1-'Interest Rate'!$B$17))</f>
        <v>0</v>
      </c>
      <c r="BR57" s="609">
        <f>IF(BR$7&gt;$N57,0,BQ57*(1-'Interest Rate'!$B$17))</f>
        <v>0</v>
      </c>
      <c r="BS57" s="609">
        <f>IF(BS$7&gt;$N57,0,BR57*(1-'Interest Rate'!$B$17))</f>
        <v>0</v>
      </c>
      <c r="BT57" s="609">
        <f>IF(BT$7&gt;$N57,0,BS57*(1-'Interest Rate'!$B$17))</f>
        <v>0</v>
      </c>
      <c r="BU57" s="609">
        <f>IF(BU$7&gt;$N57,0,BT57*(1-'Interest Rate'!$B$17))</f>
        <v>0</v>
      </c>
      <c r="BV57" s="609">
        <f>IF(BV$7&gt;$N57,0,BU57*(1-'Interest Rate'!$B$17))</f>
        <v>0</v>
      </c>
      <c r="BW57" s="609">
        <f>IF(BW$7&gt;$N57,0,BV57*(1-'Interest Rate'!$B$17))</f>
        <v>0</v>
      </c>
      <c r="BX57" s="609">
        <f>IF(BX$7&gt;$N57,0,BW57*(1-'Interest Rate'!$B$17))</f>
        <v>0</v>
      </c>
      <c r="BY57" s="609">
        <f>IF(BY$7&gt;$N57,0,BX57*(1-'Interest Rate'!$B$17))</f>
        <v>0</v>
      </c>
      <c r="BZ57" s="609">
        <f>IF(BZ$7&gt;$N57,0,BY57*(1-'Interest Rate'!$B$17))</f>
        <v>0</v>
      </c>
      <c r="CA57" s="609">
        <f>IF(CA$7&gt;$N57,0,BZ57*(1-'Interest Rate'!$B$17))</f>
        <v>0</v>
      </c>
      <c r="CB57" s="609">
        <f>IF(CB$7&gt;$N57,0,CA57*(1-'Interest Rate'!$B$17))</f>
        <v>0</v>
      </c>
      <c r="CC57" s="609">
        <f>IF(CC$7&gt;$N57,0,CB57*(1-'Interest Rate'!$B$17))</f>
        <v>0</v>
      </c>
      <c r="CD57" s="609">
        <f>IF(CD$7&gt;$N57,0,CC57*(1-'Interest Rate'!$B$17))</f>
        <v>0</v>
      </c>
      <c r="CE57" s="609">
        <f>IF(CE$7&gt;$N57,0,CD57*(1-'Interest Rate'!$B$17))</f>
        <v>0</v>
      </c>
      <c r="CF57" s="609">
        <f>IF(CF$7&gt;$N57,0,CE57*(1-'Interest Rate'!$B$17))</f>
        <v>0</v>
      </c>
      <c r="CG57" s="609">
        <f>IF(CG$7&gt;$N57,0,CF57*(1-'Interest Rate'!$B$17))</f>
        <v>0</v>
      </c>
      <c r="CH57" s="609">
        <f>IF(CH$7&gt;$N57,0,CG57*(1-'Interest Rate'!$B$17))</f>
        <v>0</v>
      </c>
      <c r="CI57" s="609">
        <f>IF(CI$7&gt;$N57,0,CH57*(1-'Interest Rate'!$B$17))</f>
        <v>0</v>
      </c>
      <c r="CJ57" s="609">
        <f>IF(CJ$7&gt;$N57,0,CI57*(1-'Interest Rate'!$B$17))</f>
        <v>0</v>
      </c>
      <c r="CK57" s="609">
        <f>IF(CK$7&gt;$N57,0,CJ57*(1-'Interest Rate'!$B$17))</f>
        <v>0</v>
      </c>
      <c r="CL57" s="609">
        <f>IF(CL$7&gt;$N57,0,CK57*(1-'Interest Rate'!$B$17))</f>
        <v>0</v>
      </c>
      <c r="CM57" s="609">
        <f>IF(CM$7&gt;$N57,0,CL57*(1-'Interest Rate'!$B$17))</f>
        <v>0</v>
      </c>
      <c r="CN57" s="609">
        <f>IF(CN$7&gt;$N57,0,CM57*(1-'Interest Rate'!$B$17))</f>
        <v>0</v>
      </c>
      <c r="CO57" s="609">
        <f>IF(CO$7&gt;$N57,0,CN57*(1-'Interest Rate'!$B$17))</f>
        <v>0</v>
      </c>
      <c r="CP57" s="609">
        <f>IF(CP$7&gt;$N57,0,CO57*(1-'Interest Rate'!$B$17))</f>
        <v>0</v>
      </c>
      <c r="CQ57" s="609">
        <f>IF(CQ$7&gt;$N57,0,CP57*(1-'Interest Rate'!$B$17))</f>
        <v>0</v>
      </c>
      <c r="CR57" s="609">
        <f>IF(CR$7&gt;$N57,0,CQ57*(1-'Interest Rate'!$B$17))</f>
        <v>0</v>
      </c>
      <c r="CS57" s="609">
        <f>IF(CS$7&gt;$N57,0,CR57*(1-'Interest Rate'!$B$17))</f>
        <v>0</v>
      </c>
      <c r="CT57" s="609">
        <f>IF(CT$7&gt;$N57,0,CS57*(1-'Interest Rate'!$B$17))</f>
        <v>0</v>
      </c>
      <c r="CU57" s="609">
        <f>IF(CU$7&gt;$N57,0,CT57*(1-'Interest Rate'!$B$17))</f>
        <v>0</v>
      </c>
      <c r="CV57" s="609">
        <f>IF(CV$7&gt;$N57,0,CU57*(1-'Interest Rate'!$B$17))</f>
        <v>0</v>
      </c>
      <c r="CW57" s="609">
        <f>IF(CW$7&gt;$N57,0,CV57*(1-'Interest Rate'!$B$17))</f>
        <v>0</v>
      </c>
      <c r="CX57" s="609">
        <f>IF(CX$7&gt;$N57,0,CW57*(1-'Interest Rate'!$B$17))</f>
        <v>0</v>
      </c>
      <c r="CY57" s="609">
        <f>IF(CY$7&gt;$N57,0,CX57*(1-'Interest Rate'!$B$17))</f>
        <v>0</v>
      </c>
      <c r="CZ57" s="609">
        <f>IF(CZ$7&gt;$N57,0,CY57*(1-'Interest Rate'!$B$17))</f>
        <v>0</v>
      </c>
      <c r="DA57" s="609">
        <f>IF(DA$7&gt;$N57,0,CZ57*(1-'Interest Rate'!$B$17))</f>
        <v>0</v>
      </c>
      <c r="DB57" s="609">
        <f>IF(DB$7&gt;$N57,0,DA57*(1-'Interest Rate'!$B$17))</f>
        <v>0</v>
      </c>
      <c r="DC57" s="609">
        <f>IF(DC$7&gt;$N57,0,DB57*(1-'Interest Rate'!$B$17))</f>
        <v>0</v>
      </c>
      <c r="DD57" s="609">
        <f>IF(DD$7&gt;$N57,0,DC57*(1-'Interest Rate'!$B$17))</f>
        <v>0</v>
      </c>
      <c r="DE57" s="609">
        <f>IF(DE$7&gt;$N57,0,DD57*(1-'Interest Rate'!$B$17))</f>
        <v>0</v>
      </c>
      <c r="DF57" s="609">
        <f>IF(DF$7&gt;$N57,0,DE57*(1-'Interest Rate'!$B$17))</f>
        <v>0</v>
      </c>
      <c r="DG57" s="609">
        <f>IF(DG$7&gt;$N57,0,DF57*(1-'Interest Rate'!$B$17))</f>
        <v>0</v>
      </c>
      <c r="DH57" s="609">
        <f>IF(DH$7&gt;$N57,0,DG57*(1-'Interest Rate'!$B$17))</f>
        <v>0</v>
      </c>
      <c r="DI57" s="609">
        <f>IF(DI$7&gt;$N57,0,DH57*(1-'Interest Rate'!$B$17))</f>
        <v>0</v>
      </c>
      <c r="DJ57" s="609">
        <f>IF(DJ$7&gt;$N57,0,DI57*(1-'Interest Rate'!$B$17))</f>
        <v>0</v>
      </c>
      <c r="DK57" s="609">
        <f>IF(DK$7&gt;$N57,0,DJ57*(1-'Interest Rate'!$B$17))</f>
        <v>0</v>
      </c>
      <c r="DL57" s="609">
        <f>IF(DL$7&gt;$N57,0,DK57*(1-'Interest Rate'!$B$17))</f>
        <v>0</v>
      </c>
      <c r="DM57" s="609">
        <f>IF(DM$7&gt;$N57,0,DL57*(1-'Interest Rate'!$B$17))</f>
        <v>0</v>
      </c>
    </row>
    <row r="58" spans="1:117" ht="27.75" customHeight="1" x14ac:dyDescent="0.3">
      <c r="A58" s="624" t="str">
        <f>'EEM Data Entry'!A134</f>
        <v/>
      </c>
      <c r="B58" s="625" t="str">
        <f>IF('EEM Data Entry'!B134="  ","  ", 'EEM Data Entry'!B134)</f>
        <v/>
      </c>
      <c r="C58" s="626" t="str">
        <f>'EEM Data Entry'!F134</f>
        <v/>
      </c>
      <c r="D58" s="626">
        <v>0</v>
      </c>
      <c r="E58" s="626" t="e">
        <f t="shared" si="16"/>
        <v>#VALUE!</v>
      </c>
      <c r="F58" s="626">
        <f>('Savings Summary'!D60*'Savings Summary'!D$5)+('Savings Summary'!F60*'Savings Summary'!F$5)+('Savings Summary'!H60*'Savings Summary'!H$5)+('Savings Summary'!J60*'Savings Summary'!J$5)+('Savings Summary'!L60*'Savings Summary'!L$5)+('Savings Summary'!N60*'Savings Summary'!N$5)+('Savings Summary'!P60*'Savings Summary'!P$5)+('Savings Summary'!R60*'Savings Summary'!R$5)</f>
        <v>0</v>
      </c>
      <c r="G58" s="627">
        <f>'Savings Summary'!T59</f>
        <v>0</v>
      </c>
      <c r="H58" s="628" t="e">
        <f t="shared" si="17"/>
        <v>#VALUE!</v>
      </c>
      <c r="I58" s="624" t="e">
        <f t="shared" si="18"/>
        <v>#VALUE!</v>
      </c>
      <c r="J58" s="629" t="e">
        <f t="shared" si="14"/>
        <v>#NUM!</v>
      </c>
      <c r="K58" s="630" t="e">
        <f>PV('Interest Rate'!$B$17,Table8[[#This Row],[LIFETIME]],-Table8[[#This Row],[ANNUAL ENERGY COST SAVINGS]],Table8[[#This Row],[END-OF-LIFE]],0)-Table8[[#This Row],[CAPITAL INVESTMENT]]</f>
        <v>#VALUE!</v>
      </c>
      <c r="L58" s="624" t="str">
        <f>'EEM Data Entry'!C134</f>
        <v/>
      </c>
      <c r="M58" s="631" t="e">
        <f>Table6[[#This Row],[ANNUAL ENERGY COST SAVINGS]]/Table6[[#This Row],[CAPITAL INVESTMENT]]</f>
        <v>#VALUE!</v>
      </c>
      <c r="N58" s="804" t="str">
        <f>Table8[[#This Row],[LIFETIME]]</f>
        <v/>
      </c>
      <c r="O58" s="803"/>
      <c r="P58" s="803"/>
      <c r="Q58" s="608" t="str">
        <f t="shared" si="15"/>
        <v/>
      </c>
      <c r="R58" s="609">
        <f t="shared" si="19"/>
        <v>0</v>
      </c>
      <c r="S58" s="609">
        <f>IF(S$7&gt;$N58,0,R58*(1-'Interest Rate'!$B$17))</f>
        <v>0</v>
      </c>
      <c r="T58" s="609">
        <f>IF(T$7&gt;$N58,0,S58*(1-'Interest Rate'!$B$17))</f>
        <v>0</v>
      </c>
      <c r="U58" s="609">
        <f>IF(U$7&gt;$N58,0,T58*(1-'Interest Rate'!$B$17))</f>
        <v>0</v>
      </c>
      <c r="V58" s="609">
        <f>IF(V$7&gt;$N58,0,U58*(1-'Interest Rate'!$B$17))</f>
        <v>0</v>
      </c>
      <c r="W58" s="609">
        <f>IF(W$7&gt;$N58,0,V58*(1-'Interest Rate'!$B$17))</f>
        <v>0</v>
      </c>
      <c r="X58" s="609">
        <f>IF(X$7&gt;$N58,0,W58*(1-'Interest Rate'!$B$17))</f>
        <v>0</v>
      </c>
      <c r="Y58" s="609">
        <f>IF(Y$7&gt;$N58,0,X58*(1-'Interest Rate'!$B$17))</f>
        <v>0</v>
      </c>
      <c r="Z58" s="609">
        <f>IF(Z$7&gt;$N58,0,Y58*(1-'Interest Rate'!$B$17))</f>
        <v>0</v>
      </c>
      <c r="AA58" s="609">
        <f>IF(AA$7&gt;$N58,0,Z58*(1-'Interest Rate'!$B$17))</f>
        <v>0</v>
      </c>
      <c r="AB58" s="609">
        <f>IF(AB$7&gt;$N58,0,AA58*(1-'Interest Rate'!$B$17))</f>
        <v>0</v>
      </c>
      <c r="AC58" s="609">
        <f>IF(AC$7&gt;$N58,0,AB58*(1-'Interest Rate'!$B$17))</f>
        <v>0</v>
      </c>
      <c r="AD58" s="609">
        <f>IF(AD$7&gt;$N58,0,AC58*(1-'Interest Rate'!$B$17))</f>
        <v>0</v>
      </c>
      <c r="AE58" s="609">
        <f>IF(AE$7&gt;$N58,0,AD58*(1-'Interest Rate'!$B$17))</f>
        <v>0</v>
      </c>
      <c r="AF58" s="609">
        <f>IF(AF$7&gt;$N58,0,AE58*(1-'Interest Rate'!$B$17))</f>
        <v>0</v>
      </c>
      <c r="AG58" s="609">
        <f>IF(AG$7&gt;$N58,0,AF58*(1-'Interest Rate'!$B$17))</f>
        <v>0</v>
      </c>
      <c r="AH58" s="609">
        <f>IF(AH$7&gt;$N58,0,AG58*(1-'Interest Rate'!$B$17))</f>
        <v>0</v>
      </c>
      <c r="AI58" s="609">
        <f>IF(AI$7&gt;$N58,0,AH58*(1-'Interest Rate'!$B$17))</f>
        <v>0</v>
      </c>
      <c r="AJ58" s="609">
        <f>IF(AJ$7&gt;$N58,0,AI58*(1-'Interest Rate'!$B$17))</f>
        <v>0</v>
      </c>
      <c r="AK58" s="609">
        <f>IF(AK$7&gt;$N58,0,AJ58*(1-'Interest Rate'!$B$17))</f>
        <v>0</v>
      </c>
      <c r="AL58" s="609">
        <f>IF(AL$7&gt;$N58,0,AK58*(1-'Interest Rate'!$B$17))</f>
        <v>0</v>
      </c>
      <c r="AM58" s="609">
        <f>IF(AM$7&gt;$N58,0,AL58*(1-'Interest Rate'!$B$17))</f>
        <v>0</v>
      </c>
      <c r="AN58" s="609">
        <f>IF(AN$7&gt;$N58,0,AM58*(1-'Interest Rate'!$B$17))</f>
        <v>0</v>
      </c>
      <c r="AO58" s="609">
        <f>IF(AO$7&gt;$N58,0,AN58*(1-'Interest Rate'!$B$17))</f>
        <v>0</v>
      </c>
      <c r="AP58" s="609">
        <f>IF(AP$7&gt;$N58,0,AO58*(1-'Interest Rate'!$B$17))</f>
        <v>0</v>
      </c>
      <c r="AQ58" s="609">
        <f>IF(AQ$7&gt;$N58,0,AP58*(1-'Interest Rate'!$B$17))</f>
        <v>0</v>
      </c>
      <c r="AR58" s="609">
        <f>IF(AR$7&gt;$N58,0,AQ58*(1-'Interest Rate'!$B$17))</f>
        <v>0</v>
      </c>
      <c r="AS58" s="609">
        <f>IF(AS$7&gt;$N58,0,AR58*(1-'Interest Rate'!$B$17))</f>
        <v>0</v>
      </c>
      <c r="AT58" s="609">
        <f>IF(AT$7&gt;$N58,0,AS58*(1-'Interest Rate'!$B$17))</f>
        <v>0</v>
      </c>
      <c r="AU58" s="609">
        <f>IF(AU$7&gt;$N58,0,AT58*(1-'Interest Rate'!$B$17))</f>
        <v>0</v>
      </c>
      <c r="AV58" s="609">
        <f>IF(AV$7&gt;$N58,0,AU58*(1-'Interest Rate'!$B$17))</f>
        <v>0</v>
      </c>
      <c r="AW58" s="609">
        <f>IF(AW$7&gt;$N58,0,AV58*(1-'Interest Rate'!$B$17))</f>
        <v>0</v>
      </c>
      <c r="AX58" s="609">
        <f>IF(AX$7&gt;$N58,0,AW58*(1-'Interest Rate'!$B$17))</f>
        <v>0</v>
      </c>
      <c r="AY58" s="609">
        <f>IF(AY$7&gt;$N58,0,AX58*(1-'Interest Rate'!$B$17))</f>
        <v>0</v>
      </c>
      <c r="AZ58" s="609">
        <f>IF(AZ$7&gt;$N58,0,AY58*(1-'Interest Rate'!$B$17))</f>
        <v>0</v>
      </c>
      <c r="BA58" s="609">
        <f>IF(BA$7&gt;$N58,0,AZ58*(1-'Interest Rate'!$B$17))</f>
        <v>0</v>
      </c>
      <c r="BB58" s="609">
        <f>IF(BB$7&gt;$N58,0,BA58*(1-'Interest Rate'!$B$17))</f>
        <v>0</v>
      </c>
      <c r="BC58" s="609">
        <f>IF(BC$7&gt;$N58,0,BB58*(1-'Interest Rate'!$B$17))</f>
        <v>0</v>
      </c>
      <c r="BD58" s="609">
        <f>IF(BD$7&gt;$N58,0,BC58*(1-'Interest Rate'!$B$17))</f>
        <v>0</v>
      </c>
      <c r="BE58" s="609">
        <f>IF(BE$7&gt;$N58,0,BD58*(1-'Interest Rate'!$B$17))</f>
        <v>0</v>
      </c>
      <c r="BF58" s="609">
        <f>IF(BF$7&gt;$N58,0,BE58*(1-'Interest Rate'!$B$17))</f>
        <v>0</v>
      </c>
      <c r="BG58" s="609">
        <f>IF(BG$7&gt;$N58,0,BF58*(1-'Interest Rate'!$B$17))</f>
        <v>0</v>
      </c>
      <c r="BH58" s="609">
        <f>IF(BH$7&gt;$N58,0,BG58*(1-'Interest Rate'!$B$17))</f>
        <v>0</v>
      </c>
      <c r="BI58" s="609">
        <f>IF(BI$7&gt;$N58,0,BH58*(1-'Interest Rate'!$B$17))</f>
        <v>0</v>
      </c>
      <c r="BJ58" s="609">
        <f>IF(BJ$7&gt;$N58,0,BI58*(1-'Interest Rate'!$B$17))</f>
        <v>0</v>
      </c>
      <c r="BK58" s="609">
        <f>IF(BK$7&gt;$N58,0,BJ58*(1-'Interest Rate'!$B$17))</f>
        <v>0</v>
      </c>
      <c r="BL58" s="609">
        <f>IF(BL$7&gt;$N58,0,BK58*(1-'Interest Rate'!$B$17))</f>
        <v>0</v>
      </c>
      <c r="BM58" s="609">
        <f>IF(BM$7&gt;$N58,0,BL58*(1-'Interest Rate'!$B$17))</f>
        <v>0</v>
      </c>
      <c r="BN58" s="609">
        <f>IF(BN$7&gt;$N58,0,BM58*(1-'Interest Rate'!$B$17))</f>
        <v>0</v>
      </c>
      <c r="BO58" s="609">
        <f>IF(BO$7&gt;$N58,0,BN58*(1-'Interest Rate'!$B$17))</f>
        <v>0</v>
      </c>
      <c r="BP58" s="609">
        <f>IF(BP$7&gt;$N58,0,BO58*(1-'Interest Rate'!$B$17))</f>
        <v>0</v>
      </c>
      <c r="BQ58" s="609">
        <f>IF(BQ$7&gt;$N58,0,BP58*(1-'Interest Rate'!$B$17))</f>
        <v>0</v>
      </c>
      <c r="BR58" s="609">
        <f>IF(BR$7&gt;$N58,0,BQ58*(1-'Interest Rate'!$B$17))</f>
        <v>0</v>
      </c>
      <c r="BS58" s="609">
        <f>IF(BS$7&gt;$N58,0,BR58*(1-'Interest Rate'!$B$17))</f>
        <v>0</v>
      </c>
      <c r="BT58" s="609">
        <f>IF(BT$7&gt;$N58,0,BS58*(1-'Interest Rate'!$B$17))</f>
        <v>0</v>
      </c>
      <c r="BU58" s="609">
        <f>IF(BU$7&gt;$N58,0,BT58*(1-'Interest Rate'!$B$17))</f>
        <v>0</v>
      </c>
      <c r="BV58" s="609">
        <f>IF(BV$7&gt;$N58,0,BU58*(1-'Interest Rate'!$B$17))</f>
        <v>0</v>
      </c>
      <c r="BW58" s="609">
        <f>IF(BW$7&gt;$N58,0,BV58*(1-'Interest Rate'!$B$17))</f>
        <v>0</v>
      </c>
      <c r="BX58" s="609">
        <f>IF(BX$7&gt;$N58,0,BW58*(1-'Interest Rate'!$B$17))</f>
        <v>0</v>
      </c>
      <c r="BY58" s="609">
        <f>IF(BY$7&gt;$N58,0,BX58*(1-'Interest Rate'!$B$17))</f>
        <v>0</v>
      </c>
      <c r="BZ58" s="609">
        <f>IF(BZ$7&gt;$N58,0,BY58*(1-'Interest Rate'!$B$17))</f>
        <v>0</v>
      </c>
      <c r="CA58" s="609">
        <f>IF(CA$7&gt;$N58,0,BZ58*(1-'Interest Rate'!$B$17))</f>
        <v>0</v>
      </c>
      <c r="CB58" s="609">
        <f>IF(CB$7&gt;$N58,0,CA58*(1-'Interest Rate'!$B$17))</f>
        <v>0</v>
      </c>
      <c r="CC58" s="609">
        <f>IF(CC$7&gt;$N58,0,CB58*(1-'Interest Rate'!$B$17))</f>
        <v>0</v>
      </c>
      <c r="CD58" s="609">
        <f>IF(CD$7&gt;$N58,0,CC58*(1-'Interest Rate'!$B$17))</f>
        <v>0</v>
      </c>
      <c r="CE58" s="609">
        <f>IF(CE$7&gt;$N58,0,CD58*(1-'Interest Rate'!$B$17))</f>
        <v>0</v>
      </c>
      <c r="CF58" s="609">
        <f>IF(CF$7&gt;$N58,0,CE58*(1-'Interest Rate'!$B$17))</f>
        <v>0</v>
      </c>
      <c r="CG58" s="609">
        <f>IF(CG$7&gt;$N58,0,CF58*(1-'Interest Rate'!$B$17))</f>
        <v>0</v>
      </c>
      <c r="CH58" s="609">
        <f>IF(CH$7&gt;$N58,0,CG58*(1-'Interest Rate'!$B$17))</f>
        <v>0</v>
      </c>
      <c r="CI58" s="609">
        <f>IF(CI$7&gt;$N58,0,CH58*(1-'Interest Rate'!$B$17))</f>
        <v>0</v>
      </c>
      <c r="CJ58" s="609">
        <f>IF(CJ$7&gt;$N58,0,CI58*(1-'Interest Rate'!$B$17))</f>
        <v>0</v>
      </c>
      <c r="CK58" s="609">
        <f>IF(CK$7&gt;$N58,0,CJ58*(1-'Interest Rate'!$B$17))</f>
        <v>0</v>
      </c>
      <c r="CL58" s="609">
        <f>IF(CL$7&gt;$N58,0,CK58*(1-'Interest Rate'!$B$17))</f>
        <v>0</v>
      </c>
      <c r="CM58" s="609">
        <f>IF(CM$7&gt;$N58,0,CL58*(1-'Interest Rate'!$B$17))</f>
        <v>0</v>
      </c>
      <c r="CN58" s="609">
        <f>IF(CN$7&gt;$N58,0,CM58*(1-'Interest Rate'!$B$17))</f>
        <v>0</v>
      </c>
      <c r="CO58" s="609">
        <f>IF(CO$7&gt;$N58,0,CN58*(1-'Interest Rate'!$B$17))</f>
        <v>0</v>
      </c>
      <c r="CP58" s="609">
        <f>IF(CP$7&gt;$N58,0,CO58*(1-'Interest Rate'!$B$17))</f>
        <v>0</v>
      </c>
      <c r="CQ58" s="609">
        <f>IF(CQ$7&gt;$N58,0,CP58*(1-'Interest Rate'!$B$17))</f>
        <v>0</v>
      </c>
      <c r="CR58" s="609">
        <f>IF(CR$7&gt;$N58,0,CQ58*(1-'Interest Rate'!$B$17))</f>
        <v>0</v>
      </c>
      <c r="CS58" s="609">
        <f>IF(CS$7&gt;$N58,0,CR58*(1-'Interest Rate'!$B$17))</f>
        <v>0</v>
      </c>
      <c r="CT58" s="609">
        <f>IF(CT$7&gt;$N58,0,CS58*(1-'Interest Rate'!$B$17))</f>
        <v>0</v>
      </c>
      <c r="CU58" s="609">
        <f>IF(CU$7&gt;$N58,0,CT58*(1-'Interest Rate'!$B$17))</f>
        <v>0</v>
      </c>
      <c r="CV58" s="609">
        <f>IF(CV$7&gt;$N58,0,CU58*(1-'Interest Rate'!$B$17))</f>
        <v>0</v>
      </c>
      <c r="CW58" s="609">
        <f>IF(CW$7&gt;$N58,0,CV58*(1-'Interest Rate'!$B$17))</f>
        <v>0</v>
      </c>
      <c r="CX58" s="609">
        <f>IF(CX$7&gt;$N58,0,CW58*(1-'Interest Rate'!$B$17))</f>
        <v>0</v>
      </c>
      <c r="CY58" s="609">
        <f>IF(CY$7&gt;$N58,0,CX58*(1-'Interest Rate'!$B$17))</f>
        <v>0</v>
      </c>
      <c r="CZ58" s="609">
        <f>IF(CZ$7&gt;$N58,0,CY58*(1-'Interest Rate'!$B$17))</f>
        <v>0</v>
      </c>
      <c r="DA58" s="609">
        <f>IF(DA$7&gt;$N58,0,CZ58*(1-'Interest Rate'!$B$17))</f>
        <v>0</v>
      </c>
      <c r="DB58" s="609">
        <f>IF(DB$7&gt;$N58,0,DA58*(1-'Interest Rate'!$B$17))</f>
        <v>0</v>
      </c>
      <c r="DC58" s="609">
        <f>IF(DC$7&gt;$N58,0,DB58*(1-'Interest Rate'!$B$17))</f>
        <v>0</v>
      </c>
      <c r="DD58" s="609">
        <f>IF(DD$7&gt;$N58,0,DC58*(1-'Interest Rate'!$B$17))</f>
        <v>0</v>
      </c>
      <c r="DE58" s="609">
        <f>IF(DE$7&gt;$N58,0,DD58*(1-'Interest Rate'!$B$17))</f>
        <v>0</v>
      </c>
      <c r="DF58" s="609">
        <f>IF(DF$7&gt;$N58,0,DE58*(1-'Interest Rate'!$B$17))</f>
        <v>0</v>
      </c>
      <c r="DG58" s="609">
        <f>IF(DG$7&gt;$N58,0,DF58*(1-'Interest Rate'!$B$17))</f>
        <v>0</v>
      </c>
      <c r="DH58" s="609">
        <f>IF(DH$7&gt;$N58,0,DG58*(1-'Interest Rate'!$B$17))</f>
        <v>0</v>
      </c>
      <c r="DI58" s="609">
        <f>IF(DI$7&gt;$N58,0,DH58*(1-'Interest Rate'!$B$17))</f>
        <v>0</v>
      </c>
      <c r="DJ58" s="609">
        <f>IF(DJ$7&gt;$N58,0,DI58*(1-'Interest Rate'!$B$17))</f>
        <v>0</v>
      </c>
      <c r="DK58" s="609">
        <f>IF(DK$7&gt;$N58,0,DJ58*(1-'Interest Rate'!$B$17))</f>
        <v>0</v>
      </c>
      <c r="DL58" s="609">
        <f>IF(DL$7&gt;$N58,0,DK58*(1-'Interest Rate'!$B$17))</f>
        <v>0</v>
      </c>
      <c r="DM58" s="609">
        <f>IF(DM$7&gt;$N58,0,DL58*(1-'Interest Rate'!$B$17))</f>
        <v>0</v>
      </c>
    </row>
    <row r="59" spans="1:117" ht="27.75" customHeight="1" x14ac:dyDescent="0.3">
      <c r="A59" s="624" t="str">
        <f>'EEM Data Entry'!A135</f>
        <v/>
      </c>
      <c r="B59" s="625" t="str">
        <f>IF('EEM Data Entry'!B135="  ","  ", 'EEM Data Entry'!B135)</f>
        <v/>
      </c>
      <c r="C59" s="626" t="str">
        <f>'EEM Data Entry'!F135</f>
        <v/>
      </c>
      <c r="D59" s="626">
        <v>0</v>
      </c>
      <c r="E59" s="626" t="e">
        <f t="shared" si="16"/>
        <v>#VALUE!</v>
      </c>
      <c r="F59" s="626">
        <f>('Savings Summary'!D61*'Savings Summary'!D$5)+('Savings Summary'!F61*'Savings Summary'!F$5)+('Savings Summary'!H61*'Savings Summary'!H$5)+('Savings Summary'!J61*'Savings Summary'!J$5)+('Savings Summary'!L61*'Savings Summary'!L$5)+('Savings Summary'!N61*'Savings Summary'!N$5)+('Savings Summary'!P61*'Savings Summary'!P$5)+('Savings Summary'!R61*'Savings Summary'!R$5)</f>
        <v>0</v>
      </c>
      <c r="G59" s="627">
        <f>'Savings Summary'!T60</f>
        <v>0</v>
      </c>
      <c r="H59" s="628" t="e">
        <f t="shared" si="17"/>
        <v>#VALUE!</v>
      </c>
      <c r="I59" s="624" t="e">
        <f t="shared" si="18"/>
        <v>#VALUE!</v>
      </c>
      <c r="J59" s="629" t="e">
        <f t="shared" si="14"/>
        <v>#NUM!</v>
      </c>
      <c r="K59" s="630" t="e">
        <f>PV('Interest Rate'!$B$17,Table8[[#This Row],[LIFETIME]],-Table8[[#This Row],[ANNUAL ENERGY COST SAVINGS]],Table8[[#This Row],[END-OF-LIFE]],0)-Table8[[#This Row],[CAPITAL INVESTMENT]]</f>
        <v>#VALUE!</v>
      </c>
      <c r="L59" s="624" t="str">
        <f>'EEM Data Entry'!C135</f>
        <v/>
      </c>
      <c r="M59" s="631" t="e">
        <f>Table6[[#This Row],[ANNUAL ENERGY COST SAVINGS]]/Table6[[#This Row],[CAPITAL INVESTMENT]]</f>
        <v>#VALUE!</v>
      </c>
      <c r="N59" s="804" t="str">
        <f>Table8[[#This Row],[LIFETIME]]</f>
        <v/>
      </c>
      <c r="O59" s="803"/>
      <c r="P59" s="803"/>
      <c r="Q59" s="608" t="str">
        <f t="shared" si="15"/>
        <v/>
      </c>
      <c r="R59" s="609">
        <f t="shared" si="19"/>
        <v>0</v>
      </c>
      <c r="S59" s="609">
        <f>IF(S$7&gt;$N59,0,R59*(1-'Interest Rate'!$B$17))</f>
        <v>0</v>
      </c>
      <c r="T59" s="609">
        <f>IF(T$7&gt;$N59,0,S59*(1-'Interest Rate'!$B$17))</f>
        <v>0</v>
      </c>
      <c r="U59" s="609">
        <f>IF(U$7&gt;$N59,0,T59*(1-'Interest Rate'!$B$17))</f>
        <v>0</v>
      </c>
      <c r="V59" s="609">
        <f>IF(V$7&gt;$N59,0,U59*(1-'Interest Rate'!$B$17))</f>
        <v>0</v>
      </c>
      <c r="W59" s="609">
        <f>IF(W$7&gt;$N59,0,V59*(1-'Interest Rate'!$B$17))</f>
        <v>0</v>
      </c>
      <c r="X59" s="609">
        <f>IF(X$7&gt;$N59,0,W59*(1-'Interest Rate'!$B$17))</f>
        <v>0</v>
      </c>
      <c r="Y59" s="609">
        <f>IF(Y$7&gt;$N59,0,X59*(1-'Interest Rate'!$B$17))</f>
        <v>0</v>
      </c>
      <c r="Z59" s="609">
        <f>IF(Z$7&gt;$N59,0,Y59*(1-'Interest Rate'!$B$17))</f>
        <v>0</v>
      </c>
      <c r="AA59" s="609">
        <f>IF(AA$7&gt;$N59,0,Z59*(1-'Interest Rate'!$B$17))</f>
        <v>0</v>
      </c>
      <c r="AB59" s="609">
        <f>IF(AB$7&gt;$N59,0,AA59*(1-'Interest Rate'!$B$17))</f>
        <v>0</v>
      </c>
      <c r="AC59" s="609">
        <f>IF(AC$7&gt;$N59,0,AB59*(1-'Interest Rate'!$B$17))</f>
        <v>0</v>
      </c>
      <c r="AD59" s="609">
        <f>IF(AD$7&gt;$N59,0,AC59*(1-'Interest Rate'!$B$17))</f>
        <v>0</v>
      </c>
      <c r="AE59" s="609">
        <f>IF(AE$7&gt;$N59,0,AD59*(1-'Interest Rate'!$B$17))</f>
        <v>0</v>
      </c>
      <c r="AF59" s="609">
        <f>IF(AF$7&gt;$N59,0,AE59*(1-'Interest Rate'!$B$17))</f>
        <v>0</v>
      </c>
      <c r="AG59" s="609">
        <f>IF(AG$7&gt;$N59,0,AF59*(1-'Interest Rate'!$B$17))</f>
        <v>0</v>
      </c>
      <c r="AH59" s="609">
        <f>IF(AH$7&gt;$N59,0,AG59*(1-'Interest Rate'!$B$17))</f>
        <v>0</v>
      </c>
      <c r="AI59" s="609">
        <f>IF(AI$7&gt;$N59,0,AH59*(1-'Interest Rate'!$B$17))</f>
        <v>0</v>
      </c>
      <c r="AJ59" s="609">
        <f>IF(AJ$7&gt;$N59,0,AI59*(1-'Interest Rate'!$B$17))</f>
        <v>0</v>
      </c>
      <c r="AK59" s="609">
        <f>IF(AK$7&gt;$N59,0,AJ59*(1-'Interest Rate'!$B$17))</f>
        <v>0</v>
      </c>
      <c r="AL59" s="609">
        <f>IF(AL$7&gt;$N59,0,AK59*(1-'Interest Rate'!$B$17))</f>
        <v>0</v>
      </c>
      <c r="AM59" s="609">
        <f>IF(AM$7&gt;$N59,0,AL59*(1-'Interest Rate'!$B$17))</f>
        <v>0</v>
      </c>
      <c r="AN59" s="609">
        <f>IF(AN$7&gt;$N59,0,AM59*(1-'Interest Rate'!$B$17))</f>
        <v>0</v>
      </c>
      <c r="AO59" s="609">
        <f>IF(AO$7&gt;$N59,0,AN59*(1-'Interest Rate'!$B$17))</f>
        <v>0</v>
      </c>
      <c r="AP59" s="609">
        <f>IF(AP$7&gt;$N59,0,AO59*(1-'Interest Rate'!$B$17))</f>
        <v>0</v>
      </c>
      <c r="AQ59" s="609">
        <f>IF(AQ$7&gt;$N59,0,AP59*(1-'Interest Rate'!$B$17))</f>
        <v>0</v>
      </c>
      <c r="AR59" s="609">
        <f>IF(AR$7&gt;$N59,0,AQ59*(1-'Interest Rate'!$B$17))</f>
        <v>0</v>
      </c>
      <c r="AS59" s="609">
        <f>IF(AS$7&gt;$N59,0,AR59*(1-'Interest Rate'!$B$17))</f>
        <v>0</v>
      </c>
      <c r="AT59" s="609">
        <f>IF(AT$7&gt;$N59,0,AS59*(1-'Interest Rate'!$B$17))</f>
        <v>0</v>
      </c>
      <c r="AU59" s="609">
        <f>IF(AU$7&gt;$N59,0,AT59*(1-'Interest Rate'!$B$17))</f>
        <v>0</v>
      </c>
      <c r="AV59" s="609">
        <f>IF(AV$7&gt;$N59,0,AU59*(1-'Interest Rate'!$B$17))</f>
        <v>0</v>
      </c>
      <c r="AW59" s="609">
        <f>IF(AW$7&gt;$N59,0,AV59*(1-'Interest Rate'!$B$17))</f>
        <v>0</v>
      </c>
      <c r="AX59" s="609">
        <f>IF(AX$7&gt;$N59,0,AW59*(1-'Interest Rate'!$B$17))</f>
        <v>0</v>
      </c>
      <c r="AY59" s="609">
        <f>IF(AY$7&gt;$N59,0,AX59*(1-'Interest Rate'!$B$17))</f>
        <v>0</v>
      </c>
      <c r="AZ59" s="609">
        <f>IF(AZ$7&gt;$N59,0,AY59*(1-'Interest Rate'!$B$17))</f>
        <v>0</v>
      </c>
      <c r="BA59" s="609">
        <f>IF(BA$7&gt;$N59,0,AZ59*(1-'Interest Rate'!$B$17))</f>
        <v>0</v>
      </c>
      <c r="BB59" s="609">
        <f>IF(BB$7&gt;$N59,0,BA59*(1-'Interest Rate'!$B$17))</f>
        <v>0</v>
      </c>
      <c r="BC59" s="609">
        <f>IF(BC$7&gt;$N59,0,BB59*(1-'Interest Rate'!$B$17))</f>
        <v>0</v>
      </c>
      <c r="BD59" s="609">
        <f>IF(BD$7&gt;$N59,0,BC59*(1-'Interest Rate'!$B$17))</f>
        <v>0</v>
      </c>
      <c r="BE59" s="609">
        <f>IF(BE$7&gt;$N59,0,BD59*(1-'Interest Rate'!$B$17))</f>
        <v>0</v>
      </c>
      <c r="BF59" s="609">
        <f>IF(BF$7&gt;$N59,0,BE59*(1-'Interest Rate'!$B$17))</f>
        <v>0</v>
      </c>
      <c r="BG59" s="609">
        <f>IF(BG$7&gt;$N59,0,BF59*(1-'Interest Rate'!$B$17))</f>
        <v>0</v>
      </c>
      <c r="BH59" s="609">
        <f>IF(BH$7&gt;$N59,0,BG59*(1-'Interest Rate'!$B$17))</f>
        <v>0</v>
      </c>
      <c r="BI59" s="609">
        <f>IF(BI$7&gt;$N59,0,BH59*(1-'Interest Rate'!$B$17))</f>
        <v>0</v>
      </c>
      <c r="BJ59" s="609">
        <f>IF(BJ$7&gt;$N59,0,BI59*(1-'Interest Rate'!$B$17))</f>
        <v>0</v>
      </c>
      <c r="BK59" s="609">
        <f>IF(BK$7&gt;$N59,0,BJ59*(1-'Interest Rate'!$B$17))</f>
        <v>0</v>
      </c>
      <c r="BL59" s="609">
        <f>IF(BL$7&gt;$N59,0,BK59*(1-'Interest Rate'!$B$17))</f>
        <v>0</v>
      </c>
      <c r="BM59" s="609">
        <f>IF(BM$7&gt;$N59,0,BL59*(1-'Interest Rate'!$B$17))</f>
        <v>0</v>
      </c>
      <c r="BN59" s="609">
        <f>IF(BN$7&gt;$N59,0,BM59*(1-'Interest Rate'!$B$17))</f>
        <v>0</v>
      </c>
      <c r="BO59" s="609">
        <f>IF(BO$7&gt;$N59,0,BN59*(1-'Interest Rate'!$B$17))</f>
        <v>0</v>
      </c>
      <c r="BP59" s="609">
        <f>IF(BP$7&gt;$N59,0,BO59*(1-'Interest Rate'!$B$17))</f>
        <v>0</v>
      </c>
      <c r="BQ59" s="609">
        <f>IF(BQ$7&gt;$N59,0,BP59*(1-'Interest Rate'!$B$17))</f>
        <v>0</v>
      </c>
      <c r="BR59" s="609">
        <f>IF(BR$7&gt;$N59,0,BQ59*(1-'Interest Rate'!$B$17))</f>
        <v>0</v>
      </c>
      <c r="BS59" s="609">
        <f>IF(BS$7&gt;$N59,0,BR59*(1-'Interest Rate'!$B$17))</f>
        <v>0</v>
      </c>
      <c r="BT59" s="609">
        <f>IF(BT$7&gt;$N59,0,BS59*(1-'Interest Rate'!$B$17))</f>
        <v>0</v>
      </c>
      <c r="BU59" s="609">
        <f>IF(BU$7&gt;$N59,0,BT59*(1-'Interest Rate'!$B$17))</f>
        <v>0</v>
      </c>
      <c r="BV59" s="609">
        <f>IF(BV$7&gt;$N59,0,BU59*(1-'Interest Rate'!$B$17))</f>
        <v>0</v>
      </c>
      <c r="BW59" s="609">
        <f>IF(BW$7&gt;$N59,0,BV59*(1-'Interest Rate'!$B$17))</f>
        <v>0</v>
      </c>
      <c r="BX59" s="609">
        <f>IF(BX$7&gt;$N59,0,BW59*(1-'Interest Rate'!$B$17))</f>
        <v>0</v>
      </c>
      <c r="BY59" s="609">
        <f>IF(BY$7&gt;$N59,0,BX59*(1-'Interest Rate'!$B$17))</f>
        <v>0</v>
      </c>
      <c r="BZ59" s="609">
        <f>IF(BZ$7&gt;$N59,0,BY59*(1-'Interest Rate'!$B$17))</f>
        <v>0</v>
      </c>
      <c r="CA59" s="609">
        <f>IF(CA$7&gt;$N59,0,BZ59*(1-'Interest Rate'!$B$17))</f>
        <v>0</v>
      </c>
      <c r="CB59" s="609">
        <f>IF(CB$7&gt;$N59,0,CA59*(1-'Interest Rate'!$B$17))</f>
        <v>0</v>
      </c>
      <c r="CC59" s="609">
        <f>IF(CC$7&gt;$N59,0,CB59*(1-'Interest Rate'!$B$17))</f>
        <v>0</v>
      </c>
      <c r="CD59" s="609">
        <f>IF(CD$7&gt;$N59,0,CC59*(1-'Interest Rate'!$B$17))</f>
        <v>0</v>
      </c>
      <c r="CE59" s="609">
        <f>IF(CE$7&gt;$N59,0,CD59*(1-'Interest Rate'!$B$17))</f>
        <v>0</v>
      </c>
      <c r="CF59" s="609">
        <f>IF(CF$7&gt;$N59,0,CE59*(1-'Interest Rate'!$B$17))</f>
        <v>0</v>
      </c>
      <c r="CG59" s="609">
        <f>IF(CG$7&gt;$N59,0,CF59*(1-'Interest Rate'!$B$17))</f>
        <v>0</v>
      </c>
      <c r="CH59" s="609">
        <f>IF(CH$7&gt;$N59,0,CG59*(1-'Interest Rate'!$B$17))</f>
        <v>0</v>
      </c>
      <c r="CI59" s="609">
        <f>IF(CI$7&gt;$N59,0,CH59*(1-'Interest Rate'!$B$17))</f>
        <v>0</v>
      </c>
      <c r="CJ59" s="609">
        <f>IF(CJ$7&gt;$N59,0,CI59*(1-'Interest Rate'!$B$17))</f>
        <v>0</v>
      </c>
      <c r="CK59" s="609">
        <f>IF(CK$7&gt;$N59,0,CJ59*(1-'Interest Rate'!$B$17))</f>
        <v>0</v>
      </c>
      <c r="CL59" s="609">
        <f>IF(CL$7&gt;$N59,0,CK59*(1-'Interest Rate'!$B$17))</f>
        <v>0</v>
      </c>
      <c r="CM59" s="609">
        <f>IF(CM$7&gt;$N59,0,CL59*(1-'Interest Rate'!$B$17))</f>
        <v>0</v>
      </c>
      <c r="CN59" s="609">
        <f>IF(CN$7&gt;$N59,0,CM59*(1-'Interest Rate'!$B$17))</f>
        <v>0</v>
      </c>
      <c r="CO59" s="609">
        <f>IF(CO$7&gt;$N59,0,CN59*(1-'Interest Rate'!$B$17))</f>
        <v>0</v>
      </c>
      <c r="CP59" s="609">
        <f>IF(CP$7&gt;$N59,0,CO59*(1-'Interest Rate'!$B$17))</f>
        <v>0</v>
      </c>
      <c r="CQ59" s="609">
        <f>IF(CQ$7&gt;$N59,0,CP59*(1-'Interest Rate'!$B$17))</f>
        <v>0</v>
      </c>
      <c r="CR59" s="609">
        <f>IF(CR$7&gt;$N59,0,CQ59*(1-'Interest Rate'!$B$17))</f>
        <v>0</v>
      </c>
      <c r="CS59" s="609">
        <f>IF(CS$7&gt;$N59,0,CR59*(1-'Interest Rate'!$B$17))</f>
        <v>0</v>
      </c>
      <c r="CT59" s="609">
        <f>IF(CT$7&gt;$N59,0,CS59*(1-'Interest Rate'!$B$17))</f>
        <v>0</v>
      </c>
      <c r="CU59" s="609">
        <f>IF(CU$7&gt;$N59,0,CT59*(1-'Interest Rate'!$B$17))</f>
        <v>0</v>
      </c>
      <c r="CV59" s="609">
        <f>IF(CV$7&gt;$N59,0,CU59*(1-'Interest Rate'!$B$17))</f>
        <v>0</v>
      </c>
      <c r="CW59" s="609">
        <f>IF(CW$7&gt;$N59,0,CV59*(1-'Interest Rate'!$B$17))</f>
        <v>0</v>
      </c>
      <c r="CX59" s="609">
        <f>IF(CX$7&gt;$N59,0,CW59*(1-'Interest Rate'!$B$17))</f>
        <v>0</v>
      </c>
      <c r="CY59" s="609">
        <f>IF(CY$7&gt;$N59,0,CX59*(1-'Interest Rate'!$B$17))</f>
        <v>0</v>
      </c>
      <c r="CZ59" s="609">
        <f>IF(CZ$7&gt;$N59,0,CY59*(1-'Interest Rate'!$B$17))</f>
        <v>0</v>
      </c>
      <c r="DA59" s="609">
        <f>IF(DA$7&gt;$N59,0,CZ59*(1-'Interest Rate'!$B$17))</f>
        <v>0</v>
      </c>
      <c r="DB59" s="609">
        <f>IF(DB$7&gt;$N59,0,DA59*(1-'Interest Rate'!$B$17))</f>
        <v>0</v>
      </c>
      <c r="DC59" s="609">
        <f>IF(DC$7&gt;$N59,0,DB59*(1-'Interest Rate'!$B$17))</f>
        <v>0</v>
      </c>
      <c r="DD59" s="609">
        <f>IF(DD$7&gt;$N59,0,DC59*(1-'Interest Rate'!$B$17))</f>
        <v>0</v>
      </c>
      <c r="DE59" s="609">
        <f>IF(DE$7&gt;$N59,0,DD59*(1-'Interest Rate'!$B$17))</f>
        <v>0</v>
      </c>
      <c r="DF59" s="609">
        <f>IF(DF$7&gt;$N59,0,DE59*(1-'Interest Rate'!$B$17))</f>
        <v>0</v>
      </c>
      <c r="DG59" s="609">
        <f>IF(DG$7&gt;$N59,0,DF59*(1-'Interest Rate'!$B$17))</f>
        <v>0</v>
      </c>
      <c r="DH59" s="609">
        <f>IF(DH$7&gt;$N59,0,DG59*(1-'Interest Rate'!$B$17))</f>
        <v>0</v>
      </c>
      <c r="DI59" s="609">
        <f>IF(DI$7&gt;$N59,0,DH59*(1-'Interest Rate'!$B$17))</f>
        <v>0</v>
      </c>
      <c r="DJ59" s="609">
        <f>IF(DJ$7&gt;$N59,0,DI59*(1-'Interest Rate'!$B$17))</f>
        <v>0</v>
      </c>
      <c r="DK59" s="609">
        <f>IF(DK$7&gt;$N59,0,DJ59*(1-'Interest Rate'!$B$17))</f>
        <v>0</v>
      </c>
      <c r="DL59" s="609">
        <f>IF(DL$7&gt;$N59,0,DK59*(1-'Interest Rate'!$B$17))</f>
        <v>0</v>
      </c>
      <c r="DM59" s="609">
        <f>IF(DM$7&gt;$N59,0,DL59*(1-'Interest Rate'!$B$17))</f>
        <v>0</v>
      </c>
    </row>
    <row r="60" spans="1:117" ht="27.75" customHeight="1" x14ac:dyDescent="0.3">
      <c r="A60" s="624" t="str">
        <f>'EEM Data Entry'!A136</f>
        <v/>
      </c>
      <c r="B60" s="625" t="str">
        <f>IF('EEM Data Entry'!B136="  ","  ", 'EEM Data Entry'!B136)</f>
        <v/>
      </c>
      <c r="C60" s="626" t="str">
        <f>'EEM Data Entry'!F136</f>
        <v/>
      </c>
      <c r="D60" s="626">
        <v>0</v>
      </c>
      <c r="E60" s="626" t="e">
        <f t="shared" si="16"/>
        <v>#VALUE!</v>
      </c>
      <c r="F60" s="626">
        <f>('Savings Summary'!D62*'Savings Summary'!D$5)+('Savings Summary'!F62*'Savings Summary'!F$5)+('Savings Summary'!H62*'Savings Summary'!H$5)+('Savings Summary'!J62*'Savings Summary'!J$5)+('Savings Summary'!L62*'Savings Summary'!L$5)+('Savings Summary'!N62*'Savings Summary'!N$5)+('Savings Summary'!P62*'Savings Summary'!P$5)+('Savings Summary'!R62*'Savings Summary'!R$5)</f>
        <v>0</v>
      </c>
      <c r="G60" s="627">
        <f>'Savings Summary'!T61</f>
        <v>0</v>
      </c>
      <c r="H60" s="628" t="e">
        <f t="shared" si="17"/>
        <v>#VALUE!</v>
      </c>
      <c r="I60" s="624" t="e">
        <f t="shared" si="18"/>
        <v>#VALUE!</v>
      </c>
      <c r="J60" s="629" t="e">
        <f t="shared" si="14"/>
        <v>#NUM!</v>
      </c>
      <c r="K60" s="630" t="e">
        <f>PV('Interest Rate'!$B$17,Table8[[#This Row],[LIFETIME]],-Table8[[#This Row],[ANNUAL ENERGY COST SAVINGS]],Table8[[#This Row],[END-OF-LIFE]],0)-Table8[[#This Row],[CAPITAL INVESTMENT]]</f>
        <v>#VALUE!</v>
      </c>
      <c r="L60" s="624" t="str">
        <f>'EEM Data Entry'!C136</f>
        <v/>
      </c>
      <c r="M60" s="631" t="e">
        <f>Table6[[#This Row],[ANNUAL ENERGY COST SAVINGS]]/Table6[[#This Row],[CAPITAL INVESTMENT]]</f>
        <v>#VALUE!</v>
      </c>
      <c r="N60" s="804" t="str">
        <f>Table8[[#This Row],[LIFETIME]]</f>
        <v/>
      </c>
      <c r="O60" s="803"/>
      <c r="P60" s="803"/>
      <c r="Q60" s="608" t="str">
        <f t="shared" si="15"/>
        <v/>
      </c>
      <c r="R60" s="609">
        <f t="shared" si="19"/>
        <v>0</v>
      </c>
      <c r="S60" s="609">
        <f>IF(S$7&gt;$N60,0,R60*(1-'Interest Rate'!$B$17))</f>
        <v>0</v>
      </c>
      <c r="T60" s="609">
        <f>IF(T$7&gt;$N60,0,S60*(1-'Interest Rate'!$B$17))</f>
        <v>0</v>
      </c>
      <c r="U60" s="609">
        <f>IF(U$7&gt;$N60,0,T60*(1-'Interest Rate'!$B$17))</f>
        <v>0</v>
      </c>
      <c r="V60" s="609">
        <f>IF(V$7&gt;$N60,0,U60*(1-'Interest Rate'!$B$17))</f>
        <v>0</v>
      </c>
      <c r="W60" s="609">
        <f>IF(W$7&gt;$N60,0,V60*(1-'Interest Rate'!$B$17))</f>
        <v>0</v>
      </c>
      <c r="X60" s="609">
        <f>IF(X$7&gt;$N60,0,W60*(1-'Interest Rate'!$B$17))</f>
        <v>0</v>
      </c>
      <c r="Y60" s="609">
        <f>IF(Y$7&gt;$N60,0,X60*(1-'Interest Rate'!$B$17))</f>
        <v>0</v>
      </c>
      <c r="Z60" s="609">
        <f>IF(Z$7&gt;$N60,0,Y60*(1-'Interest Rate'!$B$17))</f>
        <v>0</v>
      </c>
      <c r="AA60" s="609">
        <f>IF(AA$7&gt;$N60,0,Z60*(1-'Interest Rate'!$B$17))</f>
        <v>0</v>
      </c>
      <c r="AB60" s="609">
        <f>IF(AB$7&gt;$N60,0,AA60*(1-'Interest Rate'!$B$17))</f>
        <v>0</v>
      </c>
      <c r="AC60" s="609">
        <f>IF(AC$7&gt;$N60,0,AB60*(1-'Interest Rate'!$B$17))</f>
        <v>0</v>
      </c>
      <c r="AD60" s="609">
        <f>IF(AD$7&gt;$N60,0,AC60*(1-'Interest Rate'!$B$17))</f>
        <v>0</v>
      </c>
      <c r="AE60" s="609">
        <f>IF(AE$7&gt;$N60,0,AD60*(1-'Interest Rate'!$B$17))</f>
        <v>0</v>
      </c>
      <c r="AF60" s="609">
        <f>IF(AF$7&gt;$N60,0,AE60*(1-'Interest Rate'!$B$17))</f>
        <v>0</v>
      </c>
      <c r="AG60" s="609">
        <f>IF(AG$7&gt;$N60,0,AF60*(1-'Interest Rate'!$B$17))</f>
        <v>0</v>
      </c>
      <c r="AH60" s="609">
        <f>IF(AH$7&gt;$N60,0,AG60*(1-'Interest Rate'!$B$17))</f>
        <v>0</v>
      </c>
      <c r="AI60" s="609">
        <f>IF(AI$7&gt;$N60,0,AH60*(1-'Interest Rate'!$B$17))</f>
        <v>0</v>
      </c>
      <c r="AJ60" s="609">
        <f>IF(AJ$7&gt;$N60,0,AI60*(1-'Interest Rate'!$B$17))</f>
        <v>0</v>
      </c>
      <c r="AK60" s="609">
        <f>IF(AK$7&gt;$N60,0,AJ60*(1-'Interest Rate'!$B$17))</f>
        <v>0</v>
      </c>
      <c r="AL60" s="609">
        <f>IF(AL$7&gt;$N60,0,AK60*(1-'Interest Rate'!$B$17))</f>
        <v>0</v>
      </c>
      <c r="AM60" s="609">
        <f>IF(AM$7&gt;$N60,0,AL60*(1-'Interest Rate'!$B$17))</f>
        <v>0</v>
      </c>
      <c r="AN60" s="609">
        <f>IF(AN$7&gt;$N60,0,AM60*(1-'Interest Rate'!$B$17))</f>
        <v>0</v>
      </c>
      <c r="AO60" s="609">
        <f>IF(AO$7&gt;$N60,0,AN60*(1-'Interest Rate'!$B$17))</f>
        <v>0</v>
      </c>
      <c r="AP60" s="609">
        <f>IF(AP$7&gt;$N60,0,AO60*(1-'Interest Rate'!$B$17))</f>
        <v>0</v>
      </c>
      <c r="AQ60" s="609">
        <f>IF(AQ$7&gt;$N60,0,AP60*(1-'Interest Rate'!$B$17))</f>
        <v>0</v>
      </c>
      <c r="AR60" s="609">
        <f>IF(AR$7&gt;$N60,0,AQ60*(1-'Interest Rate'!$B$17))</f>
        <v>0</v>
      </c>
      <c r="AS60" s="609">
        <f>IF(AS$7&gt;$N60,0,AR60*(1-'Interest Rate'!$B$17))</f>
        <v>0</v>
      </c>
      <c r="AT60" s="609">
        <f>IF(AT$7&gt;$N60,0,AS60*(1-'Interest Rate'!$B$17))</f>
        <v>0</v>
      </c>
      <c r="AU60" s="609">
        <f>IF(AU$7&gt;$N60,0,AT60*(1-'Interest Rate'!$B$17))</f>
        <v>0</v>
      </c>
      <c r="AV60" s="609">
        <f>IF(AV$7&gt;$N60,0,AU60*(1-'Interest Rate'!$B$17))</f>
        <v>0</v>
      </c>
      <c r="AW60" s="609">
        <f>IF(AW$7&gt;$N60,0,AV60*(1-'Interest Rate'!$B$17))</f>
        <v>0</v>
      </c>
      <c r="AX60" s="609">
        <f>IF(AX$7&gt;$N60,0,AW60*(1-'Interest Rate'!$B$17))</f>
        <v>0</v>
      </c>
      <c r="AY60" s="609">
        <f>IF(AY$7&gt;$N60,0,AX60*(1-'Interest Rate'!$B$17))</f>
        <v>0</v>
      </c>
      <c r="AZ60" s="609">
        <f>IF(AZ$7&gt;$N60,0,AY60*(1-'Interest Rate'!$B$17))</f>
        <v>0</v>
      </c>
      <c r="BA60" s="609">
        <f>IF(BA$7&gt;$N60,0,AZ60*(1-'Interest Rate'!$B$17))</f>
        <v>0</v>
      </c>
      <c r="BB60" s="609">
        <f>IF(BB$7&gt;$N60,0,BA60*(1-'Interest Rate'!$B$17))</f>
        <v>0</v>
      </c>
      <c r="BC60" s="609">
        <f>IF(BC$7&gt;$N60,0,BB60*(1-'Interest Rate'!$B$17))</f>
        <v>0</v>
      </c>
      <c r="BD60" s="609">
        <f>IF(BD$7&gt;$N60,0,BC60*(1-'Interest Rate'!$B$17))</f>
        <v>0</v>
      </c>
      <c r="BE60" s="609">
        <f>IF(BE$7&gt;$N60,0,BD60*(1-'Interest Rate'!$B$17))</f>
        <v>0</v>
      </c>
      <c r="BF60" s="609">
        <f>IF(BF$7&gt;$N60,0,BE60*(1-'Interest Rate'!$B$17))</f>
        <v>0</v>
      </c>
      <c r="BG60" s="609">
        <f>IF(BG$7&gt;$N60,0,BF60*(1-'Interest Rate'!$B$17))</f>
        <v>0</v>
      </c>
      <c r="BH60" s="609">
        <f>IF(BH$7&gt;$N60,0,BG60*(1-'Interest Rate'!$B$17))</f>
        <v>0</v>
      </c>
      <c r="BI60" s="609">
        <f>IF(BI$7&gt;$N60,0,BH60*(1-'Interest Rate'!$B$17))</f>
        <v>0</v>
      </c>
      <c r="BJ60" s="609">
        <f>IF(BJ$7&gt;$N60,0,BI60*(1-'Interest Rate'!$B$17))</f>
        <v>0</v>
      </c>
      <c r="BK60" s="609">
        <f>IF(BK$7&gt;$N60,0,BJ60*(1-'Interest Rate'!$B$17))</f>
        <v>0</v>
      </c>
      <c r="BL60" s="609">
        <f>IF(BL$7&gt;$N60,0,BK60*(1-'Interest Rate'!$B$17))</f>
        <v>0</v>
      </c>
      <c r="BM60" s="609">
        <f>IF(BM$7&gt;$N60,0,BL60*(1-'Interest Rate'!$B$17))</f>
        <v>0</v>
      </c>
      <c r="BN60" s="609">
        <f>IF(BN$7&gt;$N60,0,BM60*(1-'Interest Rate'!$B$17))</f>
        <v>0</v>
      </c>
      <c r="BO60" s="609">
        <f>IF(BO$7&gt;$N60,0,BN60*(1-'Interest Rate'!$B$17))</f>
        <v>0</v>
      </c>
      <c r="BP60" s="609">
        <f>IF(BP$7&gt;$N60,0,BO60*(1-'Interest Rate'!$B$17))</f>
        <v>0</v>
      </c>
      <c r="BQ60" s="609">
        <f>IF(BQ$7&gt;$N60,0,BP60*(1-'Interest Rate'!$B$17))</f>
        <v>0</v>
      </c>
      <c r="BR60" s="609">
        <f>IF(BR$7&gt;$N60,0,BQ60*(1-'Interest Rate'!$B$17))</f>
        <v>0</v>
      </c>
      <c r="BS60" s="609">
        <f>IF(BS$7&gt;$N60,0,BR60*(1-'Interest Rate'!$B$17))</f>
        <v>0</v>
      </c>
      <c r="BT60" s="609">
        <f>IF(BT$7&gt;$N60,0,BS60*(1-'Interest Rate'!$B$17))</f>
        <v>0</v>
      </c>
      <c r="BU60" s="609">
        <f>IF(BU$7&gt;$N60,0,BT60*(1-'Interest Rate'!$B$17))</f>
        <v>0</v>
      </c>
      <c r="BV60" s="609">
        <f>IF(BV$7&gt;$N60,0,BU60*(1-'Interest Rate'!$B$17))</f>
        <v>0</v>
      </c>
      <c r="BW60" s="609">
        <f>IF(BW$7&gt;$N60,0,BV60*(1-'Interest Rate'!$B$17))</f>
        <v>0</v>
      </c>
      <c r="BX60" s="609">
        <f>IF(BX$7&gt;$N60,0,BW60*(1-'Interest Rate'!$B$17))</f>
        <v>0</v>
      </c>
      <c r="BY60" s="609">
        <f>IF(BY$7&gt;$N60,0,BX60*(1-'Interest Rate'!$B$17))</f>
        <v>0</v>
      </c>
      <c r="BZ60" s="609">
        <f>IF(BZ$7&gt;$N60,0,BY60*(1-'Interest Rate'!$B$17))</f>
        <v>0</v>
      </c>
      <c r="CA60" s="609">
        <f>IF(CA$7&gt;$N60,0,BZ60*(1-'Interest Rate'!$B$17))</f>
        <v>0</v>
      </c>
      <c r="CB60" s="609">
        <f>IF(CB$7&gt;$N60,0,CA60*(1-'Interest Rate'!$B$17))</f>
        <v>0</v>
      </c>
      <c r="CC60" s="609">
        <f>IF(CC$7&gt;$N60,0,CB60*(1-'Interest Rate'!$B$17))</f>
        <v>0</v>
      </c>
      <c r="CD60" s="609">
        <f>IF(CD$7&gt;$N60,0,CC60*(1-'Interest Rate'!$B$17))</f>
        <v>0</v>
      </c>
      <c r="CE60" s="609">
        <f>IF(CE$7&gt;$N60,0,CD60*(1-'Interest Rate'!$B$17))</f>
        <v>0</v>
      </c>
      <c r="CF60" s="609">
        <f>IF(CF$7&gt;$N60,0,CE60*(1-'Interest Rate'!$B$17))</f>
        <v>0</v>
      </c>
      <c r="CG60" s="609">
        <f>IF(CG$7&gt;$N60,0,CF60*(1-'Interest Rate'!$B$17))</f>
        <v>0</v>
      </c>
      <c r="CH60" s="609">
        <f>IF(CH$7&gt;$N60,0,CG60*(1-'Interest Rate'!$B$17))</f>
        <v>0</v>
      </c>
      <c r="CI60" s="609">
        <f>IF(CI$7&gt;$N60,0,CH60*(1-'Interest Rate'!$B$17))</f>
        <v>0</v>
      </c>
      <c r="CJ60" s="609">
        <f>IF(CJ$7&gt;$N60,0,CI60*(1-'Interest Rate'!$B$17))</f>
        <v>0</v>
      </c>
      <c r="CK60" s="609">
        <f>IF(CK$7&gt;$N60,0,CJ60*(1-'Interest Rate'!$B$17))</f>
        <v>0</v>
      </c>
      <c r="CL60" s="609">
        <f>IF(CL$7&gt;$N60,0,CK60*(1-'Interest Rate'!$B$17))</f>
        <v>0</v>
      </c>
      <c r="CM60" s="609">
        <f>IF(CM$7&gt;$N60,0,CL60*(1-'Interest Rate'!$B$17))</f>
        <v>0</v>
      </c>
      <c r="CN60" s="609">
        <f>IF(CN$7&gt;$N60,0,CM60*(1-'Interest Rate'!$B$17))</f>
        <v>0</v>
      </c>
      <c r="CO60" s="609">
        <f>IF(CO$7&gt;$N60,0,CN60*(1-'Interest Rate'!$B$17))</f>
        <v>0</v>
      </c>
      <c r="CP60" s="609">
        <f>IF(CP$7&gt;$N60,0,CO60*(1-'Interest Rate'!$B$17))</f>
        <v>0</v>
      </c>
      <c r="CQ60" s="609">
        <f>IF(CQ$7&gt;$N60,0,CP60*(1-'Interest Rate'!$B$17))</f>
        <v>0</v>
      </c>
      <c r="CR60" s="609">
        <f>IF(CR$7&gt;$N60,0,CQ60*(1-'Interest Rate'!$B$17))</f>
        <v>0</v>
      </c>
      <c r="CS60" s="609">
        <f>IF(CS$7&gt;$N60,0,CR60*(1-'Interest Rate'!$B$17))</f>
        <v>0</v>
      </c>
      <c r="CT60" s="609">
        <f>IF(CT$7&gt;$N60,0,CS60*(1-'Interest Rate'!$B$17))</f>
        <v>0</v>
      </c>
      <c r="CU60" s="609">
        <f>IF(CU$7&gt;$N60,0,CT60*(1-'Interest Rate'!$B$17))</f>
        <v>0</v>
      </c>
      <c r="CV60" s="609">
        <f>IF(CV$7&gt;$N60,0,CU60*(1-'Interest Rate'!$B$17))</f>
        <v>0</v>
      </c>
      <c r="CW60" s="609">
        <f>IF(CW$7&gt;$N60,0,CV60*(1-'Interest Rate'!$B$17))</f>
        <v>0</v>
      </c>
      <c r="CX60" s="609">
        <f>IF(CX$7&gt;$N60,0,CW60*(1-'Interest Rate'!$B$17))</f>
        <v>0</v>
      </c>
      <c r="CY60" s="609">
        <f>IF(CY$7&gt;$N60,0,CX60*(1-'Interest Rate'!$B$17))</f>
        <v>0</v>
      </c>
      <c r="CZ60" s="609">
        <f>IF(CZ$7&gt;$N60,0,CY60*(1-'Interest Rate'!$B$17))</f>
        <v>0</v>
      </c>
      <c r="DA60" s="609">
        <f>IF(DA$7&gt;$N60,0,CZ60*(1-'Interest Rate'!$B$17))</f>
        <v>0</v>
      </c>
      <c r="DB60" s="609">
        <f>IF(DB$7&gt;$N60,0,DA60*(1-'Interest Rate'!$B$17))</f>
        <v>0</v>
      </c>
      <c r="DC60" s="609">
        <f>IF(DC$7&gt;$N60,0,DB60*(1-'Interest Rate'!$B$17))</f>
        <v>0</v>
      </c>
      <c r="DD60" s="609">
        <f>IF(DD$7&gt;$N60,0,DC60*(1-'Interest Rate'!$B$17))</f>
        <v>0</v>
      </c>
      <c r="DE60" s="609">
        <f>IF(DE$7&gt;$N60,0,DD60*(1-'Interest Rate'!$B$17))</f>
        <v>0</v>
      </c>
      <c r="DF60" s="609">
        <f>IF(DF$7&gt;$N60,0,DE60*(1-'Interest Rate'!$B$17))</f>
        <v>0</v>
      </c>
      <c r="DG60" s="609">
        <f>IF(DG$7&gt;$N60,0,DF60*(1-'Interest Rate'!$B$17))</f>
        <v>0</v>
      </c>
      <c r="DH60" s="609">
        <f>IF(DH$7&gt;$N60,0,DG60*(1-'Interest Rate'!$B$17))</f>
        <v>0</v>
      </c>
      <c r="DI60" s="609">
        <f>IF(DI$7&gt;$N60,0,DH60*(1-'Interest Rate'!$B$17))</f>
        <v>0</v>
      </c>
      <c r="DJ60" s="609">
        <f>IF(DJ$7&gt;$N60,0,DI60*(1-'Interest Rate'!$B$17))</f>
        <v>0</v>
      </c>
      <c r="DK60" s="609">
        <f>IF(DK$7&gt;$N60,0,DJ60*(1-'Interest Rate'!$B$17))</f>
        <v>0</v>
      </c>
      <c r="DL60" s="609">
        <f>IF(DL$7&gt;$N60,0,DK60*(1-'Interest Rate'!$B$17))</f>
        <v>0</v>
      </c>
      <c r="DM60" s="609">
        <f>IF(DM$7&gt;$N60,0,DL60*(1-'Interest Rate'!$B$17))</f>
        <v>0</v>
      </c>
    </row>
    <row r="61" spans="1:117" ht="27.75" customHeight="1" x14ac:dyDescent="0.3">
      <c r="A61" s="624" t="str">
        <f>'EEM Data Entry'!A137</f>
        <v/>
      </c>
      <c r="B61" s="625" t="str">
        <f>IF('EEM Data Entry'!B137="  ","  ", 'EEM Data Entry'!B137)</f>
        <v/>
      </c>
      <c r="C61" s="626" t="str">
        <f>'EEM Data Entry'!F137</f>
        <v/>
      </c>
      <c r="D61" s="626">
        <v>0</v>
      </c>
      <c r="E61" s="626" t="e">
        <f t="shared" si="16"/>
        <v>#VALUE!</v>
      </c>
      <c r="F61" s="626">
        <f>('Savings Summary'!D63*'Savings Summary'!D$5)+('Savings Summary'!F63*'Savings Summary'!F$5)+('Savings Summary'!H63*'Savings Summary'!H$5)+('Savings Summary'!J63*'Savings Summary'!J$5)+('Savings Summary'!L63*'Savings Summary'!L$5)+('Savings Summary'!N63*'Savings Summary'!N$5)+('Savings Summary'!P63*'Savings Summary'!P$5)+('Savings Summary'!R63*'Savings Summary'!R$5)</f>
        <v>0</v>
      </c>
      <c r="G61" s="627">
        <f>'Savings Summary'!T62</f>
        <v>0</v>
      </c>
      <c r="H61" s="628" t="e">
        <f t="shared" si="17"/>
        <v>#VALUE!</v>
      </c>
      <c r="I61" s="624" t="e">
        <f t="shared" si="18"/>
        <v>#VALUE!</v>
      </c>
      <c r="J61" s="629" t="e">
        <f t="shared" si="14"/>
        <v>#NUM!</v>
      </c>
      <c r="K61" s="630" t="e">
        <f>PV('Interest Rate'!$B$17,Table8[[#This Row],[LIFETIME]],-Table8[[#This Row],[ANNUAL ENERGY COST SAVINGS]],Table8[[#This Row],[END-OF-LIFE]],0)-Table8[[#This Row],[CAPITAL INVESTMENT]]</f>
        <v>#VALUE!</v>
      </c>
      <c r="L61" s="624" t="str">
        <f>'EEM Data Entry'!C137</f>
        <v/>
      </c>
      <c r="M61" s="631" t="e">
        <f>Table6[[#This Row],[ANNUAL ENERGY COST SAVINGS]]/Table6[[#This Row],[CAPITAL INVESTMENT]]</f>
        <v>#VALUE!</v>
      </c>
      <c r="N61" s="804" t="str">
        <f>Table8[[#This Row],[LIFETIME]]</f>
        <v/>
      </c>
      <c r="O61" s="803"/>
      <c r="P61" s="803"/>
      <c r="Q61" s="608" t="str">
        <f t="shared" si="15"/>
        <v/>
      </c>
      <c r="R61" s="609">
        <f t="shared" si="19"/>
        <v>0</v>
      </c>
      <c r="S61" s="609">
        <f>IF(S$7&gt;$N61,0,R61*(1-'Interest Rate'!$B$17))</f>
        <v>0</v>
      </c>
      <c r="T61" s="609">
        <f>IF(T$7&gt;$N61,0,S61*(1-'Interest Rate'!$B$17))</f>
        <v>0</v>
      </c>
      <c r="U61" s="609">
        <f>IF(U$7&gt;$N61,0,T61*(1-'Interest Rate'!$B$17))</f>
        <v>0</v>
      </c>
      <c r="V61" s="609">
        <f>IF(V$7&gt;$N61,0,U61*(1-'Interest Rate'!$B$17))</f>
        <v>0</v>
      </c>
      <c r="W61" s="609">
        <f>IF(W$7&gt;$N61,0,V61*(1-'Interest Rate'!$B$17))</f>
        <v>0</v>
      </c>
      <c r="X61" s="609">
        <f>IF(X$7&gt;$N61,0,W61*(1-'Interest Rate'!$B$17))</f>
        <v>0</v>
      </c>
      <c r="Y61" s="609">
        <f>IF(Y$7&gt;$N61,0,X61*(1-'Interest Rate'!$B$17))</f>
        <v>0</v>
      </c>
      <c r="Z61" s="609">
        <f>IF(Z$7&gt;$N61,0,Y61*(1-'Interest Rate'!$B$17))</f>
        <v>0</v>
      </c>
      <c r="AA61" s="609">
        <f>IF(AA$7&gt;$N61,0,Z61*(1-'Interest Rate'!$B$17))</f>
        <v>0</v>
      </c>
      <c r="AB61" s="609">
        <f>IF(AB$7&gt;$N61,0,AA61*(1-'Interest Rate'!$B$17))</f>
        <v>0</v>
      </c>
      <c r="AC61" s="609">
        <f>IF(AC$7&gt;$N61,0,AB61*(1-'Interest Rate'!$B$17))</f>
        <v>0</v>
      </c>
      <c r="AD61" s="609">
        <f>IF(AD$7&gt;$N61,0,AC61*(1-'Interest Rate'!$B$17))</f>
        <v>0</v>
      </c>
      <c r="AE61" s="609">
        <f>IF(AE$7&gt;$N61,0,AD61*(1-'Interest Rate'!$B$17))</f>
        <v>0</v>
      </c>
      <c r="AF61" s="609">
        <f>IF(AF$7&gt;$N61,0,AE61*(1-'Interest Rate'!$B$17))</f>
        <v>0</v>
      </c>
      <c r="AG61" s="609">
        <f>IF(AG$7&gt;$N61,0,AF61*(1-'Interest Rate'!$B$17))</f>
        <v>0</v>
      </c>
      <c r="AH61" s="609">
        <f>IF(AH$7&gt;$N61,0,AG61*(1-'Interest Rate'!$B$17))</f>
        <v>0</v>
      </c>
      <c r="AI61" s="609">
        <f>IF(AI$7&gt;$N61,0,AH61*(1-'Interest Rate'!$B$17))</f>
        <v>0</v>
      </c>
      <c r="AJ61" s="609">
        <f>IF(AJ$7&gt;$N61,0,AI61*(1-'Interest Rate'!$B$17))</f>
        <v>0</v>
      </c>
      <c r="AK61" s="609">
        <f>IF(AK$7&gt;$N61,0,AJ61*(1-'Interest Rate'!$B$17))</f>
        <v>0</v>
      </c>
      <c r="AL61" s="609">
        <f>IF(AL$7&gt;$N61,0,AK61*(1-'Interest Rate'!$B$17))</f>
        <v>0</v>
      </c>
      <c r="AM61" s="609">
        <f>IF(AM$7&gt;$N61,0,AL61*(1-'Interest Rate'!$B$17))</f>
        <v>0</v>
      </c>
      <c r="AN61" s="609">
        <f>IF(AN$7&gt;$N61,0,AM61*(1-'Interest Rate'!$B$17))</f>
        <v>0</v>
      </c>
      <c r="AO61" s="609">
        <f>IF(AO$7&gt;$N61,0,AN61*(1-'Interest Rate'!$B$17))</f>
        <v>0</v>
      </c>
      <c r="AP61" s="609">
        <f>IF(AP$7&gt;$N61,0,AO61*(1-'Interest Rate'!$B$17))</f>
        <v>0</v>
      </c>
      <c r="AQ61" s="609">
        <f>IF(AQ$7&gt;$N61,0,AP61*(1-'Interest Rate'!$B$17))</f>
        <v>0</v>
      </c>
      <c r="AR61" s="609">
        <f>IF(AR$7&gt;$N61,0,AQ61*(1-'Interest Rate'!$B$17))</f>
        <v>0</v>
      </c>
      <c r="AS61" s="609">
        <f>IF(AS$7&gt;$N61,0,AR61*(1-'Interest Rate'!$B$17))</f>
        <v>0</v>
      </c>
      <c r="AT61" s="609">
        <f>IF(AT$7&gt;$N61,0,AS61*(1-'Interest Rate'!$B$17))</f>
        <v>0</v>
      </c>
      <c r="AU61" s="609">
        <f>IF(AU$7&gt;$N61,0,AT61*(1-'Interest Rate'!$B$17))</f>
        <v>0</v>
      </c>
      <c r="AV61" s="609">
        <f>IF(AV$7&gt;$N61,0,AU61*(1-'Interest Rate'!$B$17))</f>
        <v>0</v>
      </c>
      <c r="AW61" s="609">
        <f>IF(AW$7&gt;$N61,0,AV61*(1-'Interest Rate'!$B$17))</f>
        <v>0</v>
      </c>
      <c r="AX61" s="609">
        <f>IF(AX$7&gt;$N61,0,AW61*(1-'Interest Rate'!$B$17))</f>
        <v>0</v>
      </c>
      <c r="AY61" s="609">
        <f>IF(AY$7&gt;$N61,0,AX61*(1-'Interest Rate'!$B$17))</f>
        <v>0</v>
      </c>
      <c r="AZ61" s="609">
        <f>IF(AZ$7&gt;$N61,0,AY61*(1-'Interest Rate'!$B$17))</f>
        <v>0</v>
      </c>
      <c r="BA61" s="609">
        <f>IF(BA$7&gt;$N61,0,AZ61*(1-'Interest Rate'!$B$17))</f>
        <v>0</v>
      </c>
      <c r="BB61" s="609">
        <f>IF(BB$7&gt;$N61,0,BA61*(1-'Interest Rate'!$B$17))</f>
        <v>0</v>
      </c>
      <c r="BC61" s="609">
        <f>IF(BC$7&gt;$N61,0,BB61*(1-'Interest Rate'!$B$17))</f>
        <v>0</v>
      </c>
      <c r="BD61" s="609">
        <f>IF(BD$7&gt;$N61,0,BC61*(1-'Interest Rate'!$B$17))</f>
        <v>0</v>
      </c>
      <c r="BE61" s="609">
        <f>IF(BE$7&gt;$N61,0,BD61*(1-'Interest Rate'!$B$17))</f>
        <v>0</v>
      </c>
      <c r="BF61" s="609">
        <f>IF(BF$7&gt;$N61,0,BE61*(1-'Interest Rate'!$B$17))</f>
        <v>0</v>
      </c>
      <c r="BG61" s="609">
        <f>IF(BG$7&gt;$N61,0,BF61*(1-'Interest Rate'!$B$17))</f>
        <v>0</v>
      </c>
      <c r="BH61" s="609">
        <f>IF(BH$7&gt;$N61,0,BG61*(1-'Interest Rate'!$B$17))</f>
        <v>0</v>
      </c>
      <c r="BI61" s="609">
        <f>IF(BI$7&gt;$N61,0,BH61*(1-'Interest Rate'!$B$17))</f>
        <v>0</v>
      </c>
      <c r="BJ61" s="609">
        <f>IF(BJ$7&gt;$N61,0,BI61*(1-'Interest Rate'!$B$17))</f>
        <v>0</v>
      </c>
      <c r="BK61" s="609">
        <f>IF(BK$7&gt;$N61,0,BJ61*(1-'Interest Rate'!$B$17))</f>
        <v>0</v>
      </c>
      <c r="BL61" s="609">
        <f>IF(BL$7&gt;$N61,0,BK61*(1-'Interest Rate'!$B$17))</f>
        <v>0</v>
      </c>
      <c r="BM61" s="609">
        <f>IF(BM$7&gt;$N61,0,BL61*(1-'Interest Rate'!$B$17))</f>
        <v>0</v>
      </c>
      <c r="BN61" s="609">
        <f>IF(BN$7&gt;$N61,0,BM61*(1-'Interest Rate'!$B$17))</f>
        <v>0</v>
      </c>
      <c r="BO61" s="609">
        <f>IF(BO$7&gt;$N61,0,BN61*(1-'Interest Rate'!$B$17))</f>
        <v>0</v>
      </c>
      <c r="BP61" s="609">
        <f>IF(BP$7&gt;$N61,0,BO61*(1-'Interest Rate'!$B$17))</f>
        <v>0</v>
      </c>
      <c r="BQ61" s="609">
        <f>IF(BQ$7&gt;$N61,0,BP61*(1-'Interest Rate'!$B$17))</f>
        <v>0</v>
      </c>
      <c r="BR61" s="609">
        <f>IF(BR$7&gt;$N61,0,BQ61*(1-'Interest Rate'!$B$17))</f>
        <v>0</v>
      </c>
      <c r="BS61" s="609">
        <f>IF(BS$7&gt;$N61,0,BR61*(1-'Interest Rate'!$B$17))</f>
        <v>0</v>
      </c>
      <c r="BT61" s="609">
        <f>IF(BT$7&gt;$N61,0,BS61*(1-'Interest Rate'!$B$17))</f>
        <v>0</v>
      </c>
      <c r="BU61" s="609">
        <f>IF(BU$7&gt;$N61,0,BT61*(1-'Interest Rate'!$B$17))</f>
        <v>0</v>
      </c>
      <c r="BV61" s="609">
        <f>IF(BV$7&gt;$N61,0,BU61*(1-'Interest Rate'!$B$17))</f>
        <v>0</v>
      </c>
      <c r="BW61" s="609">
        <f>IF(BW$7&gt;$N61,0,BV61*(1-'Interest Rate'!$B$17))</f>
        <v>0</v>
      </c>
      <c r="BX61" s="609">
        <f>IF(BX$7&gt;$N61,0,BW61*(1-'Interest Rate'!$B$17))</f>
        <v>0</v>
      </c>
      <c r="BY61" s="609">
        <f>IF(BY$7&gt;$N61,0,BX61*(1-'Interest Rate'!$B$17))</f>
        <v>0</v>
      </c>
      <c r="BZ61" s="609">
        <f>IF(BZ$7&gt;$N61,0,BY61*(1-'Interest Rate'!$B$17))</f>
        <v>0</v>
      </c>
      <c r="CA61" s="609">
        <f>IF(CA$7&gt;$N61,0,BZ61*(1-'Interest Rate'!$B$17))</f>
        <v>0</v>
      </c>
      <c r="CB61" s="609">
        <f>IF(CB$7&gt;$N61,0,CA61*(1-'Interest Rate'!$B$17))</f>
        <v>0</v>
      </c>
      <c r="CC61" s="609">
        <f>IF(CC$7&gt;$N61,0,CB61*(1-'Interest Rate'!$B$17))</f>
        <v>0</v>
      </c>
      <c r="CD61" s="609">
        <f>IF(CD$7&gt;$N61,0,CC61*(1-'Interest Rate'!$B$17))</f>
        <v>0</v>
      </c>
      <c r="CE61" s="609">
        <f>IF(CE$7&gt;$N61,0,CD61*(1-'Interest Rate'!$B$17))</f>
        <v>0</v>
      </c>
      <c r="CF61" s="609">
        <f>IF(CF$7&gt;$N61,0,CE61*(1-'Interest Rate'!$B$17))</f>
        <v>0</v>
      </c>
      <c r="CG61" s="609">
        <f>IF(CG$7&gt;$N61,0,CF61*(1-'Interest Rate'!$B$17))</f>
        <v>0</v>
      </c>
      <c r="CH61" s="609">
        <f>IF(CH$7&gt;$N61,0,CG61*(1-'Interest Rate'!$B$17))</f>
        <v>0</v>
      </c>
      <c r="CI61" s="609">
        <f>IF(CI$7&gt;$N61,0,CH61*(1-'Interest Rate'!$B$17))</f>
        <v>0</v>
      </c>
      <c r="CJ61" s="609">
        <f>IF(CJ$7&gt;$N61,0,CI61*(1-'Interest Rate'!$B$17))</f>
        <v>0</v>
      </c>
      <c r="CK61" s="609">
        <f>IF(CK$7&gt;$N61,0,CJ61*(1-'Interest Rate'!$B$17))</f>
        <v>0</v>
      </c>
      <c r="CL61" s="609">
        <f>IF(CL$7&gt;$N61,0,CK61*(1-'Interest Rate'!$B$17))</f>
        <v>0</v>
      </c>
      <c r="CM61" s="609">
        <f>IF(CM$7&gt;$N61,0,CL61*(1-'Interest Rate'!$B$17))</f>
        <v>0</v>
      </c>
      <c r="CN61" s="609">
        <f>IF(CN$7&gt;$N61,0,CM61*(1-'Interest Rate'!$B$17))</f>
        <v>0</v>
      </c>
      <c r="CO61" s="609">
        <f>IF(CO$7&gt;$N61,0,CN61*(1-'Interest Rate'!$B$17))</f>
        <v>0</v>
      </c>
      <c r="CP61" s="609">
        <f>IF(CP$7&gt;$N61,0,CO61*(1-'Interest Rate'!$B$17))</f>
        <v>0</v>
      </c>
      <c r="CQ61" s="609">
        <f>IF(CQ$7&gt;$N61,0,CP61*(1-'Interest Rate'!$B$17))</f>
        <v>0</v>
      </c>
      <c r="CR61" s="609">
        <f>IF(CR$7&gt;$N61,0,CQ61*(1-'Interest Rate'!$B$17))</f>
        <v>0</v>
      </c>
      <c r="CS61" s="609">
        <f>IF(CS$7&gt;$N61,0,CR61*(1-'Interest Rate'!$B$17))</f>
        <v>0</v>
      </c>
      <c r="CT61" s="609">
        <f>IF(CT$7&gt;$N61,0,CS61*(1-'Interest Rate'!$B$17))</f>
        <v>0</v>
      </c>
      <c r="CU61" s="609">
        <f>IF(CU$7&gt;$N61,0,CT61*(1-'Interest Rate'!$B$17))</f>
        <v>0</v>
      </c>
      <c r="CV61" s="609">
        <f>IF(CV$7&gt;$N61,0,CU61*(1-'Interest Rate'!$B$17))</f>
        <v>0</v>
      </c>
      <c r="CW61" s="609">
        <f>IF(CW$7&gt;$N61,0,CV61*(1-'Interest Rate'!$B$17))</f>
        <v>0</v>
      </c>
      <c r="CX61" s="609">
        <f>IF(CX$7&gt;$N61,0,CW61*(1-'Interest Rate'!$B$17))</f>
        <v>0</v>
      </c>
      <c r="CY61" s="609">
        <f>IF(CY$7&gt;$N61,0,CX61*(1-'Interest Rate'!$B$17))</f>
        <v>0</v>
      </c>
      <c r="CZ61" s="609">
        <f>IF(CZ$7&gt;$N61,0,CY61*(1-'Interest Rate'!$B$17))</f>
        <v>0</v>
      </c>
      <c r="DA61" s="609">
        <f>IF(DA$7&gt;$N61,0,CZ61*(1-'Interest Rate'!$B$17))</f>
        <v>0</v>
      </c>
      <c r="DB61" s="609">
        <f>IF(DB$7&gt;$N61,0,DA61*(1-'Interest Rate'!$B$17))</f>
        <v>0</v>
      </c>
      <c r="DC61" s="609">
        <f>IF(DC$7&gt;$N61,0,DB61*(1-'Interest Rate'!$B$17))</f>
        <v>0</v>
      </c>
      <c r="DD61" s="609">
        <f>IF(DD$7&gt;$N61,0,DC61*(1-'Interest Rate'!$B$17))</f>
        <v>0</v>
      </c>
      <c r="DE61" s="609">
        <f>IF(DE$7&gt;$N61,0,DD61*(1-'Interest Rate'!$B$17))</f>
        <v>0</v>
      </c>
      <c r="DF61" s="609">
        <f>IF(DF$7&gt;$N61,0,DE61*(1-'Interest Rate'!$B$17))</f>
        <v>0</v>
      </c>
      <c r="DG61" s="609">
        <f>IF(DG$7&gt;$N61,0,DF61*(1-'Interest Rate'!$B$17))</f>
        <v>0</v>
      </c>
      <c r="DH61" s="609">
        <f>IF(DH$7&gt;$N61,0,DG61*(1-'Interest Rate'!$B$17))</f>
        <v>0</v>
      </c>
      <c r="DI61" s="609">
        <f>IF(DI$7&gt;$N61,0,DH61*(1-'Interest Rate'!$B$17))</f>
        <v>0</v>
      </c>
      <c r="DJ61" s="609">
        <f>IF(DJ$7&gt;$N61,0,DI61*(1-'Interest Rate'!$B$17))</f>
        <v>0</v>
      </c>
      <c r="DK61" s="609">
        <f>IF(DK$7&gt;$N61,0,DJ61*(1-'Interest Rate'!$B$17))</f>
        <v>0</v>
      </c>
      <c r="DL61" s="609">
        <f>IF(DL$7&gt;$N61,0,DK61*(1-'Interest Rate'!$B$17))</f>
        <v>0</v>
      </c>
      <c r="DM61" s="609">
        <f>IF(DM$7&gt;$N61,0,DL61*(1-'Interest Rate'!$B$17))</f>
        <v>0</v>
      </c>
    </row>
    <row r="62" spans="1:117" ht="27.75" customHeight="1" x14ac:dyDescent="0.3">
      <c r="A62" s="624" t="str">
        <f>'EEM Data Entry'!A138</f>
        <v/>
      </c>
      <c r="B62" s="625" t="str">
        <f>IF('EEM Data Entry'!B138="  ","  ", 'EEM Data Entry'!B138)</f>
        <v/>
      </c>
      <c r="C62" s="626" t="str">
        <f>'EEM Data Entry'!F138</f>
        <v/>
      </c>
      <c r="D62" s="626">
        <v>0</v>
      </c>
      <c r="E62" s="626" t="e">
        <f t="shared" si="16"/>
        <v>#VALUE!</v>
      </c>
      <c r="F62" s="626">
        <f>('Savings Summary'!D64*'Savings Summary'!D$5)+('Savings Summary'!F64*'Savings Summary'!F$5)+('Savings Summary'!H64*'Savings Summary'!H$5)+('Savings Summary'!J64*'Savings Summary'!J$5)+('Savings Summary'!L64*'Savings Summary'!L$5)+('Savings Summary'!N64*'Savings Summary'!N$5)+('Savings Summary'!P64*'Savings Summary'!P$5)+('Savings Summary'!R64*'Savings Summary'!R$5)</f>
        <v>0</v>
      </c>
      <c r="G62" s="627">
        <f>'Savings Summary'!T63</f>
        <v>0</v>
      </c>
      <c r="H62" s="628" t="e">
        <f t="shared" si="17"/>
        <v>#VALUE!</v>
      </c>
      <c r="I62" s="624" t="e">
        <f t="shared" si="18"/>
        <v>#VALUE!</v>
      </c>
      <c r="J62" s="629" t="e">
        <f t="shared" si="14"/>
        <v>#NUM!</v>
      </c>
      <c r="K62" s="630" t="e">
        <f>PV('Interest Rate'!$B$17,Table8[[#This Row],[LIFETIME]],-Table8[[#This Row],[ANNUAL ENERGY COST SAVINGS]],Table8[[#This Row],[END-OF-LIFE]],0)-Table8[[#This Row],[CAPITAL INVESTMENT]]</f>
        <v>#VALUE!</v>
      </c>
      <c r="L62" s="624" t="str">
        <f>'EEM Data Entry'!C138</f>
        <v/>
      </c>
      <c r="M62" s="631" t="e">
        <f>Table6[[#This Row],[ANNUAL ENERGY COST SAVINGS]]/Table6[[#This Row],[CAPITAL INVESTMENT]]</f>
        <v>#VALUE!</v>
      </c>
      <c r="N62" s="804" t="str">
        <f>Table8[[#This Row],[LIFETIME]]</f>
        <v/>
      </c>
      <c r="O62" s="803"/>
      <c r="P62" s="803"/>
      <c r="Q62" s="608" t="str">
        <f t="shared" si="15"/>
        <v/>
      </c>
      <c r="R62" s="609">
        <f t="shared" si="19"/>
        <v>0</v>
      </c>
      <c r="S62" s="609">
        <f>IF(S$7&gt;$N62,0,R62*(1-'Interest Rate'!$B$17))</f>
        <v>0</v>
      </c>
      <c r="T62" s="609">
        <f>IF(T$7&gt;$N62,0,S62*(1-'Interest Rate'!$B$17))</f>
        <v>0</v>
      </c>
      <c r="U62" s="609">
        <f>IF(U$7&gt;$N62,0,T62*(1-'Interest Rate'!$B$17))</f>
        <v>0</v>
      </c>
      <c r="V62" s="609">
        <f>IF(V$7&gt;$N62,0,U62*(1-'Interest Rate'!$B$17))</f>
        <v>0</v>
      </c>
      <c r="W62" s="609">
        <f>IF(W$7&gt;$N62,0,V62*(1-'Interest Rate'!$B$17))</f>
        <v>0</v>
      </c>
      <c r="X62" s="609">
        <f>IF(X$7&gt;$N62,0,W62*(1-'Interest Rate'!$B$17))</f>
        <v>0</v>
      </c>
      <c r="Y62" s="609">
        <f>IF(Y$7&gt;$N62,0,X62*(1-'Interest Rate'!$B$17))</f>
        <v>0</v>
      </c>
      <c r="Z62" s="609">
        <f>IF(Z$7&gt;$N62,0,Y62*(1-'Interest Rate'!$B$17))</f>
        <v>0</v>
      </c>
      <c r="AA62" s="609">
        <f>IF(AA$7&gt;$N62,0,Z62*(1-'Interest Rate'!$B$17))</f>
        <v>0</v>
      </c>
      <c r="AB62" s="609">
        <f>IF(AB$7&gt;$N62,0,AA62*(1-'Interest Rate'!$B$17))</f>
        <v>0</v>
      </c>
      <c r="AC62" s="609">
        <f>IF(AC$7&gt;$N62,0,AB62*(1-'Interest Rate'!$B$17))</f>
        <v>0</v>
      </c>
      <c r="AD62" s="609">
        <f>IF(AD$7&gt;$N62,0,AC62*(1-'Interest Rate'!$B$17))</f>
        <v>0</v>
      </c>
      <c r="AE62" s="609">
        <f>IF(AE$7&gt;$N62,0,AD62*(1-'Interest Rate'!$B$17))</f>
        <v>0</v>
      </c>
      <c r="AF62" s="609">
        <f>IF(AF$7&gt;$N62,0,AE62*(1-'Interest Rate'!$B$17))</f>
        <v>0</v>
      </c>
      <c r="AG62" s="609">
        <f>IF(AG$7&gt;$N62,0,AF62*(1-'Interest Rate'!$B$17))</f>
        <v>0</v>
      </c>
      <c r="AH62" s="609">
        <f>IF(AH$7&gt;$N62,0,AG62*(1-'Interest Rate'!$B$17))</f>
        <v>0</v>
      </c>
      <c r="AI62" s="609">
        <f>IF(AI$7&gt;$N62,0,AH62*(1-'Interest Rate'!$B$17))</f>
        <v>0</v>
      </c>
      <c r="AJ62" s="609">
        <f>IF(AJ$7&gt;$N62,0,AI62*(1-'Interest Rate'!$B$17))</f>
        <v>0</v>
      </c>
      <c r="AK62" s="609">
        <f>IF(AK$7&gt;$N62,0,AJ62*(1-'Interest Rate'!$B$17))</f>
        <v>0</v>
      </c>
      <c r="AL62" s="609">
        <f>IF(AL$7&gt;$N62,0,AK62*(1-'Interest Rate'!$B$17))</f>
        <v>0</v>
      </c>
      <c r="AM62" s="609">
        <f>IF(AM$7&gt;$N62,0,AL62*(1-'Interest Rate'!$B$17))</f>
        <v>0</v>
      </c>
      <c r="AN62" s="609">
        <f>IF(AN$7&gt;$N62,0,AM62*(1-'Interest Rate'!$B$17))</f>
        <v>0</v>
      </c>
      <c r="AO62" s="609">
        <f>IF(AO$7&gt;$N62,0,AN62*(1-'Interest Rate'!$B$17))</f>
        <v>0</v>
      </c>
      <c r="AP62" s="609">
        <f>IF(AP$7&gt;$N62,0,AO62*(1-'Interest Rate'!$B$17))</f>
        <v>0</v>
      </c>
      <c r="AQ62" s="609">
        <f>IF(AQ$7&gt;$N62,0,AP62*(1-'Interest Rate'!$B$17))</f>
        <v>0</v>
      </c>
      <c r="AR62" s="609">
        <f>IF(AR$7&gt;$N62,0,AQ62*(1-'Interest Rate'!$B$17))</f>
        <v>0</v>
      </c>
      <c r="AS62" s="609">
        <f>IF(AS$7&gt;$N62,0,AR62*(1-'Interest Rate'!$B$17))</f>
        <v>0</v>
      </c>
      <c r="AT62" s="609">
        <f>IF(AT$7&gt;$N62,0,AS62*(1-'Interest Rate'!$B$17))</f>
        <v>0</v>
      </c>
      <c r="AU62" s="609">
        <f>IF(AU$7&gt;$N62,0,AT62*(1-'Interest Rate'!$B$17))</f>
        <v>0</v>
      </c>
      <c r="AV62" s="609">
        <f>IF(AV$7&gt;$N62,0,AU62*(1-'Interest Rate'!$B$17))</f>
        <v>0</v>
      </c>
      <c r="AW62" s="609">
        <f>IF(AW$7&gt;$N62,0,AV62*(1-'Interest Rate'!$B$17))</f>
        <v>0</v>
      </c>
      <c r="AX62" s="609">
        <f>IF(AX$7&gt;$N62,0,AW62*(1-'Interest Rate'!$B$17))</f>
        <v>0</v>
      </c>
      <c r="AY62" s="609">
        <f>IF(AY$7&gt;$N62,0,AX62*(1-'Interest Rate'!$B$17))</f>
        <v>0</v>
      </c>
      <c r="AZ62" s="609">
        <f>IF(AZ$7&gt;$N62,0,AY62*(1-'Interest Rate'!$B$17))</f>
        <v>0</v>
      </c>
      <c r="BA62" s="609">
        <f>IF(BA$7&gt;$N62,0,AZ62*(1-'Interest Rate'!$B$17))</f>
        <v>0</v>
      </c>
      <c r="BB62" s="609">
        <f>IF(BB$7&gt;$N62,0,BA62*(1-'Interest Rate'!$B$17))</f>
        <v>0</v>
      </c>
      <c r="BC62" s="609">
        <f>IF(BC$7&gt;$N62,0,BB62*(1-'Interest Rate'!$B$17))</f>
        <v>0</v>
      </c>
      <c r="BD62" s="609">
        <f>IF(BD$7&gt;$N62,0,BC62*(1-'Interest Rate'!$B$17))</f>
        <v>0</v>
      </c>
      <c r="BE62" s="609">
        <f>IF(BE$7&gt;$N62,0,BD62*(1-'Interest Rate'!$B$17))</f>
        <v>0</v>
      </c>
      <c r="BF62" s="609">
        <f>IF(BF$7&gt;$N62,0,BE62*(1-'Interest Rate'!$B$17))</f>
        <v>0</v>
      </c>
      <c r="BG62" s="609">
        <f>IF(BG$7&gt;$N62,0,BF62*(1-'Interest Rate'!$B$17))</f>
        <v>0</v>
      </c>
      <c r="BH62" s="609">
        <f>IF(BH$7&gt;$N62,0,BG62*(1-'Interest Rate'!$B$17))</f>
        <v>0</v>
      </c>
      <c r="BI62" s="609">
        <f>IF(BI$7&gt;$N62,0,BH62*(1-'Interest Rate'!$B$17))</f>
        <v>0</v>
      </c>
      <c r="BJ62" s="609">
        <f>IF(BJ$7&gt;$N62,0,BI62*(1-'Interest Rate'!$B$17))</f>
        <v>0</v>
      </c>
      <c r="BK62" s="609">
        <f>IF(BK$7&gt;$N62,0,BJ62*(1-'Interest Rate'!$B$17))</f>
        <v>0</v>
      </c>
      <c r="BL62" s="609">
        <f>IF(BL$7&gt;$N62,0,BK62*(1-'Interest Rate'!$B$17))</f>
        <v>0</v>
      </c>
      <c r="BM62" s="609">
        <f>IF(BM$7&gt;$N62,0,BL62*(1-'Interest Rate'!$B$17))</f>
        <v>0</v>
      </c>
      <c r="BN62" s="609">
        <f>IF(BN$7&gt;$N62,0,BM62*(1-'Interest Rate'!$B$17))</f>
        <v>0</v>
      </c>
      <c r="BO62" s="609">
        <f>IF(BO$7&gt;$N62,0,BN62*(1-'Interest Rate'!$B$17))</f>
        <v>0</v>
      </c>
      <c r="BP62" s="609">
        <f>IF(BP$7&gt;$N62,0,BO62*(1-'Interest Rate'!$B$17))</f>
        <v>0</v>
      </c>
      <c r="BQ62" s="609">
        <f>IF(BQ$7&gt;$N62,0,BP62*(1-'Interest Rate'!$B$17))</f>
        <v>0</v>
      </c>
      <c r="BR62" s="609">
        <f>IF(BR$7&gt;$N62,0,BQ62*(1-'Interest Rate'!$B$17))</f>
        <v>0</v>
      </c>
      <c r="BS62" s="609">
        <f>IF(BS$7&gt;$N62,0,BR62*(1-'Interest Rate'!$B$17))</f>
        <v>0</v>
      </c>
      <c r="BT62" s="609">
        <f>IF(BT$7&gt;$N62,0,BS62*(1-'Interest Rate'!$B$17))</f>
        <v>0</v>
      </c>
      <c r="BU62" s="609">
        <f>IF(BU$7&gt;$N62,0,BT62*(1-'Interest Rate'!$B$17))</f>
        <v>0</v>
      </c>
      <c r="BV62" s="609">
        <f>IF(BV$7&gt;$N62,0,BU62*(1-'Interest Rate'!$B$17))</f>
        <v>0</v>
      </c>
      <c r="BW62" s="609">
        <f>IF(BW$7&gt;$N62,0,BV62*(1-'Interest Rate'!$B$17))</f>
        <v>0</v>
      </c>
      <c r="BX62" s="609">
        <f>IF(BX$7&gt;$N62,0,BW62*(1-'Interest Rate'!$B$17))</f>
        <v>0</v>
      </c>
      <c r="BY62" s="609">
        <f>IF(BY$7&gt;$N62,0,BX62*(1-'Interest Rate'!$B$17))</f>
        <v>0</v>
      </c>
      <c r="BZ62" s="609">
        <f>IF(BZ$7&gt;$N62,0,BY62*(1-'Interest Rate'!$B$17))</f>
        <v>0</v>
      </c>
      <c r="CA62" s="609">
        <f>IF(CA$7&gt;$N62,0,BZ62*(1-'Interest Rate'!$B$17))</f>
        <v>0</v>
      </c>
      <c r="CB62" s="609">
        <f>IF(CB$7&gt;$N62,0,CA62*(1-'Interest Rate'!$B$17))</f>
        <v>0</v>
      </c>
      <c r="CC62" s="609">
        <f>IF(CC$7&gt;$N62,0,CB62*(1-'Interest Rate'!$B$17))</f>
        <v>0</v>
      </c>
      <c r="CD62" s="609">
        <f>IF(CD$7&gt;$N62,0,CC62*(1-'Interest Rate'!$B$17))</f>
        <v>0</v>
      </c>
      <c r="CE62" s="609">
        <f>IF(CE$7&gt;$N62,0,CD62*(1-'Interest Rate'!$B$17))</f>
        <v>0</v>
      </c>
      <c r="CF62" s="609">
        <f>IF(CF$7&gt;$N62,0,CE62*(1-'Interest Rate'!$B$17))</f>
        <v>0</v>
      </c>
      <c r="CG62" s="609">
        <f>IF(CG$7&gt;$N62,0,CF62*(1-'Interest Rate'!$B$17))</f>
        <v>0</v>
      </c>
      <c r="CH62" s="609">
        <f>IF(CH$7&gt;$N62,0,CG62*(1-'Interest Rate'!$B$17))</f>
        <v>0</v>
      </c>
      <c r="CI62" s="609">
        <f>IF(CI$7&gt;$N62,0,CH62*(1-'Interest Rate'!$B$17))</f>
        <v>0</v>
      </c>
      <c r="CJ62" s="609">
        <f>IF(CJ$7&gt;$N62,0,CI62*(1-'Interest Rate'!$B$17))</f>
        <v>0</v>
      </c>
      <c r="CK62" s="609">
        <f>IF(CK$7&gt;$N62,0,CJ62*(1-'Interest Rate'!$B$17))</f>
        <v>0</v>
      </c>
      <c r="CL62" s="609">
        <f>IF(CL$7&gt;$N62,0,CK62*(1-'Interest Rate'!$B$17))</f>
        <v>0</v>
      </c>
      <c r="CM62" s="609">
        <f>IF(CM$7&gt;$N62,0,CL62*(1-'Interest Rate'!$B$17))</f>
        <v>0</v>
      </c>
      <c r="CN62" s="609">
        <f>IF(CN$7&gt;$N62,0,CM62*(1-'Interest Rate'!$B$17))</f>
        <v>0</v>
      </c>
      <c r="CO62" s="609">
        <f>IF(CO$7&gt;$N62,0,CN62*(1-'Interest Rate'!$B$17))</f>
        <v>0</v>
      </c>
      <c r="CP62" s="609">
        <f>IF(CP$7&gt;$N62,0,CO62*(1-'Interest Rate'!$B$17))</f>
        <v>0</v>
      </c>
      <c r="CQ62" s="609">
        <f>IF(CQ$7&gt;$N62,0,CP62*(1-'Interest Rate'!$B$17))</f>
        <v>0</v>
      </c>
      <c r="CR62" s="609">
        <f>IF(CR$7&gt;$N62,0,CQ62*(1-'Interest Rate'!$B$17))</f>
        <v>0</v>
      </c>
      <c r="CS62" s="609">
        <f>IF(CS$7&gt;$N62,0,CR62*(1-'Interest Rate'!$B$17))</f>
        <v>0</v>
      </c>
      <c r="CT62" s="609">
        <f>IF(CT$7&gt;$N62,0,CS62*(1-'Interest Rate'!$B$17))</f>
        <v>0</v>
      </c>
      <c r="CU62" s="609">
        <f>IF(CU$7&gt;$N62,0,CT62*(1-'Interest Rate'!$B$17))</f>
        <v>0</v>
      </c>
      <c r="CV62" s="609">
        <f>IF(CV$7&gt;$N62,0,CU62*(1-'Interest Rate'!$B$17))</f>
        <v>0</v>
      </c>
      <c r="CW62" s="609">
        <f>IF(CW$7&gt;$N62,0,CV62*(1-'Interest Rate'!$B$17))</f>
        <v>0</v>
      </c>
      <c r="CX62" s="609">
        <f>IF(CX$7&gt;$N62,0,CW62*(1-'Interest Rate'!$B$17))</f>
        <v>0</v>
      </c>
      <c r="CY62" s="609">
        <f>IF(CY$7&gt;$N62,0,CX62*(1-'Interest Rate'!$B$17))</f>
        <v>0</v>
      </c>
      <c r="CZ62" s="609">
        <f>IF(CZ$7&gt;$N62,0,CY62*(1-'Interest Rate'!$B$17))</f>
        <v>0</v>
      </c>
      <c r="DA62" s="609">
        <f>IF(DA$7&gt;$N62,0,CZ62*(1-'Interest Rate'!$B$17))</f>
        <v>0</v>
      </c>
      <c r="DB62" s="609">
        <f>IF(DB$7&gt;$N62,0,DA62*(1-'Interest Rate'!$B$17))</f>
        <v>0</v>
      </c>
      <c r="DC62" s="609">
        <f>IF(DC$7&gt;$N62,0,DB62*(1-'Interest Rate'!$B$17))</f>
        <v>0</v>
      </c>
      <c r="DD62" s="609">
        <f>IF(DD$7&gt;$N62,0,DC62*(1-'Interest Rate'!$B$17))</f>
        <v>0</v>
      </c>
      <c r="DE62" s="609">
        <f>IF(DE$7&gt;$N62,0,DD62*(1-'Interest Rate'!$B$17))</f>
        <v>0</v>
      </c>
      <c r="DF62" s="609">
        <f>IF(DF$7&gt;$N62,0,DE62*(1-'Interest Rate'!$B$17))</f>
        <v>0</v>
      </c>
      <c r="DG62" s="609">
        <f>IF(DG$7&gt;$N62,0,DF62*(1-'Interest Rate'!$B$17))</f>
        <v>0</v>
      </c>
      <c r="DH62" s="609">
        <f>IF(DH$7&gt;$N62,0,DG62*(1-'Interest Rate'!$B$17))</f>
        <v>0</v>
      </c>
      <c r="DI62" s="609">
        <f>IF(DI$7&gt;$N62,0,DH62*(1-'Interest Rate'!$B$17))</f>
        <v>0</v>
      </c>
      <c r="DJ62" s="609">
        <f>IF(DJ$7&gt;$N62,0,DI62*(1-'Interest Rate'!$B$17))</f>
        <v>0</v>
      </c>
      <c r="DK62" s="609">
        <f>IF(DK$7&gt;$N62,0,DJ62*(1-'Interest Rate'!$B$17))</f>
        <v>0</v>
      </c>
      <c r="DL62" s="609">
        <f>IF(DL$7&gt;$N62,0,DK62*(1-'Interest Rate'!$B$17))</f>
        <v>0</v>
      </c>
      <c r="DM62" s="609">
        <f>IF(DM$7&gt;$N62,0,DL62*(1-'Interest Rate'!$B$17))</f>
        <v>0</v>
      </c>
    </row>
    <row r="63" spans="1:117" ht="27.75" customHeight="1" x14ac:dyDescent="0.3">
      <c r="A63" s="624" t="str">
        <f>'EEM Data Entry'!A139</f>
        <v/>
      </c>
      <c r="B63" s="625" t="str">
        <f>IF('EEM Data Entry'!B139="  ","  ", 'EEM Data Entry'!B139)</f>
        <v/>
      </c>
      <c r="C63" s="626" t="str">
        <f>'EEM Data Entry'!F139</f>
        <v/>
      </c>
      <c r="D63" s="626">
        <v>0</v>
      </c>
      <c r="E63" s="626" t="e">
        <f t="shared" si="16"/>
        <v>#VALUE!</v>
      </c>
      <c r="F63" s="626">
        <f>('Savings Summary'!D65*'Savings Summary'!D$5)+('Savings Summary'!F65*'Savings Summary'!F$5)+('Savings Summary'!H65*'Savings Summary'!H$5)+('Savings Summary'!J65*'Savings Summary'!J$5)+('Savings Summary'!L65*'Savings Summary'!L$5)+('Savings Summary'!N65*'Savings Summary'!N$5)+('Savings Summary'!P65*'Savings Summary'!P$5)+('Savings Summary'!R65*'Savings Summary'!R$5)</f>
        <v>0</v>
      </c>
      <c r="G63" s="627">
        <f>'Savings Summary'!T64</f>
        <v>0</v>
      </c>
      <c r="H63" s="628" t="e">
        <f>IF(C63=0,"n/a",E63/F63)</f>
        <v>#VALUE!</v>
      </c>
      <c r="I63" s="624" t="e">
        <f>IF(H63=0, "n/a", IF(H63&gt;100, "no",IF(H63&lt;0, "no", "yes")))</f>
        <v>#VALUE!</v>
      </c>
      <c r="J63" s="629" t="e">
        <f t="shared" si="14"/>
        <v>#NUM!</v>
      </c>
      <c r="K63" s="630" t="e">
        <f>PV('Interest Rate'!$B$17,Table8[[#This Row],[LIFETIME]],-Table8[[#This Row],[ANNUAL ENERGY COST SAVINGS]],Table8[[#This Row],[END-OF-LIFE]],0)-Table8[[#This Row],[CAPITAL INVESTMENT]]</f>
        <v>#VALUE!</v>
      </c>
      <c r="L63" s="624" t="str">
        <f>'EEM Data Entry'!C139</f>
        <v/>
      </c>
      <c r="M63" s="631" t="e">
        <f>Table6[[#This Row],[ANNUAL ENERGY COST SAVINGS]]/Table6[[#This Row],[CAPITAL INVESTMENT]]</f>
        <v>#VALUE!</v>
      </c>
      <c r="N63" s="804" t="str">
        <f>Table8[[#This Row],[LIFETIME]]</f>
        <v/>
      </c>
      <c r="O63" s="803"/>
      <c r="P63" s="803"/>
      <c r="Q63" s="608" t="str">
        <f t="shared" si="15"/>
        <v/>
      </c>
      <c r="R63" s="609">
        <f t="shared" si="19"/>
        <v>0</v>
      </c>
      <c r="S63" s="609">
        <f>IF(S$7&gt;$N63,0,R63*(1-'Interest Rate'!$B$17))</f>
        <v>0</v>
      </c>
      <c r="T63" s="609">
        <f>IF(T$7&gt;$N63,0,S63*(1-'Interest Rate'!$B$17))</f>
        <v>0</v>
      </c>
      <c r="U63" s="609">
        <f>IF(U$7&gt;$N63,0,T63*(1-'Interest Rate'!$B$17))</f>
        <v>0</v>
      </c>
      <c r="V63" s="609">
        <f>IF(V$7&gt;$N63,0,U63*(1-'Interest Rate'!$B$17))</f>
        <v>0</v>
      </c>
      <c r="W63" s="609">
        <f>IF(W$7&gt;$N63,0,V63*(1-'Interest Rate'!$B$17))</f>
        <v>0</v>
      </c>
      <c r="X63" s="609">
        <f>IF(X$7&gt;$N63,0,W63*(1-'Interest Rate'!$B$17))</f>
        <v>0</v>
      </c>
      <c r="Y63" s="609">
        <f>IF(Y$7&gt;$N63,0,X63*(1-'Interest Rate'!$B$17))</f>
        <v>0</v>
      </c>
      <c r="Z63" s="609">
        <f>IF(Z$7&gt;$N63,0,Y63*(1-'Interest Rate'!$B$17))</f>
        <v>0</v>
      </c>
      <c r="AA63" s="609">
        <f>IF(AA$7&gt;$N63,0,Z63*(1-'Interest Rate'!$B$17))</f>
        <v>0</v>
      </c>
      <c r="AB63" s="609">
        <f>IF(AB$7&gt;$N63,0,AA63*(1-'Interest Rate'!$B$17))</f>
        <v>0</v>
      </c>
      <c r="AC63" s="609">
        <f>IF(AC$7&gt;$N63,0,AB63*(1-'Interest Rate'!$B$17))</f>
        <v>0</v>
      </c>
      <c r="AD63" s="609">
        <f>IF(AD$7&gt;$N63,0,AC63*(1-'Interest Rate'!$B$17))</f>
        <v>0</v>
      </c>
      <c r="AE63" s="609">
        <f>IF(AE$7&gt;$N63,0,AD63*(1-'Interest Rate'!$B$17))</f>
        <v>0</v>
      </c>
      <c r="AF63" s="609">
        <f>IF(AF$7&gt;$N63,0,AE63*(1-'Interest Rate'!$B$17))</f>
        <v>0</v>
      </c>
      <c r="AG63" s="609">
        <f>IF(AG$7&gt;$N63,0,AF63*(1-'Interest Rate'!$B$17))</f>
        <v>0</v>
      </c>
      <c r="AH63" s="609">
        <f>IF(AH$7&gt;$N63,0,AG63*(1-'Interest Rate'!$B$17))</f>
        <v>0</v>
      </c>
      <c r="AI63" s="609">
        <f>IF(AI$7&gt;$N63,0,AH63*(1-'Interest Rate'!$B$17))</f>
        <v>0</v>
      </c>
      <c r="AJ63" s="609">
        <f>IF(AJ$7&gt;$N63,0,AI63*(1-'Interest Rate'!$B$17))</f>
        <v>0</v>
      </c>
      <c r="AK63" s="609">
        <f>IF(AK$7&gt;$N63,0,AJ63*(1-'Interest Rate'!$B$17))</f>
        <v>0</v>
      </c>
      <c r="AL63" s="609">
        <f>IF(AL$7&gt;$N63,0,AK63*(1-'Interest Rate'!$B$17))</f>
        <v>0</v>
      </c>
      <c r="AM63" s="609">
        <f>IF(AM$7&gt;$N63,0,AL63*(1-'Interest Rate'!$B$17))</f>
        <v>0</v>
      </c>
      <c r="AN63" s="609">
        <f>IF(AN$7&gt;$N63,0,AM63*(1-'Interest Rate'!$B$17))</f>
        <v>0</v>
      </c>
      <c r="AO63" s="609">
        <f>IF(AO$7&gt;$N63,0,AN63*(1-'Interest Rate'!$B$17))</f>
        <v>0</v>
      </c>
      <c r="AP63" s="609">
        <f>IF(AP$7&gt;$N63,0,AO63*(1-'Interest Rate'!$B$17))</f>
        <v>0</v>
      </c>
      <c r="AQ63" s="609">
        <f>IF(AQ$7&gt;$N63,0,AP63*(1-'Interest Rate'!$B$17))</f>
        <v>0</v>
      </c>
      <c r="AR63" s="609">
        <f>IF(AR$7&gt;$N63,0,AQ63*(1-'Interest Rate'!$B$17))</f>
        <v>0</v>
      </c>
      <c r="AS63" s="609">
        <f>IF(AS$7&gt;$N63,0,AR63*(1-'Interest Rate'!$B$17))</f>
        <v>0</v>
      </c>
      <c r="AT63" s="609">
        <f>IF(AT$7&gt;$N63,0,AS63*(1-'Interest Rate'!$B$17))</f>
        <v>0</v>
      </c>
      <c r="AU63" s="609">
        <f>IF(AU$7&gt;$N63,0,AT63*(1-'Interest Rate'!$B$17))</f>
        <v>0</v>
      </c>
      <c r="AV63" s="609">
        <f>IF(AV$7&gt;$N63,0,AU63*(1-'Interest Rate'!$B$17))</f>
        <v>0</v>
      </c>
      <c r="AW63" s="609">
        <f>IF(AW$7&gt;$N63,0,AV63*(1-'Interest Rate'!$B$17))</f>
        <v>0</v>
      </c>
      <c r="AX63" s="609">
        <f>IF(AX$7&gt;$N63,0,AW63*(1-'Interest Rate'!$B$17))</f>
        <v>0</v>
      </c>
      <c r="AY63" s="609">
        <f>IF(AY$7&gt;$N63,0,AX63*(1-'Interest Rate'!$B$17))</f>
        <v>0</v>
      </c>
      <c r="AZ63" s="609">
        <f>IF(AZ$7&gt;$N63,0,AY63*(1-'Interest Rate'!$B$17))</f>
        <v>0</v>
      </c>
      <c r="BA63" s="609">
        <f>IF(BA$7&gt;$N63,0,AZ63*(1-'Interest Rate'!$B$17))</f>
        <v>0</v>
      </c>
      <c r="BB63" s="609">
        <f>IF(BB$7&gt;$N63,0,BA63*(1-'Interest Rate'!$B$17))</f>
        <v>0</v>
      </c>
      <c r="BC63" s="609">
        <f>IF(BC$7&gt;$N63,0,BB63*(1-'Interest Rate'!$B$17))</f>
        <v>0</v>
      </c>
      <c r="BD63" s="609">
        <f>IF(BD$7&gt;$N63,0,BC63*(1-'Interest Rate'!$B$17))</f>
        <v>0</v>
      </c>
      <c r="BE63" s="609">
        <f>IF(BE$7&gt;$N63,0,BD63*(1-'Interest Rate'!$B$17))</f>
        <v>0</v>
      </c>
      <c r="BF63" s="609">
        <f>IF(BF$7&gt;$N63,0,BE63*(1-'Interest Rate'!$B$17))</f>
        <v>0</v>
      </c>
      <c r="BG63" s="609">
        <f>IF(BG$7&gt;$N63,0,BF63*(1-'Interest Rate'!$B$17))</f>
        <v>0</v>
      </c>
      <c r="BH63" s="609">
        <f>IF(BH$7&gt;$N63,0,BG63*(1-'Interest Rate'!$B$17))</f>
        <v>0</v>
      </c>
      <c r="BI63" s="609">
        <f>IF(BI$7&gt;$N63,0,BH63*(1-'Interest Rate'!$B$17))</f>
        <v>0</v>
      </c>
      <c r="BJ63" s="609">
        <f>IF(BJ$7&gt;$N63,0,BI63*(1-'Interest Rate'!$B$17))</f>
        <v>0</v>
      </c>
      <c r="BK63" s="609">
        <f>IF(BK$7&gt;$N63,0,BJ63*(1-'Interest Rate'!$B$17))</f>
        <v>0</v>
      </c>
      <c r="BL63" s="609">
        <f>IF(BL$7&gt;$N63,0,BK63*(1-'Interest Rate'!$B$17))</f>
        <v>0</v>
      </c>
      <c r="BM63" s="609">
        <f>IF(BM$7&gt;$N63,0,BL63*(1-'Interest Rate'!$B$17))</f>
        <v>0</v>
      </c>
      <c r="BN63" s="609">
        <f>IF(BN$7&gt;$N63,0,BM63*(1-'Interest Rate'!$B$17))</f>
        <v>0</v>
      </c>
      <c r="BO63" s="609">
        <f>IF(BO$7&gt;$N63,0,BN63*(1-'Interest Rate'!$B$17))</f>
        <v>0</v>
      </c>
      <c r="BP63" s="609">
        <f>IF(BP$7&gt;$N63,0,BO63*(1-'Interest Rate'!$B$17))</f>
        <v>0</v>
      </c>
      <c r="BQ63" s="609">
        <f>IF(BQ$7&gt;$N63,0,BP63*(1-'Interest Rate'!$B$17))</f>
        <v>0</v>
      </c>
      <c r="BR63" s="609">
        <f>IF(BR$7&gt;$N63,0,BQ63*(1-'Interest Rate'!$B$17))</f>
        <v>0</v>
      </c>
      <c r="BS63" s="609">
        <f>IF(BS$7&gt;$N63,0,BR63*(1-'Interest Rate'!$B$17))</f>
        <v>0</v>
      </c>
      <c r="BT63" s="609">
        <f>IF(BT$7&gt;$N63,0,BS63*(1-'Interest Rate'!$B$17))</f>
        <v>0</v>
      </c>
      <c r="BU63" s="609">
        <f>IF(BU$7&gt;$N63,0,BT63*(1-'Interest Rate'!$B$17))</f>
        <v>0</v>
      </c>
      <c r="BV63" s="609">
        <f>IF(BV$7&gt;$N63,0,BU63*(1-'Interest Rate'!$B$17))</f>
        <v>0</v>
      </c>
      <c r="BW63" s="609">
        <f>IF(BW$7&gt;$N63,0,BV63*(1-'Interest Rate'!$B$17))</f>
        <v>0</v>
      </c>
      <c r="BX63" s="609">
        <f>IF(BX$7&gt;$N63,0,BW63*(1-'Interest Rate'!$B$17))</f>
        <v>0</v>
      </c>
      <c r="BY63" s="609">
        <f>IF(BY$7&gt;$N63,0,BX63*(1-'Interest Rate'!$B$17))</f>
        <v>0</v>
      </c>
      <c r="BZ63" s="609">
        <f>IF(BZ$7&gt;$N63,0,BY63*(1-'Interest Rate'!$B$17))</f>
        <v>0</v>
      </c>
      <c r="CA63" s="609">
        <f>IF(CA$7&gt;$N63,0,BZ63*(1-'Interest Rate'!$B$17))</f>
        <v>0</v>
      </c>
      <c r="CB63" s="609">
        <f>IF(CB$7&gt;$N63,0,CA63*(1-'Interest Rate'!$B$17))</f>
        <v>0</v>
      </c>
      <c r="CC63" s="609">
        <f>IF(CC$7&gt;$N63,0,CB63*(1-'Interest Rate'!$B$17))</f>
        <v>0</v>
      </c>
      <c r="CD63" s="609">
        <f>IF(CD$7&gt;$N63,0,CC63*(1-'Interest Rate'!$B$17))</f>
        <v>0</v>
      </c>
      <c r="CE63" s="609">
        <f>IF(CE$7&gt;$N63,0,CD63*(1-'Interest Rate'!$B$17))</f>
        <v>0</v>
      </c>
      <c r="CF63" s="609">
        <f>IF(CF$7&gt;$N63,0,CE63*(1-'Interest Rate'!$B$17))</f>
        <v>0</v>
      </c>
      <c r="CG63" s="609">
        <f>IF(CG$7&gt;$N63,0,CF63*(1-'Interest Rate'!$B$17))</f>
        <v>0</v>
      </c>
      <c r="CH63" s="609">
        <f>IF(CH$7&gt;$N63,0,CG63*(1-'Interest Rate'!$B$17))</f>
        <v>0</v>
      </c>
      <c r="CI63" s="609">
        <f>IF(CI$7&gt;$N63,0,CH63*(1-'Interest Rate'!$B$17))</f>
        <v>0</v>
      </c>
      <c r="CJ63" s="609">
        <f>IF(CJ$7&gt;$N63,0,CI63*(1-'Interest Rate'!$B$17))</f>
        <v>0</v>
      </c>
      <c r="CK63" s="609">
        <f>IF(CK$7&gt;$N63,0,CJ63*(1-'Interest Rate'!$B$17))</f>
        <v>0</v>
      </c>
      <c r="CL63" s="609">
        <f>IF(CL$7&gt;$N63,0,CK63*(1-'Interest Rate'!$B$17))</f>
        <v>0</v>
      </c>
      <c r="CM63" s="609">
        <f>IF(CM$7&gt;$N63,0,CL63*(1-'Interest Rate'!$B$17))</f>
        <v>0</v>
      </c>
      <c r="CN63" s="609">
        <f>IF(CN$7&gt;$N63,0,CM63*(1-'Interest Rate'!$B$17))</f>
        <v>0</v>
      </c>
      <c r="CO63" s="609">
        <f>IF(CO$7&gt;$N63,0,CN63*(1-'Interest Rate'!$B$17))</f>
        <v>0</v>
      </c>
      <c r="CP63" s="609">
        <f>IF(CP$7&gt;$N63,0,CO63*(1-'Interest Rate'!$B$17))</f>
        <v>0</v>
      </c>
      <c r="CQ63" s="609">
        <f>IF(CQ$7&gt;$N63,0,CP63*(1-'Interest Rate'!$B$17))</f>
        <v>0</v>
      </c>
      <c r="CR63" s="609">
        <f>IF(CR$7&gt;$N63,0,CQ63*(1-'Interest Rate'!$B$17))</f>
        <v>0</v>
      </c>
      <c r="CS63" s="609">
        <f>IF(CS$7&gt;$N63,0,CR63*(1-'Interest Rate'!$B$17))</f>
        <v>0</v>
      </c>
      <c r="CT63" s="609">
        <f>IF(CT$7&gt;$N63,0,CS63*(1-'Interest Rate'!$B$17))</f>
        <v>0</v>
      </c>
      <c r="CU63" s="609">
        <f>IF(CU$7&gt;$N63,0,CT63*(1-'Interest Rate'!$B$17))</f>
        <v>0</v>
      </c>
      <c r="CV63" s="609">
        <f>IF(CV$7&gt;$N63,0,CU63*(1-'Interest Rate'!$B$17))</f>
        <v>0</v>
      </c>
      <c r="CW63" s="609">
        <f>IF(CW$7&gt;$N63,0,CV63*(1-'Interest Rate'!$B$17))</f>
        <v>0</v>
      </c>
      <c r="CX63" s="609">
        <f>IF(CX$7&gt;$N63,0,CW63*(1-'Interest Rate'!$B$17))</f>
        <v>0</v>
      </c>
      <c r="CY63" s="609">
        <f>IF(CY$7&gt;$N63,0,CX63*(1-'Interest Rate'!$B$17))</f>
        <v>0</v>
      </c>
      <c r="CZ63" s="609">
        <f>IF(CZ$7&gt;$N63,0,CY63*(1-'Interest Rate'!$B$17))</f>
        <v>0</v>
      </c>
      <c r="DA63" s="609">
        <f>IF(DA$7&gt;$N63,0,CZ63*(1-'Interest Rate'!$B$17))</f>
        <v>0</v>
      </c>
      <c r="DB63" s="609">
        <f>IF(DB$7&gt;$N63,0,DA63*(1-'Interest Rate'!$B$17))</f>
        <v>0</v>
      </c>
      <c r="DC63" s="609">
        <f>IF(DC$7&gt;$N63,0,DB63*(1-'Interest Rate'!$B$17))</f>
        <v>0</v>
      </c>
      <c r="DD63" s="609">
        <f>IF(DD$7&gt;$N63,0,DC63*(1-'Interest Rate'!$B$17))</f>
        <v>0</v>
      </c>
      <c r="DE63" s="609">
        <f>IF(DE$7&gt;$N63,0,DD63*(1-'Interest Rate'!$B$17))</f>
        <v>0</v>
      </c>
      <c r="DF63" s="609">
        <f>IF(DF$7&gt;$N63,0,DE63*(1-'Interest Rate'!$B$17))</f>
        <v>0</v>
      </c>
      <c r="DG63" s="609">
        <f>IF(DG$7&gt;$N63,0,DF63*(1-'Interest Rate'!$B$17))</f>
        <v>0</v>
      </c>
      <c r="DH63" s="609">
        <f>IF(DH$7&gt;$N63,0,DG63*(1-'Interest Rate'!$B$17))</f>
        <v>0</v>
      </c>
      <c r="DI63" s="609">
        <f>IF(DI$7&gt;$N63,0,DH63*(1-'Interest Rate'!$B$17))</f>
        <v>0</v>
      </c>
      <c r="DJ63" s="609">
        <f>IF(DJ$7&gt;$N63,0,DI63*(1-'Interest Rate'!$B$17))</f>
        <v>0</v>
      </c>
      <c r="DK63" s="609">
        <f>IF(DK$7&gt;$N63,0,DJ63*(1-'Interest Rate'!$B$17))</f>
        <v>0</v>
      </c>
      <c r="DL63" s="609">
        <f>IF(DL$7&gt;$N63,0,DK63*(1-'Interest Rate'!$B$17))</f>
        <v>0</v>
      </c>
      <c r="DM63" s="609">
        <f>IF(DM$7&gt;$N63,0,DL63*(1-'Interest Rate'!$B$17))</f>
        <v>0</v>
      </c>
    </row>
    <row r="64" spans="1:117" ht="27.75" customHeight="1" x14ac:dyDescent="0.3">
      <c r="A64" s="632"/>
      <c r="B64" s="633"/>
      <c r="J64" s="621"/>
      <c r="K64" s="621"/>
      <c r="N64" s="607"/>
      <c r="Q64" s="608"/>
      <c r="R64" s="609"/>
      <c r="S64" s="609"/>
      <c r="T64" s="609"/>
      <c r="U64" s="609"/>
      <c r="V64" s="609"/>
      <c r="W64" s="609"/>
      <c r="X64" s="609"/>
      <c r="Y64" s="609"/>
      <c r="Z64" s="609"/>
      <c r="AA64" s="609"/>
      <c r="AB64" s="609"/>
      <c r="AC64" s="609"/>
      <c r="AD64" s="609"/>
      <c r="AE64" s="609"/>
      <c r="AF64" s="609"/>
      <c r="AG64" s="609"/>
      <c r="AH64" s="609"/>
      <c r="AI64" s="609"/>
      <c r="AJ64" s="609"/>
      <c r="AK64" s="609"/>
      <c r="AL64" s="609"/>
      <c r="AM64" s="609"/>
      <c r="AN64" s="609"/>
      <c r="AO64" s="609"/>
      <c r="AP64" s="609"/>
      <c r="AQ64" s="609"/>
      <c r="AR64" s="609"/>
      <c r="AS64" s="609"/>
      <c r="AT64" s="609"/>
      <c r="AU64" s="609"/>
      <c r="AV64" s="634"/>
      <c r="AW64" s="634"/>
      <c r="AX64" s="634"/>
      <c r="AY64" s="634"/>
      <c r="AZ64" s="634"/>
      <c r="BA64" s="634"/>
      <c r="BB64" s="634"/>
      <c r="BC64" s="634"/>
      <c r="BD64" s="634"/>
      <c r="BE64" s="634"/>
    </row>
    <row r="65" spans="1:117" ht="27.75" customHeight="1" x14ac:dyDescent="0.3">
      <c r="A65" s="595" t="s">
        <v>144</v>
      </c>
      <c r="B65" s="595" t="s">
        <v>143</v>
      </c>
      <c r="C65" s="596" t="s">
        <v>122</v>
      </c>
      <c r="D65" s="596" t="s">
        <v>90</v>
      </c>
      <c r="E65" s="596" t="s">
        <v>123</v>
      </c>
      <c r="F65" s="635" t="s">
        <v>118</v>
      </c>
      <c r="G65" s="635" t="s">
        <v>125</v>
      </c>
      <c r="H65" s="635" t="s">
        <v>124</v>
      </c>
      <c r="I65" s="596" t="s">
        <v>72</v>
      </c>
      <c r="J65" s="611" t="s">
        <v>17</v>
      </c>
      <c r="K65" s="611" t="s">
        <v>22</v>
      </c>
      <c r="L65" s="596" t="s">
        <v>158</v>
      </c>
      <c r="M65" s="596" t="s">
        <v>159</v>
      </c>
      <c r="N65" s="607"/>
      <c r="O65" s="596"/>
      <c r="P65" s="596"/>
      <c r="Q65" s="608"/>
      <c r="R65" s="599">
        <v>1</v>
      </c>
      <c r="S65" s="599">
        <v>2</v>
      </c>
      <c r="T65" s="599">
        <v>3</v>
      </c>
      <c r="U65" s="599">
        <v>4</v>
      </c>
      <c r="V65" s="599">
        <v>5</v>
      </c>
      <c r="W65" s="599">
        <v>6</v>
      </c>
      <c r="X65" s="599">
        <v>7</v>
      </c>
      <c r="Y65" s="599">
        <v>8</v>
      </c>
      <c r="Z65" s="599">
        <v>9</v>
      </c>
      <c r="AA65" s="599">
        <v>10</v>
      </c>
      <c r="AB65" s="599">
        <v>11</v>
      </c>
      <c r="AC65" s="599">
        <v>12</v>
      </c>
      <c r="AD65" s="599">
        <v>13</v>
      </c>
      <c r="AE65" s="599">
        <v>14</v>
      </c>
      <c r="AF65" s="599">
        <v>15</v>
      </c>
      <c r="AG65" s="599">
        <v>16</v>
      </c>
      <c r="AH65" s="599">
        <v>17</v>
      </c>
      <c r="AI65" s="599">
        <v>18</v>
      </c>
      <c r="AJ65" s="599">
        <v>19</v>
      </c>
      <c r="AK65" s="599">
        <v>20</v>
      </c>
      <c r="AL65" s="599">
        <v>21</v>
      </c>
      <c r="AM65" s="599">
        <v>22</v>
      </c>
      <c r="AN65" s="599">
        <v>23</v>
      </c>
      <c r="AO65" s="599">
        <v>24</v>
      </c>
      <c r="AP65" s="599">
        <v>25</v>
      </c>
      <c r="AQ65" s="599">
        <v>26</v>
      </c>
      <c r="AR65" s="599">
        <v>27</v>
      </c>
      <c r="AS65" s="599">
        <v>28</v>
      </c>
      <c r="AT65" s="599">
        <v>29</v>
      </c>
      <c r="AU65" s="599">
        <v>30</v>
      </c>
      <c r="AV65" s="599">
        <v>31</v>
      </c>
      <c r="AW65" s="599">
        <v>32</v>
      </c>
      <c r="AX65" s="599">
        <v>33</v>
      </c>
      <c r="AY65" s="599">
        <v>34</v>
      </c>
      <c r="AZ65" s="599">
        <v>35</v>
      </c>
      <c r="BA65" s="599">
        <v>36</v>
      </c>
      <c r="BB65" s="599">
        <v>37</v>
      </c>
      <c r="BC65" s="599">
        <v>38</v>
      </c>
      <c r="BD65" s="599">
        <v>39</v>
      </c>
      <c r="BE65" s="599">
        <v>40</v>
      </c>
      <c r="BF65" s="599">
        <v>41</v>
      </c>
      <c r="BG65" s="599">
        <v>42</v>
      </c>
      <c r="BH65" s="599">
        <v>43</v>
      </c>
      <c r="BI65" s="599">
        <v>44</v>
      </c>
      <c r="BJ65" s="599">
        <v>45</v>
      </c>
      <c r="BK65" s="599">
        <v>46</v>
      </c>
      <c r="BL65" s="599">
        <v>47</v>
      </c>
      <c r="BM65" s="599">
        <v>48</v>
      </c>
      <c r="BN65" s="599">
        <v>49</v>
      </c>
      <c r="BO65" s="599">
        <v>50</v>
      </c>
      <c r="BP65" s="599">
        <v>51</v>
      </c>
      <c r="BQ65" s="599">
        <v>52</v>
      </c>
      <c r="BR65" s="599">
        <v>53</v>
      </c>
      <c r="BS65" s="599">
        <v>54</v>
      </c>
      <c r="BT65" s="599">
        <v>55</v>
      </c>
      <c r="BU65" s="599">
        <v>56</v>
      </c>
      <c r="BV65" s="599">
        <v>57</v>
      </c>
      <c r="BW65" s="599">
        <v>58</v>
      </c>
      <c r="BX65" s="599">
        <v>59</v>
      </c>
      <c r="BY65" s="599">
        <v>60</v>
      </c>
      <c r="BZ65" s="599">
        <v>61</v>
      </c>
      <c r="CA65" s="599">
        <v>62</v>
      </c>
      <c r="CB65" s="599">
        <v>63</v>
      </c>
      <c r="CC65" s="599">
        <v>64</v>
      </c>
      <c r="CD65" s="599">
        <v>65</v>
      </c>
      <c r="CE65" s="599">
        <v>66</v>
      </c>
      <c r="CF65" s="599">
        <v>67</v>
      </c>
      <c r="CG65" s="599">
        <v>68</v>
      </c>
      <c r="CH65" s="599">
        <v>69</v>
      </c>
      <c r="CI65" s="599">
        <v>70</v>
      </c>
      <c r="CJ65" s="599">
        <v>71</v>
      </c>
      <c r="CK65" s="599">
        <v>72</v>
      </c>
      <c r="CL65" s="599">
        <v>73</v>
      </c>
      <c r="CM65" s="599">
        <v>74</v>
      </c>
      <c r="CN65" s="599">
        <v>75</v>
      </c>
      <c r="CO65" s="599">
        <v>76</v>
      </c>
      <c r="CP65" s="599">
        <v>77</v>
      </c>
      <c r="CQ65" s="599">
        <v>78</v>
      </c>
      <c r="CR65" s="599">
        <v>79</v>
      </c>
      <c r="CS65" s="599">
        <v>80</v>
      </c>
      <c r="CT65" s="599">
        <v>81</v>
      </c>
      <c r="CU65" s="599">
        <v>82</v>
      </c>
      <c r="CV65" s="599">
        <v>83</v>
      </c>
      <c r="CW65" s="599">
        <v>84</v>
      </c>
      <c r="CX65" s="599">
        <v>85</v>
      </c>
      <c r="CY65" s="599">
        <v>86</v>
      </c>
      <c r="CZ65" s="599">
        <v>87</v>
      </c>
      <c r="DA65" s="599">
        <v>88</v>
      </c>
      <c r="DB65" s="599">
        <v>89</v>
      </c>
      <c r="DC65" s="599">
        <v>90</v>
      </c>
      <c r="DD65" s="599">
        <v>91</v>
      </c>
      <c r="DE65" s="599">
        <v>92</v>
      </c>
      <c r="DF65" s="599">
        <v>93</v>
      </c>
      <c r="DG65" s="599">
        <v>94</v>
      </c>
      <c r="DH65" s="599">
        <v>95</v>
      </c>
      <c r="DI65" s="599">
        <v>96</v>
      </c>
      <c r="DJ65" s="599">
        <v>97</v>
      </c>
      <c r="DK65" s="599">
        <v>98</v>
      </c>
      <c r="DL65" s="599">
        <v>99</v>
      </c>
      <c r="DM65" s="599">
        <v>100</v>
      </c>
    </row>
    <row r="66" spans="1:117" ht="27.75" customHeight="1" x14ac:dyDescent="0.3">
      <c r="A66" s="624" t="str">
        <f>'EEM Data Entry'!A141</f>
        <v/>
      </c>
      <c r="B66" s="625" t="str">
        <f>IF('EEM Data Entry'!B141="  ","  ", 'EEM Data Entry'!B141)</f>
        <v/>
      </c>
      <c r="C66" s="626" t="str">
        <f>'EEM Data Entry'!F141</f>
        <v/>
      </c>
      <c r="D66" s="626">
        <v>0</v>
      </c>
      <c r="E66" s="626" t="e">
        <f>C66-D66</f>
        <v>#VALUE!</v>
      </c>
      <c r="F66" s="626">
        <f>('Savings Summary'!D69*'Savings Summary'!D$5)+('Savings Summary'!F69*'Savings Summary'!F$5)+('Savings Summary'!H69*'Savings Summary'!H$5)+('Savings Summary'!J69*'Savings Summary'!J$5)+('Savings Summary'!L69*'Savings Summary'!L$5)+('Savings Summary'!N69*'Savings Summary'!N$5)+('Savings Summary'!P69*'Savings Summary'!P$5)+('Savings Summary'!R69*'Savings Summary'!R$5)</f>
        <v>0</v>
      </c>
      <c r="G66" s="627">
        <f>'Savings Summary'!T69</f>
        <v>0</v>
      </c>
      <c r="H66" s="628" t="e">
        <f>IF(C66=0,"n/a",E66/F66)</f>
        <v>#VALUE!</v>
      </c>
      <c r="I66" s="624" t="e">
        <f>IF(H66=0, "n/a", IF(H66&gt;100, "no",IF(H66&lt;0, "no", "yes")))</f>
        <v>#VALUE!</v>
      </c>
      <c r="J66" s="605" t="e">
        <f t="shared" ref="J66:J79" si="20">IRR(Q66:DM66,0.1)</f>
        <v>#NUM!</v>
      </c>
      <c r="K66" s="630" t="e">
        <f>PV('Interest Rate'!$B$17,Table9[[#This Row],[LIFETIME]],-Table9[[#This Row],[ANNUAL ENERGY COST SAVINGS]],Table9[[#This Row],[END-OF-LIFE]],0)-Table9[[#This Row],[ CAPITAL INVESTMENT]]</f>
        <v>#VALUE!</v>
      </c>
      <c r="L66" s="624" t="str">
        <f>'EEM Data Entry'!C141</f>
        <v/>
      </c>
      <c r="M66" s="607" t="e">
        <f>Table6[[#This Row],[ANNUAL ENERGY COST SAVINGS]]/Table6[[#This Row],[CAPITAL INVESTMENT]]</f>
        <v>#VALUE!</v>
      </c>
      <c r="N66" s="804" t="str">
        <f>Table9[[#This Row],[LIFETIME]]</f>
        <v/>
      </c>
      <c r="O66" s="607"/>
      <c r="P66" s="607"/>
      <c r="Q66" s="608" t="str">
        <f t="shared" ref="Q66:Q79" si="21">IF(ISNUMBER(E66)=TRUE,-E66,"")</f>
        <v/>
      </c>
      <c r="R66" s="609">
        <f>F66</f>
        <v>0</v>
      </c>
      <c r="S66" s="609">
        <f>IF(S$7&gt;$N66,0,R66*(1-'Interest Rate'!$B$17))</f>
        <v>0</v>
      </c>
      <c r="T66" s="609">
        <f>IF(T$7&gt;$N66,0,S66*(1-'Interest Rate'!$B$17))</f>
        <v>0</v>
      </c>
      <c r="U66" s="609">
        <f>IF(U$7&gt;$N66,0,T66*(1-'Interest Rate'!$B$17))</f>
        <v>0</v>
      </c>
      <c r="V66" s="609">
        <f>IF(V$7&gt;$N66,0,U66*(1-'Interest Rate'!$B$17))</f>
        <v>0</v>
      </c>
      <c r="W66" s="609">
        <f>IF(W$7&gt;$N66,0,V66*(1-'Interest Rate'!$B$17))</f>
        <v>0</v>
      </c>
      <c r="X66" s="609">
        <f>IF(X$7&gt;$N66,0,W66*(1-'Interest Rate'!$B$17))</f>
        <v>0</v>
      </c>
      <c r="Y66" s="609">
        <f>IF(Y$7&gt;$N66,0,X66*(1-'Interest Rate'!$B$17))</f>
        <v>0</v>
      </c>
      <c r="Z66" s="609">
        <f>IF(Z$7&gt;$N66,0,Y66*(1-'Interest Rate'!$B$17))</f>
        <v>0</v>
      </c>
      <c r="AA66" s="609">
        <f>IF(AA$7&gt;$N66,0,Z66*(1-'Interest Rate'!$B$17))</f>
        <v>0</v>
      </c>
      <c r="AB66" s="609">
        <f>IF(AB$7&gt;$N66,0,AA66*(1-'Interest Rate'!$B$17))</f>
        <v>0</v>
      </c>
      <c r="AC66" s="609">
        <f>IF(AC$7&gt;$N66,0,AB66*(1-'Interest Rate'!$B$17))</f>
        <v>0</v>
      </c>
      <c r="AD66" s="609">
        <f>IF(AD$7&gt;$N66,0,AC66*(1-'Interest Rate'!$B$17))</f>
        <v>0</v>
      </c>
      <c r="AE66" s="609">
        <f>IF(AE$7&gt;$N66,0,AD66*(1-'Interest Rate'!$B$17))</f>
        <v>0</v>
      </c>
      <c r="AF66" s="609">
        <f>IF(AF$7&gt;$N66,0,AE66*(1-'Interest Rate'!$B$17))</f>
        <v>0</v>
      </c>
      <c r="AG66" s="609">
        <f>IF(AG$7&gt;$N66,0,AF66*(1-'Interest Rate'!$B$17))</f>
        <v>0</v>
      </c>
      <c r="AH66" s="609">
        <f>IF(AH$7&gt;$N66,0,AG66*(1-'Interest Rate'!$B$17))</f>
        <v>0</v>
      </c>
      <c r="AI66" s="609">
        <f>IF(AI$7&gt;$N66,0,AH66*(1-'Interest Rate'!$B$17))</f>
        <v>0</v>
      </c>
      <c r="AJ66" s="609">
        <f>IF(AJ$7&gt;$N66,0,AI66*(1-'Interest Rate'!$B$17))</f>
        <v>0</v>
      </c>
      <c r="AK66" s="609">
        <f>IF(AK$7&gt;$N66,0,AJ66*(1-'Interest Rate'!$B$17))</f>
        <v>0</v>
      </c>
      <c r="AL66" s="609">
        <f>IF(AL$7&gt;$N66,0,AK66*(1-'Interest Rate'!$B$17))</f>
        <v>0</v>
      </c>
      <c r="AM66" s="609">
        <f>IF(AM$7&gt;$N66,0,AL66*(1-'Interest Rate'!$B$17))</f>
        <v>0</v>
      </c>
      <c r="AN66" s="609">
        <f>IF(AN$7&gt;$N66,0,AM66*(1-'Interest Rate'!$B$17))</f>
        <v>0</v>
      </c>
      <c r="AO66" s="609">
        <f>IF(AO$7&gt;$N66,0,AN66*(1-'Interest Rate'!$B$17))</f>
        <v>0</v>
      </c>
      <c r="AP66" s="609">
        <f>IF(AP$7&gt;$N66,0,AO66*(1-'Interest Rate'!$B$17))</f>
        <v>0</v>
      </c>
      <c r="AQ66" s="609">
        <f>IF(AQ$7&gt;$N66,0,AP66*(1-'Interest Rate'!$B$17))</f>
        <v>0</v>
      </c>
      <c r="AR66" s="609">
        <f>IF(AR$7&gt;$N66,0,AQ66*(1-'Interest Rate'!$B$17))</f>
        <v>0</v>
      </c>
      <c r="AS66" s="609">
        <f>IF(AS$7&gt;$N66,0,AR66*(1-'Interest Rate'!$B$17))</f>
        <v>0</v>
      </c>
      <c r="AT66" s="609">
        <f>IF(AT$7&gt;$N66,0,AS66*(1-'Interest Rate'!$B$17))</f>
        <v>0</v>
      </c>
      <c r="AU66" s="609">
        <f>IF(AU$7&gt;$N66,0,AT66*(1-'Interest Rate'!$B$17))</f>
        <v>0</v>
      </c>
      <c r="AV66" s="609">
        <f>IF(AV$7&gt;$N66,0,AU66*(1-'Interest Rate'!$B$17))</f>
        <v>0</v>
      </c>
      <c r="AW66" s="609">
        <f>IF(AW$7&gt;$N66,0,AV66*(1-'Interest Rate'!$B$17))</f>
        <v>0</v>
      </c>
      <c r="AX66" s="609">
        <f>IF(AX$7&gt;$N66,0,AW66*(1-'Interest Rate'!$B$17))</f>
        <v>0</v>
      </c>
      <c r="AY66" s="609">
        <f>IF(AY$7&gt;$N66,0,AX66*(1-'Interest Rate'!$B$17))</f>
        <v>0</v>
      </c>
      <c r="AZ66" s="609">
        <f>IF(AZ$7&gt;$N66,0,AY66*(1-'Interest Rate'!$B$17))</f>
        <v>0</v>
      </c>
      <c r="BA66" s="609">
        <f>IF(BA$7&gt;$N66,0,AZ66*(1-'Interest Rate'!$B$17))</f>
        <v>0</v>
      </c>
      <c r="BB66" s="609">
        <f>IF(BB$7&gt;$N66,0,BA66*(1-'Interest Rate'!$B$17))</f>
        <v>0</v>
      </c>
      <c r="BC66" s="609">
        <f>IF(BC$7&gt;$N66,0,BB66*(1-'Interest Rate'!$B$17))</f>
        <v>0</v>
      </c>
      <c r="BD66" s="609">
        <f>IF(BD$7&gt;$N66,0,BC66*(1-'Interest Rate'!$B$17))</f>
        <v>0</v>
      </c>
      <c r="BE66" s="609">
        <f>IF(BE$7&gt;$N66,0,BD66*(1-'Interest Rate'!$B$17))</f>
        <v>0</v>
      </c>
      <c r="BF66" s="609">
        <f>IF(BF$7&gt;$N66,0,BE66*(1-'Interest Rate'!$B$17))</f>
        <v>0</v>
      </c>
      <c r="BG66" s="609">
        <f>IF(BG$7&gt;$N66,0,BF66*(1-'Interest Rate'!$B$17))</f>
        <v>0</v>
      </c>
      <c r="BH66" s="609">
        <f>IF(BH$7&gt;$N66,0,BG66*(1-'Interest Rate'!$B$17))</f>
        <v>0</v>
      </c>
      <c r="BI66" s="609">
        <f>IF(BI$7&gt;$N66,0,BH66*(1-'Interest Rate'!$B$17))</f>
        <v>0</v>
      </c>
      <c r="BJ66" s="609">
        <f>IF(BJ$7&gt;$N66,0,BI66*(1-'Interest Rate'!$B$17))</f>
        <v>0</v>
      </c>
      <c r="BK66" s="609">
        <f>IF(BK$7&gt;$N66,0,BJ66*(1-'Interest Rate'!$B$17))</f>
        <v>0</v>
      </c>
      <c r="BL66" s="609">
        <f>IF(BL$7&gt;$N66,0,BK66*(1-'Interest Rate'!$B$17))</f>
        <v>0</v>
      </c>
      <c r="BM66" s="609">
        <f>IF(BM$7&gt;$N66,0,BL66*(1-'Interest Rate'!$B$17))</f>
        <v>0</v>
      </c>
      <c r="BN66" s="609">
        <f>IF(BN$7&gt;$N66,0,BM66*(1-'Interest Rate'!$B$17))</f>
        <v>0</v>
      </c>
      <c r="BO66" s="609">
        <f>IF(BO$7&gt;$N66,0,BN66*(1-'Interest Rate'!$B$17))</f>
        <v>0</v>
      </c>
      <c r="BP66" s="609">
        <f>IF(BP$7&gt;$N66,0,BO66*(1-'Interest Rate'!$B$17))</f>
        <v>0</v>
      </c>
      <c r="BQ66" s="609">
        <f>IF(BQ$7&gt;$N66,0,BP66*(1-'Interest Rate'!$B$17))</f>
        <v>0</v>
      </c>
      <c r="BR66" s="609">
        <f>IF(BR$7&gt;$N66,0,BQ66*(1-'Interest Rate'!$B$17))</f>
        <v>0</v>
      </c>
      <c r="BS66" s="609">
        <f>IF(BS$7&gt;$N66,0,BR66*(1-'Interest Rate'!$B$17))</f>
        <v>0</v>
      </c>
      <c r="BT66" s="609">
        <f>IF(BT$7&gt;$N66,0,BS66*(1-'Interest Rate'!$B$17))</f>
        <v>0</v>
      </c>
      <c r="BU66" s="609">
        <f>IF(BU$7&gt;$N66,0,BT66*(1-'Interest Rate'!$B$17))</f>
        <v>0</v>
      </c>
      <c r="BV66" s="609">
        <f>IF(BV$7&gt;$N66,0,BU66*(1-'Interest Rate'!$B$17))</f>
        <v>0</v>
      </c>
      <c r="BW66" s="609">
        <f>IF(BW$7&gt;$N66,0,BV66*(1-'Interest Rate'!$B$17))</f>
        <v>0</v>
      </c>
      <c r="BX66" s="609">
        <f>IF(BX$7&gt;$N66,0,BW66*(1-'Interest Rate'!$B$17))</f>
        <v>0</v>
      </c>
      <c r="BY66" s="609">
        <f>IF(BY$7&gt;$N66,0,BX66*(1-'Interest Rate'!$B$17))</f>
        <v>0</v>
      </c>
      <c r="BZ66" s="609">
        <f>IF(BZ$7&gt;$N66,0,BY66*(1-'Interest Rate'!$B$17))</f>
        <v>0</v>
      </c>
      <c r="CA66" s="609">
        <f>IF(CA$7&gt;$N66,0,BZ66*(1-'Interest Rate'!$B$17))</f>
        <v>0</v>
      </c>
      <c r="CB66" s="609">
        <f>IF(CB$7&gt;$N66,0,CA66*(1-'Interest Rate'!$B$17))</f>
        <v>0</v>
      </c>
      <c r="CC66" s="609">
        <f>IF(CC$7&gt;$N66,0,CB66*(1-'Interest Rate'!$B$17))</f>
        <v>0</v>
      </c>
      <c r="CD66" s="609">
        <f>IF(CD$7&gt;$N66,0,CC66*(1-'Interest Rate'!$B$17))</f>
        <v>0</v>
      </c>
      <c r="CE66" s="609">
        <f>IF(CE$7&gt;$N66,0,CD66*(1-'Interest Rate'!$B$17))</f>
        <v>0</v>
      </c>
      <c r="CF66" s="609">
        <f>IF(CF$7&gt;$N66,0,CE66*(1-'Interest Rate'!$B$17))</f>
        <v>0</v>
      </c>
      <c r="CG66" s="609">
        <f>IF(CG$7&gt;$N66,0,CF66*(1-'Interest Rate'!$B$17))</f>
        <v>0</v>
      </c>
      <c r="CH66" s="609">
        <f>IF(CH$7&gt;$N66,0,CG66*(1-'Interest Rate'!$B$17))</f>
        <v>0</v>
      </c>
      <c r="CI66" s="609">
        <f>IF(CI$7&gt;$N66,0,CH66*(1-'Interest Rate'!$B$17))</f>
        <v>0</v>
      </c>
      <c r="CJ66" s="609">
        <f>IF(CJ$7&gt;$N66,0,CI66*(1-'Interest Rate'!$B$17))</f>
        <v>0</v>
      </c>
      <c r="CK66" s="609">
        <f>IF(CK$7&gt;$N66,0,CJ66*(1-'Interest Rate'!$B$17))</f>
        <v>0</v>
      </c>
      <c r="CL66" s="609">
        <f>IF(CL$7&gt;$N66,0,CK66*(1-'Interest Rate'!$B$17))</f>
        <v>0</v>
      </c>
      <c r="CM66" s="609">
        <f>IF(CM$7&gt;$N66,0,CL66*(1-'Interest Rate'!$B$17))</f>
        <v>0</v>
      </c>
      <c r="CN66" s="609">
        <f>IF(CN$7&gt;$N66,0,CM66*(1-'Interest Rate'!$B$17))</f>
        <v>0</v>
      </c>
      <c r="CO66" s="609">
        <f>IF(CO$7&gt;$N66,0,CN66*(1-'Interest Rate'!$B$17))</f>
        <v>0</v>
      </c>
      <c r="CP66" s="609">
        <f>IF(CP$7&gt;$N66,0,CO66*(1-'Interest Rate'!$B$17))</f>
        <v>0</v>
      </c>
      <c r="CQ66" s="609">
        <f>IF(CQ$7&gt;$N66,0,CP66*(1-'Interest Rate'!$B$17))</f>
        <v>0</v>
      </c>
      <c r="CR66" s="609">
        <f>IF(CR$7&gt;$N66,0,CQ66*(1-'Interest Rate'!$B$17))</f>
        <v>0</v>
      </c>
      <c r="CS66" s="609">
        <f>IF(CS$7&gt;$N66,0,CR66*(1-'Interest Rate'!$B$17))</f>
        <v>0</v>
      </c>
      <c r="CT66" s="609">
        <f>IF(CT$7&gt;$N66,0,CS66*(1-'Interest Rate'!$B$17))</f>
        <v>0</v>
      </c>
      <c r="CU66" s="609">
        <f>IF(CU$7&gt;$N66,0,CT66*(1-'Interest Rate'!$B$17))</f>
        <v>0</v>
      </c>
      <c r="CV66" s="609">
        <f>IF(CV$7&gt;$N66,0,CU66*(1-'Interest Rate'!$B$17))</f>
        <v>0</v>
      </c>
      <c r="CW66" s="609">
        <f>IF(CW$7&gt;$N66,0,CV66*(1-'Interest Rate'!$B$17))</f>
        <v>0</v>
      </c>
      <c r="CX66" s="609">
        <f>IF(CX$7&gt;$N66,0,CW66*(1-'Interest Rate'!$B$17))</f>
        <v>0</v>
      </c>
      <c r="CY66" s="609">
        <f>IF(CY$7&gt;$N66,0,CX66*(1-'Interest Rate'!$B$17))</f>
        <v>0</v>
      </c>
      <c r="CZ66" s="609">
        <f>IF(CZ$7&gt;$N66,0,CY66*(1-'Interest Rate'!$B$17))</f>
        <v>0</v>
      </c>
      <c r="DA66" s="609">
        <f>IF(DA$7&gt;$N66,0,CZ66*(1-'Interest Rate'!$B$17))</f>
        <v>0</v>
      </c>
      <c r="DB66" s="609">
        <f>IF(DB$7&gt;$N66,0,DA66*(1-'Interest Rate'!$B$17))</f>
        <v>0</v>
      </c>
      <c r="DC66" s="609">
        <f>IF(DC$7&gt;$N66,0,DB66*(1-'Interest Rate'!$B$17))</f>
        <v>0</v>
      </c>
      <c r="DD66" s="609">
        <f>IF(DD$7&gt;$N66,0,DC66*(1-'Interest Rate'!$B$17))</f>
        <v>0</v>
      </c>
      <c r="DE66" s="609">
        <f>IF(DE$7&gt;$N66,0,DD66*(1-'Interest Rate'!$B$17))</f>
        <v>0</v>
      </c>
      <c r="DF66" s="609">
        <f>IF(DF$7&gt;$N66,0,DE66*(1-'Interest Rate'!$B$17))</f>
        <v>0</v>
      </c>
      <c r="DG66" s="609">
        <f>IF(DG$7&gt;$N66,0,DF66*(1-'Interest Rate'!$B$17))</f>
        <v>0</v>
      </c>
      <c r="DH66" s="609">
        <f>IF(DH$7&gt;$N66,0,DG66*(1-'Interest Rate'!$B$17))</f>
        <v>0</v>
      </c>
      <c r="DI66" s="609">
        <f>IF(DI$7&gt;$N66,0,DH66*(1-'Interest Rate'!$B$17))</f>
        <v>0</v>
      </c>
      <c r="DJ66" s="609">
        <f>IF(DJ$7&gt;$N66,0,DI66*(1-'Interest Rate'!$B$17))</f>
        <v>0</v>
      </c>
      <c r="DK66" s="609">
        <f>IF(DK$7&gt;$N66,0,DJ66*(1-'Interest Rate'!$B$17))</f>
        <v>0</v>
      </c>
      <c r="DL66" s="609">
        <f>IF(DL$7&gt;$N66,0,DK66*(1-'Interest Rate'!$B$17))</f>
        <v>0</v>
      </c>
      <c r="DM66" s="609">
        <f>IF(DM$7&gt;$N66,0,DL66*(1-'Interest Rate'!$B$17))</f>
        <v>0</v>
      </c>
    </row>
    <row r="67" spans="1:117" ht="27.75" customHeight="1" x14ac:dyDescent="0.3">
      <c r="A67" s="624" t="str">
        <f>'EEM Data Entry'!A142</f>
        <v/>
      </c>
      <c r="B67" s="625" t="str">
        <f>IF('EEM Data Entry'!B142="  ","  ", 'EEM Data Entry'!B142)</f>
        <v/>
      </c>
      <c r="C67" s="626" t="str">
        <f>'EEM Data Entry'!F142</f>
        <v/>
      </c>
      <c r="D67" s="626">
        <v>0</v>
      </c>
      <c r="E67" s="626" t="e">
        <f t="shared" ref="E67:E79" si="22">C67-D67</f>
        <v>#VALUE!</v>
      </c>
      <c r="F67" s="626">
        <f>('Savings Summary'!D70*'Savings Summary'!D$5)+('Savings Summary'!F70*'Savings Summary'!F$5)+('Savings Summary'!H70*'Savings Summary'!H$5)+('Savings Summary'!J70*'Savings Summary'!J$5)+('Savings Summary'!L70*'Savings Summary'!L$5)+('Savings Summary'!N70*'Savings Summary'!N$5)+('Savings Summary'!P70*'Savings Summary'!P$5)+('Savings Summary'!R70*'Savings Summary'!R$5)</f>
        <v>0</v>
      </c>
      <c r="G67" s="627">
        <f>'Savings Summary'!T70</f>
        <v>0</v>
      </c>
      <c r="H67" s="628" t="e">
        <f t="shared" ref="H67:H79" si="23">IF(C67=0,"n/a",E67/F67)</f>
        <v>#VALUE!</v>
      </c>
      <c r="I67" s="624" t="e">
        <f t="shared" ref="I67:I78" si="24">IF(H67=0, "n/a", IF(H67&gt;100, "no",IF(H67&lt;0, "no", "yes")))</f>
        <v>#VALUE!</v>
      </c>
      <c r="J67" s="629" t="e">
        <f t="shared" si="20"/>
        <v>#NUM!</v>
      </c>
      <c r="K67" s="630" t="e">
        <f>PV('Interest Rate'!$B$17,Table9[[#This Row],[LIFETIME]],-Table9[[#This Row],[ANNUAL ENERGY COST SAVINGS]],Table9[[#This Row],[END-OF-LIFE]],0)-Table9[[#This Row],[ CAPITAL INVESTMENT]]</f>
        <v>#VALUE!</v>
      </c>
      <c r="L67" s="624" t="str">
        <f>'EEM Data Entry'!C142</f>
        <v/>
      </c>
      <c r="M67" s="631" t="e">
        <f>Table6[[#This Row],[ANNUAL ENERGY COST SAVINGS]]/Table6[[#This Row],[CAPITAL INVESTMENT]]</f>
        <v>#VALUE!</v>
      </c>
      <c r="N67" s="804" t="str">
        <f>Table9[[#This Row],[LIFETIME]]</f>
        <v/>
      </c>
      <c r="O67" s="803"/>
      <c r="P67" s="803"/>
      <c r="Q67" s="608" t="str">
        <f t="shared" si="21"/>
        <v/>
      </c>
      <c r="R67" s="609">
        <f t="shared" ref="R67:R79" si="25">F67</f>
        <v>0</v>
      </c>
      <c r="S67" s="609">
        <f>IF(S$7&gt;$N67,0,R67*(1-'Interest Rate'!$B$17))</f>
        <v>0</v>
      </c>
      <c r="T67" s="609">
        <f>IF(T$7&gt;$N67,0,S67*(1-'Interest Rate'!$B$17))</f>
        <v>0</v>
      </c>
      <c r="U67" s="609">
        <f>IF(U$7&gt;$N67,0,T67*(1-'Interest Rate'!$B$17))</f>
        <v>0</v>
      </c>
      <c r="V67" s="609">
        <f>IF(V$7&gt;$N67,0,U67*(1-'Interest Rate'!$B$17))</f>
        <v>0</v>
      </c>
      <c r="W67" s="609">
        <f>IF(W$7&gt;$N67,0,V67*(1-'Interest Rate'!$B$17))</f>
        <v>0</v>
      </c>
      <c r="X67" s="609">
        <f>IF(X$7&gt;$N67,0,W67*(1-'Interest Rate'!$B$17))</f>
        <v>0</v>
      </c>
      <c r="Y67" s="609">
        <f>IF(Y$7&gt;$N67,0,X67*(1-'Interest Rate'!$B$17))</f>
        <v>0</v>
      </c>
      <c r="Z67" s="609">
        <f>IF(Z$7&gt;$N67,0,Y67*(1-'Interest Rate'!$B$17))</f>
        <v>0</v>
      </c>
      <c r="AA67" s="609">
        <f>IF(AA$7&gt;$N67,0,Z67*(1-'Interest Rate'!$B$17))</f>
        <v>0</v>
      </c>
      <c r="AB67" s="609">
        <f>IF(AB$7&gt;$N67,0,AA67*(1-'Interest Rate'!$B$17))</f>
        <v>0</v>
      </c>
      <c r="AC67" s="609">
        <f>IF(AC$7&gt;$N67,0,AB67*(1-'Interest Rate'!$B$17))</f>
        <v>0</v>
      </c>
      <c r="AD67" s="609">
        <f>IF(AD$7&gt;$N67,0,AC67*(1-'Interest Rate'!$B$17))</f>
        <v>0</v>
      </c>
      <c r="AE67" s="609">
        <f>IF(AE$7&gt;$N67,0,AD67*(1-'Interest Rate'!$B$17))</f>
        <v>0</v>
      </c>
      <c r="AF67" s="609">
        <f>IF(AF$7&gt;$N67,0,AE67*(1-'Interest Rate'!$B$17))</f>
        <v>0</v>
      </c>
      <c r="AG67" s="609">
        <f>IF(AG$7&gt;$N67,0,AF67*(1-'Interest Rate'!$B$17))</f>
        <v>0</v>
      </c>
      <c r="AH67" s="609">
        <f>IF(AH$7&gt;$N67,0,AG67*(1-'Interest Rate'!$B$17))</f>
        <v>0</v>
      </c>
      <c r="AI67" s="609">
        <f>IF(AI$7&gt;$N67,0,AH67*(1-'Interest Rate'!$B$17))</f>
        <v>0</v>
      </c>
      <c r="AJ67" s="609">
        <f>IF(AJ$7&gt;$N67,0,AI67*(1-'Interest Rate'!$B$17))</f>
        <v>0</v>
      </c>
      <c r="AK67" s="609">
        <f>IF(AK$7&gt;$N67,0,AJ67*(1-'Interest Rate'!$B$17))</f>
        <v>0</v>
      </c>
      <c r="AL67" s="609">
        <f>IF(AL$7&gt;$N67,0,AK67*(1-'Interest Rate'!$B$17))</f>
        <v>0</v>
      </c>
      <c r="AM67" s="609">
        <f>IF(AM$7&gt;$N67,0,AL67*(1-'Interest Rate'!$B$17))</f>
        <v>0</v>
      </c>
      <c r="AN67" s="609">
        <f>IF(AN$7&gt;$N67,0,AM67*(1-'Interest Rate'!$B$17))</f>
        <v>0</v>
      </c>
      <c r="AO67" s="609">
        <f>IF(AO$7&gt;$N67,0,AN67*(1-'Interest Rate'!$B$17))</f>
        <v>0</v>
      </c>
      <c r="AP67" s="609">
        <f>IF(AP$7&gt;$N67,0,AO67*(1-'Interest Rate'!$B$17))</f>
        <v>0</v>
      </c>
      <c r="AQ67" s="609">
        <f>IF(AQ$7&gt;$N67,0,AP67*(1-'Interest Rate'!$B$17))</f>
        <v>0</v>
      </c>
      <c r="AR67" s="609">
        <f>IF(AR$7&gt;$N67,0,AQ67*(1-'Interest Rate'!$B$17))</f>
        <v>0</v>
      </c>
      <c r="AS67" s="609">
        <f>IF(AS$7&gt;$N67,0,AR67*(1-'Interest Rate'!$B$17))</f>
        <v>0</v>
      </c>
      <c r="AT67" s="609">
        <f>IF(AT$7&gt;$N67,0,AS67*(1-'Interest Rate'!$B$17))</f>
        <v>0</v>
      </c>
      <c r="AU67" s="609">
        <f>IF(AU$7&gt;$N67,0,AT67*(1-'Interest Rate'!$B$17))</f>
        <v>0</v>
      </c>
      <c r="AV67" s="609">
        <f>IF(AV$7&gt;$N67,0,AU67*(1-'Interest Rate'!$B$17))</f>
        <v>0</v>
      </c>
      <c r="AW67" s="609">
        <f>IF(AW$7&gt;$N67,0,AV67*(1-'Interest Rate'!$B$17))</f>
        <v>0</v>
      </c>
      <c r="AX67" s="609">
        <f>IF(AX$7&gt;$N67,0,AW67*(1-'Interest Rate'!$B$17))</f>
        <v>0</v>
      </c>
      <c r="AY67" s="609">
        <f>IF(AY$7&gt;$N67,0,AX67*(1-'Interest Rate'!$B$17))</f>
        <v>0</v>
      </c>
      <c r="AZ67" s="609">
        <f>IF(AZ$7&gt;$N67,0,AY67*(1-'Interest Rate'!$B$17))</f>
        <v>0</v>
      </c>
      <c r="BA67" s="609">
        <f>IF(BA$7&gt;$N67,0,AZ67*(1-'Interest Rate'!$B$17))</f>
        <v>0</v>
      </c>
      <c r="BB67" s="609">
        <f>IF(BB$7&gt;$N67,0,BA67*(1-'Interest Rate'!$B$17))</f>
        <v>0</v>
      </c>
      <c r="BC67" s="609">
        <f>IF(BC$7&gt;$N67,0,BB67*(1-'Interest Rate'!$B$17))</f>
        <v>0</v>
      </c>
      <c r="BD67" s="609">
        <f>IF(BD$7&gt;$N67,0,BC67*(1-'Interest Rate'!$B$17))</f>
        <v>0</v>
      </c>
      <c r="BE67" s="609">
        <f>IF(BE$7&gt;$N67,0,BD67*(1-'Interest Rate'!$B$17))</f>
        <v>0</v>
      </c>
      <c r="BF67" s="609">
        <f>IF(BF$7&gt;$N67,0,BE67*(1-'Interest Rate'!$B$17))</f>
        <v>0</v>
      </c>
      <c r="BG67" s="609">
        <f>IF(BG$7&gt;$N67,0,BF67*(1-'Interest Rate'!$B$17))</f>
        <v>0</v>
      </c>
      <c r="BH67" s="609">
        <f>IF(BH$7&gt;$N67,0,BG67*(1-'Interest Rate'!$B$17))</f>
        <v>0</v>
      </c>
      <c r="BI67" s="609">
        <f>IF(BI$7&gt;$N67,0,BH67*(1-'Interest Rate'!$B$17))</f>
        <v>0</v>
      </c>
      <c r="BJ67" s="609">
        <f>IF(BJ$7&gt;$N67,0,BI67*(1-'Interest Rate'!$B$17))</f>
        <v>0</v>
      </c>
      <c r="BK67" s="609">
        <f>IF(BK$7&gt;$N67,0,BJ67*(1-'Interest Rate'!$B$17))</f>
        <v>0</v>
      </c>
      <c r="BL67" s="609">
        <f>IF(BL$7&gt;$N67,0,BK67*(1-'Interest Rate'!$B$17))</f>
        <v>0</v>
      </c>
      <c r="BM67" s="609">
        <f>IF(BM$7&gt;$N67,0,BL67*(1-'Interest Rate'!$B$17))</f>
        <v>0</v>
      </c>
      <c r="BN67" s="609">
        <f>IF(BN$7&gt;$N67,0,BM67*(1-'Interest Rate'!$B$17))</f>
        <v>0</v>
      </c>
      <c r="BO67" s="609">
        <f>IF(BO$7&gt;$N67,0,BN67*(1-'Interest Rate'!$B$17))</f>
        <v>0</v>
      </c>
      <c r="BP67" s="609">
        <f>IF(BP$7&gt;$N67,0,BO67*(1-'Interest Rate'!$B$17))</f>
        <v>0</v>
      </c>
      <c r="BQ67" s="609">
        <f>IF(BQ$7&gt;$N67,0,BP67*(1-'Interest Rate'!$B$17))</f>
        <v>0</v>
      </c>
      <c r="BR67" s="609">
        <f>IF(BR$7&gt;$N67,0,BQ67*(1-'Interest Rate'!$B$17))</f>
        <v>0</v>
      </c>
      <c r="BS67" s="609">
        <f>IF(BS$7&gt;$N67,0,BR67*(1-'Interest Rate'!$B$17))</f>
        <v>0</v>
      </c>
      <c r="BT67" s="609">
        <f>IF(BT$7&gt;$N67,0,BS67*(1-'Interest Rate'!$B$17))</f>
        <v>0</v>
      </c>
      <c r="BU67" s="609">
        <f>IF(BU$7&gt;$N67,0,BT67*(1-'Interest Rate'!$B$17))</f>
        <v>0</v>
      </c>
      <c r="BV67" s="609">
        <f>IF(BV$7&gt;$N67,0,BU67*(1-'Interest Rate'!$B$17))</f>
        <v>0</v>
      </c>
      <c r="BW67" s="609">
        <f>IF(BW$7&gt;$N67,0,BV67*(1-'Interest Rate'!$B$17))</f>
        <v>0</v>
      </c>
      <c r="BX67" s="609">
        <f>IF(BX$7&gt;$N67,0,BW67*(1-'Interest Rate'!$B$17))</f>
        <v>0</v>
      </c>
      <c r="BY67" s="609">
        <f>IF(BY$7&gt;$N67,0,BX67*(1-'Interest Rate'!$B$17))</f>
        <v>0</v>
      </c>
      <c r="BZ67" s="609">
        <f>IF(BZ$7&gt;$N67,0,BY67*(1-'Interest Rate'!$B$17))</f>
        <v>0</v>
      </c>
      <c r="CA67" s="609">
        <f>IF(CA$7&gt;$N67,0,BZ67*(1-'Interest Rate'!$B$17))</f>
        <v>0</v>
      </c>
      <c r="CB67" s="609">
        <f>IF(CB$7&gt;$N67,0,CA67*(1-'Interest Rate'!$B$17))</f>
        <v>0</v>
      </c>
      <c r="CC67" s="609">
        <f>IF(CC$7&gt;$N67,0,CB67*(1-'Interest Rate'!$B$17))</f>
        <v>0</v>
      </c>
      <c r="CD67" s="609">
        <f>IF(CD$7&gt;$N67,0,CC67*(1-'Interest Rate'!$B$17))</f>
        <v>0</v>
      </c>
      <c r="CE67" s="609">
        <f>IF(CE$7&gt;$N67,0,CD67*(1-'Interest Rate'!$B$17))</f>
        <v>0</v>
      </c>
      <c r="CF67" s="609">
        <f>IF(CF$7&gt;$N67,0,CE67*(1-'Interest Rate'!$B$17))</f>
        <v>0</v>
      </c>
      <c r="CG67" s="609">
        <f>IF(CG$7&gt;$N67,0,CF67*(1-'Interest Rate'!$B$17))</f>
        <v>0</v>
      </c>
      <c r="CH67" s="609">
        <f>IF(CH$7&gt;$N67,0,CG67*(1-'Interest Rate'!$B$17))</f>
        <v>0</v>
      </c>
      <c r="CI67" s="609">
        <f>IF(CI$7&gt;$N67,0,CH67*(1-'Interest Rate'!$B$17))</f>
        <v>0</v>
      </c>
      <c r="CJ67" s="609">
        <f>IF(CJ$7&gt;$N67,0,CI67*(1-'Interest Rate'!$B$17))</f>
        <v>0</v>
      </c>
      <c r="CK67" s="609">
        <f>IF(CK$7&gt;$N67,0,CJ67*(1-'Interest Rate'!$B$17))</f>
        <v>0</v>
      </c>
      <c r="CL67" s="609">
        <f>IF(CL$7&gt;$N67,0,CK67*(1-'Interest Rate'!$B$17))</f>
        <v>0</v>
      </c>
      <c r="CM67" s="609">
        <f>IF(CM$7&gt;$N67,0,CL67*(1-'Interest Rate'!$B$17))</f>
        <v>0</v>
      </c>
      <c r="CN67" s="609">
        <f>IF(CN$7&gt;$N67,0,CM67*(1-'Interest Rate'!$B$17))</f>
        <v>0</v>
      </c>
      <c r="CO67" s="609">
        <f>IF(CO$7&gt;$N67,0,CN67*(1-'Interest Rate'!$B$17))</f>
        <v>0</v>
      </c>
      <c r="CP67" s="609">
        <f>IF(CP$7&gt;$N67,0,CO67*(1-'Interest Rate'!$B$17))</f>
        <v>0</v>
      </c>
      <c r="CQ67" s="609">
        <f>IF(CQ$7&gt;$N67,0,CP67*(1-'Interest Rate'!$B$17))</f>
        <v>0</v>
      </c>
      <c r="CR67" s="609">
        <f>IF(CR$7&gt;$N67,0,CQ67*(1-'Interest Rate'!$B$17))</f>
        <v>0</v>
      </c>
      <c r="CS67" s="609">
        <f>IF(CS$7&gt;$N67,0,CR67*(1-'Interest Rate'!$B$17))</f>
        <v>0</v>
      </c>
      <c r="CT67" s="609">
        <f>IF(CT$7&gt;$N67,0,CS67*(1-'Interest Rate'!$B$17))</f>
        <v>0</v>
      </c>
      <c r="CU67" s="609">
        <f>IF(CU$7&gt;$N67,0,CT67*(1-'Interest Rate'!$B$17))</f>
        <v>0</v>
      </c>
      <c r="CV67" s="609">
        <f>IF(CV$7&gt;$N67,0,CU67*(1-'Interest Rate'!$B$17))</f>
        <v>0</v>
      </c>
      <c r="CW67" s="609">
        <f>IF(CW$7&gt;$N67,0,CV67*(1-'Interest Rate'!$B$17))</f>
        <v>0</v>
      </c>
      <c r="CX67" s="609">
        <f>IF(CX$7&gt;$N67,0,CW67*(1-'Interest Rate'!$B$17))</f>
        <v>0</v>
      </c>
      <c r="CY67" s="609">
        <f>IF(CY$7&gt;$N67,0,CX67*(1-'Interest Rate'!$B$17))</f>
        <v>0</v>
      </c>
      <c r="CZ67" s="609">
        <f>IF(CZ$7&gt;$N67,0,CY67*(1-'Interest Rate'!$B$17))</f>
        <v>0</v>
      </c>
      <c r="DA67" s="609">
        <f>IF(DA$7&gt;$N67,0,CZ67*(1-'Interest Rate'!$B$17))</f>
        <v>0</v>
      </c>
      <c r="DB67" s="609">
        <f>IF(DB$7&gt;$N67,0,DA67*(1-'Interest Rate'!$B$17))</f>
        <v>0</v>
      </c>
      <c r="DC67" s="609">
        <f>IF(DC$7&gt;$N67,0,DB67*(1-'Interest Rate'!$B$17))</f>
        <v>0</v>
      </c>
      <c r="DD67" s="609">
        <f>IF(DD$7&gt;$N67,0,DC67*(1-'Interest Rate'!$B$17))</f>
        <v>0</v>
      </c>
      <c r="DE67" s="609">
        <f>IF(DE$7&gt;$N67,0,DD67*(1-'Interest Rate'!$B$17))</f>
        <v>0</v>
      </c>
      <c r="DF67" s="609">
        <f>IF(DF$7&gt;$N67,0,DE67*(1-'Interest Rate'!$B$17))</f>
        <v>0</v>
      </c>
      <c r="DG67" s="609">
        <f>IF(DG$7&gt;$N67,0,DF67*(1-'Interest Rate'!$B$17))</f>
        <v>0</v>
      </c>
      <c r="DH67" s="609">
        <f>IF(DH$7&gt;$N67,0,DG67*(1-'Interest Rate'!$B$17))</f>
        <v>0</v>
      </c>
      <c r="DI67" s="609">
        <f>IF(DI$7&gt;$N67,0,DH67*(1-'Interest Rate'!$B$17))</f>
        <v>0</v>
      </c>
      <c r="DJ67" s="609">
        <f>IF(DJ$7&gt;$N67,0,DI67*(1-'Interest Rate'!$B$17))</f>
        <v>0</v>
      </c>
      <c r="DK67" s="609">
        <f>IF(DK$7&gt;$N67,0,DJ67*(1-'Interest Rate'!$B$17))</f>
        <v>0</v>
      </c>
      <c r="DL67" s="609">
        <f>IF(DL$7&gt;$N67,0,DK67*(1-'Interest Rate'!$B$17))</f>
        <v>0</v>
      </c>
      <c r="DM67" s="609">
        <f>IF(DM$7&gt;$N67,0,DL67*(1-'Interest Rate'!$B$17))</f>
        <v>0</v>
      </c>
    </row>
    <row r="68" spans="1:117" ht="27.75" customHeight="1" x14ac:dyDescent="0.3">
      <c r="A68" s="624" t="str">
        <f>'EEM Data Entry'!A143</f>
        <v/>
      </c>
      <c r="B68" s="625" t="str">
        <f>IF('EEM Data Entry'!B143="  ","  ", 'EEM Data Entry'!B143)</f>
        <v/>
      </c>
      <c r="C68" s="626" t="str">
        <f>'EEM Data Entry'!F143</f>
        <v/>
      </c>
      <c r="D68" s="626">
        <v>0</v>
      </c>
      <c r="E68" s="626" t="e">
        <f t="shared" si="22"/>
        <v>#VALUE!</v>
      </c>
      <c r="F68" s="626">
        <f>('Savings Summary'!D71*'Savings Summary'!D$5)+('Savings Summary'!F71*'Savings Summary'!F$5)+('Savings Summary'!H71*'Savings Summary'!H$5)+('Savings Summary'!J71*'Savings Summary'!J$5)+('Savings Summary'!L71*'Savings Summary'!L$5)+('Savings Summary'!N71*'Savings Summary'!N$5)+('Savings Summary'!P71*'Savings Summary'!P$5)+('Savings Summary'!R71*'Savings Summary'!R$5)</f>
        <v>0</v>
      </c>
      <c r="G68" s="627">
        <f>'Savings Summary'!T71</f>
        <v>0</v>
      </c>
      <c r="H68" s="628" t="e">
        <f>IF(C68=0,"n/a",E68/F68)</f>
        <v>#VALUE!</v>
      </c>
      <c r="I68" s="624" t="e">
        <f t="shared" si="24"/>
        <v>#VALUE!</v>
      </c>
      <c r="J68" s="629" t="e">
        <f t="shared" si="20"/>
        <v>#NUM!</v>
      </c>
      <c r="K68" s="630" t="e">
        <f>PV('Interest Rate'!$B$17,Table9[[#This Row],[LIFETIME]],-Table9[[#This Row],[ANNUAL ENERGY COST SAVINGS]],Table9[[#This Row],[END-OF-LIFE]],0)-Table9[[#This Row],[ CAPITAL INVESTMENT]]</f>
        <v>#VALUE!</v>
      </c>
      <c r="L68" s="624" t="str">
        <f>'EEM Data Entry'!C143</f>
        <v/>
      </c>
      <c r="M68" s="631" t="e">
        <f>Table6[[#This Row],[ANNUAL ENERGY COST SAVINGS]]/Table6[[#This Row],[CAPITAL INVESTMENT]]</f>
        <v>#VALUE!</v>
      </c>
      <c r="N68" s="804" t="str">
        <f>Table9[[#This Row],[LIFETIME]]</f>
        <v/>
      </c>
      <c r="O68" s="803"/>
      <c r="P68" s="803"/>
      <c r="Q68" s="608" t="str">
        <f t="shared" si="21"/>
        <v/>
      </c>
      <c r="R68" s="609">
        <f t="shared" si="25"/>
        <v>0</v>
      </c>
      <c r="S68" s="609">
        <f>IF(S$7&gt;$N68,0,R68*(1-'Interest Rate'!$B$17))</f>
        <v>0</v>
      </c>
      <c r="T68" s="609">
        <f>IF(T$7&gt;$N68,0,S68*(1-'Interest Rate'!$B$17))</f>
        <v>0</v>
      </c>
      <c r="U68" s="609">
        <f>IF(U$7&gt;$N68,0,T68*(1-'Interest Rate'!$B$17))</f>
        <v>0</v>
      </c>
      <c r="V68" s="609">
        <f>IF(V$7&gt;$N68,0,U68*(1-'Interest Rate'!$B$17))</f>
        <v>0</v>
      </c>
      <c r="W68" s="609">
        <f>IF(W$7&gt;$N68,0,V68*(1-'Interest Rate'!$B$17))</f>
        <v>0</v>
      </c>
      <c r="X68" s="609">
        <f>IF(X$7&gt;$N68,0,W68*(1-'Interest Rate'!$B$17))</f>
        <v>0</v>
      </c>
      <c r="Y68" s="609">
        <f>IF(Y$7&gt;$N68,0,X68*(1-'Interest Rate'!$B$17))</f>
        <v>0</v>
      </c>
      <c r="Z68" s="609">
        <f>IF(Z$7&gt;$N68,0,Y68*(1-'Interest Rate'!$B$17))</f>
        <v>0</v>
      </c>
      <c r="AA68" s="609">
        <f>IF(AA$7&gt;$N68,0,Z68*(1-'Interest Rate'!$B$17))</f>
        <v>0</v>
      </c>
      <c r="AB68" s="609">
        <f>IF(AB$7&gt;$N68,0,AA68*(1-'Interest Rate'!$B$17))</f>
        <v>0</v>
      </c>
      <c r="AC68" s="609">
        <f>IF(AC$7&gt;$N68,0,AB68*(1-'Interest Rate'!$B$17))</f>
        <v>0</v>
      </c>
      <c r="AD68" s="609">
        <f>IF(AD$7&gt;$N68,0,AC68*(1-'Interest Rate'!$B$17))</f>
        <v>0</v>
      </c>
      <c r="AE68" s="609">
        <f>IF(AE$7&gt;$N68,0,AD68*(1-'Interest Rate'!$B$17))</f>
        <v>0</v>
      </c>
      <c r="AF68" s="609">
        <f>IF(AF$7&gt;$N68,0,AE68*(1-'Interest Rate'!$B$17))</f>
        <v>0</v>
      </c>
      <c r="AG68" s="609">
        <f>IF(AG$7&gt;$N68,0,AF68*(1-'Interest Rate'!$B$17))</f>
        <v>0</v>
      </c>
      <c r="AH68" s="609">
        <f>IF(AH$7&gt;$N68,0,AG68*(1-'Interest Rate'!$B$17))</f>
        <v>0</v>
      </c>
      <c r="AI68" s="609">
        <f>IF(AI$7&gt;$N68,0,AH68*(1-'Interest Rate'!$B$17))</f>
        <v>0</v>
      </c>
      <c r="AJ68" s="609">
        <f>IF(AJ$7&gt;$N68,0,AI68*(1-'Interest Rate'!$B$17))</f>
        <v>0</v>
      </c>
      <c r="AK68" s="609">
        <f>IF(AK$7&gt;$N68,0,AJ68*(1-'Interest Rate'!$B$17))</f>
        <v>0</v>
      </c>
      <c r="AL68" s="609">
        <f>IF(AL$7&gt;$N68,0,AK68*(1-'Interest Rate'!$B$17))</f>
        <v>0</v>
      </c>
      <c r="AM68" s="609">
        <f>IF(AM$7&gt;$N68,0,AL68*(1-'Interest Rate'!$B$17))</f>
        <v>0</v>
      </c>
      <c r="AN68" s="609">
        <f>IF(AN$7&gt;$N68,0,AM68*(1-'Interest Rate'!$B$17))</f>
        <v>0</v>
      </c>
      <c r="AO68" s="609">
        <f>IF(AO$7&gt;$N68,0,AN68*(1-'Interest Rate'!$B$17))</f>
        <v>0</v>
      </c>
      <c r="AP68" s="609">
        <f>IF(AP$7&gt;$N68,0,AO68*(1-'Interest Rate'!$B$17))</f>
        <v>0</v>
      </c>
      <c r="AQ68" s="609">
        <f>IF(AQ$7&gt;$N68,0,AP68*(1-'Interest Rate'!$B$17))</f>
        <v>0</v>
      </c>
      <c r="AR68" s="609">
        <f>IF(AR$7&gt;$N68,0,AQ68*(1-'Interest Rate'!$B$17))</f>
        <v>0</v>
      </c>
      <c r="AS68" s="609">
        <f>IF(AS$7&gt;$N68,0,AR68*(1-'Interest Rate'!$B$17))</f>
        <v>0</v>
      </c>
      <c r="AT68" s="609">
        <f>IF(AT$7&gt;$N68,0,AS68*(1-'Interest Rate'!$B$17))</f>
        <v>0</v>
      </c>
      <c r="AU68" s="609">
        <f>IF(AU$7&gt;$N68,0,AT68*(1-'Interest Rate'!$B$17))</f>
        <v>0</v>
      </c>
      <c r="AV68" s="609">
        <f>IF(AV$7&gt;$N68,0,AU68*(1-'Interest Rate'!$B$17))</f>
        <v>0</v>
      </c>
      <c r="AW68" s="609">
        <f>IF(AW$7&gt;$N68,0,AV68*(1-'Interest Rate'!$B$17))</f>
        <v>0</v>
      </c>
      <c r="AX68" s="609">
        <f>IF(AX$7&gt;$N68,0,AW68*(1-'Interest Rate'!$B$17))</f>
        <v>0</v>
      </c>
      <c r="AY68" s="609">
        <f>IF(AY$7&gt;$N68,0,AX68*(1-'Interest Rate'!$B$17))</f>
        <v>0</v>
      </c>
      <c r="AZ68" s="609">
        <f>IF(AZ$7&gt;$N68,0,AY68*(1-'Interest Rate'!$B$17))</f>
        <v>0</v>
      </c>
      <c r="BA68" s="609">
        <f>IF(BA$7&gt;$N68,0,AZ68*(1-'Interest Rate'!$B$17))</f>
        <v>0</v>
      </c>
      <c r="BB68" s="609">
        <f>IF(BB$7&gt;$N68,0,BA68*(1-'Interest Rate'!$B$17))</f>
        <v>0</v>
      </c>
      <c r="BC68" s="609">
        <f>IF(BC$7&gt;$N68,0,BB68*(1-'Interest Rate'!$B$17))</f>
        <v>0</v>
      </c>
      <c r="BD68" s="609">
        <f>IF(BD$7&gt;$N68,0,BC68*(1-'Interest Rate'!$B$17))</f>
        <v>0</v>
      </c>
      <c r="BE68" s="609">
        <f>IF(BE$7&gt;$N68,0,BD68*(1-'Interest Rate'!$B$17))</f>
        <v>0</v>
      </c>
      <c r="BF68" s="609">
        <f>IF(BF$7&gt;$N68,0,BE68*(1-'Interest Rate'!$B$17))</f>
        <v>0</v>
      </c>
      <c r="BG68" s="609">
        <f>IF(BG$7&gt;$N68,0,BF68*(1-'Interest Rate'!$B$17))</f>
        <v>0</v>
      </c>
      <c r="BH68" s="609">
        <f>IF(BH$7&gt;$N68,0,BG68*(1-'Interest Rate'!$B$17))</f>
        <v>0</v>
      </c>
      <c r="BI68" s="609">
        <f>IF(BI$7&gt;$N68,0,BH68*(1-'Interest Rate'!$B$17))</f>
        <v>0</v>
      </c>
      <c r="BJ68" s="609">
        <f>IF(BJ$7&gt;$N68,0,BI68*(1-'Interest Rate'!$B$17))</f>
        <v>0</v>
      </c>
      <c r="BK68" s="609">
        <f>IF(BK$7&gt;$N68,0,BJ68*(1-'Interest Rate'!$B$17))</f>
        <v>0</v>
      </c>
      <c r="BL68" s="609">
        <f>IF(BL$7&gt;$N68,0,BK68*(1-'Interest Rate'!$B$17))</f>
        <v>0</v>
      </c>
      <c r="BM68" s="609">
        <f>IF(BM$7&gt;$N68,0,BL68*(1-'Interest Rate'!$B$17))</f>
        <v>0</v>
      </c>
      <c r="BN68" s="609">
        <f>IF(BN$7&gt;$N68,0,BM68*(1-'Interest Rate'!$B$17))</f>
        <v>0</v>
      </c>
      <c r="BO68" s="609">
        <f>IF(BO$7&gt;$N68,0,BN68*(1-'Interest Rate'!$B$17))</f>
        <v>0</v>
      </c>
      <c r="BP68" s="609">
        <f>IF(BP$7&gt;$N68,0,BO68*(1-'Interest Rate'!$B$17))</f>
        <v>0</v>
      </c>
      <c r="BQ68" s="609">
        <f>IF(BQ$7&gt;$N68,0,BP68*(1-'Interest Rate'!$B$17))</f>
        <v>0</v>
      </c>
      <c r="BR68" s="609">
        <f>IF(BR$7&gt;$N68,0,BQ68*(1-'Interest Rate'!$B$17))</f>
        <v>0</v>
      </c>
      <c r="BS68" s="609">
        <f>IF(BS$7&gt;$N68,0,BR68*(1-'Interest Rate'!$B$17))</f>
        <v>0</v>
      </c>
      <c r="BT68" s="609">
        <f>IF(BT$7&gt;$N68,0,BS68*(1-'Interest Rate'!$B$17))</f>
        <v>0</v>
      </c>
      <c r="BU68" s="609">
        <f>IF(BU$7&gt;$N68,0,BT68*(1-'Interest Rate'!$B$17))</f>
        <v>0</v>
      </c>
      <c r="BV68" s="609">
        <f>IF(BV$7&gt;$N68,0,BU68*(1-'Interest Rate'!$B$17))</f>
        <v>0</v>
      </c>
      <c r="BW68" s="609">
        <f>IF(BW$7&gt;$N68,0,BV68*(1-'Interest Rate'!$B$17))</f>
        <v>0</v>
      </c>
      <c r="BX68" s="609">
        <f>IF(BX$7&gt;$N68,0,BW68*(1-'Interest Rate'!$B$17))</f>
        <v>0</v>
      </c>
      <c r="BY68" s="609">
        <f>IF(BY$7&gt;$N68,0,BX68*(1-'Interest Rate'!$B$17))</f>
        <v>0</v>
      </c>
      <c r="BZ68" s="609">
        <f>IF(BZ$7&gt;$N68,0,BY68*(1-'Interest Rate'!$B$17))</f>
        <v>0</v>
      </c>
      <c r="CA68" s="609">
        <f>IF(CA$7&gt;$N68,0,BZ68*(1-'Interest Rate'!$B$17))</f>
        <v>0</v>
      </c>
      <c r="CB68" s="609">
        <f>IF(CB$7&gt;$N68,0,CA68*(1-'Interest Rate'!$B$17))</f>
        <v>0</v>
      </c>
      <c r="CC68" s="609">
        <f>IF(CC$7&gt;$N68,0,CB68*(1-'Interest Rate'!$B$17))</f>
        <v>0</v>
      </c>
      <c r="CD68" s="609">
        <f>IF(CD$7&gt;$N68,0,CC68*(1-'Interest Rate'!$B$17))</f>
        <v>0</v>
      </c>
      <c r="CE68" s="609">
        <f>IF(CE$7&gt;$N68,0,CD68*(1-'Interest Rate'!$B$17))</f>
        <v>0</v>
      </c>
      <c r="CF68" s="609">
        <f>IF(CF$7&gt;$N68,0,CE68*(1-'Interest Rate'!$B$17))</f>
        <v>0</v>
      </c>
      <c r="CG68" s="609">
        <f>IF(CG$7&gt;$N68,0,CF68*(1-'Interest Rate'!$B$17))</f>
        <v>0</v>
      </c>
      <c r="CH68" s="609">
        <f>IF(CH$7&gt;$N68,0,CG68*(1-'Interest Rate'!$B$17))</f>
        <v>0</v>
      </c>
      <c r="CI68" s="609">
        <f>IF(CI$7&gt;$N68,0,CH68*(1-'Interest Rate'!$B$17))</f>
        <v>0</v>
      </c>
      <c r="CJ68" s="609">
        <f>IF(CJ$7&gt;$N68,0,CI68*(1-'Interest Rate'!$B$17))</f>
        <v>0</v>
      </c>
      <c r="CK68" s="609">
        <f>IF(CK$7&gt;$N68,0,CJ68*(1-'Interest Rate'!$B$17))</f>
        <v>0</v>
      </c>
      <c r="CL68" s="609">
        <f>IF(CL$7&gt;$N68,0,CK68*(1-'Interest Rate'!$B$17))</f>
        <v>0</v>
      </c>
      <c r="CM68" s="609">
        <f>IF(CM$7&gt;$N68,0,CL68*(1-'Interest Rate'!$B$17))</f>
        <v>0</v>
      </c>
      <c r="CN68" s="609">
        <f>IF(CN$7&gt;$N68,0,CM68*(1-'Interest Rate'!$B$17))</f>
        <v>0</v>
      </c>
      <c r="CO68" s="609">
        <f>IF(CO$7&gt;$N68,0,CN68*(1-'Interest Rate'!$B$17))</f>
        <v>0</v>
      </c>
      <c r="CP68" s="609">
        <f>IF(CP$7&gt;$N68,0,CO68*(1-'Interest Rate'!$B$17))</f>
        <v>0</v>
      </c>
      <c r="CQ68" s="609">
        <f>IF(CQ$7&gt;$N68,0,CP68*(1-'Interest Rate'!$B$17))</f>
        <v>0</v>
      </c>
      <c r="CR68" s="609">
        <f>IF(CR$7&gt;$N68,0,CQ68*(1-'Interest Rate'!$B$17))</f>
        <v>0</v>
      </c>
      <c r="CS68" s="609">
        <f>IF(CS$7&gt;$N68,0,CR68*(1-'Interest Rate'!$B$17))</f>
        <v>0</v>
      </c>
      <c r="CT68" s="609">
        <f>IF(CT$7&gt;$N68,0,CS68*(1-'Interest Rate'!$B$17))</f>
        <v>0</v>
      </c>
      <c r="CU68" s="609">
        <f>IF(CU$7&gt;$N68,0,CT68*(1-'Interest Rate'!$B$17))</f>
        <v>0</v>
      </c>
      <c r="CV68" s="609">
        <f>IF(CV$7&gt;$N68,0,CU68*(1-'Interest Rate'!$B$17))</f>
        <v>0</v>
      </c>
      <c r="CW68" s="609">
        <f>IF(CW$7&gt;$N68,0,CV68*(1-'Interest Rate'!$B$17))</f>
        <v>0</v>
      </c>
      <c r="CX68" s="609">
        <f>IF(CX$7&gt;$N68,0,CW68*(1-'Interest Rate'!$B$17))</f>
        <v>0</v>
      </c>
      <c r="CY68" s="609">
        <f>IF(CY$7&gt;$N68,0,CX68*(1-'Interest Rate'!$B$17))</f>
        <v>0</v>
      </c>
      <c r="CZ68" s="609">
        <f>IF(CZ$7&gt;$N68,0,CY68*(1-'Interest Rate'!$B$17))</f>
        <v>0</v>
      </c>
      <c r="DA68" s="609">
        <f>IF(DA$7&gt;$N68,0,CZ68*(1-'Interest Rate'!$B$17))</f>
        <v>0</v>
      </c>
      <c r="DB68" s="609">
        <f>IF(DB$7&gt;$N68,0,DA68*(1-'Interest Rate'!$B$17))</f>
        <v>0</v>
      </c>
      <c r="DC68" s="609">
        <f>IF(DC$7&gt;$N68,0,DB68*(1-'Interest Rate'!$B$17))</f>
        <v>0</v>
      </c>
      <c r="DD68" s="609">
        <f>IF(DD$7&gt;$N68,0,DC68*(1-'Interest Rate'!$B$17))</f>
        <v>0</v>
      </c>
      <c r="DE68" s="609">
        <f>IF(DE$7&gt;$N68,0,DD68*(1-'Interest Rate'!$B$17))</f>
        <v>0</v>
      </c>
      <c r="DF68" s="609">
        <f>IF(DF$7&gt;$N68,0,DE68*(1-'Interest Rate'!$B$17))</f>
        <v>0</v>
      </c>
      <c r="DG68" s="609">
        <f>IF(DG$7&gt;$N68,0,DF68*(1-'Interest Rate'!$B$17))</f>
        <v>0</v>
      </c>
      <c r="DH68" s="609">
        <f>IF(DH$7&gt;$N68,0,DG68*(1-'Interest Rate'!$B$17))</f>
        <v>0</v>
      </c>
      <c r="DI68" s="609">
        <f>IF(DI$7&gt;$N68,0,DH68*(1-'Interest Rate'!$B$17))</f>
        <v>0</v>
      </c>
      <c r="DJ68" s="609">
        <f>IF(DJ$7&gt;$N68,0,DI68*(1-'Interest Rate'!$B$17))</f>
        <v>0</v>
      </c>
      <c r="DK68" s="609">
        <f>IF(DK$7&gt;$N68,0,DJ68*(1-'Interest Rate'!$B$17))</f>
        <v>0</v>
      </c>
      <c r="DL68" s="609">
        <f>IF(DL$7&gt;$N68,0,DK68*(1-'Interest Rate'!$B$17))</f>
        <v>0</v>
      </c>
      <c r="DM68" s="609">
        <f>IF(DM$7&gt;$N68,0,DL68*(1-'Interest Rate'!$B$17))</f>
        <v>0</v>
      </c>
    </row>
    <row r="69" spans="1:117" ht="27.75" customHeight="1" x14ac:dyDescent="0.3">
      <c r="A69" s="624" t="str">
        <f>'EEM Data Entry'!A144</f>
        <v/>
      </c>
      <c r="B69" s="625" t="str">
        <f>IF('EEM Data Entry'!B144="  ","  ", 'EEM Data Entry'!B144)</f>
        <v/>
      </c>
      <c r="C69" s="626" t="str">
        <f>'EEM Data Entry'!F144</f>
        <v/>
      </c>
      <c r="D69" s="626">
        <v>0</v>
      </c>
      <c r="E69" s="626" t="e">
        <f t="shared" si="22"/>
        <v>#VALUE!</v>
      </c>
      <c r="F69" s="626">
        <f>('Savings Summary'!D72*'Savings Summary'!D$5)+('Savings Summary'!F72*'Savings Summary'!F$5)+('Savings Summary'!H72*'Savings Summary'!H$5)+('Savings Summary'!J72*'Savings Summary'!J$5)+('Savings Summary'!L72*'Savings Summary'!L$5)+('Savings Summary'!N72*'Savings Summary'!N$5)+('Savings Summary'!P72*'Savings Summary'!P$5)+('Savings Summary'!R72*'Savings Summary'!R$5)</f>
        <v>0</v>
      </c>
      <c r="G69" s="627">
        <f>'Savings Summary'!T72</f>
        <v>0</v>
      </c>
      <c r="H69" s="628" t="e">
        <f t="shared" si="23"/>
        <v>#VALUE!</v>
      </c>
      <c r="I69" s="624" t="e">
        <f t="shared" si="24"/>
        <v>#VALUE!</v>
      </c>
      <c r="J69" s="629" t="e">
        <f t="shared" si="20"/>
        <v>#NUM!</v>
      </c>
      <c r="K69" s="630" t="e">
        <f>PV('Interest Rate'!$B$17,Table9[[#This Row],[LIFETIME]],-Table9[[#This Row],[ANNUAL ENERGY COST SAVINGS]],Table9[[#This Row],[END-OF-LIFE]],0)-Table9[[#This Row],[ CAPITAL INVESTMENT]]</f>
        <v>#VALUE!</v>
      </c>
      <c r="L69" s="624" t="str">
        <f>'EEM Data Entry'!C144</f>
        <v/>
      </c>
      <c r="M69" s="631" t="e">
        <f>Table6[[#This Row],[ANNUAL ENERGY COST SAVINGS]]/Table6[[#This Row],[CAPITAL INVESTMENT]]</f>
        <v>#VALUE!</v>
      </c>
      <c r="N69" s="804" t="str">
        <f>Table9[[#This Row],[LIFETIME]]</f>
        <v/>
      </c>
      <c r="O69" s="803"/>
      <c r="P69" s="803"/>
      <c r="Q69" s="608" t="str">
        <f t="shared" si="21"/>
        <v/>
      </c>
      <c r="R69" s="609">
        <f t="shared" si="25"/>
        <v>0</v>
      </c>
      <c r="S69" s="609">
        <f>IF(S$7&gt;$N69,0,R69*(1-'Interest Rate'!$B$17))</f>
        <v>0</v>
      </c>
      <c r="T69" s="609">
        <f>IF(T$7&gt;$N69,0,S69*(1-'Interest Rate'!$B$17))</f>
        <v>0</v>
      </c>
      <c r="U69" s="609">
        <f>IF(U$7&gt;$N69,0,T69*(1-'Interest Rate'!$B$17))</f>
        <v>0</v>
      </c>
      <c r="V69" s="609">
        <f>IF(V$7&gt;$N69,0,U69*(1-'Interest Rate'!$B$17))</f>
        <v>0</v>
      </c>
      <c r="W69" s="609">
        <f>IF(W$7&gt;$N69,0,V69*(1-'Interest Rate'!$B$17))</f>
        <v>0</v>
      </c>
      <c r="X69" s="609">
        <f>IF(X$7&gt;$N69,0,W69*(1-'Interest Rate'!$B$17))</f>
        <v>0</v>
      </c>
      <c r="Y69" s="609">
        <f>IF(Y$7&gt;$N69,0,X69*(1-'Interest Rate'!$B$17))</f>
        <v>0</v>
      </c>
      <c r="Z69" s="609">
        <f>IF(Z$7&gt;$N69,0,Y69*(1-'Interest Rate'!$B$17))</f>
        <v>0</v>
      </c>
      <c r="AA69" s="609">
        <f>IF(AA$7&gt;$N69,0,Z69*(1-'Interest Rate'!$B$17))</f>
        <v>0</v>
      </c>
      <c r="AB69" s="609">
        <f>IF(AB$7&gt;$N69,0,AA69*(1-'Interest Rate'!$B$17))</f>
        <v>0</v>
      </c>
      <c r="AC69" s="609">
        <f>IF(AC$7&gt;$N69,0,AB69*(1-'Interest Rate'!$B$17))</f>
        <v>0</v>
      </c>
      <c r="AD69" s="609">
        <f>IF(AD$7&gt;$N69,0,AC69*(1-'Interest Rate'!$B$17))</f>
        <v>0</v>
      </c>
      <c r="AE69" s="609">
        <f>IF(AE$7&gt;$N69,0,AD69*(1-'Interest Rate'!$B$17))</f>
        <v>0</v>
      </c>
      <c r="AF69" s="609">
        <f>IF(AF$7&gt;$N69,0,AE69*(1-'Interest Rate'!$B$17))</f>
        <v>0</v>
      </c>
      <c r="AG69" s="609">
        <f>IF(AG$7&gt;$N69,0,AF69*(1-'Interest Rate'!$B$17))</f>
        <v>0</v>
      </c>
      <c r="AH69" s="609">
        <f>IF(AH$7&gt;$N69,0,AG69*(1-'Interest Rate'!$B$17))</f>
        <v>0</v>
      </c>
      <c r="AI69" s="609">
        <f>IF(AI$7&gt;$N69,0,AH69*(1-'Interest Rate'!$B$17))</f>
        <v>0</v>
      </c>
      <c r="AJ69" s="609">
        <f>IF(AJ$7&gt;$N69,0,AI69*(1-'Interest Rate'!$B$17))</f>
        <v>0</v>
      </c>
      <c r="AK69" s="609">
        <f>IF(AK$7&gt;$N69,0,AJ69*(1-'Interest Rate'!$B$17))</f>
        <v>0</v>
      </c>
      <c r="AL69" s="609">
        <f>IF(AL$7&gt;$N69,0,AK69*(1-'Interest Rate'!$B$17))</f>
        <v>0</v>
      </c>
      <c r="AM69" s="609">
        <f>IF(AM$7&gt;$N69,0,AL69*(1-'Interest Rate'!$B$17))</f>
        <v>0</v>
      </c>
      <c r="AN69" s="609">
        <f>IF(AN$7&gt;$N69,0,AM69*(1-'Interest Rate'!$B$17))</f>
        <v>0</v>
      </c>
      <c r="AO69" s="609">
        <f>IF(AO$7&gt;$N69,0,AN69*(1-'Interest Rate'!$B$17))</f>
        <v>0</v>
      </c>
      <c r="AP69" s="609">
        <f>IF(AP$7&gt;$N69,0,AO69*(1-'Interest Rate'!$B$17))</f>
        <v>0</v>
      </c>
      <c r="AQ69" s="609">
        <f>IF(AQ$7&gt;$N69,0,AP69*(1-'Interest Rate'!$B$17))</f>
        <v>0</v>
      </c>
      <c r="AR69" s="609">
        <f>IF(AR$7&gt;$N69,0,AQ69*(1-'Interest Rate'!$B$17))</f>
        <v>0</v>
      </c>
      <c r="AS69" s="609">
        <f>IF(AS$7&gt;$N69,0,AR69*(1-'Interest Rate'!$B$17))</f>
        <v>0</v>
      </c>
      <c r="AT69" s="609">
        <f>IF(AT$7&gt;$N69,0,AS69*(1-'Interest Rate'!$B$17))</f>
        <v>0</v>
      </c>
      <c r="AU69" s="609">
        <f>IF(AU$7&gt;$N69,0,AT69*(1-'Interest Rate'!$B$17))</f>
        <v>0</v>
      </c>
      <c r="AV69" s="609">
        <f>IF(AV$7&gt;$N69,0,AU69*(1-'Interest Rate'!$B$17))</f>
        <v>0</v>
      </c>
      <c r="AW69" s="609">
        <f>IF(AW$7&gt;$N69,0,AV69*(1-'Interest Rate'!$B$17))</f>
        <v>0</v>
      </c>
      <c r="AX69" s="609">
        <f>IF(AX$7&gt;$N69,0,AW69*(1-'Interest Rate'!$B$17))</f>
        <v>0</v>
      </c>
      <c r="AY69" s="609">
        <f>IF(AY$7&gt;$N69,0,AX69*(1-'Interest Rate'!$B$17))</f>
        <v>0</v>
      </c>
      <c r="AZ69" s="609">
        <f>IF(AZ$7&gt;$N69,0,AY69*(1-'Interest Rate'!$B$17))</f>
        <v>0</v>
      </c>
      <c r="BA69" s="609">
        <f>IF(BA$7&gt;$N69,0,AZ69*(1-'Interest Rate'!$B$17))</f>
        <v>0</v>
      </c>
      <c r="BB69" s="609">
        <f>IF(BB$7&gt;$N69,0,BA69*(1-'Interest Rate'!$B$17))</f>
        <v>0</v>
      </c>
      <c r="BC69" s="609">
        <f>IF(BC$7&gt;$N69,0,BB69*(1-'Interest Rate'!$B$17))</f>
        <v>0</v>
      </c>
      <c r="BD69" s="609">
        <f>IF(BD$7&gt;$N69,0,BC69*(1-'Interest Rate'!$B$17))</f>
        <v>0</v>
      </c>
      <c r="BE69" s="609">
        <f>IF(BE$7&gt;$N69,0,BD69*(1-'Interest Rate'!$B$17))</f>
        <v>0</v>
      </c>
      <c r="BF69" s="609">
        <f>IF(BF$7&gt;$N69,0,BE69*(1-'Interest Rate'!$B$17))</f>
        <v>0</v>
      </c>
      <c r="BG69" s="609">
        <f>IF(BG$7&gt;$N69,0,BF69*(1-'Interest Rate'!$B$17))</f>
        <v>0</v>
      </c>
      <c r="BH69" s="609">
        <f>IF(BH$7&gt;$N69,0,BG69*(1-'Interest Rate'!$B$17))</f>
        <v>0</v>
      </c>
      <c r="BI69" s="609">
        <f>IF(BI$7&gt;$N69,0,BH69*(1-'Interest Rate'!$B$17))</f>
        <v>0</v>
      </c>
      <c r="BJ69" s="609">
        <f>IF(BJ$7&gt;$N69,0,BI69*(1-'Interest Rate'!$B$17))</f>
        <v>0</v>
      </c>
      <c r="BK69" s="609">
        <f>IF(BK$7&gt;$N69,0,BJ69*(1-'Interest Rate'!$B$17))</f>
        <v>0</v>
      </c>
      <c r="BL69" s="609">
        <f>IF(BL$7&gt;$N69,0,BK69*(1-'Interest Rate'!$B$17))</f>
        <v>0</v>
      </c>
      <c r="BM69" s="609">
        <f>IF(BM$7&gt;$N69,0,BL69*(1-'Interest Rate'!$B$17))</f>
        <v>0</v>
      </c>
      <c r="BN69" s="609">
        <f>IF(BN$7&gt;$N69,0,BM69*(1-'Interest Rate'!$B$17))</f>
        <v>0</v>
      </c>
      <c r="BO69" s="609">
        <f>IF(BO$7&gt;$N69,0,BN69*(1-'Interest Rate'!$B$17))</f>
        <v>0</v>
      </c>
      <c r="BP69" s="609">
        <f>IF(BP$7&gt;$N69,0,BO69*(1-'Interest Rate'!$B$17))</f>
        <v>0</v>
      </c>
      <c r="BQ69" s="609">
        <f>IF(BQ$7&gt;$N69,0,BP69*(1-'Interest Rate'!$B$17))</f>
        <v>0</v>
      </c>
      <c r="BR69" s="609">
        <f>IF(BR$7&gt;$N69,0,BQ69*(1-'Interest Rate'!$B$17))</f>
        <v>0</v>
      </c>
      <c r="BS69" s="609">
        <f>IF(BS$7&gt;$N69,0,BR69*(1-'Interest Rate'!$B$17))</f>
        <v>0</v>
      </c>
      <c r="BT69" s="609">
        <f>IF(BT$7&gt;$N69,0,BS69*(1-'Interest Rate'!$B$17))</f>
        <v>0</v>
      </c>
      <c r="BU69" s="609">
        <f>IF(BU$7&gt;$N69,0,BT69*(1-'Interest Rate'!$B$17))</f>
        <v>0</v>
      </c>
      <c r="BV69" s="609">
        <f>IF(BV$7&gt;$N69,0,BU69*(1-'Interest Rate'!$B$17))</f>
        <v>0</v>
      </c>
      <c r="BW69" s="609">
        <f>IF(BW$7&gt;$N69,0,BV69*(1-'Interest Rate'!$B$17))</f>
        <v>0</v>
      </c>
      <c r="BX69" s="609">
        <f>IF(BX$7&gt;$N69,0,BW69*(1-'Interest Rate'!$B$17))</f>
        <v>0</v>
      </c>
      <c r="BY69" s="609">
        <f>IF(BY$7&gt;$N69,0,BX69*(1-'Interest Rate'!$B$17))</f>
        <v>0</v>
      </c>
      <c r="BZ69" s="609">
        <f>IF(BZ$7&gt;$N69,0,BY69*(1-'Interest Rate'!$B$17))</f>
        <v>0</v>
      </c>
      <c r="CA69" s="609">
        <f>IF(CA$7&gt;$N69,0,BZ69*(1-'Interest Rate'!$B$17))</f>
        <v>0</v>
      </c>
      <c r="CB69" s="609">
        <f>IF(CB$7&gt;$N69,0,CA69*(1-'Interest Rate'!$B$17))</f>
        <v>0</v>
      </c>
      <c r="CC69" s="609">
        <f>IF(CC$7&gt;$N69,0,CB69*(1-'Interest Rate'!$B$17))</f>
        <v>0</v>
      </c>
      <c r="CD69" s="609">
        <f>IF(CD$7&gt;$N69,0,CC69*(1-'Interest Rate'!$B$17))</f>
        <v>0</v>
      </c>
      <c r="CE69" s="609">
        <f>IF(CE$7&gt;$N69,0,CD69*(1-'Interest Rate'!$B$17))</f>
        <v>0</v>
      </c>
      <c r="CF69" s="609">
        <f>IF(CF$7&gt;$N69,0,CE69*(1-'Interest Rate'!$B$17))</f>
        <v>0</v>
      </c>
      <c r="CG69" s="609">
        <f>IF(CG$7&gt;$N69,0,CF69*(1-'Interest Rate'!$B$17))</f>
        <v>0</v>
      </c>
      <c r="CH69" s="609">
        <f>IF(CH$7&gt;$N69,0,CG69*(1-'Interest Rate'!$B$17))</f>
        <v>0</v>
      </c>
      <c r="CI69" s="609">
        <f>IF(CI$7&gt;$N69,0,CH69*(1-'Interest Rate'!$B$17))</f>
        <v>0</v>
      </c>
      <c r="CJ69" s="609">
        <f>IF(CJ$7&gt;$N69,0,CI69*(1-'Interest Rate'!$B$17))</f>
        <v>0</v>
      </c>
      <c r="CK69" s="609">
        <f>IF(CK$7&gt;$N69,0,CJ69*(1-'Interest Rate'!$B$17))</f>
        <v>0</v>
      </c>
      <c r="CL69" s="609">
        <f>IF(CL$7&gt;$N69,0,CK69*(1-'Interest Rate'!$B$17))</f>
        <v>0</v>
      </c>
      <c r="CM69" s="609">
        <f>IF(CM$7&gt;$N69,0,CL69*(1-'Interest Rate'!$B$17))</f>
        <v>0</v>
      </c>
      <c r="CN69" s="609">
        <f>IF(CN$7&gt;$N69,0,CM69*(1-'Interest Rate'!$B$17))</f>
        <v>0</v>
      </c>
      <c r="CO69" s="609">
        <f>IF(CO$7&gt;$N69,0,CN69*(1-'Interest Rate'!$B$17))</f>
        <v>0</v>
      </c>
      <c r="CP69" s="609">
        <f>IF(CP$7&gt;$N69,0,CO69*(1-'Interest Rate'!$B$17))</f>
        <v>0</v>
      </c>
      <c r="CQ69" s="609">
        <f>IF(CQ$7&gt;$N69,0,CP69*(1-'Interest Rate'!$B$17))</f>
        <v>0</v>
      </c>
      <c r="CR69" s="609">
        <f>IF(CR$7&gt;$N69,0,CQ69*(1-'Interest Rate'!$B$17))</f>
        <v>0</v>
      </c>
      <c r="CS69" s="609">
        <f>IF(CS$7&gt;$N69,0,CR69*(1-'Interest Rate'!$B$17))</f>
        <v>0</v>
      </c>
      <c r="CT69" s="609">
        <f>IF(CT$7&gt;$N69,0,CS69*(1-'Interest Rate'!$B$17))</f>
        <v>0</v>
      </c>
      <c r="CU69" s="609">
        <f>IF(CU$7&gt;$N69,0,CT69*(1-'Interest Rate'!$B$17))</f>
        <v>0</v>
      </c>
      <c r="CV69" s="609">
        <f>IF(CV$7&gt;$N69,0,CU69*(1-'Interest Rate'!$B$17))</f>
        <v>0</v>
      </c>
      <c r="CW69" s="609">
        <f>IF(CW$7&gt;$N69,0,CV69*(1-'Interest Rate'!$B$17))</f>
        <v>0</v>
      </c>
      <c r="CX69" s="609">
        <f>IF(CX$7&gt;$N69,0,CW69*(1-'Interest Rate'!$B$17))</f>
        <v>0</v>
      </c>
      <c r="CY69" s="609">
        <f>IF(CY$7&gt;$N69,0,CX69*(1-'Interest Rate'!$B$17))</f>
        <v>0</v>
      </c>
      <c r="CZ69" s="609">
        <f>IF(CZ$7&gt;$N69,0,CY69*(1-'Interest Rate'!$B$17))</f>
        <v>0</v>
      </c>
      <c r="DA69" s="609">
        <f>IF(DA$7&gt;$N69,0,CZ69*(1-'Interest Rate'!$B$17))</f>
        <v>0</v>
      </c>
      <c r="DB69" s="609">
        <f>IF(DB$7&gt;$N69,0,DA69*(1-'Interest Rate'!$B$17))</f>
        <v>0</v>
      </c>
      <c r="DC69" s="609">
        <f>IF(DC$7&gt;$N69,0,DB69*(1-'Interest Rate'!$B$17))</f>
        <v>0</v>
      </c>
      <c r="DD69" s="609">
        <f>IF(DD$7&gt;$N69,0,DC69*(1-'Interest Rate'!$B$17))</f>
        <v>0</v>
      </c>
      <c r="DE69" s="609">
        <f>IF(DE$7&gt;$N69,0,DD69*(1-'Interest Rate'!$B$17))</f>
        <v>0</v>
      </c>
      <c r="DF69" s="609">
        <f>IF(DF$7&gt;$N69,0,DE69*(1-'Interest Rate'!$B$17))</f>
        <v>0</v>
      </c>
      <c r="DG69" s="609">
        <f>IF(DG$7&gt;$N69,0,DF69*(1-'Interest Rate'!$B$17))</f>
        <v>0</v>
      </c>
      <c r="DH69" s="609">
        <f>IF(DH$7&gt;$N69,0,DG69*(1-'Interest Rate'!$B$17))</f>
        <v>0</v>
      </c>
      <c r="DI69" s="609">
        <f>IF(DI$7&gt;$N69,0,DH69*(1-'Interest Rate'!$B$17))</f>
        <v>0</v>
      </c>
      <c r="DJ69" s="609">
        <f>IF(DJ$7&gt;$N69,0,DI69*(1-'Interest Rate'!$B$17))</f>
        <v>0</v>
      </c>
      <c r="DK69" s="609">
        <f>IF(DK$7&gt;$N69,0,DJ69*(1-'Interest Rate'!$B$17))</f>
        <v>0</v>
      </c>
      <c r="DL69" s="609">
        <f>IF(DL$7&gt;$N69,0,DK69*(1-'Interest Rate'!$B$17))</f>
        <v>0</v>
      </c>
      <c r="DM69" s="609">
        <f>IF(DM$7&gt;$N69,0,DL69*(1-'Interest Rate'!$B$17))</f>
        <v>0</v>
      </c>
    </row>
    <row r="70" spans="1:117" ht="27.75" customHeight="1" x14ac:dyDescent="0.3">
      <c r="A70" s="624" t="str">
        <f>'EEM Data Entry'!A145</f>
        <v/>
      </c>
      <c r="B70" s="625" t="str">
        <f>IF('EEM Data Entry'!B145="  ","  ", 'EEM Data Entry'!B145)</f>
        <v/>
      </c>
      <c r="C70" s="626" t="str">
        <f>'EEM Data Entry'!F145</f>
        <v/>
      </c>
      <c r="D70" s="626">
        <v>0</v>
      </c>
      <c r="E70" s="626" t="e">
        <f t="shared" si="22"/>
        <v>#VALUE!</v>
      </c>
      <c r="F70" s="626">
        <f>('Savings Summary'!D73*'Savings Summary'!D$5)+('Savings Summary'!F73*'Savings Summary'!F$5)+('Savings Summary'!H73*'Savings Summary'!H$5)+('Savings Summary'!J73*'Savings Summary'!J$5)+('Savings Summary'!L73*'Savings Summary'!L$5)+('Savings Summary'!N73*'Savings Summary'!N$5)+('Savings Summary'!P73*'Savings Summary'!P$5)+('Savings Summary'!R73*'Savings Summary'!R$5)</f>
        <v>0</v>
      </c>
      <c r="G70" s="627">
        <f>'Savings Summary'!T73</f>
        <v>0</v>
      </c>
      <c r="H70" s="628" t="e">
        <f t="shared" si="23"/>
        <v>#VALUE!</v>
      </c>
      <c r="I70" s="624" t="e">
        <f t="shared" si="24"/>
        <v>#VALUE!</v>
      </c>
      <c r="J70" s="629" t="e">
        <f t="shared" si="20"/>
        <v>#NUM!</v>
      </c>
      <c r="K70" s="630" t="e">
        <f>PV('Interest Rate'!$B$17,Table9[[#This Row],[LIFETIME]],-Table9[[#This Row],[ANNUAL ENERGY COST SAVINGS]],Table9[[#This Row],[END-OF-LIFE]],0)-Table9[[#This Row],[ CAPITAL INVESTMENT]]</f>
        <v>#VALUE!</v>
      </c>
      <c r="L70" s="624" t="str">
        <f>'EEM Data Entry'!C145</f>
        <v/>
      </c>
      <c r="M70" s="631" t="e">
        <f>Table6[[#This Row],[ANNUAL ENERGY COST SAVINGS]]/Table6[[#This Row],[CAPITAL INVESTMENT]]</f>
        <v>#VALUE!</v>
      </c>
      <c r="N70" s="804" t="str">
        <f>Table9[[#This Row],[LIFETIME]]</f>
        <v/>
      </c>
      <c r="O70" s="803"/>
      <c r="P70" s="803"/>
      <c r="Q70" s="608" t="str">
        <f t="shared" si="21"/>
        <v/>
      </c>
      <c r="R70" s="609">
        <f t="shared" si="25"/>
        <v>0</v>
      </c>
      <c r="S70" s="609">
        <f>IF(S$7&gt;$N70,0,R70*(1-'Interest Rate'!$B$17))</f>
        <v>0</v>
      </c>
      <c r="T70" s="609">
        <f>IF(T$7&gt;$N70,0,S70*(1-'Interest Rate'!$B$17))</f>
        <v>0</v>
      </c>
      <c r="U70" s="609">
        <f>IF(U$7&gt;$N70,0,T70*(1-'Interest Rate'!$B$17))</f>
        <v>0</v>
      </c>
      <c r="V70" s="609">
        <f>IF(V$7&gt;$N70,0,U70*(1-'Interest Rate'!$B$17))</f>
        <v>0</v>
      </c>
      <c r="W70" s="609">
        <f>IF(W$7&gt;$N70,0,V70*(1-'Interest Rate'!$B$17))</f>
        <v>0</v>
      </c>
      <c r="X70" s="609">
        <f>IF(X$7&gt;$N70,0,W70*(1-'Interest Rate'!$B$17))</f>
        <v>0</v>
      </c>
      <c r="Y70" s="609">
        <f>IF(Y$7&gt;$N70,0,X70*(1-'Interest Rate'!$B$17))</f>
        <v>0</v>
      </c>
      <c r="Z70" s="609">
        <f>IF(Z$7&gt;$N70,0,Y70*(1-'Interest Rate'!$B$17))</f>
        <v>0</v>
      </c>
      <c r="AA70" s="609">
        <f>IF(AA$7&gt;$N70,0,Z70*(1-'Interest Rate'!$B$17))</f>
        <v>0</v>
      </c>
      <c r="AB70" s="609">
        <f>IF(AB$7&gt;$N70,0,AA70*(1-'Interest Rate'!$B$17))</f>
        <v>0</v>
      </c>
      <c r="AC70" s="609">
        <f>IF(AC$7&gt;$N70,0,AB70*(1-'Interest Rate'!$B$17))</f>
        <v>0</v>
      </c>
      <c r="AD70" s="609">
        <f>IF(AD$7&gt;$N70,0,AC70*(1-'Interest Rate'!$B$17))</f>
        <v>0</v>
      </c>
      <c r="AE70" s="609">
        <f>IF(AE$7&gt;$N70,0,AD70*(1-'Interest Rate'!$B$17))</f>
        <v>0</v>
      </c>
      <c r="AF70" s="609">
        <f>IF(AF$7&gt;$N70,0,AE70*(1-'Interest Rate'!$B$17))</f>
        <v>0</v>
      </c>
      <c r="AG70" s="609">
        <f>IF(AG$7&gt;$N70,0,AF70*(1-'Interest Rate'!$B$17))</f>
        <v>0</v>
      </c>
      <c r="AH70" s="609">
        <f>IF(AH$7&gt;$N70,0,AG70*(1-'Interest Rate'!$B$17))</f>
        <v>0</v>
      </c>
      <c r="AI70" s="609">
        <f>IF(AI$7&gt;$N70,0,AH70*(1-'Interest Rate'!$B$17))</f>
        <v>0</v>
      </c>
      <c r="AJ70" s="609">
        <f>IF(AJ$7&gt;$N70,0,AI70*(1-'Interest Rate'!$B$17))</f>
        <v>0</v>
      </c>
      <c r="AK70" s="609">
        <f>IF(AK$7&gt;$N70,0,AJ70*(1-'Interest Rate'!$B$17))</f>
        <v>0</v>
      </c>
      <c r="AL70" s="609">
        <f>IF(AL$7&gt;$N70,0,AK70*(1-'Interest Rate'!$B$17))</f>
        <v>0</v>
      </c>
      <c r="AM70" s="609">
        <f>IF(AM$7&gt;$N70,0,AL70*(1-'Interest Rate'!$B$17))</f>
        <v>0</v>
      </c>
      <c r="AN70" s="609">
        <f>IF(AN$7&gt;$N70,0,AM70*(1-'Interest Rate'!$B$17))</f>
        <v>0</v>
      </c>
      <c r="AO70" s="609">
        <f>IF(AO$7&gt;$N70,0,AN70*(1-'Interest Rate'!$B$17))</f>
        <v>0</v>
      </c>
      <c r="AP70" s="609">
        <f>IF(AP$7&gt;$N70,0,AO70*(1-'Interest Rate'!$B$17))</f>
        <v>0</v>
      </c>
      <c r="AQ70" s="609">
        <f>IF(AQ$7&gt;$N70,0,AP70*(1-'Interest Rate'!$B$17))</f>
        <v>0</v>
      </c>
      <c r="AR70" s="609">
        <f>IF(AR$7&gt;$N70,0,AQ70*(1-'Interest Rate'!$B$17))</f>
        <v>0</v>
      </c>
      <c r="AS70" s="609">
        <f>IF(AS$7&gt;$N70,0,AR70*(1-'Interest Rate'!$B$17))</f>
        <v>0</v>
      </c>
      <c r="AT70" s="609">
        <f>IF(AT$7&gt;$N70,0,AS70*(1-'Interest Rate'!$B$17))</f>
        <v>0</v>
      </c>
      <c r="AU70" s="609">
        <f>IF(AU$7&gt;$N70,0,AT70*(1-'Interest Rate'!$B$17))</f>
        <v>0</v>
      </c>
      <c r="AV70" s="609">
        <f>IF(AV$7&gt;$N70,0,AU70*(1-'Interest Rate'!$B$17))</f>
        <v>0</v>
      </c>
      <c r="AW70" s="609">
        <f>IF(AW$7&gt;$N70,0,AV70*(1-'Interest Rate'!$B$17))</f>
        <v>0</v>
      </c>
      <c r="AX70" s="609">
        <f>IF(AX$7&gt;$N70,0,AW70*(1-'Interest Rate'!$B$17))</f>
        <v>0</v>
      </c>
      <c r="AY70" s="609">
        <f>IF(AY$7&gt;$N70,0,AX70*(1-'Interest Rate'!$B$17))</f>
        <v>0</v>
      </c>
      <c r="AZ70" s="609">
        <f>IF(AZ$7&gt;$N70,0,AY70*(1-'Interest Rate'!$B$17))</f>
        <v>0</v>
      </c>
      <c r="BA70" s="609">
        <f>IF(BA$7&gt;$N70,0,AZ70*(1-'Interest Rate'!$B$17))</f>
        <v>0</v>
      </c>
      <c r="BB70" s="609">
        <f>IF(BB$7&gt;$N70,0,BA70*(1-'Interest Rate'!$B$17))</f>
        <v>0</v>
      </c>
      <c r="BC70" s="609">
        <f>IF(BC$7&gt;$N70,0,BB70*(1-'Interest Rate'!$B$17))</f>
        <v>0</v>
      </c>
      <c r="BD70" s="609">
        <f>IF(BD$7&gt;$N70,0,BC70*(1-'Interest Rate'!$B$17))</f>
        <v>0</v>
      </c>
      <c r="BE70" s="609">
        <f>IF(BE$7&gt;$N70,0,BD70*(1-'Interest Rate'!$B$17))</f>
        <v>0</v>
      </c>
      <c r="BF70" s="609">
        <f>IF(BF$7&gt;$N70,0,BE70*(1-'Interest Rate'!$B$17))</f>
        <v>0</v>
      </c>
      <c r="BG70" s="609">
        <f>IF(BG$7&gt;$N70,0,BF70*(1-'Interest Rate'!$B$17))</f>
        <v>0</v>
      </c>
      <c r="BH70" s="609">
        <f>IF(BH$7&gt;$N70,0,BG70*(1-'Interest Rate'!$B$17))</f>
        <v>0</v>
      </c>
      <c r="BI70" s="609">
        <f>IF(BI$7&gt;$N70,0,BH70*(1-'Interest Rate'!$B$17))</f>
        <v>0</v>
      </c>
      <c r="BJ70" s="609">
        <f>IF(BJ$7&gt;$N70,0,BI70*(1-'Interest Rate'!$B$17))</f>
        <v>0</v>
      </c>
      <c r="BK70" s="609">
        <f>IF(BK$7&gt;$N70,0,BJ70*(1-'Interest Rate'!$B$17))</f>
        <v>0</v>
      </c>
      <c r="BL70" s="609">
        <f>IF(BL$7&gt;$N70,0,BK70*(1-'Interest Rate'!$B$17))</f>
        <v>0</v>
      </c>
      <c r="BM70" s="609">
        <f>IF(BM$7&gt;$N70,0,BL70*(1-'Interest Rate'!$B$17))</f>
        <v>0</v>
      </c>
      <c r="BN70" s="609">
        <f>IF(BN$7&gt;$N70,0,BM70*(1-'Interest Rate'!$B$17))</f>
        <v>0</v>
      </c>
      <c r="BO70" s="609">
        <f>IF(BO$7&gt;$N70,0,BN70*(1-'Interest Rate'!$B$17))</f>
        <v>0</v>
      </c>
      <c r="BP70" s="609">
        <f>IF(BP$7&gt;$N70,0,BO70*(1-'Interest Rate'!$B$17))</f>
        <v>0</v>
      </c>
      <c r="BQ70" s="609">
        <f>IF(BQ$7&gt;$N70,0,BP70*(1-'Interest Rate'!$B$17))</f>
        <v>0</v>
      </c>
      <c r="BR70" s="609">
        <f>IF(BR$7&gt;$N70,0,BQ70*(1-'Interest Rate'!$B$17))</f>
        <v>0</v>
      </c>
      <c r="BS70" s="609">
        <f>IF(BS$7&gt;$N70,0,BR70*(1-'Interest Rate'!$B$17))</f>
        <v>0</v>
      </c>
      <c r="BT70" s="609">
        <f>IF(BT$7&gt;$N70,0,BS70*(1-'Interest Rate'!$B$17))</f>
        <v>0</v>
      </c>
      <c r="BU70" s="609">
        <f>IF(BU$7&gt;$N70,0,BT70*(1-'Interest Rate'!$B$17))</f>
        <v>0</v>
      </c>
      <c r="BV70" s="609">
        <f>IF(BV$7&gt;$N70,0,BU70*(1-'Interest Rate'!$B$17))</f>
        <v>0</v>
      </c>
      <c r="BW70" s="609">
        <f>IF(BW$7&gt;$N70,0,BV70*(1-'Interest Rate'!$B$17))</f>
        <v>0</v>
      </c>
      <c r="BX70" s="609">
        <f>IF(BX$7&gt;$N70,0,BW70*(1-'Interest Rate'!$B$17))</f>
        <v>0</v>
      </c>
      <c r="BY70" s="609">
        <f>IF(BY$7&gt;$N70,0,BX70*(1-'Interest Rate'!$B$17))</f>
        <v>0</v>
      </c>
      <c r="BZ70" s="609">
        <f>IF(BZ$7&gt;$N70,0,BY70*(1-'Interest Rate'!$B$17))</f>
        <v>0</v>
      </c>
      <c r="CA70" s="609">
        <f>IF(CA$7&gt;$N70,0,BZ70*(1-'Interest Rate'!$B$17))</f>
        <v>0</v>
      </c>
      <c r="CB70" s="609">
        <f>IF(CB$7&gt;$N70,0,CA70*(1-'Interest Rate'!$B$17))</f>
        <v>0</v>
      </c>
      <c r="CC70" s="609">
        <f>IF(CC$7&gt;$N70,0,CB70*(1-'Interest Rate'!$B$17))</f>
        <v>0</v>
      </c>
      <c r="CD70" s="609">
        <f>IF(CD$7&gt;$N70,0,CC70*(1-'Interest Rate'!$B$17))</f>
        <v>0</v>
      </c>
      <c r="CE70" s="609">
        <f>IF(CE$7&gt;$N70,0,CD70*(1-'Interest Rate'!$B$17))</f>
        <v>0</v>
      </c>
      <c r="CF70" s="609">
        <f>IF(CF$7&gt;$N70,0,CE70*(1-'Interest Rate'!$B$17))</f>
        <v>0</v>
      </c>
      <c r="CG70" s="609">
        <f>IF(CG$7&gt;$N70,0,CF70*(1-'Interest Rate'!$B$17))</f>
        <v>0</v>
      </c>
      <c r="CH70" s="609">
        <f>IF(CH$7&gt;$N70,0,CG70*(1-'Interest Rate'!$B$17))</f>
        <v>0</v>
      </c>
      <c r="CI70" s="609">
        <f>IF(CI$7&gt;$N70,0,CH70*(1-'Interest Rate'!$B$17))</f>
        <v>0</v>
      </c>
      <c r="CJ70" s="609">
        <f>IF(CJ$7&gt;$N70,0,CI70*(1-'Interest Rate'!$B$17))</f>
        <v>0</v>
      </c>
      <c r="CK70" s="609">
        <f>IF(CK$7&gt;$N70,0,CJ70*(1-'Interest Rate'!$B$17))</f>
        <v>0</v>
      </c>
      <c r="CL70" s="609">
        <f>IF(CL$7&gt;$N70,0,CK70*(1-'Interest Rate'!$B$17))</f>
        <v>0</v>
      </c>
      <c r="CM70" s="609">
        <f>IF(CM$7&gt;$N70,0,CL70*(1-'Interest Rate'!$B$17))</f>
        <v>0</v>
      </c>
      <c r="CN70" s="609">
        <f>IF(CN$7&gt;$N70,0,CM70*(1-'Interest Rate'!$B$17))</f>
        <v>0</v>
      </c>
      <c r="CO70" s="609">
        <f>IF(CO$7&gt;$N70,0,CN70*(1-'Interest Rate'!$B$17))</f>
        <v>0</v>
      </c>
      <c r="CP70" s="609">
        <f>IF(CP$7&gt;$N70,0,CO70*(1-'Interest Rate'!$B$17))</f>
        <v>0</v>
      </c>
      <c r="CQ70" s="609">
        <f>IF(CQ$7&gt;$N70,0,CP70*(1-'Interest Rate'!$B$17))</f>
        <v>0</v>
      </c>
      <c r="CR70" s="609">
        <f>IF(CR$7&gt;$N70,0,CQ70*(1-'Interest Rate'!$B$17))</f>
        <v>0</v>
      </c>
      <c r="CS70" s="609">
        <f>IF(CS$7&gt;$N70,0,CR70*(1-'Interest Rate'!$B$17))</f>
        <v>0</v>
      </c>
      <c r="CT70" s="609">
        <f>IF(CT$7&gt;$N70,0,CS70*(1-'Interest Rate'!$B$17))</f>
        <v>0</v>
      </c>
      <c r="CU70" s="609">
        <f>IF(CU$7&gt;$N70,0,CT70*(1-'Interest Rate'!$B$17))</f>
        <v>0</v>
      </c>
      <c r="CV70" s="609">
        <f>IF(CV$7&gt;$N70,0,CU70*(1-'Interest Rate'!$B$17))</f>
        <v>0</v>
      </c>
      <c r="CW70" s="609">
        <f>IF(CW$7&gt;$N70,0,CV70*(1-'Interest Rate'!$B$17))</f>
        <v>0</v>
      </c>
      <c r="CX70" s="609">
        <f>IF(CX$7&gt;$N70,0,CW70*(1-'Interest Rate'!$B$17))</f>
        <v>0</v>
      </c>
      <c r="CY70" s="609">
        <f>IF(CY$7&gt;$N70,0,CX70*(1-'Interest Rate'!$B$17))</f>
        <v>0</v>
      </c>
      <c r="CZ70" s="609">
        <f>IF(CZ$7&gt;$N70,0,CY70*(1-'Interest Rate'!$B$17))</f>
        <v>0</v>
      </c>
      <c r="DA70" s="609">
        <f>IF(DA$7&gt;$N70,0,CZ70*(1-'Interest Rate'!$B$17))</f>
        <v>0</v>
      </c>
      <c r="DB70" s="609">
        <f>IF(DB$7&gt;$N70,0,DA70*(1-'Interest Rate'!$B$17))</f>
        <v>0</v>
      </c>
      <c r="DC70" s="609">
        <f>IF(DC$7&gt;$N70,0,DB70*(1-'Interest Rate'!$B$17))</f>
        <v>0</v>
      </c>
      <c r="DD70" s="609">
        <f>IF(DD$7&gt;$N70,0,DC70*(1-'Interest Rate'!$B$17))</f>
        <v>0</v>
      </c>
      <c r="DE70" s="609">
        <f>IF(DE$7&gt;$N70,0,DD70*(1-'Interest Rate'!$B$17))</f>
        <v>0</v>
      </c>
      <c r="DF70" s="609">
        <f>IF(DF$7&gt;$N70,0,DE70*(1-'Interest Rate'!$B$17))</f>
        <v>0</v>
      </c>
      <c r="DG70" s="609">
        <f>IF(DG$7&gt;$N70,0,DF70*(1-'Interest Rate'!$B$17))</f>
        <v>0</v>
      </c>
      <c r="DH70" s="609">
        <f>IF(DH$7&gt;$N70,0,DG70*(1-'Interest Rate'!$B$17))</f>
        <v>0</v>
      </c>
      <c r="DI70" s="609">
        <f>IF(DI$7&gt;$N70,0,DH70*(1-'Interest Rate'!$B$17))</f>
        <v>0</v>
      </c>
      <c r="DJ70" s="609">
        <f>IF(DJ$7&gt;$N70,0,DI70*(1-'Interest Rate'!$B$17))</f>
        <v>0</v>
      </c>
      <c r="DK70" s="609">
        <f>IF(DK$7&gt;$N70,0,DJ70*(1-'Interest Rate'!$B$17))</f>
        <v>0</v>
      </c>
      <c r="DL70" s="609">
        <f>IF(DL$7&gt;$N70,0,DK70*(1-'Interest Rate'!$B$17))</f>
        <v>0</v>
      </c>
      <c r="DM70" s="609">
        <f>IF(DM$7&gt;$N70,0,DL70*(1-'Interest Rate'!$B$17))</f>
        <v>0</v>
      </c>
    </row>
    <row r="71" spans="1:117" ht="27.75" customHeight="1" x14ac:dyDescent="0.3">
      <c r="A71" s="624" t="str">
        <f>'EEM Data Entry'!A146</f>
        <v/>
      </c>
      <c r="B71" s="625" t="str">
        <f>IF('EEM Data Entry'!B146="  ","  ", 'EEM Data Entry'!B146)</f>
        <v/>
      </c>
      <c r="C71" s="626" t="str">
        <f>'EEM Data Entry'!F146</f>
        <v/>
      </c>
      <c r="D71" s="626">
        <v>0</v>
      </c>
      <c r="E71" s="626" t="e">
        <f t="shared" si="22"/>
        <v>#VALUE!</v>
      </c>
      <c r="F71" s="626">
        <f>('Savings Summary'!D74*'Savings Summary'!D$5)+('Savings Summary'!F74*'Savings Summary'!F$5)+('Savings Summary'!H74*'Savings Summary'!H$5)+('Savings Summary'!J74*'Savings Summary'!J$5)+('Savings Summary'!L74*'Savings Summary'!L$5)+('Savings Summary'!N74*'Savings Summary'!N$5)+('Savings Summary'!P74*'Savings Summary'!P$5)+('Savings Summary'!R74*'Savings Summary'!R$5)</f>
        <v>0</v>
      </c>
      <c r="G71" s="627">
        <f>'Savings Summary'!T74</f>
        <v>0</v>
      </c>
      <c r="H71" s="628" t="e">
        <f t="shared" si="23"/>
        <v>#VALUE!</v>
      </c>
      <c r="I71" s="624" t="e">
        <f t="shared" si="24"/>
        <v>#VALUE!</v>
      </c>
      <c r="J71" s="629" t="e">
        <f t="shared" si="20"/>
        <v>#NUM!</v>
      </c>
      <c r="K71" s="630" t="e">
        <f>PV('Interest Rate'!$B$17,Table9[[#This Row],[LIFETIME]],-Table9[[#This Row],[ANNUAL ENERGY COST SAVINGS]],Table9[[#This Row],[END-OF-LIFE]],0)-Table9[[#This Row],[ CAPITAL INVESTMENT]]</f>
        <v>#VALUE!</v>
      </c>
      <c r="L71" s="624" t="str">
        <f>'EEM Data Entry'!C146</f>
        <v/>
      </c>
      <c r="M71" s="631" t="e">
        <f>Table6[[#This Row],[ANNUAL ENERGY COST SAVINGS]]/Table6[[#This Row],[CAPITAL INVESTMENT]]</f>
        <v>#VALUE!</v>
      </c>
      <c r="N71" s="804" t="str">
        <f>Table9[[#This Row],[LIFETIME]]</f>
        <v/>
      </c>
      <c r="O71" s="803"/>
      <c r="P71" s="803"/>
      <c r="Q71" s="608" t="str">
        <f t="shared" si="21"/>
        <v/>
      </c>
      <c r="R71" s="609">
        <f t="shared" si="25"/>
        <v>0</v>
      </c>
      <c r="S71" s="609">
        <f>IF(S$7&gt;$N71,0,R71*(1-'Interest Rate'!$B$17))</f>
        <v>0</v>
      </c>
      <c r="T71" s="609">
        <f>IF(T$7&gt;$N71,0,S71*(1-'Interest Rate'!$B$17))</f>
        <v>0</v>
      </c>
      <c r="U71" s="609">
        <f>IF(U$7&gt;$N71,0,T71*(1-'Interest Rate'!$B$17))</f>
        <v>0</v>
      </c>
      <c r="V71" s="609">
        <f>IF(V$7&gt;$N71,0,U71*(1-'Interest Rate'!$B$17))</f>
        <v>0</v>
      </c>
      <c r="W71" s="609">
        <f>IF(W$7&gt;$N71,0,V71*(1-'Interest Rate'!$B$17))</f>
        <v>0</v>
      </c>
      <c r="X71" s="609">
        <f>IF(X$7&gt;$N71,0,W71*(1-'Interest Rate'!$B$17))</f>
        <v>0</v>
      </c>
      <c r="Y71" s="609">
        <f>IF(Y$7&gt;$N71,0,X71*(1-'Interest Rate'!$B$17))</f>
        <v>0</v>
      </c>
      <c r="Z71" s="609">
        <f>IF(Z$7&gt;$N71,0,Y71*(1-'Interest Rate'!$B$17))</f>
        <v>0</v>
      </c>
      <c r="AA71" s="609">
        <f>IF(AA$7&gt;$N71,0,Z71*(1-'Interest Rate'!$B$17))</f>
        <v>0</v>
      </c>
      <c r="AB71" s="609">
        <f>IF(AB$7&gt;$N71,0,AA71*(1-'Interest Rate'!$B$17))</f>
        <v>0</v>
      </c>
      <c r="AC71" s="609">
        <f>IF(AC$7&gt;$N71,0,AB71*(1-'Interest Rate'!$B$17))</f>
        <v>0</v>
      </c>
      <c r="AD71" s="609">
        <f>IF(AD$7&gt;$N71,0,AC71*(1-'Interest Rate'!$B$17))</f>
        <v>0</v>
      </c>
      <c r="AE71" s="609">
        <f>IF(AE$7&gt;$N71,0,AD71*(1-'Interest Rate'!$B$17))</f>
        <v>0</v>
      </c>
      <c r="AF71" s="609">
        <f>IF(AF$7&gt;$N71,0,AE71*(1-'Interest Rate'!$B$17))</f>
        <v>0</v>
      </c>
      <c r="AG71" s="609">
        <f>IF(AG$7&gt;$N71,0,AF71*(1-'Interest Rate'!$B$17))</f>
        <v>0</v>
      </c>
      <c r="AH71" s="609">
        <f>IF(AH$7&gt;$N71,0,AG71*(1-'Interest Rate'!$B$17))</f>
        <v>0</v>
      </c>
      <c r="AI71" s="609">
        <f>IF(AI$7&gt;$N71,0,AH71*(1-'Interest Rate'!$B$17))</f>
        <v>0</v>
      </c>
      <c r="AJ71" s="609">
        <f>IF(AJ$7&gt;$N71,0,AI71*(1-'Interest Rate'!$B$17))</f>
        <v>0</v>
      </c>
      <c r="AK71" s="609">
        <f>IF(AK$7&gt;$N71,0,AJ71*(1-'Interest Rate'!$B$17))</f>
        <v>0</v>
      </c>
      <c r="AL71" s="609">
        <f>IF(AL$7&gt;$N71,0,AK71*(1-'Interest Rate'!$B$17))</f>
        <v>0</v>
      </c>
      <c r="AM71" s="609">
        <f>IF(AM$7&gt;$N71,0,AL71*(1-'Interest Rate'!$B$17))</f>
        <v>0</v>
      </c>
      <c r="AN71" s="609">
        <f>IF(AN$7&gt;$N71,0,AM71*(1-'Interest Rate'!$B$17))</f>
        <v>0</v>
      </c>
      <c r="AO71" s="609">
        <f>IF(AO$7&gt;$N71,0,AN71*(1-'Interest Rate'!$B$17))</f>
        <v>0</v>
      </c>
      <c r="AP71" s="609">
        <f>IF(AP$7&gt;$N71,0,AO71*(1-'Interest Rate'!$B$17))</f>
        <v>0</v>
      </c>
      <c r="AQ71" s="609">
        <f>IF(AQ$7&gt;$N71,0,AP71*(1-'Interest Rate'!$B$17))</f>
        <v>0</v>
      </c>
      <c r="AR71" s="609">
        <f>IF(AR$7&gt;$N71,0,AQ71*(1-'Interest Rate'!$B$17))</f>
        <v>0</v>
      </c>
      <c r="AS71" s="609">
        <f>IF(AS$7&gt;$N71,0,AR71*(1-'Interest Rate'!$B$17))</f>
        <v>0</v>
      </c>
      <c r="AT71" s="609">
        <f>IF(AT$7&gt;$N71,0,AS71*(1-'Interest Rate'!$B$17))</f>
        <v>0</v>
      </c>
      <c r="AU71" s="609">
        <f>IF(AU$7&gt;$N71,0,AT71*(1-'Interest Rate'!$B$17))</f>
        <v>0</v>
      </c>
      <c r="AV71" s="609">
        <f>IF(AV$7&gt;$N71,0,AU71*(1-'Interest Rate'!$B$17))</f>
        <v>0</v>
      </c>
      <c r="AW71" s="609">
        <f>IF(AW$7&gt;$N71,0,AV71*(1-'Interest Rate'!$B$17))</f>
        <v>0</v>
      </c>
      <c r="AX71" s="609">
        <f>IF(AX$7&gt;$N71,0,AW71*(1-'Interest Rate'!$B$17))</f>
        <v>0</v>
      </c>
      <c r="AY71" s="609">
        <f>IF(AY$7&gt;$N71,0,AX71*(1-'Interest Rate'!$B$17))</f>
        <v>0</v>
      </c>
      <c r="AZ71" s="609">
        <f>IF(AZ$7&gt;$N71,0,AY71*(1-'Interest Rate'!$B$17))</f>
        <v>0</v>
      </c>
      <c r="BA71" s="609">
        <f>IF(BA$7&gt;$N71,0,AZ71*(1-'Interest Rate'!$B$17))</f>
        <v>0</v>
      </c>
      <c r="BB71" s="609">
        <f>IF(BB$7&gt;$N71,0,BA71*(1-'Interest Rate'!$B$17))</f>
        <v>0</v>
      </c>
      <c r="BC71" s="609">
        <f>IF(BC$7&gt;$N71,0,BB71*(1-'Interest Rate'!$B$17))</f>
        <v>0</v>
      </c>
      <c r="BD71" s="609">
        <f>IF(BD$7&gt;$N71,0,BC71*(1-'Interest Rate'!$B$17))</f>
        <v>0</v>
      </c>
      <c r="BE71" s="609">
        <f>IF(BE$7&gt;$N71,0,BD71*(1-'Interest Rate'!$B$17))</f>
        <v>0</v>
      </c>
      <c r="BF71" s="609">
        <f>IF(BF$7&gt;$N71,0,BE71*(1-'Interest Rate'!$B$17))</f>
        <v>0</v>
      </c>
      <c r="BG71" s="609">
        <f>IF(BG$7&gt;$N71,0,BF71*(1-'Interest Rate'!$B$17))</f>
        <v>0</v>
      </c>
      <c r="BH71" s="609">
        <f>IF(BH$7&gt;$N71,0,BG71*(1-'Interest Rate'!$B$17))</f>
        <v>0</v>
      </c>
      <c r="BI71" s="609">
        <f>IF(BI$7&gt;$N71,0,BH71*(1-'Interest Rate'!$B$17))</f>
        <v>0</v>
      </c>
      <c r="BJ71" s="609">
        <f>IF(BJ$7&gt;$N71,0,BI71*(1-'Interest Rate'!$B$17))</f>
        <v>0</v>
      </c>
      <c r="BK71" s="609">
        <f>IF(BK$7&gt;$N71,0,BJ71*(1-'Interest Rate'!$B$17))</f>
        <v>0</v>
      </c>
      <c r="BL71" s="609">
        <f>IF(BL$7&gt;$N71,0,BK71*(1-'Interest Rate'!$B$17))</f>
        <v>0</v>
      </c>
      <c r="BM71" s="609">
        <f>IF(BM$7&gt;$N71,0,BL71*(1-'Interest Rate'!$B$17))</f>
        <v>0</v>
      </c>
      <c r="BN71" s="609">
        <f>IF(BN$7&gt;$N71,0,BM71*(1-'Interest Rate'!$B$17))</f>
        <v>0</v>
      </c>
      <c r="BO71" s="609">
        <f>IF(BO$7&gt;$N71,0,BN71*(1-'Interest Rate'!$B$17))</f>
        <v>0</v>
      </c>
      <c r="BP71" s="609">
        <f>IF(BP$7&gt;$N71,0,BO71*(1-'Interest Rate'!$B$17))</f>
        <v>0</v>
      </c>
      <c r="BQ71" s="609">
        <f>IF(BQ$7&gt;$N71,0,BP71*(1-'Interest Rate'!$B$17))</f>
        <v>0</v>
      </c>
      <c r="BR71" s="609">
        <f>IF(BR$7&gt;$N71,0,BQ71*(1-'Interest Rate'!$B$17))</f>
        <v>0</v>
      </c>
      <c r="BS71" s="609">
        <f>IF(BS$7&gt;$N71,0,BR71*(1-'Interest Rate'!$B$17))</f>
        <v>0</v>
      </c>
      <c r="BT71" s="609">
        <f>IF(BT$7&gt;$N71,0,BS71*(1-'Interest Rate'!$B$17))</f>
        <v>0</v>
      </c>
      <c r="BU71" s="609">
        <f>IF(BU$7&gt;$N71,0,BT71*(1-'Interest Rate'!$B$17))</f>
        <v>0</v>
      </c>
      <c r="BV71" s="609">
        <f>IF(BV$7&gt;$N71,0,BU71*(1-'Interest Rate'!$B$17))</f>
        <v>0</v>
      </c>
      <c r="BW71" s="609">
        <f>IF(BW$7&gt;$N71,0,BV71*(1-'Interest Rate'!$B$17))</f>
        <v>0</v>
      </c>
      <c r="BX71" s="609">
        <f>IF(BX$7&gt;$N71,0,BW71*(1-'Interest Rate'!$B$17))</f>
        <v>0</v>
      </c>
      <c r="BY71" s="609">
        <f>IF(BY$7&gt;$N71,0,BX71*(1-'Interest Rate'!$B$17))</f>
        <v>0</v>
      </c>
      <c r="BZ71" s="609">
        <f>IF(BZ$7&gt;$N71,0,BY71*(1-'Interest Rate'!$B$17))</f>
        <v>0</v>
      </c>
      <c r="CA71" s="609">
        <f>IF(CA$7&gt;$N71,0,BZ71*(1-'Interest Rate'!$B$17))</f>
        <v>0</v>
      </c>
      <c r="CB71" s="609">
        <f>IF(CB$7&gt;$N71,0,CA71*(1-'Interest Rate'!$B$17))</f>
        <v>0</v>
      </c>
      <c r="CC71" s="609">
        <f>IF(CC$7&gt;$N71,0,CB71*(1-'Interest Rate'!$B$17))</f>
        <v>0</v>
      </c>
      <c r="CD71" s="609">
        <f>IF(CD$7&gt;$N71,0,CC71*(1-'Interest Rate'!$B$17))</f>
        <v>0</v>
      </c>
      <c r="CE71" s="609">
        <f>IF(CE$7&gt;$N71,0,CD71*(1-'Interest Rate'!$B$17))</f>
        <v>0</v>
      </c>
      <c r="CF71" s="609">
        <f>IF(CF$7&gt;$N71,0,CE71*(1-'Interest Rate'!$B$17))</f>
        <v>0</v>
      </c>
      <c r="CG71" s="609">
        <f>IF(CG$7&gt;$N71,0,CF71*(1-'Interest Rate'!$B$17))</f>
        <v>0</v>
      </c>
      <c r="CH71" s="609">
        <f>IF(CH$7&gt;$N71,0,CG71*(1-'Interest Rate'!$B$17))</f>
        <v>0</v>
      </c>
      <c r="CI71" s="609">
        <f>IF(CI$7&gt;$N71,0,CH71*(1-'Interest Rate'!$B$17))</f>
        <v>0</v>
      </c>
      <c r="CJ71" s="609">
        <f>IF(CJ$7&gt;$N71,0,CI71*(1-'Interest Rate'!$B$17))</f>
        <v>0</v>
      </c>
      <c r="CK71" s="609">
        <f>IF(CK$7&gt;$N71,0,CJ71*(1-'Interest Rate'!$B$17))</f>
        <v>0</v>
      </c>
      <c r="CL71" s="609">
        <f>IF(CL$7&gt;$N71,0,CK71*(1-'Interest Rate'!$B$17))</f>
        <v>0</v>
      </c>
      <c r="CM71" s="609">
        <f>IF(CM$7&gt;$N71,0,CL71*(1-'Interest Rate'!$B$17))</f>
        <v>0</v>
      </c>
      <c r="CN71" s="609">
        <f>IF(CN$7&gt;$N71,0,CM71*(1-'Interest Rate'!$B$17))</f>
        <v>0</v>
      </c>
      <c r="CO71" s="609">
        <f>IF(CO$7&gt;$N71,0,CN71*(1-'Interest Rate'!$B$17))</f>
        <v>0</v>
      </c>
      <c r="CP71" s="609">
        <f>IF(CP$7&gt;$N71,0,CO71*(1-'Interest Rate'!$B$17))</f>
        <v>0</v>
      </c>
      <c r="CQ71" s="609">
        <f>IF(CQ$7&gt;$N71,0,CP71*(1-'Interest Rate'!$B$17))</f>
        <v>0</v>
      </c>
      <c r="CR71" s="609">
        <f>IF(CR$7&gt;$N71,0,CQ71*(1-'Interest Rate'!$B$17))</f>
        <v>0</v>
      </c>
      <c r="CS71" s="609">
        <f>IF(CS$7&gt;$N71,0,CR71*(1-'Interest Rate'!$B$17))</f>
        <v>0</v>
      </c>
      <c r="CT71" s="609">
        <f>IF(CT$7&gt;$N71,0,CS71*(1-'Interest Rate'!$B$17))</f>
        <v>0</v>
      </c>
      <c r="CU71" s="609">
        <f>IF(CU$7&gt;$N71,0,CT71*(1-'Interest Rate'!$B$17))</f>
        <v>0</v>
      </c>
      <c r="CV71" s="609">
        <f>IF(CV$7&gt;$N71,0,CU71*(1-'Interest Rate'!$B$17))</f>
        <v>0</v>
      </c>
      <c r="CW71" s="609">
        <f>IF(CW$7&gt;$N71,0,CV71*(1-'Interest Rate'!$B$17))</f>
        <v>0</v>
      </c>
      <c r="CX71" s="609">
        <f>IF(CX$7&gt;$N71,0,CW71*(1-'Interest Rate'!$B$17))</f>
        <v>0</v>
      </c>
      <c r="CY71" s="609">
        <f>IF(CY$7&gt;$N71,0,CX71*(1-'Interest Rate'!$B$17))</f>
        <v>0</v>
      </c>
      <c r="CZ71" s="609">
        <f>IF(CZ$7&gt;$N71,0,CY71*(1-'Interest Rate'!$B$17))</f>
        <v>0</v>
      </c>
      <c r="DA71" s="609">
        <f>IF(DA$7&gt;$N71,0,CZ71*(1-'Interest Rate'!$B$17))</f>
        <v>0</v>
      </c>
      <c r="DB71" s="609">
        <f>IF(DB$7&gt;$N71,0,DA71*(1-'Interest Rate'!$B$17))</f>
        <v>0</v>
      </c>
      <c r="DC71" s="609">
        <f>IF(DC$7&gt;$N71,0,DB71*(1-'Interest Rate'!$B$17))</f>
        <v>0</v>
      </c>
      <c r="DD71" s="609">
        <f>IF(DD$7&gt;$N71,0,DC71*(1-'Interest Rate'!$B$17))</f>
        <v>0</v>
      </c>
      <c r="DE71" s="609">
        <f>IF(DE$7&gt;$N71,0,DD71*(1-'Interest Rate'!$B$17))</f>
        <v>0</v>
      </c>
      <c r="DF71" s="609">
        <f>IF(DF$7&gt;$N71,0,DE71*(1-'Interest Rate'!$B$17))</f>
        <v>0</v>
      </c>
      <c r="DG71" s="609">
        <f>IF(DG$7&gt;$N71,0,DF71*(1-'Interest Rate'!$B$17))</f>
        <v>0</v>
      </c>
      <c r="DH71" s="609">
        <f>IF(DH$7&gt;$N71,0,DG71*(1-'Interest Rate'!$B$17))</f>
        <v>0</v>
      </c>
      <c r="DI71" s="609">
        <f>IF(DI$7&gt;$N71,0,DH71*(1-'Interest Rate'!$B$17))</f>
        <v>0</v>
      </c>
      <c r="DJ71" s="609">
        <f>IF(DJ$7&gt;$N71,0,DI71*(1-'Interest Rate'!$B$17))</f>
        <v>0</v>
      </c>
      <c r="DK71" s="609">
        <f>IF(DK$7&gt;$N71,0,DJ71*(1-'Interest Rate'!$B$17))</f>
        <v>0</v>
      </c>
      <c r="DL71" s="609">
        <f>IF(DL$7&gt;$N71,0,DK71*(1-'Interest Rate'!$B$17))</f>
        <v>0</v>
      </c>
      <c r="DM71" s="609">
        <f>IF(DM$7&gt;$N71,0,DL71*(1-'Interest Rate'!$B$17))</f>
        <v>0</v>
      </c>
    </row>
    <row r="72" spans="1:117" ht="27.75" customHeight="1" x14ac:dyDescent="0.3">
      <c r="A72" s="624" t="str">
        <f>'EEM Data Entry'!A147</f>
        <v/>
      </c>
      <c r="B72" s="625" t="str">
        <f>IF('EEM Data Entry'!B147="  ","  ", 'EEM Data Entry'!B147)</f>
        <v/>
      </c>
      <c r="C72" s="626" t="str">
        <f>'EEM Data Entry'!F147</f>
        <v/>
      </c>
      <c r="D72" s="626">
        <v>0</v>
      </c>
      <c r="E72" s="626" t="e">
        <f t="shared" si="22"/>
        <v>#VALUE!</v>
      </c>
      <c r="F72" s="626">
        <f>('Savings Summary'!D75*'Savings Summary'!D$5)+('Savings Summary'!F75*'Savings Summary'!F$5)+('Savings Summary'!H75*'Savings Summary'!H$5)+('Savings Summary'!J75*'Savings Summary'!J$5)+('Savings Summary'!L75*'Savings Summary'!L$5)+('Savings Summary'!N75*'Savings Summary'!N$5)+('Savings Summary'!P75*'Savings Summary'!P$5)+('Savings Summary'!R75*'Savings Summary'!R$5)</f>
        <v>0</v>
      </c>
      <c r="G72" s="627">
        <f>'Savings Summary'!T75</f>
        <v>0</v>
      </c>
      <c r="H72" s="628" t="e">
        <f t="shared" si="23"/>
        <v>#VALUE!</v>
      </c>
      <c r="I72" s="624" t="e">
        <f t="shared" si="24"/>
        <v>#VALUE!</v>
      </c>
      <c r="J72" s="629" t="e">
        <f t="shared" si="20"/>
        <v>#NUM!</v>
      </c>
      <c r="K72" s="630" t="e">
        <f>PV('Interest Rate'!$B$17,Table9[[#This Row],[LIFETIME]],-Table9[[#This Row],[ANNUAL ENERGY COST SAVINGS]],Table9[[#This Row],[END-OF-LIFE]],0)-Table9[[#This Row],[ CAPITAL INVESTMENT]]</f>
        <v>#VALUE!</v>
      </c>
      <c r="L72" s="624" t="str">
        <f>'EEM Data Entry'!C147</f>
        <v/>
      </c>
      <c r="M72" s="631" t="e">
        <f>Table6[[#This Row],[ANNUAL ENERGY COST SAVINGS]]/Table6[[#This Row],[CAPITAL INVESTMENT]]</f>
        <v>#VALUE!</v>
      </c>
      <c r="N72" s="804" t="str">
        <f>Table9[[#This Row],[LIFETIME]]</f>
        <v/>
      </c>
      <c r="O72" s="803"/>
      <c r="P72" s="803"/>
      <c r="Q72" s="608" t="str">
        <f t="shared" si="21"/>
        <v/>
      </c>
      <c r="R72" s="609">
        <f t="shared" si="25"/>
        <v>0</v>
      </c>
      <c r="S72" s="609">
        <f>IF(S$7&gt;$N72,0,R72*(1-'Interest Rate'!$B$17))</f>
        <v>0</v>
      </c>
      <c r="T72" s="609">
        <f>IF(T$7&gt;$N72,0,S72*(1-'Interest Rate'!$B$17))</f>
        <v>0</v>
      </c>
      <c r="U72" s="609">
        <f>IF(U$7&gt;$N72,0,T72*(1-'Interest Rate'!$B$17))</f>
        <v>0</v>
      </c>
      <c r="V72" s="609">
        <f>IF(V$7&gt;$N72,0,U72*(1-'Interest Rate'!$B$17))</f>
        <v>0</v>
      </c>
      <c r="W72" s="609">
        <f>IF(W$7&gt;$N72,0,V72*(1-'Interest Rate'!$B$17))</f>
        <v>0</v>
      </c>
      <c r="X72" s="609">
        <f>IF(X$7&gt;$N72,0,W72*(1-'Interest Rate'!$B$17))</f>
        <v>0</v>
      </c>
      <c r="Y72" s="609">
        <f>IF(Y$7&gt;$N72,0,X72*(1-'Interest Rate'!$B$17))</f>
        <v>0</v>
      </c>
      <c r="Z72" s="609">
        <f>IF(Z$7&gt;$N72,0,Y72*(1-'Interest Rate'!$B$17))</f>
        <v>0</v>
      </c>
      <c r="AA72" s="609">
        <f>IF(AA$7&gt;$N72,0,Z72*(1-'Interest Rate'!$B$17))</f>
        <v>0</v>
      </c>
      <c r="AB72" s="609">
        <f>IF(AB$7&gt;$N72,0,AA72*(1-'Interest Rate'!$B$17))</f>
        <v>0</v>
      </c>
      <c r="AC72" s="609">
        <f>IF(AC$7&gt;$N72,0,AB72*(1-'Interest Rate'!$B$17))</f>
        <v>0</v>
      </c>
      <c r="AD72" s="609">
        <f>IF(AD$7&gt;$N72,0,AC72*(1-'Interest Rate'!$B$17))</f>
        <v>0</v>
      </c>
      <c r="AE72" s="609">
        <f>IF(AE$7&gt;$N72,0,AD72*(1-'Interest Rate'!$B$17))</f>
        <v>0</v>
      </c>
      <c r="AF72" s="609">
        <f>IF(AF$7&gt;$N72,0,AE72*(1-'Interest Rate'!$B$17))</f>
        <v>0</v>
      </c>
      <c r="AG72" s="609">
        <f>IF(AG$7&gt;$N72,0,AF72*(1-'Interest Rate'!$B$17))</f>
        <v>0</v>
      </c>
      <c r="AH72" s="609">
        <f>IF(AH$7&gt;$N72,0,AG72*(1-'Interest Rate'!$B$17))</f>
        <v>0</v>
      </c>
      <c r="AI72" s="609">
        <f>IF(AI$7&gt;$N72,0,AH72*(1-'Interest Rate'!$B$17))</f>
        <v>0</v>
      </c>
      <c r="AJ72" s="609">
        <f>IF(AJ$7&gt;$N72,0,AI72*(1-'Interest Rate'!$B$17))</f>
        <v>0</v>
      </c>
      <c r="AK72" s="609">
        <f>IF(AK$7&gt;$N72,0,AJ72*(1-'Interest Rate'!$B$17))</f>
        <v>0</v>
      </c>
      <c r="AL72" s="609">
        <f>IF(AL$7&gt;$N72,0,AK72*(1-'Interest Rate'!$B$17))</f>
        <v>0</v>
      </c>
      <c r="AM72" s="609">
        <f>IF(AM$7&gt;$N72,0,AL72*(1-'Interest Rate'!$B$17))</f>
        <v>0</v>
      </c>
      <c r="AN72" s="609">
        <f>IF(AN$7&gt;$N72,0,AM72*(1-'Interest Rate'!$B$17))</f>
        <v>0</v>
      </c>
      <c r="AO72" s="609">
        <f>IF(AO$7&gt;$N72,0,AN72*(1-'Interest Rate'!$B$17))</f>
        <v>0</v>
      </c>
      <c r="AP72" s="609">
        <f>IF(AP$7&gt;$N72,0,AO72*(1-'Interest Rate'!$B$17))</f>
        <v>0</v>
      </c>
      <c r="AQ72" s="609">
        <f>IF(AQ$7&gt;$N72,0,AP72*(1-'Interest Rate'!$B$17))</f>
        <v>0</v>
      </c>
      <c r="AR72" s="609">
        <f>IF(AR$7&gt;$N72,0,AQ72*(1-'Interest Rate'!$B$17))</f>
        <v>0</v>
      </c>
      <c r="AS72" s="609">
        <f>IF(AS$7&gt;$N72,0,AR72*(1-'Interest Rate'!$B$17))</f>
        <v>0</v>
      </c>
      <c r="AT72" s="609">
        <f>IF(AT$7&gt;$N72,0,AS72*(1-'Interest Rate'!$B$17))</f>
        <v>0</v>
      </c>
      <c r="AU72" s="609">
        <f>IF(AU$7&gt;$N72,0,AT72*(1-'Interest Rate'!$B$17))</f>
        <v>0</v>
      </c>
      <c r="AV72" s="609">
        <f>IF(AV$7&gt;$N72,0,AU72*(1-'Interest Rate'!$B$17))</f>
        <v>0</v>
      </c>
      <c r="AW72" s="609">
        <f>IF(AW$7&gt;$N72,0,AV72*(1-'Interest Rate'!$B$17))</f>
        <v>0</v>
      </c>
      <c r="AX72" s="609">
        <f>IF(AX$7&gt;$N72,0,AW72*(1-'Interest Rate'!$B$17))</f>
        <v>0</v>
      </c>
      <c r="AY72" s="609">
        <f>IF(AY$7&gt;$N72,0,AX72*(1-'Interest Rate'!$B$17))</f>
        <v>0</v>
      </c>
      <c r="AZ72" s="609">
        <f>IF(AZ$7&gt;$N72,0,AY72*(1-'Interest Rate'!$B$17))</f>
        <v>0</v>
      </c>
      <c r="BA72" s="609">
        <f>IF(BA$7&gt;$N72,0,AZ72*(1-'Interest Rate'!$B$17))</f>
        <v>0</v>
      </c>
      <c r="BB72" s="609">
        <f>IF(BB$7&gt;$N72,0,BA72*(1-'Interest Rate'!$B$17))</f>
        <v>0</v>
      </c>
      <c r="BC72" s="609">
        <f>IF(BC$7&gt;$N72,0,BB72*(1-'Interest Rate'!$B$17))</f>
        <v>0</v>
      </c>
      <c r="BD72" s="609">
        <f>IF(BD$7&gt;$N72,0,BC72*(1-'Interest Rate'!$B$17))</f>
        <v>0</v>
      </c>
      <c r="BE72" s="609">
        <f>IF(BE$7&gt;$N72,0,BD72*(1-'Interest Rate'!$B$17))</f>
        <v>0</v>
      </c>
      <c r="BF72" s="609">
        <f>IF(BF$7&gt;$N72,0,BE72*(1-'Interest Rate'!$B$17))</f>
        <v>0</v>
      </c>
      <c r="BG72" s="609">
        <f>IF(BG$7&gt;$N72,0,BF72*(1-'Interest Rate'!$B$17))</f>
        <v>0</v>
      </c>
      <c r="BH72" s="609">
        <f>IF(BH$7&gt;$N72,0,BG72*(1-'Interest Rate'!$B$17))</f>
        <v>0</v>
      </c>
      <c r="BI72" s="609">
        <f>IF(BI$7&gt;$N72,0,BH72*(1-'Interest Rate'!$B$17))</f>
        <v>0</v>
      </c>
      <c r="BJ72" s="609">
        <f>IF(BJ$7&gt;$N72,0,BI72*(1-'Interest Rate'!$B$17))</f>
        <v>0</v>
      </c>
      <c r="BK72" s="609">
        <f>IF(BK$7&gt;$N72,0,BJ72*(1-'Interest Rate'!$B$17))</f>
        <v>0</v>
      </c>
      <c r="BL72" s="609">
        <f>IF(BL$7&gt;$N72,0,BK72*(1-'Interest Rate'!$B$17))</f>
        <v>0</v>
      </c>
      <c r="BM72" s="609">
        <f>IF(BM$7&gt;$N72,0,BL72*(1-'Interest Rate'!$B$17))</f>
        <v>0</v>
      </c>
      <c r="BN72" s="609">
        <f>IF(BN$7&gt;$N72,0,BM72*(1-'Interest Rate'!$B$17))</f>
        <v>0</v>
      </c>
      <c r="BO72" s="609">
        <f>IF(BO$7&gt;$N72,0,BN72*(1-'Interest Rate'!$B$17))</f>
        <v>0</v>
      </c>
      <c r="BP72" s="609">
        <f>IF(BP$7&gt;$N72,0,BO72*(1-'Interest Rate'!$B$17))</f>
        <v>0</v>
      </c>
      <c r="BQ72" s="609">
        <f>IF(BQ$7&gt;$N72,0,BP72*(1-'Interest Rate'!$B$17))</f>
        <v>0</v>
      </c>
      <c r="BR72" s="609">
        <f>IF(BR$7&gt;$N72,0,BQ72*(1-'Interest Rate'!$B$17))</f>
        <v>0</v>
      </c>
      <c r="BS72" s="609">
        <f>IF(BS$7&gt;$N72,0,BR72*(1-'Interest Rate'!$B$17))</f>
        <v>0</v>
      </c>
      <c r="BT72" s="609">
        <f>IF(BT$7&gt;$N72,0,BS72*(1-'Interest Rate'!$B$17))</f>
        <v>0</v>
      </c>
      <c r="BU72" s="609">
        <f>IF(BU$7&gt;$N72,0,BT72*(1-'Interest Rate'!$B$17))</f>
        <v>0</v>
      </c>
      <c r="BV72" s="609">
        <f>IF(BV$7&gt;$N72,0,BU72*(1-'Interest Rate'!$B$17))</f>
        <v>0</v>
      </c>
      <c r="BW72" s="609">
        <f>IF(BW$7&gt;$N72,0,BV72*(1-'Interest Rate'!$B$17))</f>
        <v>0</v>
      </c>
      <c r="BX72" s="609">
        <f>IF(BX$7&gt;$N72,0,BW72*(1-'Interest Rate'!$B$17))</f>
        <v>0</v>
      </c>
      <c r="BY72" s="609">
        <f>IF(BY$7&gt;$N72,0,BX72*(1-'Interest Rate'!$B$17))</f>
        <v>0</v>
      </c>
      <c r="BZ72" s="609">
        <f>IF(BZ$7&gt;$N72,0,BY72*(1-'Interest Rate'!$B$17))</f>
        <v>0</v>
      </c>
      <c r="CA72" s="609">
        <f>IF(CA$7&gt;$N72,0,BZ72*(1-'Interest Rate'!$B$17))</f>
        <v>0</v>
      </c>
      <c r="CB72" s="609">
        <f>IF(CB$7&gt;$N72,0,CA72*(1-'Interest Rate'!$B$17))</f>
        <v>0</v>
      </c>
      <c r="CC72" s="609">
        <f>IF(CC$7&gt;$N72,0,CB72*(1-'Interest Rate'!$B$17))</f>
        <v>0</v>
      </c>
      <c r="CD72" s="609">
        <f>IF(CD$7&gt;$N72,0,CC72*(1-'Interest Rate'!$B$17))</f>
        <v>0</v>
      </c>
      <c r="CE72" s="609">
        <f>IF(CE$7&gt;$N72,0,CD72*(1-'Interest Rate'!$B$17))</f>
        <v>0</v>
      </c>
      <c r="CF72" s="609">
        <f>IF(CF$7&gt;$N72,0,CE72*(1-'Interest Rate'!$B$17))</f>
        <v>0</v>
      </c>
      <c r="CG72" s="609">
        <f>IF(CG$7&gt;$N72,0,CF72*(1-'Interest Rate'!$B$17))</f>
        <v>0</v>
      </c>
      <c r="CH72" s="609">
        <f>IF(CH$7&gt;$N72,0,CG72*(1-'Interest Rate'!$B$17))</f>
        <v>0</v>
      </c>
      <c r="CI72" s="609">
        <f>IF(CI$7&gt;$N72,0,CH72*(1-'Interest Rate'!$B$17))</f>
        <v>0</v>
      </c>
      <c r="CJ72" s="609">
        <f>IF(CJ$7&gt;$N72,0,CI72*(1-'Interest Rate'!$B$17))</f>
        <v>0</v>
      </c>
      <c r="CK72" s="609">
        <f>IF(CK$7&gt;$N72,0,CJ72*(1-'Interest Rate'!$B$17))</f>
        <v>0</v>
      </c>
      <c r="CL72" s="609">
        <f>IF(CL$7&gt;$N72,0,CK72*(1-'Interest Rate'!$B$17))</f>
        <v>0</v>
      </c>
      <c r="CM72" s="609">
        <f>IF(CM$7&gt;$N72,0,CL72*(1-'Interest Rate'!$B$17))</f>
        <v>0</v>
      </c>
      <c r="CN72" s="609">
        <f>IF(CN$7&gt;$N72,0,CM72*(1-'Interest Rate'!$B$17))</f>
        <v>0</v>
      </c>
      <c r="CO72" s="609">
        <f>IF(CO$7&gt;$N72,0,CN72*(1-'Interest Rate'!$B$17))</f>
        <v>0</v>
      </c>
      <c r="CP72" s="609">
        <f>IF(CP$7&gt;$N72,0,CO72*(1-'Interest Rate'!$B$17))</f>
        <v>0</v>
      </c>
      <c r="CQ72" s="609">
        <f>IF(CQ$7&gt;$N72,0,CP72*(1-'Interest Rate'!$B$17))</f>
        <v>0</v>
      </c>
      <c r="CR72" s="609">
        <f>IF(CR$7&gt;$N72,0,CQ72*(1-'Interest Rate'!$B$17))</f>
        <v>0</v>
      </c>
      <c r="CS72" s="609">
        <f>IF(CS$7&gt;$N72,0,CR72*(1-'Interest Rate'!$B$17))</f>
        <v>0</v>
      </c>
      <c r="CT72" s="609">
        <f>IF(CT$7&gt;$N72,0,CS72*(1-'Interest Rate'!$B$17))</f>
        <v>0</v>
      </c>
      <c r="CU72" s="609">
        <f>IF(CU$7&gt;$N72,0,CT72*(1-'Interest Rate'!$B$17))</f>
        <v>0</v>
      </c>
      <c r="CV72" s="609">
        <f>IF(CV$7&gt;$N72,0,CU72*(1-'Interest Rate'!$B$17))</f>
        <v>0</v>
      </c>
      <c r="CW72" s="609">
        <f>IF(CW$7&gt;$N72,0,CV72*(1-'Interest Rate'!$B$17))</f>
        <v>0</v>
      </c>
      <c r="CX72" s="609">
        <f>IF(CX$7&gt;$N72,0,CW72*(1-'Interest Rate'!$B$17))</f>
        <v>0</v>
      </c>
      <c r="CY72" s="609">
        <f>IF(CY$7&gt;$N72,0,CX72*(1-'Interest Rate'!$B$17))</f>
        <v>0</v>
      </c>
      <c r="CZ72" s="609">
        <f>IF(CZ$7&gt;$N72,0,CY72*(1-'Interest Rate'!$B$17))</f>
        <v>0</v>
      </c>
      <c r="DA72" s="609">
        <f>IF(DA$7&gt;$N72,0,CZ72*(1-'Interest Rate'!$B$17))</f>
        <v>0</v>
      </c>
      <c r="DB72" s="609">
        <f>IF(DB$7&gt;$N72,0,DA72*(1-'Interest Rate'!$B$17))</f>
        <v>0</v>
      </c>
      <c r="DC72" s="609">
        <f>IF(DC$7&gt;$N72,0,DB72*(1-'Interest Rate'!$B$17))</f>
        <v>0</v>
      </c>
      <c r="DD72" s="609">
        <f>IF(DD$7&gt;$N72,0,DC72*(1-'Interest Rate'!$B$17))</f>
        <v>0</v>
      </c>
      <c r="DE72" s="609">
        <f>IF(DE$7&gt;$N72,0,DD72*(1-'Interest Rate'!$B$17))</f>
        <v>0</v>
      </c>
      <c r="DF72" s="609">
        <f>IF(DF$7&gt;$N72,0,DE72*(1-'Interest Rate'!$B$17))</f>
        <v>0</v>
      </c>
      <c r="DG72" s="609">
        <f>IF(DG$7&gt;$N72,0,DF72*(1-'Interest Rate'!$B$17))</f>
        <v>0</v>
      </c>
      <c r="DH72" s="609">
        <f>IF(DH$7&gt;$N72,0,DG72*(1-'Interest Rate'!$B$17))</f>
        <v>0</v>
      </c>
      <c r="DI72" s="609">
        <f>IF(DI$7&gt;$N72,0,DH72*(1-'Interest Rate'!$B$17))</f>
        <v>0</v>
      </c>
      <c r="DJ72" s="609">
        <f>IF(DJ$7&gt;$N72,0,DI72*(1-'Interest Rate'!$B$17))</f>
        <v>0</v>
      </c>
      <c r="DK72" s="609">
        <f>IF(DK$7&gt;$N72,0,DJ72*(1-'Interest Rate'!$B$17))</f>
        <v>0</v>
      </c>
      <c r="DL72" s="609">
        <f>IF(DL$7&gt;$N72,0,DK72*(1-'Interest Rate'!$B$17))</f>
        <v>0</v>
      </c>
      <c r="DM72" s="609">
        <f>IF(DM$7&gt;$N72,0,DL72*(1-'Interest Rate'!$B$17))</f>
        <v>0</v>
      </c>
    </row>
    <row r="73" spans="1:117" ht="27.75" customHeight="1" x14ac:dyDescent="0.3">
      <c r="A73" s="624" t="str">
        <f>'EEM Data Entry'!A148</f>
        <v/>
      </c>
      <c r="B73" s="625" t="str">
        <f>IF('EEM Data Entry'!B148="  ","  ", 'EEM Data Entry'!B148)</f>
        <v/>
      </c>
      <c r="C73" s="626" t="str">
        <f>'EEM Data Entry'!F148</f>
        <v/>
      </c>
      <c r="D73" s="626">
        <v>0</v>
      </c>
      <c r="E73" s="626" t="e">
        <f t="shared" si="22"/>
        <v>#VALUE!</v>
      </c>
      <c r="F73" s="626">
        <f>('Savings Summary'!D76*'Savings Summary'!D$5)+('Savings Summary'!F76*'Savings Summary'!F$5)+('Savings Summary'!H76*'Savings Summary'!H$5)+('Savings Summary'!J76*'Savings Summary'!J$5)+('Savings Summary'!L76*'Savings Summary'!L$5)+('Savings Summary'!N76*'Savings Summary'!N$5)+('Savings Summary'!P76*'Savings Summary'!P$5)+('Savings Summary'!R76*'Savings Summary'!R$5)</f>
        <v>0</v>
      </c>
      <c r="G73" s="627">
        <f>'Savings Summary'!T76</f>
        <v>0</v>
      </c>
      <c r="H73" s="628" t="e">
        <f t="shared" si="23"/>
        <v>#VALUE!</v>
      </c>
      <c r="I73" s="624" t="e">
        <f t="shared" si="24"/>
        <v>#VALUE!</v>
      </c>
      <c r="J73" s="629" t="e">
        <f t="shared" si="20"/>
        <v>#NUM!</v>
      </c>
      <c r="K73" s="630" t="e">
        <f>PV('Interest Rate'!$B$17,Table9[[#This Row],[LIFETIME]],-Table9[[#This Row],[ANNUAL ENERGY COST SAVINGS]],Table9[[#This Row],[END-OF-LIFE]],0)-Table9[[#This Row],[ CAPITAL INVESTMENT]]</f>
        <v>#VALUE!</v>
      </c>
      <c r="L73" s="624" t="str">
        <f>'EEM Data Entry'!C148</f>
        <v/>
      </c>
      <c r="M73" s="631" t="e">
        <f>Table6[[#This Row],[ANNUAL ENERGY COST SAVINGS]]/Table6[[#This Row],[CAPITAL INVESTMENT]]</f>
        <v>#VALUE!</v>
      </c>
      <c r="N73" s="804" t="str">
        <f>Table9[[#This Row],[LIFETIME]]</f>
        <v/>
      </c>
      <c r="O73" s="803"/>
      <c r="P73" s="803"/>
      <c r="Q73" s="608" t="str">
        <f t="shared" si="21"/>
        <v/>
      </c>
      <c r="R73" s="609">
        <f t="shared" si="25"/>
        <v>0</v>
      </c>
      <c r="S73" s="609">
        <f>IF(S$7&gt;$N73,0,R73*(1-'Interest Rate'!$B$17))</f>
        <v>0</v>
      </c>
      <c r="T73" s="609">
        <f>IF(T$7&gt;$N73,0,S73*(1-'Interest Rate'!$B$17))</f>
        <v>0</v>
      </c>
      <c r="U73" s="609">
        <f>IF(U$7&gt;$N73,0,T73*(1-'Interest Rate'!$B$17))</f>
        <v>0</v>
      </c>
      <c r="V73" s="609">
        <f>IF(V$7&gt;$N73,0,U73*(1-'Interest Rate'!$B$17))</f>
        <v>0</v>
      </c>
      <c r="W73" s="609">
        <f>IF(W$7&gt;$N73,0,V73*(1-'Interest Rate'!$B$17))</f>
        <v>0</v>
      </c>
      <c r="X73" s="609">
        <f>IF(X$7&gt;$N73,0,W73*(1-'Interest Rate'!$B$17))</f>
        <v>0</v>
      </c>
      <c r="Y73" s="609">
        <f>IF(Y$7&gt;$N73,0,X73*(1-'Interest Rate'!$B$17))</f>
        <v>0</v>
      </c>
      <c r="Z73" s="609">
        <f>IF(Z$7&gt;$N73,0,Y73*(1-'Interest Rate'!$B$17))</f>
        <v>0</v>
      </c>
      <c r="AA73" s="609">
        <f>IF(AA$7&gt;$N73,0,Z73*(1-'Interest Rate'!$B$17))</f>
        <v>0</v>
      </c>
      <c r="AB73" s="609">
        <f>IF(AB$7&gt;$N73,0,AA73*(1-'Interest Rate'!$B$17))</f>
        <v>0</v>
      </c>
      <c r="AC73" s="609">
        <f>IF(AC$7&gt;$N73,0,AB73*(1-'Interest Rate'!$B$17))</f>
        <v>0</v>
      </c>
      <c r="AD73" s="609">
        <f>IF(AD$7&gt;$N73,0,AC73*(1-'Interest Rate'!$B$17))</f>
        <v>0</v>
      </c>
      <c r="AE73" s="609">
        <f>IF(AE$7&gt;$N73,0,AD73*(1-'Interest Rate'!$B$17))</f>
        <v>0</v>
      </c>
      <c r="AF73" s="609">
        <f>IF(AF$7&gt;$N73,0,AE73*(1-'Interest Rate'!$B$17))</f>
        <v>0</v>
      </c>
      <c r="AG73" s="609">
        <f>IF(AG$7&gt;$N73,0,AF73*(1-'Interest Rate'!$B$17))</f>
        <v>0</v>
      </c>
      <c r="AH73" s="609">
        <f>IF(AH$7&gt;$N73,0,AG73*(1-'Interest Rate'!$B$17))</f>
        <v>0</v>
      </c>
      <c r="AI73" s="609">
        <f>IF(AI$7&gt;$N73,0,AH73*(1-'Interest Rate'!$B$17))</f>
        <v>0</v>
      </c>
      <c r="AJ73" s="609">
        <f>IF(AJ$7&gt;$N73,0,AI73*(1-'Interest Rate'!$B$17))</f>
        <v>0</v>
      </c>
      <c r="AK73" s="609">
        <f>IF(AK$7&gt;$N73,0,AJ73*(1-'Interest Rate'!$B$17))</f>
        <v>0</v>
      </c>
      <c r="AL73" s="609">
        <f>IF(AL$7&gt;$N73,0,AK73*(1-'Interest Rate'!$B$17))</f>
        <v>0</v>
      </c>
      <c r="AM73" s="609">
        <f>IF(AM$7&gt;$N73,0,AL73*(1-'Interest Rate'!$B$17))</f>
        <v>0</v>
      </c>
      <c r="AN73" s="609">
        <f>IF(AN$7&gt;$N73,0,AM73*(1-'Interest Rate'!$B$17))</f>
        <v>0</v>
      </c>
      <c r="AO73" s="609">
        <f>IF(AO$7&gt;$N73,0,AN73*(1-'Interest Rate'!$B$17))</f>
        <v>0</v>
      </c>
      <c r="AP73" s="609">
        <f>IF(AP$7&gt;$N73,0,AO73*(1-'Interest Rate'!$B$17))</f>
        <v>0</v>
      </c>
      <c r="AQ73" s="609">
        <f>IF(AQ$7&gt;$N73,0,AP73*(1-'Interest Rate'!$B$17))</f>
        <v>0</v>
      </c>
      <c r="AR73" s="609">
        <f>IF(AR$7&gt;$N73,0,AQ73*(1-'Interest Rate'!$B$17))</f>
        <v>0</v>
      </c>
      <c r="AS73" s="609">
        <f>IF(AS$7&gt;$N73,0,AR73*(1-'Interest Rate'!$B$17))</f>
        <v>0</v>
      </c>
      <c r="AT73" s="609">
        <f>IF(AT$7&gt;$N73,0,AS73*(1-'Interest Rate'!$B$17))</f>
        <v>0</v>
      </c>
      <c r="AU73" s="609">
        <f>IF(AU$7&gt;$N73,0,AT73*(1-'Interest Rate'!$B$17))</f>
        <v>0</v>
      </c>
      <c r="AV73" s="609">
        <f>IF(AV$7&gt;$N73,0,AU73*(1-'Interest Rate'!$B$17))</f>
        <v>0</v>
      </c>
      <c r="AW73" s="609">
        <f>IF(AW$7&gt;$N73,0,AV73*(1-'Interest Rate'!$B$17))</f>
        <v>0</v>
      </c>
      <c r="AX73" s="609">
        <f>IF(AX$7&gt;$N73,0,AW73*(1-'Interest Rate'!$B$17))</f>
        <v>0</v>
      </c>
      <c r="AY73" s="609">
        <f>IF(AY$7&gt;$N73,0,AX73*(1-'Interest Rate'!$B$17))</f>
        <v>0</v>
      </c>
      <c r="AZ73" s="609">
        <f>IF(AZ$7&gt;$N73,0,AY73*(1-'Interest Rate'!$B$17))</f>
        <v>0</v>
      </c>
      <c r="BA73" s="609">
        <f>IF(BA$7&gt;$N73,0,AZ73*(1-'Interest Rate'!$B$17))</f>
        <v>0</v>
      </c>
      <c r="BB73" s="609">
        <f>IF(BB$7&gt;$N73,0,BA73*(1-'Interest Rate'!$B$17))</f>
        <v>0</v>
      </c>
      <c r="BC73" s="609">
        <f>IF(BC$7&gt;$N73,0,BB73*(1-'Interest Rate'!$B$17))</f>
        <v>0</v>
      </c>
      <c r="BD73" s="609">
        <f>IF(BD$7&gt;$N73,0,BC73*(1-'Interest Rate'!$B$17))</f>
        <v>0</v>
      </c>
      <c r="BE73" s="609">
        <f>IF(BE$7&gt;$N73,0,BD73*(1-'Interest Rate'!$B$17))</f>
        <v>0</v>
      </c>
      <c r="BF73" s="609">
        <f>IF(BF$7&gt;$N73,0,BE73*(1-'Interest Rate'!$B$17))</f>
        <v>0</v>
      </c>
      <c r="BG73" s="609">
        <f>IF(BG$7&gt;$N73,0,BF73*(1-'Interest Rate'!$B$17))</f>
        <v>0</v>
      </c>
      <c r="BH73" s="609">
        <f>IF(BH$7&gt;$N73,0,BG73*(1-'Interest Rate'!$B$17))</f>
        <v>0</v>
      </c>
      <c r="BI73" s="609">
        <f>IF(BI$7&gt;$N73,0,BH73*(1-'Interest Rate'!$B$17))</f>
        <v>0</v>
      </c>
      <c r="BJ73" s="609">
        <f>IF(BJ$7&gt;$N73,0,BI73*(1-'Interest Rate'!$B$17))</f>
        <v>0</v>
      </c>
      <c r="BK73" s="609">
        <f>IF(BK$7&gt;$N73,0,BJ73*(1-'Interest Rate'!$B$17))</f>
        <v>0</v>
      </c>
      <c r="BL73" s="609">
        <f>IF(BL$7&gt;$N73,0,BK73*(1-'Interest Rate'!$B$17))</f>
        <v>0</v>
      </c>
      <c r="BM73" s="609">
        <f>IF(BM$7&gt;$N73,0,BL73*(1-'Interest Rate'!$B$17))</f>
        <v>0</v>
      </c>
      <c r="BN73" s="609">
        <f>IF(BN$7&gt;$N73,0,BM73*(1-'Interest Rate'!$B$17))</f>
        <v>0</v>
      </c>
      <c r="BO73" s="609">
        <f>IF(BO$7&gt;$N73,0,BN73*(1-'Interest Rate'!$B$17))</f>
        <v>0</v>
      </c>
      <c r="BP73" s="609">
        <f>IF(BP$7&gt;$N73,0,BO73*(1-'Interest Rate'!$B$17))</f>
        <v>0</v>
      </c>
      <c r="BQ73" s="609">
        <f>IF(BQ$7&gt;$N73,0,BP73*(1-'Interest Rate'!$B$17))</f>
        <v>0</v>
      </c>
      <c r="BR73" s="609">
        <f>IF(BR$7&gt;$N73,0,BQ73*(1-'Interest Rate'!$B$17))</f>
        <v>0</v>
      </c>
      <c r="BS73" s="609">
        <f>IF(BS$7&gt;$N73,0,BR73*(1-'Interest Rate'!$B$17))</f>
        <v>0</v>
      </c>
      <c r="BT73" s="609">
        <f>IF(BT$7&gt;$N73,0,BS73*(1-'Interest Rate'!$B$17))</f>
        <v>0</v>
      </c>
      <c r="BU73" s="609">
        <f>IF(BU$7&gt;$N73,0,BT73*(1-'Interest Rate'!$B$17))</f>
        <v>0</v>
      </c>
      <c r="BV73" s="609">
        <f>IF(BV$7&gt;$N73,0,BU73*(1-'Interest Rate'!$B$17))</f>
        <v>0</v>
      </c>
      <c r="BW73" s="609">
        <f>IF(BW$7&gt;$N73,0,BV73*(1-'Interest Rate'!$B$17))</f>
        <v>0</v>
      </c>
      <c r="BX73" s="609">
        <f>IF(BX$7&gt;$N73,0,BW73*(1-'Interest Rate'!$B$17))</f>
        <v>0</v>
      </c>
      <c r="BY73" s="609">
        <f>IF(BY$7&gt;$N73,0,BX73*(1-'Interest Rate'!$B$17))</f>
        <v>0</v>
      </c>
      <c r="BZ73" s="609">
        <f>IF(BZ$7&gt;$N73,0,BY73*(1-'Interest Rate'!$B$17))</f>
        <v>0</v>
      </c>
      <c r="CA73" s="609">
        <f>IF(CA$7&gt;$N73,0,BZ73*(1-'Interest Rate'!$B$17))</f>
        <v>0</v>
      </c>
      <c r="CB73" s="609">
        <f>IF(CB$7&gt;$N73,0,CA73*(1-'Interest Rate'!$B$17))</f>
        <v>0</v>
      </c>
      <c r="CC73" s="609">
        <f>IF(CC$7&gt;$N73,0,CB73*(1-'Interest Rate'!$B$17))</f>
        <v>0</v>
      </c>
      <c r="CD73" s="609">
        <f>IF(CD$7&gt;$N73,0,CC73*(1-'Interest Rate'!$B$17))</f>
        <v>0</v>
      </c>
      <c r="CE73" s="609">
        <f>IF(CE$7&gt;$N73,0,CD73*(1-'Interest Rate'!$B$17))</f>
        <v>0</v>
      </c>
      <c r="CF73" s="609">
        <f>IF(CF$7&gt;$N73,0,CE73*(1-'Interest Rate'!$B$17))</f>
        <v>0</v>
      </c>
      <c r="CG73" s="609">
        <f>IF(CG$7&gt;$N73,0,CF73*(1-'Interest Rate'!$B$17))</f>
        <v>0</v>
      </c>
      <c r="CH73" s="609">
        <f>IF(CH$7&gt;$N73,0,CG73*(1-'Interest Rate'!$B$17))</f>
        <v>0</v>
      </c>
      <c r="CI73" s="609">
        <f>IF(CI$7&gt;$N73,0,CH73*(1-'Interest Rate'!$B$17))</f>
        <v>0</v>
      </c>
      <c r="CJ73" s="609">
        <f>IF(CJ$7&gt;$N73,0,CI73*(1-'Interest Rate'!$B$17))</f>
        <v>0</v>
      </c>
      <c r="CK73" s="609">
        <f>IF(CK$7&gt;$N73,0,CJ73*(1-'Interest Rate'!$B$17))</f>
        <v>0</v>
      </c>
      <c r="CL73" s="609">
        <f>IF(CL$7&gt;$N73,0,CK73*(1-'Interest Rate'!$B$17))</f>
        <v>0</v>
      </c>
      <c r="CM73" s="609">
        <f>IF(CM$7&gt;$N73,0,CL73*(1-'Interest Rate'!$B$17))</f>
        <v>0</v>
      </c>
      <c r="CN73" s="609">
        <f>IF(CN$7&gt;$N73,0,CM73*(1-'Interest Rate'!$B$17))</f>
        <v>0</v>
      </c>
      <c r="CO73" s="609">
        <f>IF(CO$7&gt;$N73,0,CN73*(1-'Interest Rate'!$B$17))</f>
        <v>0</v>
      </c>
      <c r="CP73" s="609">
        <f>IF(CP$7&gt;$N73,0,CO73*(1-'Interest Rate'!$B$17))</f>
        <v>0</v>
      </c>
      <c r="CQ73" s="609">
        <f>IF(CQ$7&gt;$N73,0,CP73*(1-'Interest Rate'!$B$17))</f>
        <v>0</v>
      </c>
      <c r="CR73" s="609">
        <f>IF(CR$7&gt;$N73,0,CQ73*(1-'Interest Rate'!$B$17))</f>
        <v>0</v>
      </c>
      <c r="CS73" s="609">
        <f>IF(CS$7&gt;$N73,0,CR73*(1-'Interest Rate'!$B$17))</f>
        <v>0</v>
      </c>
      <c r="CT73" s="609">
        <f>IF(CT$7&gt;$N73,0,CS73*(1-'Interest Rate'!$B$17))</f>
        <v>0</v>
      </c>
      <c r="CU73" s="609">
        <f>IF(CU$7&gt;$N73,0,CT73*(1-'Interest Rate'!$B$17))</f>
        <v>0</v>
      </c>
      <c r="CV73" s="609">
        <f>IF(CV$7&gt;$N73,0,CU73*(1-'Interest Rate'!$B$17))</f>
        <v>0</v>
      </c>
      <c r="CW73" s="609">
        <f>IF(CW$7&gt;$N73,0,CV73*(1-'Interest Rate'!$B$17))</f>
        <v>0</v>
      </c>
      <c r="CX73" s="609">
        <f>IF(CX$7&gt;$N73,0,CW73*(1-'Interest Rate'!$B$17))</f>
        <v>0</v>
      </c>
      <c r="CY73" s="609">
        <f>IF(CY$7&gt;$N73,0,CX73*(1-'Interest Rate'!$B$17))</f>
        <v>0</v>
      </c>
      <c r="CZ73" s="609">
        <f>IF(CZ$7&gt;$N73,0,CY73*(1-'Interest Rate'!$B$17))</f>
        <v>0</v>
      </c>
      <c r="DA73" s="609">
        <f>IF(DA$7&gt;$N73,0,CZ73*(1-'Interest Rate'!$B$17))</f>
        <v>0</v>
      </c>
      <c r="DB73" s="609">
        <f>IF(DB$7&gt;$N73,0,DA73*(1-'Interest Rate'!$B$17))</f>
        <v>0</v>
      </c>
      <c r="DC73" s="609">
        <f>IF(DC$7&gt;$N73,0,DB73*(1-'Interest Rate'!$B$17))</f>
        <v>0</v>
      </c>
      <c r="DD73" s="609">
        <f>IF(DD$7&gt;$N73,0,DC73*(1-'Interest Rate'!$B$17))</f>
        <v>0</v>
      </c>
      <c r="DE73" s="609">
        <f>IF(DE$7&gt;$N73,0,DD73*(1-'Interest Rate'!$B$17))</f>
        <v>0</v>
      </c>
      <c r="DF73" s="609">
        <f>IF(DF$7&gt;$N73,0,DE73*(1-'Interest Rate'!$B$17))</f>
        <v>0</v>
      </c>
      <c r="DG73" s="609">
        <f>IF(DG$7&gt;$N73,0,DF73*(1-'Interest Rate'!$B$17))</f>
        <v>0</v>
      </c>
      <c r="DH73" s="609">
        <f>IF(DH$7&gt;$N73,0,DG73*(1-'Interest Rate'!$B$17))</f>
        <v>0</v>
      </c>
      <c r="DI73" s="609">
        <f>IF(DI$7&gt;$N73,0,DH73*(1-'Interest Rate'!$B$17))</f>
        <v>0</v>
      </c>
      <c r="DJ73" s="609">
        <f>IF(DJ$7&gt;$N73,0,DI73*(1-'Interest Rate'!$B$17))</f>
        <v>0</v>
      </c>
      <c r="DK73" s="609">
        <f>IF(DK$7&gt;$N73,0,DJ73*(1-'Interest Rate'!$B$17))</f>
        <v>0</v>
      </c>
      <c r="DL73" s="609">
        <f>IF(DL$7&gt;$N73,0,DK73*(1-'Interest Rate'!$B$17))</f>
        <v>0</v>
      </c>
      <c r="DM73" s="609">
        <f>IF(DM$7&gt;$N73,0,DL73*(1-'Interest Rate'!$B$17))</f>
        <v>0</v>
      </c>
    </row>
    <row r="74" spans="1:117" ht="27.75" customHeight="1" x14ac:dyDescent="0.3">
      <c r="A74" s="624" t="str">
        <f>'EEM Data Entry'!A149</f>
        <v/>
      </c>
      <c r="B74" s="625" t="str">
        <f>IF('EEM Data Entry'!B149="  ","  ", 'EEM Data Entry'!B149)</f>
        <v/>
      </c>
      <c r="C74" s="626" t="str">
        <f>'EEM Data Entry'!F149</f>
        <v/>
      </c>
      <c r="D74" s="626">
        <v>0</v>
      </c>
      <c r="E74" s="626" t="e">
        <f t="shared" si="22"/>
        <v>#VALUE!</v>
      </c>
      <c r="F74" s="626">
        <f>('Savings Summary'!D77*'Savings Summary'!D$5)+('Savings Summary'!F77*'Savings Summary'!F$5)+('Savings Summary'!H77*'Savings Summary'!H$5)+('Savings Summary'!J77*'Savings Summary'!J$5)+('Savings Summary'!L77*'Savings Summary'!L$5)+('Savings Summary'!N77*'Savings Summary'!N$5)+('Savings Summary'!P77*'Savings Summary'!P$5)+('Savings Summary'!R77*'Savings Summary'!R$5)</f>
        <v>0</v>
      </c>
      <c r="G74" s="627">
        <f>'Savings Summary'!T77</f>
        <v>0</v>
      </c>
      <c r="H74" s="628" t="e">
        <f t="shared" si="23"/>
        <v>#VALUE!</v>
      </c>
      <c r="I74" s="624" t="e">
        <f t="shared" si="24"/>
        <v>#VALUE!</v>
      </c>
      <c r="J74" s="629" t="e">
        <f t="shared" si="20"/>
        <v>#NUM!</v>
      </c>
      <c r="K74" s="630" t="e">
        <f>PV('Interest Rate'!$B$17,Table9[[#This Row],[LIFETIME]],-Table9[[#This Row],[ANNUAL ENERGY COST SAVINGS]],Table9[[#This Row],[END-OF-LIFE]],0)-Table9[[#This Row],[ CAPITAL INVESTMENT]]</f>
        <v>#VALUE!</v>
      </c>
      <c r="L74" s="624" t="str">
        <f>'EEM Data Entry'!C149</f>
        <v/>
      </c>
      <c r="M74" s="631" t="e">
        <f>Table6[[#This Row],[ANNUAL ENERGY COST SAVINGS]]/Table6[[#This Row],[CAPITAL INVESTMENT]]</f>
        <v>#VALUE!</v>
      </c>
      <c r="N74" s="804" t="str">
        <f>Table9[[#This Row],[LIFETIME]]</f>
        <v/>
      </c>
      <c r="O74" s="803"/>
      <c r="P74" s="803"/>
      <c r="Q74" s="608" t="str">
        <f t="shared" si="21"/>
        <v/>
      </c>
      <c r="R74" s="609">
        <f t="shared" si="25"/>
        <v>0</v>
      </c>
      <c r="S74" s="609">
        <f>IF(S$7&gt;$N74,0,R74*(1-'Interest Rate'!$B$17))</f>
        <v>0</v>
      </c>
      <c r="T74" s="609">
        <f>IF(T$7&gt;$N74,0,S74*(1-'Interest Rate'!$B$17))</f>
        <v>0</v>
      </c>
      <c r="U74" s="609">
        <f>IF(U$7&gt;$N74,0,T74*(1-'Interest Rate'!$B$17))</f>
        <v>0</v>
      </c>
      <c r="V74" s="609">
        <f>IF(V$7&gt;$N74,0,U74*(1-'Interest Rate'!$B$17))</f>
        <v>0</v>
      </c>
      <c r="W74" s="609">
        <f>IF(W$7&gt;$N74,0,V74*(1-'Interest Rate'!$B$17))</f>
        <v>0</v>
      </c>
      <c r="X74" s="609">
        <f>IF(X$7&gt;$N74,0,W74*(1-'Interest Rate'!$B$17))</f>
        <v>0</v>
      </c>
      <c r="Y74" s="609">
        <f>IF(Y$7&gt;$N74,0,X74*(1-'Interest Rate'!$B$17))</f>
        <v>0</v>
      </c>
      <c r="Z74" s="609">
        <f>IF(Z$7&gt;$N74,0,Y74*(1-'Interest Rate'!$B$17))</f>
        <v>0</v>
      </c>
      <c r="AA74" s="609">
        <f>IF(AA$7&gt;$N74,0,Z74*(1-'Interest Rate'!$B$17))</f>
        <v>0</v>
      </c>
      <c r="AB74" s="609">
        <f>IF(AB$7&gt;$N74,0,AA74*(1-'Interest Rate'!$B$17))</f>
        <v>0</v>
      </c>
      <c r="AC74" s="609">
        <f>IF(AC$7&gt;$N74,0,AB74*(1-'Interest Rate'!$B$17))</f>
        <v>0</v>
      </c>
      <c r="AD74" s="609">
        <f>IF(AD$7&gt;$N74,0,AC74*(1-'Interest Rate'!$B$17))</f>
        <v>0</v>
      </c>
      <c r="AE74" s="609">
        <f>IF(AE$7&gt;$N74,0,AD74*(1-'Interest Rate'!$B$17))</f>
        <v>0</v>
      </c>
      <c r="AF74" s="609">
        <f>IF(AF$7&gt;$N74,0,AE74*(1-'Interest Rate'!$B$17))</f>
        <v>0</v>
      </c>
      <c r="AG74" s="609">
        <f>IF(AG$7&gt;$N74,0,AF74*(1-'Interest Rate'!$B$17))</f>
        <v>0</v>
      </c>
      <c r="AH74" s="609">
        <f>IF(AH$7&gt;$N74,0,AG74*(1-'Interest Rate'!$B$17))</f>
        <v>0</v>
      </c>
      <c r="AI74" s="609">
        <f>IF(AI$7&gt;$N74,0,AH74*(1-'Interest Rate'!$B$17))</f>
        <v>0</v>
      </c>
      <c r="AJ74" s="609">
        <f>IF(AJ$7&gt;$N74,0,AI74*(1-'Interest Rate'!$B$17))</f>
        <v>0</v>
      </c>
      <c r="AK74" s="609">
        <f>IF(AK$7&gt;$N74,0,AJ74*(1-'Interest Rate'!$B$17))</f>
        <v>0</v>
      </c>
      <c r="AL74" s="609">
        <f>IF(AL$7&gt;$N74,0,AK74*(1-'Interest Rate'!$B$17))</f>
        <v>0</v>
      </c>
      <c r="AM74" s="609">
        <f>IF(AM$7&gt;$N74,0,AL74*(1-'Interest Rate'!$B$17))</f>
        <v>0</v>
      </c>
      <c r="AN74" s="609">
        <f>IF(AN$7&gt;$N74,0,AM74*(1-'Interest Rate'!$B$17))</f>
        <v>0</v>
      </c>
      <c r="AO74" s="609">
        <f>IF(AO$7&gt;$N74,0,AN74*(1-'Interest Rate'!$B$17))</f>
        <v>0</v>
      </c>
      <c r="AP74" s="609">
        <f>IF(AP$7&gt;$N74,0,AO74*(1-'Interest Rate'!$B$17))</f>
        <v>0</v>
      </c>
      <c r="AQ74" s="609">
        <f>IF(AQ$7&gt;$N74,0,AP74*(1-'Interest Rate'!$B$17))</f>
        <v>0</v>
      </c>
      <c r="AR74" s="609">
        <f>IF(AR$7&gt;$N74,0,AQ74*(1-'Interest Rate'!$B$17))</f>
        <v>0</v>
      </c>
      <c r="AS74" s="609">
        <f>IF(AS$7&gt;$N74,0,AR74*(1-'Interest Rate'!$B$17))</f>
        <v>0</v>
      </c>
      <c r="AT74" s="609">
        <f>IF(AT$7&gt;$N74,0,AS74*(1-'Interest Rate'!$B$17))</f>
        <v>0</v>
      </c>
      <c r="AU74" s="609">
        <f>IF(AU$7&gt;$N74,0,AT74*(1-'Interest Rate'!$B$17))</f>
        <v>0</v>
      </c>
      <c r="AV74" s="609">
        <f>IF(AV$7&gt;$N74,0,AU74*(1-'Interest Rate'!$B$17))</f>
        <v>0</v>
      </c>
      <c r="AW74" s="609">
        <f>IF(AW$7&gt;$N74,0,AV74*(1-'Interest Rate'!$B$17))</f>
        <v>0</v>
      </c>
      <c r="AX74" s="609">
        <f>IF(AX$7&gt;$N74,0,AW74*(1-'Interest Rate'!$B$17))</f>
        <v>0</v>
      </c>
      <c r="AY74" s="609">
        <f>IF(AY$7&gt;$N74,0,AX74*(1-'Interest Rate'!$B$17))</f>
        <v>0</v>
      </c>
      <c r="AZ74" s="609">
        <f>IF(AZ$7&gt;$N74,0,AY74*(1-'Interest Rate'!$B$17))</f>
        <v>0</v>
      </c>
      <c r="BA74" s="609">
        <f>IF(BA$7&gt;$N74,0,AZ74*(1-'Interest Rate'!$B$17))</f>
        <v>0</v>
      </c>
      <c r="BB74" s="609">
        <f>IF(BB$7&gt;$N74,0,BA74*(1-'Interest Rate'!$B$17))</f>
        <v>0</v>
      </c>
      <c r="BC74" s="609">
        <f>IF(BC$7&gt;$N74,0,BB74*(1-'Interest Rate'!$B$17))</f>
        <v>0</v>
      </c>
      <c r="BD74" s="609">
        <f>IF(BD$7&gt;$N74,0,BC74*(1-'Interest Rate'!$B$17))</f>
        <v>0</v>
      </c>
      <c r="BE74" s="609">
        <f>IF(BE$7&gt;$N74,0,BD74*(1-'Interest Rate'!$B$17))</f>
        <v>0</v>
      </c>
      <c r="BF74" s="609">
        <f>IF(BF$7&gt;$N74,0,BE74*(1-'Interest Rate'!$B$17))</f>
        <v>0</v>
      </c>
      <c r="BG74" s="609">
        <f>IF(BG$7&gt;$N74,0,BF74*(1-'Interest Rate'!$B$17))</f>
        <v>0</v>
      </c>
      <c r="BH74" s="609">
        <f>IF(BH$7&gt;$N74,0,BG74*(1-'Interest Rate'!$B$17))</f>
        <v>0</v>
      </c>
      <c r="BI74" s="609">
        <f>IF(BI$7&gt;$N74,0,BH74*(1-'Interest Rate'!$B$17))</f>
        <v>0</v>
      </c>
      <c r="BJ74" s="609">
        <f>IF(BJ$7&gt;$N74,0,BI74*(1-'Interest Rate'!$B$17))</f>
        <v>0</v>
      </c>
      <c r="BK74" s="609">
        <f>IF(BK$7&gt;$N74,0,BJ74*(1-'Interest Rate'!$B$17))</f>
        <v>0</v>
      </c>
      <c r="BL74" s="609">
        <f>IF(BL$7&gt;$N74,0,BK74*(1-'Interest Rate'!$B$17))</f>
        <v>0</v>
      </c>
      <c r="BM74" s="609">
        <f>IF(BM$7&gt;$N74,0,BL74*(1-'Interest Rate'!$B$17))</f>
        <v>0</v>
      </c>
      <c r="BN74" s="609">
        <f>IF(BN$7&gt;$N74,0,BM74*(1-'Interest Rate'!$B$17))</f>
        <v>0</v>
      </c>
      <c r="BO74" s="609">
        <f>IF(BO$7&gt;$N74,0,BN74*(1-'Interest Rate'!$B$17))</f>
        <v>0</v>
      </c>
      <c r="BP74" s="609">
        <f>IF(BP$7&gt;$N74,0,BO74*(1-'Interest Rate'!$B$17))</f>
        <v>0</v>
      </c>
      <c r="BQ74" s="609">
        <f>IF(BQ$7&gt;$N74,0,BP74*(1-'Interest Rate'!$B$17))</f>
        <v>0</v>
      </c>
      <c r="BR74" s="609">
        <f>IF(BR$7&gt;$N74,0,BQ74*(1-'Interest Rate'!$B$17))</f>
        <v>0</v>
      </c>
      <c r="BS74" s="609">
        <f>IF(BS$7&gt;$N74,0,BR74*(1-'Interest Rate'!$B$17))</f>
        <v>0</v>
      </c>
      <c r="BT74" s="609">
        <f>IF(BT$7&gt;$N74,0,BS74*(1-'Interest Rate'!$B$17))</f>
        <v>0</v>
      </c>
      <c r="BU74" s="609">
        <f>IF(BU$7&gt;$N74,0,BT74*(1-'Interest Rate'!$B$17))</f>
        <v>0</v>
      </c>
      <c r="BV74" s="609">
        <f>IF(BV$7&gt;$N74,0,BU74*(1-'Interest Rate'!$B$17))</f>
        <v>0</v>
      </c>
      <c r="BW74" s="609">
        <f>IF(BW$7&gt;$N74,0,BV74*(1-'Interest Rate'!$B$17))</f>
        <v>0</v>
      </c>
      <c r="BX74" s="609">
        <f>IF(BX$7&gt;$N74,0,BW74*(1-'Interest Rate'!$B$17))</f>
        <v>0</v>
      </c>
      <c r="BY74" s="609">
        <f>IF(BY$7&gt;$N74,0,BX74*(1-'Interest Rate'!$B$17))</f>
        <v>0</v>
      </c>
      <c r="BZ74" s="609">
        <f>IF(BZ$7&gt;$N74,0,BY74*(1-'Interest Rate'!$B$17))</f>
        <v>0</v>
      </c>
      <c r="CA74" s="609">
        <f>IF(CA$7&gt;$N74,0,BZ74*(1-'Interest Rate'!$B$17))</f>
        <v>0</v>
      </c>
      <c r="CB74" s="609">
        <f>IF(CB$7&gt;$N74,0,CA74*(1-'Interest Rate'!$B$17))</f>
        <v>0</v>
      </c>
      <c r="CC74" s="609">
        <f>IF(CC$7&gt;$N74,0,CB74*(1-'Interest Rate'!$B$17))</f>
        <v>0</v>
      </c>
      <c r="CD74" s="609">
        <f>IF(CD$7&gt;$N74,0,CC74*(1-'Interest Rate'!$B$17))</f>
        <v>0</v>
      </c>
      <c r="CE74" s="609">
        <f>IF(CE$7&gt;$N74,0,CD74*(1-'Interest Rate'!$B$17))</f>
        <v>0</v>
      </c>
      <c r="CF74" s="609">
        <f>IF(CF$7&gt;$N74,0,CE74*(1-'Interest Rate'!$B$17))</f>
        <v>0</v>
      </c>
      <c r="CG74" s="609">
        <f>IF(CG$7&gt;$N74,0,CF74*(1-'Interest Rate'!$B$17))</f>
        <v>0</v>
      </c>
      <c r="CH74" s="609">
        <f>IF(CH$7&gt;$N74,0,CG74*(1-'Interest Rate'!$B$17))</f>
        <v>0</v>
      </c>
      <c r="CI74" s="609">
        <f>IF(CI$7&gt;$N74,0,CH74*(1-'Interest Rate'!$B$17))</f>
        <v>0</v>
      </c>
      <c r="CJ74" s="609">
        <f>IF(CJ$7&gt;$N74,0,CI74*(1-'Interest Rate'!$B$17))</f>
        <v>0</v>
      </c>
      <c r="CK74" s="609">
        <f>IF(CK$7&gt;$N74,0,CJ74*(1-'Interest Rate'!$B$17))</f>
        <v>0</v>
      </c>
      <c r="CL74" s="609">
        <f>IF(CL$7&gt;$N74,0,CK74*(1-'Interest Rate'!$B$17))</f>
        <v>0</v>
      </c>
      <c r="CM74" s="609">
        <f>IF(CM$7&gt;$N74,0,CL74*(1-'Interest Rate'!$B$17))</f>
        <v>0</v>
      </c>
      <c r="CN74" s="609">
        <f>IF(CN$7&gt;$N74,0,CM74*(1-'Interest Rate'!$B$17))</f>
        <v>0</v>
      </c>
      <c r="CO74" s="609">
        <f>IF(CO$7&gt;$N74,0,CN74*(1-'Interest Rate'!$B$17))</f>
        <v>0</v>
      </c>
      <c r="CP74" s="609">
        <f>IF(CP$7&gt;$N74,0,CO74*(1-'Interest Rate'!$B$17))</f>
        <v>0</v>
      </c>
      <c r="CQ74" s="609">
        <f>IF(CQ$7&gt;$N74,0,CP74*(1-'Interest Rate'!$B$17))</f>
        <v>0</v>
      </c>
      <c r="CR74" s="609">
        <f>IF(CR$7&gt;$N74,0,CQ74*(1-'Interest Rate'!$B$17))</f>
        <v>0</v>
      </c>
      <c r="CS74" s="609">
        <f>IF(CS$7&gt;$N74,0,CR74*(1-'Interest Rate'!$B$17))</f>
        <v>0</v>
      </c>
      <c r="CT74" s="609">
        <f>IF(CT$7&gt;$N74,0,CS74*(1-'Interest Rate'!$B$17))</f>
        <v>0</v>
      </c>
      <c r="CU74" s="609">
        <f>IF(CU$7&gt;$N74,0,CT74*(1-'Interest Rate'!$B$17))</f>
        <v>0</v>
      </c>
      <c r="CV74" s="609">
        <f>IF(CV$7&gt;$N74,0,CU74*(1-'Interest Rate'!$B$17))</f>
        <v>0</v>
      </c>
      <c r="CW74" s="609">
        <f>IF(CW$7&gt;$N74,0,CV74*(1-'Interest Rate'!$B$17))</f>
        <v>0</v>
      </c>
      <c r="CX74" s="609">
        <f>IF(CX$7&gt;$N74,0,CW74*(1-'Interest Rate'!$B$17))</f>
        <v>0</v>
      </c>
      <c r="CY74" s="609">
        <f>IF(CY$7&gt;$N74,0,CX74*(1-'Interest Rate'!$B$17))</f>
        <v>0</v>
      </c>
      <c r="CZ74" s="609">
        <f>IF(CZ$7&gt;$N74,0,CY74*(1-'Interest Rate'!$B$17))</f>
        <v>0</v>
      </c>
      <c r="DA74" s="609">
        <f>IF(DA$7&gt;$N74,0,CZ74*(1-'Interest Rate'!$B$17))</f>
        <v>0</v>
      </c>
      <c r="DB74" s="609">
        <f>IF(DB$7&gt;$N74,0,DA74*(1-'Interest Rate'!$B$17))</f>
        <v>0</v>
      </c>
      <c r="DC74" s="609">
        <f>IF(DC$7&gt;$N74,0,DB74*(1-'Interest Rate'!$B$17))</f>
        <v>0</v>
      </c>
      <c r="DD74" s="609">
        <f>IF(DD$7&gt;$N74,0,DC74*(1-'Interest Rate'!$B$17))</f>
        <v>0</v>
      </c>
      <c r="DE74" s="609">
        <f>IF(DE$7&gt;$N74,0,DD74*(1-'Interest Rate'!$B$17))</f>
        <v>0</v>
      </c>
      <c r="DF74" s="609">
        <f>IF(DF$7&gt;$N74,0,DE74*(1-'Interest Rate'!$B$17))</f>
        <v>0</v>
      </c>
      <c r="DG74" s="609">
        <f>IF(DG$7&gt;$N74,0,DF74*(1-'Interest Rate'!$B$17))</f>
        <v>0</v>
      </c>
      <c r="DH74" s="609">
        <f>IF(DH$7&gt;$N74,0,DG74*(1-'Interest Rate'!$B$17))</f>
        <v>0</v>
      </c>
      <c r="DI74" s="609">
        <f>IF(DI$7&gt;$N74,0,DH74*(1-'Interest Rate'!$B$17))</f>
        <v>0</v>
      </c>
      <c r="DJ74" s="609">
        <f>IF(DJ$7&gt;$N74,0,DI74*(1-'Interest Rate'!$B$17))</f>
        <v>0</v>
      </c>
      <c r="DK74" s="609">
        <f>IF(DK$7&gt;$N74,0,DJ74*(1-'Interest Rate'!$B$17))</f>
        <v>0</v>
      </c>
      <c r="DL74" s="609">
        <f>IF(DL$7&gt;$N74,0,DK74*(1-'Interest Rate'!$B$17))</f>
        <v>0</v>
      </c>
      <c r="DM74" s="609">
        <f>IF(DM$7&gt;$N74,0,DL74*(1-'Interest Rate'!$B$17))</f>
        <v>0</v>
      </c>
    </row>
    <row r="75" spans="1:117" ht="27.75" customHeight="1" x14ac:dyDescent="0.3">
      <c r="A75" s="624" t="str">
        <f>'EEM Data Entry'!A150</f>
        <v/>
      </c>
      <c r="B75" s="625" t="str">
        <f>IF('EEM Data Entry'!B150="  ","  ", 'EEM Data Entry'!B150)</f>
        <v/>
      </c>
      <c r="C75" s="626" t="str">
        <f>'EEM Data Entry'!F150</f>
        <v/>
      </c>
      <c r="D75" s="626">
        <v>0</v>
      </c>
      <c r="E75" s="626" t="e">
        <f t="shared" si="22"/>
        <v>#VALUE!</v>
      </c>
      <c r="F75" s="626">
        <f>('Savings Summary'!D78*'Savings Summary'!D$5)+('Savings Summary'!F78*'Savings Summary'!F$5)+('Savings Summary'!H78*'Savings Summary'!H$5)+('Savings Summary'!J78*'Savings Summary'!J$5)+('Savings Summary'!L78*'Savings Summary'!L$5)+('Savings Summary'!N78*'Savings Summary'!N$5)+('Savings Summary'!P78*'Savings Summary'!P$5)+('Savings Summary'!R78*'Savings Summary'!R$5)</f>
        <v>0</v>
      </c>
      <c r="G75" s="627">
        <f>'Savings Summary'!T78</f>
        <v>0</v>
      </c>
      <c r="H75" s="628" t="e">
        <f t="shared" si="23"/>
        <v>#VALUE!</v>
      </c>
      <c r="I75" s="624" t="e">
        <f t="shared" si="24"/>
        <v>#VALUE!</v>
      </c>
      <c r="J75" s="629" t="e">
        <f t="shared" si="20"/>
        <v>#NUM!</v>
      </c>
      <c r="K75" s="630" t="e">
        <f>PV('Interest Rate'!$B$17,Table9[[#This Row],[LIFETIME]],-Table9[[#This Row],[ANNUAL ENERGY COST SAVINGS]],Table9[[#This Row],[END-OF-LIFE]],0)-Table9[[#This Row],[ CAPITAL INVESTMENT]]</f>
        <v>#VALUE!</v>
      </c>
      <c r="L75" s="624" t="str">
        <f>'EEM Data Entry'!C150</f>
        <v/>
      </c>
      <c r="M75" s="631" t="e">
        <f>Table6[[#This Row],[ANNUAL ENERGY COST SAVINGS]]/Table6[[#This Row],[CAPITAL INVESTMENT]]</f>
        <v>#VALUE!</v>
      </c>
      <c r="N75" s="804" t="str">
        <f>Table9[[#This Row],[LIFETIME]]</f>
        <v/>
      </c>
      <c r="O75" s="803"/>
      <c r="P75" s="803"/>
      <c r="Q75" s="608" t="str">
        <f t="shared" si="21"/>
        <v/>
      </c>
      <c r="R75" s="609">
        <f t="shared" si="25"/>
        <v>0</v>
      </c>
      <c r="S75" s="609">
        <f>IF(S$7&gt;$N75,0,R75*(1-'Interest Rate'!$B$17))</f>
        <v>0</v>
      </c>
      <c r="T75" s="609">
        <f>IF(T$7&gt;$N75,0,S75*(1-'Interest Rate'!$B$17))</f>
        <v>0</v>
      </c>
      <c r="U75" s="609">
        <f>IF(U$7&gt;$N75,0,T75*(1-'Interest Rate'!$B$17))</f>
        <v>0</v>
      </c>
      <c r="V75" s="609">
        <f>IF(V$7&gt;$N75,0,U75*(1-'Interest Rate'!$B$17))</f>
        <v>0</v>
      </c>
      <c r="W75" s="609">
        <f>IF(W$7&gt;$N75,0,V75*(1-'Interest Rate'!$B$17))</f>
        <v>0</v>
      </c>
      <c r="X75" s="609">
        <f>IF(X$7&gt;$N75,0,W75*(1-'Interest Rate'!$B$17))</f>
        <v>0</v>
      </c>
      <c r="Y75" s="609">
        <f>IF(Y$7&gt;$N75,0,X75*(1-'Interest Rate'!$B$17))</f>
        <v>0</v>
      </c>
      <c r="Z75" s="609">
        <f>IF(Z$7&gt;$N75,0,Y75*(1-'Interest Rate'!$B$17))</f>
        <v>0</v>
      </c>
      <c r="AA75" s="609">
        <f>IF(AA$7&gt;$N75,0,Z75*(1-'Interest Rate'!$B$17))</f>
        <v>0</v>
      </c>
      <c r="AB75" s="609">
        <f>IF(AB$7&gt;$N75,0,AA75*(1-'Interest Rate'!$B$17))</f>
        <v>0</v>
      </c>
      <c r="AC75" s="609">
        <f>IF(AC$7&gt;$N75,0,AB75*(1-'Interest Rate'!$B$17))</f>
        <v>0</v>
      </c>
      <c r="AD75" s="609">
        <f>IF(AD$7&gt;$N75,0,AC75*(1-'Interest Rate'!$B$17))</f>
        <v>0</v>
      </c>
      <c r="AE75" s="609">
        <f>IF(AE$7&gt;$N75,0,AD75*(1-'Interest Rate'!$B$17))</f>
        <v>0</v>
      </c>
      <c r="AF75" s="609">
        <f>IF(AF$7&gt;$N75,0,AE75*(1-'Interest Rate'!$B$17))</f>
        <v>0</v>
      </c>
      <c r="AG75" s="609">
        <f>IF(AG$7&gt;$N75,0,AF75*(1-'Interest Rate'!$B$17))</f>
        <v>0</v>
      </c>
      <c r="AH75" s="609">
        <f>IF(AH$7&gt;$N75,0,AG75*(1-'Interest Rate'!$B$17))</f>
        <v>0</v>
      </c>
      <c r="AI75" s="609">
        <f>IF(AI$7&gt;$N75,0,AH75*(1-'Interest Rate'!$B$17))</f>
        <v>0</v>
      </c>
      <c r="AJ75" s="609">
        <f>IF(AJ$7&gt;$N75,0,AI75*(1-'Interest Rate'!$B$17))</f>
        <v>0</v>
      </c>
      <c r="AK75" s="609">
        <f>IF(AK$7&gt;$N75,0,AJ75*(1-'Interest Rate'!$B$17))</f>
        <v>0</v>
      </c>
      <c r="AL75" s="609">
        <f>IF(AL$7&gt;$N75,0,AK75*(1-'Interest Rate'!$B$17))</f>
        <v>0</v>
      </c>
      <c r="AM75" s="609">
        <f>IF(AM$7&gt;$N75,0,AL75*(1-'Interest Rate'!$B$17))</f>
        <v>0</v>
      </c>
      <c r="AN75" s="609">
        <f>IF(AN$7&gt;$N75,0,AM75*(1-'Interest Rate'!$B$17))</f>
        <v>0</v>
      </c>
      <c r="AO75" s="609">
        <f>IF(AO$7&gt;$N75,0,AN75*(1-'Interest Rate'!$B$17))</f>
        <v>0</v>
      </c>
      <c r="AP75" s="609">
        <f>IF(AP$7&gt;$N75,0,AO75*(1-'Interest Rate'!$B$17))</f>
        <v>0</v>
      </c>
      <c r="AQ75" s="609">
        <f>IF(AQ$7&gt;$N75,0,AP75*(1-'Interest Rate'!$B$17))</f>
        <v>0</v>
      </c>
      <c r="AR75" s="609">
        <f>IF(AR$7&gt;$N75,0,AQ75*(1-'Interest Rate'!$B$17))</f>
        <v>0</v>
      </c>
      <c r="AS75" s="609">
        <f>IF(AS$7&gt;$N75,0,AR75*(1-'Interest Rate'!$B$17))</f>
        <v>0</v>
      </c>
      <c r="AT75" s="609">
        <f>IF(AT$7&gt;$N75,0,AS75*(1-'Interest Rate'!$B$17))</f>
        <v>0</v>
      </c>
      <c r="AU75" s="609">
        <f>IF(AU$7&gt;$N75,0,AT75*(1-'Interest Rate'!$B$17))</f>
        <v>0</v>
      </c>
      <c r="AV75" s="609">
        <f>IF(AV$7&gt;$N75,0,AU75*(1-'Interest Rate'!$B$17))</f>
        <v>0</v>
      </c>
      <c r="AW75" s="609">
        <f>IF(AW$7&gt;$N75,0,AV75*(1-'Interest Rate'!$B$17))</f>
        <v>0</v>
      </c>
      <c r="AX75" s="609">
        <f>IF(AX$7&gt;$N75,0,AW75*(1-'Interest Rate'!$B$17))</f>
        <v>0</v>
      </c>
      <c r="AY75" s="609">
        <f>IF(AY$7&gt;$N75,0,AX75*(1-'Interest Rate'!$B$17))</f>
        <v>0</v>
      </c>
      <c r="AZ75" s="609">
        <f>IF(AZ$7&gt;$N75,0,AY75*(1-'Interest Rate'!$B$17))</f>
        <v>0</v>
      </c>
      <c r="BA75" s="609">
        <f>IF(BA$7&gt;$N75,0,AZ75*(1-'Interest Rate'!$B$17))</f>
        <v>0</v>
      </c>
      <c r="BB75" s="609">
        <f>IF(BB$7&gt;$N75,0,BA75*(1-'Interest Rate'!$B$17))</f>
        <v>0</v>
      </c>
      <c r="BC75" s="609">
        <f>IF(BC$7&gt;$N75,0,BB75*(1-'Interest Rate'!$B$17))</f>
        <v>0</v>
      </c>
      <c r="BD75" s="609">
        <f>IF(BD$7&gt;$N75,0,BC75*(1-'Interest Rate'!$B$17))</f>
        <v>0</v>
      </c>
      <c r="BE75" s="609">
        <f>IF(BE$7&gt;$N75,0,BD75*(1-'Interest Rate'!$B$17))</f>
        <v>0</v>
      </c>
      <c r="BF75" s="609">
        <f>IF(BF$7&gt;$N75,0,BE75*(1-'Interest Rate'!$B$17))</f>
        <v>0</v>
      </c>
      <c r="BG75" s="609">
        <f>IF(BG$7&gt;$N75,0,BF75*(1-'Interest Rate'!$B$17))</f>
        <v>0</v>
      </c>
      <c r="BH75" s="609">
        <f>IF(BH$7&gt;$N75,0,BG75*(1-'Interest Rate'!$B$17))</f>
        <v>0</v>
      </c>
      <c r="BI75" s="609">
        <f>IF(BI$7&gt;$N75,0,BH75*(1-'Interest Rate'!$B$17))</f>
        <v>0</v>
      </c>
      <c r="BJ75" s="609">
        <f>IF(BJ$7&gt;$N75,0,BI75*(1-'Interest Rate'!$B$17))</f>
        <v>0</v>
      </c>
      <c r="BK75" s="609">
        <f>IF(BK$7&gt;$N75,0,BJ75*(1-'Interest Rate'!$B$17))</f>
        <v>0</v>
      </c>
      <c r="BL75" s="609">
        <f>IF(BL$7&gt;$N75,0,BK75*(1-'Interest Rate'!$B$17))</f>
        <v>0</v>
      </c>
      <c r="BM75" s="609">
        <f>IF(BM$7&gt;$N75,0,BL75*(1-'Interest Rate'!$B$17))</f>
        <v>0</v>
      </c>
      <c r="BN75" s="609">
        <f>IF(BN$7&gt;$N75,0,BM75*(1-'Interest Rate'!$B$17))</f>
        <v>0</v>
      </c>
      <c r="BO75" s="609">
        <f>IF(BO$7&gt;$N75,0,BN75*(1-'Interest Rate'!$B$17))</f>
        <v>0</v>
      </c>
      <c r="BP75" s="609">
        <f>IF(BP$7&gt;$N75,0,BO75*(1-'Interest Rate'!$B$17))</f>
        <v>0</v>
      </c>
      <c r="BQ75" s="609">
        <f>IF(BQ$7&gt;$N75,0,BP75*(1-'Interest Rate'!$B$17))</f>
        <v>0</v>
      </c>
      <c r="BR75" s="609">
        <f>IF(BR$7&gt;$N75,0,BQ75*(1-'Interest Rate'!$B$17))</f>
        <v>0</v>
      </c>
      <c r="BS75" s="609">
        <f>IF(BS$7&gt;$N75,0,BR75*(1-'Interest Rate'!$B$17))</f>
        <v>0</v>
      </c>
      <c r="BT75" s="609">
        <f>IF(BT$7&gt;$N75,0,BS75*(1-'Interest Rate'!$B$17))</f>
        <v>0</v>
      </c>
      <c r="BU75" s="609">
        <f>IF(BU$7&gt;$N75,0,BT75*(1-'Interest Rate'!$B$17))</f>
        <v>0</v>
      </c>
      <c r="BV75" s="609">
        <f>IF(BV$7&gt;$N75,0,BU75*(1-'Interest Rate'!$B$17))</f>
        <v>0</v>
      </c>
      <c r="BW75" s="609">
        <f>IF(BW$7&gt;$N75,0,BV75*(1-'Interest Rate'!$B$17))</f>
        <v>0</v>
      </c>
      <c r="BX75" s="609">
        <f>IF(BX$7&gt;$N75,0,BW75*(1-'Interest Rate'!$B$17))</f>
        <v>0</v>
      </c>
      <c r="BY75" s="609">
        <f>IF(BY$7&gt;$N75,0,BX75*(1-'Interest Rate'!$B$17))</f>
        <v>0</v>
      </c>
      <c r="BZ75" s="609">
        <f>IF(BZ$7&gt;$N75,0,BY75*(1-'Interest Rate'!$B$17))</f>
        <v>0</v>
      </c>
      <c r="CA75" s="609">
        <f>IF(CA$7&gt;$N75,0,BZ75*(1-'Interest Rate'!$B$17))</f>
        <v>0</v>
      </c>
      <c r="CB75" s="609">
        <f>IF(CB$7&gt;$N75,0,CA75*(1-'Interest Rate'!$B$17))</f>
        <v>0</v>
      </c>
      <c r="CC75" s="609">
        <f>IF(CC$7&gt;$N75,0,CB75*(1-'Interest Rate'!$B$17))</f>
        <v>0</v>
      </c>
      <c r="CD75" s="609">
        <f>IF(CD$7&gt;$N75,0,CC75*(1-'Interest Rate'!$B$17))</f>
        <v>0</v>
      </c>
      <c r="CE75" s="609">
        <f>IF(CE$7&gt;$N75,0,CD75*(1-'Interest Rate'!$B$17))</f>
        <v>0</v>
      </c>
      <c r="CF75" s="609">
        <f>IF(CF$7&gt;$N75,0,CE75*(1-'Interest Rate'!$B$17))</f>
        <v>0</v>
      </c>
      <c r="CG75" s="609">
        <f>IF(CG$7&gt;$N75,0,CF75*(1-'Interest Rate'!$B$17))</f>
        <v>0</v>
      </c>
      <c r="CH75" s="609">
        <f>IF(CH$7&gt;$N75,0,CG75*(1-'Interest Rate'!$B$17))</f>
        <v>0</v>
      </c>
      <c r="CI75" s="609">
        <f>IF(CI$7&gt;$N75,0,CH75*(1-'Interest Rate'!$B$17))</f>
        <v>0</v>
      </c>
      <c r="CJ75" s="609">
        <f>IF(CJ$7&gt;$N75,0,CI75*(1-'Interest Rate'!$B$17))</f>
        <v>0</v>
      </c>
      <c r="CK75" s="609">
        <f>IF(CK$7&gt;$N75,0,CJ75*(1-'Interest Rate'!$B$17))</f>
        <v>0</v>
      </c>
      <c r="CL75" s="609">
        <f>IF(CL$7&gt;$N75,0,CK75*(1-'Interest Rate'!$B$17))</f>
        <v>0</v>
      </c>
      <c r="CM75" s="609">
        <f>IF(CM$7&gt;$N75,0,CL75*(1-'Interest Rate'!$B$17))</f>
        <v>0</v>
      </c>
      <c r="CN75" s="609">
        <f>IF(CN$7&gt;$N75,0,CM75*(1-'Interest Rate'!$B$17))</f>
        <v>0</v>
      </c>
      <c r="CO75" s="609">
        <f>IF(CO$7&gt;$N75,0,CN75*(1-'Interest Rate'!$B$17))</f>
        <v>0</v>
      </c>
      <c r="CP75" s="609">
        <f>IF(CP$7&gt;$N75,0,CO75*(1-'Interest Rate'!$B$17))</f>
        <v>0</v>
      </c>
      <c r="CQ75" s="609">
        <f>IF(CQ$7&gt;$N75,0,CP75*(1-'Interest Rate'!$B$17))</f>
        <v>0</v>
      </c>
      <c r="CR75" s="609">
        <f>IF(CR$7&gt;$N75,0,CQ75*(1-'Interest Rate'!$B$17))</f>
        <v>0</v>
      </c>
      <c r="CS75" s="609">
        <f>IF(CS$7&gt;$N75,0,CR75*(1-'Interest Rate'!$B$17))</f>
        <v>0</v>
      </c>
      <c r="CT75" s="609">
        <f>IF(CT$7&gt;$N75,0,CS75*(1-'Interest Rate'!$B$17))</f>
        <v>0</v>
      </c>
      <c r="CU75" s="609">
        <f>IF(CU$7&gt;$N75,0,CT75*(1-'Interest Rate'!$B$17))</f>
        <v>0</v>
      </c>
      <c r="CV75" s="609">
        <f>IF(CV$7&gt;$N75,0,CU75*(1-'Interest Rate'!$B$17))</f>
        <v>0</v>
      </c>
      <c r="CW75" s="609">
        <f>IF(CW$7&gt;$N75,0,CV75*(1-'Interest Rate'!$B$17))</f>
        <v>0</v>
      </c>
      <c r="CX75" s="609">
        <f>IF(CX$7&gt;$N75,0,CW75*(1-'Interest Rate'!$B$17))</f>
        <v>0</v>
      </c>
      <c r="CY75" s="609">
        <f>IF(CY$7&gt;$N75,0,CX75*(1-'Interest Rate'!$B$17))</f>
        <v>0</v>
      </c>
      <c r="CZ75" s="609">
        <f>IF(CZ$7&gt;$N75,0,CY75*(1-'Interest Rate'!$B$17))</f>
        <v>0</v>
      </c>
      <c r="DA75" s="609">
        <f>IF(DA$7&gt;$N75,0,CZ75*(1-'Interest Rate'!$B$17))</f>
        <v>0</v>
      </c>
      <c r="DB75" s="609">
        <f>IF(DB$7&gt;$N75,0,DA75*(1-'Interest Rate'!$B$17))</f>
        <v>0</v>
      </c>
      <c r="DC75" s="609">
        <f>IF(DC$7&gt;$N75,0,DB75*(1-'Interest Rate'!$B$17))</f>
        <v>0</v>
      </c>
      <c r="DD75" s="609">
        <f>IF(DD$7&gt;$N75,0,DC75*(1-'Interest Rate'!$B$17))</f>
        <v>0</v>
      </c>
      <c r="DE75" s="609">
        <f>IF(DE$7&gt;$N75,0,DD75*(1-'Interest Rate'!$B$17))</f>
        <v>0</v>
      </c>
      <c r="DF75" s="609">
        <f>IF(DF$7&gt;$N75,0,DE75*(1-'Interest Rate'!$B$17))</f>
        <v>0</v>
      </c>
      <c r="DG75" s="609">
        <f>IF(DG$7&gt;$N75,0,DF75*(1-'Interest Rate'!$B$17))</f>
        <v>0</v>
      </c>
      <c r="DH75" s="609">
        <f>IF(DH$7&gt;$N75,0,DG75*(1-'Interest Rate'!$B$17))</f>
        <v>0</v>
      </c>
      <c r="DI75" s="609">
        <f>IF(DI$7&gt;$N75,0,DH75*(1-'Interest Rate'!$B$17))</f>
        <v>0</v>
      </c>
      <c r="DJ75" s="609">
        <f>IF(DJ$7&gt;$N75,0,DI75*(1-'Interest Rate'!$B$17))</f>
        <v>0</v>
      </c>
      <c r="DK75" s="609">
        <f>IF(DK$7&gt;$N75,0,DJ75*(1-'Interest Rate'!$B$17))</f>
        <v>0</v>
      </c>
      <c r="DL75" s="609">
        <f>IF(DL$7&gt;$N75,0,DK75*(1-'Interest Rate'!$B$17))</f>
        <v>0</v>
      </c>
      <c r="DM75" s="609">
        <f>IF(DM$7&gt;$N75,0,DL75*(1-'Interest Rate'!$B$17))</f>
        <v>0</v>
      </c>
    </row>
    <row r="76" spans="1:117" ht="27.75" customHeight="1" x14ac:dyDescent="0.3">
      <c r="A76" s="624" t="str">
        <f>'EEM Data Entry'!A151</f>
        <v/>
      </c>
      <c r="B76" s="625" t="str">
        <f>IF('EEM Data Entry'!B151="  ","  ", 'EEM Data Entry'!B151)</f>
        <v/>
      </c>
      <c r="C76" s="626" t="str">
        <f>'EEM Data Entry'!F151</f>
        <v/>
      </c>
      <c r="D76" s="626">
        <v>0</v>
      </c>
      <c r="E76" s="626" t="e">
        <f t="shared" si="22"/>
        <v>#VALUE!</v>
      </c>
      <c r="F76" s="626">
        <f>('Savings Summary'!D79*'Savings Summary'!D$5)+('Savings Summary'!F79*'Savings Summary'!F$5)+('Savings Summary'!H79*'Savings Summary'!H$5)+('Savings Summary'!J79*'Savings Summary'!J$5)+('Savings Summary'!L79*'Savings Summary'!L$5)+('Savings Summary'!N79*'Savings Summary'!N$5)+('Savings Summary'!P79*'Savings Summary'!P$5)+('Savings Summary'!R79*'Savings Summary'!R$5)</f>
        <v>0</v>
      </c>
      <c r="G76" s="627">
        <f>'Savings Summary'!T79</f>
        <v>0</v>
      </c>
      <c r="H76" s="628" t="e">
        <f t="shared" si="23"/>
        <v>#VALUE!</v>
      </c>
      <c r="I76" s="624" t="e">
        <f t="shared" si="24"/>
        <v>#VALUE!</v>
      </c>
      <c r="J76" s="629" t="e">
        <f t="shared" si="20"/>
        <v>#NUM!</v>
      </c>
      <c r="K76" s="630" t="e">
        <f>PV('Interest Rate'!$B$17,Table9[[#This Row],[LIFETIME]],-Table9[[#This Row],[ANNUAL ENERGY COST SAVINGS]],Table9[[#This Row],[END-OF-LIFE]],0)-Table9[[#This Row],[ CAPITAL INVESTMENT]]</f>
        <v>#VALUE!</v>
      </c>
      <c r="L76" s="624" t="str">
        <f>'EEM Data Entry'!C151</f>
        <v/>
      </c>
      <c r="M76" s="631" t="e">
        <f>Table6[[#This Row],[ANNUAL ENERGY COST SAVINGS]]/Table6[[#This Row],[CAPITAL INVESTMENT]]</f>
        <v>#VALUE!</v>
      </c>
      <c r="N76" s="804" t="str">
        <f>Table9[[#This Row],[LIFETIME]]</f>
        <v/>
      </c>
      <c r="O76" s="803"/>
      <c r="P76" s="803"/>
      <c r="Q76" s="608" t="str">
        <f t="shared" si="21"/>
        <v/>
      </c>
      <c r="R76" s="609">
        <f t="shared" si="25"/>
        <v>0</v>
      </c>
      <c r="S76" s="609">
        <f>IF(S$7&gt;$N76,0,R76*(1-'Interest Rate'!$B$17))</f>
        <v>0</v>
      </c>
      <c r="T76" s="609">
        <f>IF(T$7&gt;$N76,0,S76*(1-'Interest Rate'!$B$17))</f>
        <v>0</v>
      </c>
      <c r="U76" s="609">
        <f>IF(U$7&gt;$N76,0,T76*(1-'Interest Rate'!$B$17))</f>
        <v>0</v>
      </c>
      <c r="V76" s="609">
        <f>IF(V$7&gt;$N76,0,U76*(1-'Interest Rate'!$B$17))</f>
        <v>0</v>
      </c>
      <c r="W76" s="609">
        <f>IF(W$7&gt;$N76,0,V76*(1-'Interest Rate'!$B$17))</f>
        <v>0</v>
      </c>
      <c r="X76" s="609">
        <f>IF(X$7&gt;$N76,0,W76*(1-'Interest Rate'!$B$17))</f>
        <v>0</v>
      </c>
      <c r="Y76" s="609">
        <f>IF(Y$7&gt;$N76,0,X76*(1-'Interest Rate'!$B$17))</f>
        <v>0</v>
      </c>
      <c r="Z76" s="609">
        <f>IF(Z$7&gt;$N76,0,Y76*(1-'Interest Rate'!$B$17))</f>
        <v>0</v>
      </c>
      <c r="AA76" s="609">
        <f>IF(AA$7&gt;$N76,0,Z76*(1-'Interest Rate'!$B$17))</f>
        <v>0</v>
      </c>
      <c r="AB76" s="609">
        <f>IF(AB$7&gt;$N76,0,AA76*(1-'Interest Rate'!$B$17))</f>
        <v>0</v>
      </c>
      <c r="AC76" s="609">
        <f>IF(AC$7&gt;$N76,0,AB76*(1-'Interest Rate'!$B$17))</f>
        <v>0</v>
      </c>
      <c r="AD76" s="609">
        <f>IF(AD$7&gt;$N76,0,AC76*(1-'Interest Rate'!$B$17))</f>
        <v>0</v>
      </c>
      <c r="AE76" s="609">
        <f>IF(AE$7&gt;$N76,0,AD76*(1-'Interest Rate'!$B$17))</f>
        <v>0</v>
      </c>
      <c r="AF76" s="609">
        <f>IF(AF$7&gt;$N76,0,AE76*(1-'Interest Rate'!$B$17))</f>
        <v>0</v>
      </c>
      <c r="AG76" s="609">
        <f>IF(AG$7&gt;$N76,0,AF76*(1-'Interest Rate'!$B$17))</f>
        <v>0</v>
      </c>
      <c r="AH76" s="609">
        <f>IF(AH$7&gt;$N76,0,AG76*(1-'Interest Rate'!$B$17))</f>
        <v>0</v>
      </c>
      <c r="AI76" s="609">
        <f>IF(AI$7&gt;$N76,0,AH76*(1-'Interest Rate'!$B$17))</f>
        <v>0</v>
      </c>
      <c r="AJ76" s="609">
        <f>IF(AJ$7&gt;$N76,0,AI76*(1-'Interest Rate'!$B$17))</f>
        <v>0</v>
      </c>
      <c r="AK76" s="609">
        <f>IF(AK$7&gt;$N76,0,AJ76*(1-'Interest Rate'!$B$17))</f>
        <v>0</v>
      </c>
      <c r="AL76" s="609">
        <f>IF(AL$7&gt;$N76,0,AK76*(1-'Interest Rate'!$B$17))</f>
        <v>0</v>
      </c>
      <c r="AM76" s="609">
        <f>IF(AM$7&gt;$N76,0,AL76*(1-'Interest Rate'!$B$17))</f>
        <v>0</v>
      </c>
      <c r="AN76" s="609">
        <f>IF(AN$7&gt;$N76,0,AM76*(1-'Interest Rate'!$B$17))</f>
        <v>0</v>
      </c>
      <c r="AO76" s="609">
        <f>IF(AO$7&gt;$N76,0,AN76*(1-'Interest Rate'!$B$17))</f>
        <v>0</v>
      </c>
      <c r="AP76" s="609">
        <f>IF(AP$7&gt;$N76,0,AO76*(1-'Interest Rate'!$B$17))</f>
        <v>0</v>
      </c>
      <c r="AQ76" s="609">
        <f>IF(AQ$7&gt;$N76,0,AP76*(1-'Interest Rate'!$B$17))</f>
        <v>0</v>
      </c>
      <c r="AR76" s="609">
        <f>IF(AR$7&gt;$N76,0,AQ76*(1-'Interest Rate'!$B$17))</f>
        <v>0</v>
      </c>
      <c r="AS76" s="609">
        <f>IF(AS$7&gt;$N76,0,AR76*(1-'Interest Rate'!$B$17))</f>
        <v>0</v>
      </c>
      <c r="AT76" s="609">
        <f>IF(AT$7&gt;$N76,0,AS76*(1-'Interest Rate'!$B$17))</f>
        <v>0</v>
      </c>
      <c r="AU76" s="609">
        <f>IF(AU$7&gt;$N76,0,AT76*(1-'Interest Rate'!$B$17))</f>
        <v>0</v>
      </c>
      <c r="AV76" s="609">
        <f>IF(AV$7&gt;$N76,0,AU76*(1-'Interest Rate'!$B$17))</f>
        <v>0</v>
      </c>
      <c r="AW76" s="609">
        <f>IF(AW$7&gt;$N76,0,AV76*(1-'Interest Rate'!$B$17))</f>
        <v>0</v>
      </c>
      <c r="AX76" s="609">
        <f>IF(AX$7&gt;$N76,0,AW76*(1-'Interest Rate'!$B$17))</f>
        <v>0</v>
      </c>
      <c r="AY76" s="609">
        <f>IF(AY$7&gt;$N76,0,AX76*(1-'Interest Rate'!$B$17))</f>
        <v>0</v>
      </c>
      <c r="AZ76" s="609">
        <f>IF(AZ$7&gt;$N76,0,AY76*(1-'Interest Rate'!$B$17))</f>
        <v>0</v>
      </c>
      <c r="BA76" s="609">
        <f>IF(BA$7&gt;$N76,0,AZ76*(1-'Interest Rate'!$B$17))</f>
        <v>0</v>
      </c>
      <c r="BB76" s="609">
        <f>IF(BB$7&gt;$N76,0,BA76*(1-'Interest Rate'!$B$17))</f>
        <v>0</v>
      </c>
      <c r="BC76" s="609">
        <f>IF(BC$7&gt;$N76,0,BB76*(1-'Interest Rate'!$B$17))</f>
        <v>0</v>
      </c>
      <c r="BD76" s="609">
        <f>IF(BD$7&gt;$N76,0,BC76*(1-'Interest Rate'!$B$17))</f>
        <v>0</v>
      </c>
      <c r="BE76" s="609">
        <f>IF(BE$7&gt;$N76,0,BD76*(1-'Interest Rate'!$B$17))</f>
        <v>0</v>
      </c>
      <c r="BF76" s="609">
        <f>IF(BF$7&gt;$N76,0,BE76*(1-'Interest Rate'!$B$17))</f>
        <v>0</v>
      </c>
      <c r="BG76" s="609">
        <f>IF(BG$7&gt;$N76,0,BF76*(1-'Interest Rate'!$B$17))</f>
        <v>0</v>
      </c>
      <c r="BH76" s="609">
        <f>IF(BH$7&gt;$N76,0,BG76*(1-'Interest Rate'!$B$17))</f>
        <v>0</v>
      </c>
      <c r="BI76" s="609">
        <f>IF(BI$7&gt;$N76,0,BH76*(1-'Interest Rate'!$B$17))</f>
        <v>0</v>
      </c>
      <c r="BJ76" s="609">
        <f>IF(BJ$7&gt;$N76,0,BI76*(1-'Interest Rate'!$B$17))</f>
        <v>0</v>
      </c>
      <c r="BK76" s="609">
        <f>IF(BK$7&gt;$N76,0,BJ76*(1-'Interest Rate'!$B$17))</f>
        <v>0</v>
      </c>
      <c r="BL76" s="609">
        <f>IF(BL$7&gt;$N76,0,BK76*(1-'Interest Rate'!$B$17))</f>
        <v>0</v>
      </c>
      <c r="BM76" s="609">
        <f>IF(BM$7&gt;$N76,0,BL76*(1-'Interest Rate'!$B$17))</f>
        <v>0</v>
      </c>
      <c r="BN76" s="609">
        <f>IF(BN$7&gt;$N76,0,BM76*(1-'Interest Rate'!$B$17))</f>
        <v>0</v>
      </c>
      <c r="BO76" s="609">
        <f>IF(BO$7&gt;$N76,0,BN76*(1-'Interest Rate'!$B$17))</f>
        <v>0</v>
      </c>
      <c r="BP76" s="609">
        <f>IF(BP$7&gt;$N76,0,BO76*(1-'Interest Rate'!$B$17))</f>
        <v>0</v>
      </c>
      <c r="BQ76" s="609">
        <f>IF(BQ$7&gt;$N76,0,BP76*(1-'Interest Rate'!$B$17))</f>
        <v>0</v>
      </c>
      <c r="BR76" s="609">
        <f>IF(BR$7&gt;$N76,0,BQ76*(1-'Interest Rate'!$B$17))</f>
        <v>0</v>
      </c>
      <c r="BS76" s="609">
        <f>IF(BS$7&gt;$N76,0,BR76*(1-'Interest Rate'!$B$17))</f>
        <v>0</v>
      </c>
      <c r="BT76" s="609">
        <f>IF(BT$7&gt;$N76,0,BS76*(1-'Interest Rate'!$B$17))</f>
        <v>0</v>
      </c>
      <c r="BU76" s="609">
        <f>IF(BU$7&gt;$N76,0,BT76*(1-'Interest Rate'!$B$17))</f>
        <v>0</v>
      </c>
      <c r="BV76" s="609">
        <f>IF(BV$7&gt;$N76,0,BU76*(1-'Interest Rate'!$B$17))</f>
        <v>0</v>
      </c>
      <c r="BW76" s="609">
        <f>IF(BW$7&gt;$N76,0,BV76*(1-'Interest Rate'!$B$17))</f>
        <v>0</v>
      </c>
      <c r="BX76" s="609">
        <f>IF(BX$7&gt;$N76,0,BW76*(1-'Interest Rate'!$B$17))</f>
        <v>0</v>
      </c>
      <c r="BY76" s="609">
        <f>IF(BY$7&gt;$N76,0,BX76*(1-'Interest Rate'!$B$17))</f>
        <v>0</v>
      </c>
      <c r="BZ76" s="609">
        <f>IF(BZ$7&gt;$N76,0,BY76*(1-'Interest Rate'!$B$17))</f>
        <v>0</v>
      </c>
      <c r="CA76" s="609">
        <f>IF(CA$7&gt;$N76,0,BZ76*(1-'Interest Rate'!$B$17))</f>
        <v>0</v>
      </c>
      <c r="CB76" s="609">
        <f>IF(CB$7&gt;$N76,0,CA76*(1-'Interest Rate'!$B$17))</f>
        <v>0</v>
      </c>
      <c r="CC76" s="609">
        <f>IF(CC$7&gt;$N76,0,CB76*(1-'Interest Rate'!$B$17))</f>
        <v>0</v>
      </c>
      <c r="CD76" s="609">
        <f>IF(CD$7&gt;$N76,0,CC76*(1-'Interest Rate'!$B$17))</f>
        <v>0</v>
      </c>
      <c r="CE76" s="609">
        <f>IF(CE$7&gt;$N76,0,CD76*(1-'Interest Rate'!$B$17))</f>
        <v>0</v>
      </c>
      <c r="CF76" s="609">
        <f>IF(CF$7&gt;$N76,0,CE76*(1-'Interest Rate'!$B$17))</f>
        <v>0</v>
      </c>
      <c r="CG76" s="609">
        <f>IF(CG$7&gt;$N76,0,CF76*(1-'Interest Rate'!$B$17))</f>
        <v>0</v>
      </c>
      <c r="CH76" s="609">
        <f>IF(CH$7&gt;$N76,0,CG76*(1-'Interest Rate'!$B$17))</f>
        <v>0</v>
      </c>
      <c r="CI76" s="609">
        <f>IF(CI$7&gt;$N76,0,CH76*(1-'Interest Rate'!$B$17))</f>
        <v>0</v>
      </c>
      <c r="CJ76" s="609">
        <f>IF(CJ$7&gt;$N76,0,CI76*(1-'Interest Rate'!$B$17))</f>
        <v>0</v>
      </c>
      <c r="CK76" s="609">
        <f>IF(CK$7&gt;$N76,0,CJ76*(1-'Interest Rate'!$B$17))</f>
        <v>0</v>
      </c>
      <c r="CL76" s="609">
        <f>IF(CL$7&gt;$N76,0,CK76*(1-'Interest Rate'!$B$17))</f>
        <v>0</v>
      </c>
      <c r="CM76" s="609">
        <f>IF(CM$7&gt;$N76,0,CL76*(1-'Interest Rate'!$B$17))</f>
        <v>0</v>
      </c>
      <c r="CN76" s="609">
        <f>IF(CN$7&gt;$N76,0,CM76*(1-'Interest Rate'!$B$17))</f>
        <v>0</v>
      </c>
      <c r="CO76" s="609">
        <f>IF(CO$7&gt;$N76,0,CN76*(1-'Interest Rate'!$B$17))</f>
        <v>0</v>
      </c>
      <c r="CP76" s="609">
        <f>IF(CP$7&gt;$N76,0,CO76*(1-'Interest Rate'!$B$17))</f>
        <v>0</v>
      </c>
      <c r="CQ76" s="609">
        <f>IF(CQ$7&gt;$N76,0,CP76*(1-'Interest Rate'!$B$17))</f>
        <v>0</v>
      </c>
      <c r="CR76" s="609">
        <f>IF(CR$7&gt;$N76,0,CQ76*(1-'Interest Rate'!$B$17))</f>
        <v>0</v>
      </c>
      <c r="CS76" s="609">
        <f>IF(CS$7&gt;$N76,0,CR76*(1-'Interest Rate'!$B$17))</f>
        <v>0</v>
      </c>
      <c r="CT76" s="609">
        <f>IF(CT$7&gt;$N76,0,CS76*(1-'Interest Rate'!$B$17))</f>
        <v>0</v>
      </c>
      <c r="CU76" s="609">
        <f>IF(CU$7&gt;$N76,0,CT76*(1-'Interest Rate'!$B$17))</f>
        <v>0</v>
      </c>
      <c r="CV76" s="609">
        <f>IF(CV$7&gt;$N76,0,CU76*(1-'Interest Rate'!$B$17))</f>
        <v>0</v>
      </c>
      <c r="CW76" s="609">
        <f>IF(CW$7&gt;$N76,0,CV76*(1-'Interest Rate'!$B$17))</f>
        <v>0</v>
      </c>
      <c r="CX76" s="609">
        <f>IF(CX$7&gt;$N76,0,CW76*(1-'Interest Rate'!$B$17))</f>
        <v>0</v>
      </c>
      <c r="CY76" s="609">
        <f>IF(CY$7&gt;$N76,0,CX76*(1-'Interest Rate'!$B$17))</f>
        <v>0</v>
      </c>
      <c r="CZ76" s="609">
        <f>IF(CZ$7&gt;$N76,0,CY76*(1-'Interest Rate'!$B$17))</f>
        <v>0</v>
      </c>
      <c r="DA76" s="609">
        <f>IF(DA$7&gt;$N76,0,CZ76*(1-'Interest Rate'!$B$17))</f>
        <v>0</v>
      </c>
      <c r="DB76" s="609">
        <f>IF(DB$7&gt;$N76,0,DA76*(1-'Interest Rate'!$B$17))</f>
        <v>0</v>
      </c>
      <c r="DC76" s="609">
        <f>IF(DC$7&gt;$N76,0,DB76*(1-'Interest Rate'!$B$17))</f>
        <v>0</v>
      </c>
      <c r="DD76" s="609">
        <f>IF(DD$7&gt;$N76,0,DC76*(1-'Interest Rate'!$B$17))</f>
        <v>0</v>
      </c>
      <c r="DE76" s="609">
        <f>IF(DE$7&gt;$N76,0,DD76*(1-'Interest Rate'!$B$17))</f>
        <v>0</v>
      </c>
      <c r="DF76" s="609">
        <f>IF(DF$7&gt;$N76,0,DE76*(1-'Interest Rate'!$B$17))</f>
        <v>0</v>
      </c>
      <c r="DG76" s="609">
        <f>IF(DG$7&gt;$N76,0,DF76*(1-'Interest Rate'!$B$17))</f>
        <v>0</v>
      </c>
      <c r="DH76" s="609">
        <f>IF(DH$7&gt;$N76,0,DG76*(1-'Interest Rate'!$B$17))</f>
        <v>0</v>
      </c>
      <c r="DI76" s="609">
        <f>IF(DI$7&gt;$N76,0,DH76*(1-'Interest Rate'!$B$17))</f>
        <v>0</v>
      </c>
      <c r="DJ76" s="609">
        <f>IF(DJ$7&gt;$N76,0,DI76*(1-'Interest Rate'!$B$17))</f>
        <v>0</v>
      </c>
      <c r="DK76" s="609">
        <f>IF(DK$7&gt;$N76,0,DJ76*(1-'Interest Rate'!$B$17))</f>
        <v>0</v>
      </c>
      <c r="DL76" s="609">
        <f>IF(DL$7&gt;$N76,0,DK76*(1-'Interest Rate'!$B$17))</f>
        <v>0</v>
      </c>
      <c r="DM76" s="609">
        <f>IF(DM$7&gt;$N76,0,DL76*(1-'Interest Rate'!$B$17))</f>
        <v>0</v>
      </c>
    </row>
    <row r="77" spans="1:117" ht="27.75" customHeight="1" x14ac:dyDescent="0.3">
      <c r="A77" s="624" t="str">
        <f>'EEM Data Entry'!A152</f>
        <v/>
      </c>
      <c r="B77" s="625" t="str">
        <f>IF('EEM Data Entry'!B152="  ","  ", 'EEM Data Entry'!B152)</f>
        <v/>
      </c>
      <c r="C77" s="626" t="str">
        <f>'EEM Data Entry'!F152</f>
        <v/>
      </c>
      <c r="D77" s="626">
        <v>0</v>
      </c>
      <c r="E77" s="626" t="e">
        <f t="shared" si="22"/>
        <v>#VALUE!</v>
      </c>
      <c r="F77" s="626">
        <f>('Savings Summary'!D80*'Savings Summary'!D$5)+('Savings Summary'!F80*'Savings Summary'!F$5)+('Savings Summary'!H80*'Savings Summary'!H$5)+('Savings Summary'!J80*'Savings Summary'!J$5)+('Savings Summary'!L80*'Savings Summary'!L$5)+('Savings Summary'!N80*'Savings Summary'!N$5)+('Savings Summary'!P80*'Savings Summary'!P$5)+('Savings Summary'!R80*'Savings Summary'!R$5)</f>
        <v>0</v>
      </c>
      <c r="G77" s="627">
        <f>'Savings Summary'!T80</f>
        <v>0</v>
      </c>
      <c r="H77" s="628" t="e">
        <f t="shared" si="23"/>
        <v>#VALUE!</v>
      </c>
      <c r="I77" s="624" t="e">
        <f t="shared" si="24"/>
        <v>#VALUE!</v>
      </c>
      <c r="J77" s="629" t="e">
        <f t="shared" si="20"/>
        <v>#NUM!</v>
      </c>
      <c r="K77" s="630" t="e">
        <f>PV('Interest Rate'!$B$17,Table9[[#This Row],[LIFETIME]],-Table9[[#This Row],[ANNUAL ENERGY COST SAVINGS]],Table9[[#This Row],[END-OF-LIFE]],0)-Table9[[#This Row],[ CAPITAL INVESTMENT]]</f>
        <v>#VALUE!</v>
      </c>
      <c r="L77" s="624" t="str">
        <f>'EEM Data Entry'!C152</f>
        <v/>
      </c>
      <c r="M77" s="631" t="e">
        <f>Table6[[#This Row],[ANNUAL ENERGY COST SAVINGS]]/Table6[[#This Row],[CAPITAL INVESTMENT]]</f>
        <v>#VALUE!</v>
      </c>
      <c r="N77" s="804" t="str">
        <f>Table9[[#This Row],[LIFETIME]]</f>
        <v/>
      </c>
      <c r="O77" s="803"/>
      <c r="P77" s="803"/>
      <c r="Q77" s="608" t="str">
        <f t="shared" si="21"/>
        <v/>
      </c>
      <c r="R77" s="609">
        <f t="shared" si="25"/>
        <v>0</v>
      </c>
      <c r="S77" s="609">
        <f>IF(S$7&gt;$N77,0,R77*(1-'Interest Rate'!$B$17))</f>
        <v>0</v>
      </c>
      <c r="T77" s="609">
        <f>IF(T$7&gt;$N77,0,S77*(1-'Interest Rate'!$B$17))</f>
        <v>0</v>
      </c>
      <c r="U77" s="609">
        <f>IF(U$7&gt;$N77,0,T77*(1-'Interest Rate'!$B$17))</f>
        <v>0</v>
      </c>
      <c r="V77" s="609">
        <f>IF(V$7&gt;$N77,0,U77*(1-'Interest Rate'!$B$17))</f>
        <v>0</v>
      </c>
      <c r="W77" s="609">
        <f>IF(W$7&gt;$N77,0,V77*(1-'Interest Rate'!$B$17))</f>
        <v>0</v>
      </c>
      <c r="X77" s="609">
        <f>IF(X$7&gt;$N77,0,W77*(1-'Interest Rate'!$B$17))</f>
        <v>0</v>
      </c>
      <c r="Y77" s="609">
        <f>IF(Y$7&gt;$N77,0,X77*(1-'Interest Rate'!$B$17))</f>
        <v>0</v>
      </c>
      <c r="Z77" s="609">
        <f>IF(Z$7&gt;$N77,0,Y77*(1-'Interest Rate'!$B$17))</f>
        <v>0</v>
      </c>
      <c r="AA77" s="609">
        <f>IF(AA$7&gt;$N77,0,Z77*(1-'Interest Rate'!$B$17))</f>
        <v>0</v>
      </c>
      <c r="AB77" s="609">
        <f>IF(AB$7&gt;$N77,0,AA77*(1-'Interest Rate'!$B$17))</f>
        <v>0</v>
      </c>
      <c r="AC77" s="609">
        <f>IF(AC$7&gt;$N77,0,AB77*(1-'Interest Rate'!$B$17))</f>
        <v>0</v>
      </c>
      <c r="AD77" s="609">
        <f>IF(AD$7&gt;$N77,0,AC77*(1-'Interest Rate'!$B$17))</f>
        <v>0</v>
      </c>
      <c r="AE77" s="609">
        <f>IF(AE$7&gt;$N77,0,AD77*(1-'Interest Rate'!$B$17))</f>
        <v>0</v>
      </c>
      <c r="AF77" s="609">
        <f>IF(AF$7&gt;$N77,0,AE77*(1-'Interest Rate'!$B$17))</f>
        <v>0</v>
      </c>
      <c r="AG77" s="609">
        <f>IF(AG$7&gt;$N77,0,AF77*(1-'Interest Rate'!$B$17))</f>
        <v>0</v>
      </c>
      <c r="AH77" s="609">
        <f>IF(AH$7&gt;$N77,0,AG77*(1-'Interest Rate'!$B$17))</f>
        <v>0</v>
      </c>
      <c r="AI77" s="609">
        <f>IF(AI$7&gt;$N77,0,AH77*(1-'Interest Rate'!$B$17))</f>
        <v>0</v>
      </c>
      <c r="AJ77" s="609">
        <f>IF(AJ$7&gt;$N77,0,AI77*(1-'Interest Rate'!$B$17))</f>
        <v>0</v>
      </c>
      <c r="AK77" s="609">
        <f>IF(AK$7&gt;$N77,0,AJ77*(1-'Interest Rate'!$B$17))</f>
        <v>0</v>
      </c>
      <c r="AL77" s="609">
        <f>IF(AL$7&gt;$N77,0,AK77*(1-'Interest Rate'!$B$17))</f>
        <v>0</v>
      </c>
      <c r="AM77" s="609">
        <f>IF(AM$7&gt;$N77,0,AL77*(1-'Interest Rate'!$B$17))</f>
        <v>0</v>
      </c>
      <c r="AN77" s="609">
        <f>IF(AN$7&gt;$N77,0,AM77*(1-'Interest Rate'!$B$17))</f>
        <v>0</v>
      </c>
      <c r="AO77" s="609">
        <f>IF(AO$7&gt;$N77,0,AN77*(1-'Interest Rate'!$B$17))</f>
        <v>0</v>
      </c>
      <c r="AP77" s="609">
        <f>IF(AP$7&gt;$N77,0,AO77*(1-'Interest Rate'!$B$17))</f>
        <v>0</v>
      </c>
      <c r="AQ77" s="609">
        <f>IF(AQ$7&gt;$N77,0,AP77*(1-'Interest Rate'!$B$17))</f>
        <v>0</v>
      </c>
      <c r="AR77" s="609">
        <f>IF(AR$7&gt;$N77,0,AQ77*(1-'Interest Rate'!$B$17))</f>
        <v>0</v>
      </c>
      <c r="AS77" s="609">
        <f>IF(AS$7&gt;$N77,0,AR77*(1-'Interest Rate'!$B$17))</f>
        <v>0</v>
      </c>
      <c r="AT77" s="609">
        <f>IF(AT$7&gt;$N77,0,AS77*(1-'Interest Rate'!$B$17))</f>
        <v>0</v>
      </c>
      <c r="AU77" s="609">
        <f>IF(AU$7&gt;$N77,0,AT77*(1-'Interest Rate'!$B$17))</f>
        <v>0</v>
      </c>
      <c r="AV77" s="609">
        <f>IF(AV$7&gt;$N77,0,AU77*(1-'Interest Rate'!$B$17))</f>
        <v>0</v>
      </c>
      <c r="AW77" s="609">
        <f>IF(AW$7&gt;$N77,0,AV77*(1-'Interest Rate'!$B$17))</f>
        <v>0</v>
      </c>
      <c r="AX77" s="609">
        <f>IF(AX$7&gt;$N77,0,AW77*(1-'Interest Rate'!$B$17))</f>
        <v>0</v>
      </c>
      <c r="AY77" s="609">
        <f>IF(AY$7&gt;$N77,0,AX77*(1-'Interest Rate'!$B$17))</f>
        <v>0</v>
      </c>
      <c r="AZ77" s="609">
        <f>IF(AZ$7&gt;$N77,0,AY77*(1-'Interest Rate'!$B$17))</f>
        <v>0</v>
      </c>
      <c r="BA77" s="609">
        <f>IF(BA$7&gt;$N77,0,AZ77*(1-'Interest Rate'!$B$17))</f>
        <v>0</v>
      </c>
      <c r="BB77" s="609">
        <f>IF(BB$7&gt;$N77,0,BA77*(1-'Interest Rate'!$B$17))</f>
        <v>0</v>
      </c>
      <c r="BC77" s="609">
        <f>IF(BC$7&gt;$N77,0,BB77*(1-'Interest Rate'!$B$17))</f>
        <v>0</v>
      </c>
      <c r="BD77" s="609">
        <f>IF(BD$7&gt;$N77,0,BC77*(1-'Interest Rate'!$B$17))</f>
        <v>0</v>
      </c>
      <c r="BE77" s="609">
        <f>IF(BE$7&gt;$N77,0,BD77*(1-'Interest Rate'!$B$17))</f>
        <v>0</v>
      </c>
      <c r="BF77" s="609">
        <f>IF(BF$7&gt;$N77,0,BE77*(1-'Interest Rate'!$B$17))</f>
        <v>0</v>
      </c>
      <c r="BG77" s="609">
        <f>IF(BG$7&gt;$N77,0,BF77*(1-'Interest Rate'!$B$17))</f>
        <v>0</v>
      </c>
      <c r="BH77" s="609">
        <f>IF(BH$7&gt;$N77,0,BG77*(1-'Interest Rate'!$B$17))</f>
        <v>0</v>
      </c>
      <c r="BI77" s="609">
        <f>IF(BI$7&gt;$N77,0,BH77*(1-'Interest Rate'!$B$17))</f>
        <v>0</v>
      </c>
      <c r="BJ77" s="609">
        <f>IF(BJ$7&gt;$N77,0,BI77*(1-'Interest Rate'!$B$17))</f>
        <v>0</v>
      </c>
      <c r="BK77" s="609">
        <f>IF(BK$7&gt;$N77,0,BJ77*(1-'Interest Rate'!$B$17))</f>
        <v>0</v>
      </c>
      <c r="BL77" s="609">
        <f>IF(BL$7&gt;$N77,0,BK77*(1-'Interest Rate'!$B$17))</f>
        <v>0</v>
      </c>
      <c r="BM77" s="609">
        <f>IF(BM$7&gt;$N77,0,BL77*(1-'Interest Rate'!$B$17))</f>
        <v>0</v>
      </c>
      <c r="BN77" s="609">
        <f>IF(BN$7&gt;$N77,0,BM77*(1-'Interest Rate'!$B$17))</f>
        <v>0</v>
      </c>
      <c r="BO77" s="609">
        <f>IF(BO$7&gt;$N77,0,BN77*(1-'Interest Rate'!$B$17))</f>
        <v>0</v>
      </c>
      <c r="BP77" s="609">
        <f>IF(BP$7&gt;$N77,0,BO77*(1-'Interest Rate'!$B$17))</f>
        <v>0</v>
      </c>
      <c r="BQ77" s="609">
        <f>IF(BQ$7&gt;$N77,0,BP77*(1-'Interest Rate'!$B$17))</f>
        <v>0</v>
      </c>
      <c r="BR77" s="609">
        <f>IF(BR$7&gt;$N77,0,BQ77*(1-'Interest Rate'!$B$17))</f>
        <v>0</v>
      </c>
      <c r="BS77" s="609">
        <f>IF(BS$7&gt;$N77,0,BR77*(1-'Interest Rate'!$B$17))</f>
        <v>0</v>
      </c>
      <c r="BT77" s="609">
        <f>IF(BT$7&gt;$N77,0,BS77*(1-'Interest Rate'!$B$17))</f>
        <v>0</v>
      </c>
      <c r="BU77" s="609">
        <f>IF(BU$7&gt;$N77,0,BT77*(1-'Interest Rate'!$B$17))</f>
        <v>0</v>
      </c>
      <c r="BV77" s="609">
        <f>IF(BV$7&gt;$N77,0,BU77*(1-'Interest Rate'!$B$17))</f>
        <v>0</v>
      </c>
      <c r="BW77" s="609">
        <f>IF(BW$7&gt;$N77,0,BV77*(1-'Interest Rate'!$B$17))</f>
        <v>0</v>
      </c>
      <c r="BX77" s="609">
        <f>IF(BX$7&gt;$N77,0,BW77*(1-'Interest Rate'!$B$17))</f>
        <v>0</v>
      </c>
      <c r="BY77" s="609">
        <f>IF(BY$7&gt;$N77,0,BX77*(1-'Interest Rate'!$B$17))</f>
        <v>0</v>
      </c>
      <c r="BZ77" s="609">
        <f>IF(BZ$7&gt;$N77,0,BY77*(1-'Interest Rate'!$B$17))</f>
        <v>0</v>
      </c>
      <c r="CA77" s="609">
        <f>IF(CA$7&gt;$N77,0,BZ77*(1-'Interest Rate'!$B$17))</f>
        <v>0</v>
      </c>
      <c r="CB77" s="609">
        <f>IF(CB$7&gt;$N77,0,CA77*(1-'Interest Rate'!$B$17))</f>
        <v>0</v>
      </c>
      <c r="CC77" s="609">
        <f>IF(CC$7&gt;$N77,0,CB77*(1-'Interest Rate'!$B$17))</f>
        <v>0</v>
      </c>
      <c r="CD77" s="609">
        <f>IF(CD$7&gt;$N77,0,CC77*(1-'Interest Rate'!$B$17))</f>
        <v>0</v>
      </c>
      <c r="CE77" s="609">
        <f>IF(CE$7&gt;$N77,0,CD77*(1-'Interest Rate'!$B$17))</f>
        <v>0</v>
      </c>
      <c r="CF77" s="609">
        <f>IF(CF$7&gt;$N77,0,CE77*(1-'Interest Rate'!$B$17))</f>
        <v>0</v>
      </c>
      <c r="CG77" s="609">
        <f>IF(CG$7&gt;$N77,0,CF77*(1-'Interest Rate'!$B$17))</f>
        <v>0</v>
      </c>
      <c r="CH77" s="609">
        <f>IF(CH$7&gt;$N77,0,CG77*(1-'Interest Rate'!$B$17))</f>
        <v>0</v>
      </c>
      <c r="CI77" s="609">
        <f>IF(CI$7&gt;$N77,0,CH77*(1-'Interest Rate'!$B$17))</f>
        <v>0</v>
      </c>
      <c r="CJ77" s="609">
        <f>IF(CJ$7&gt;$N77,0,CI77*(1-'Interest Rate'!$B$17))</f>
        <v>0</v>
      </c>
      <c r="CK77" s="609">
        <f>IF(CK$7&gt;$N77,0,CJ77*(1-'Interest Rate'!$B$17))</f>
        <v>0</v>
      </c>
      <c r="CL77" s="609">
        <f>IF(CL$7&gt;$N77,0,CK77*(1-'Interest Rate'!$B$17))</f>
        <v>0</v>
      </c>
      <c r="CM77" s="609">
        <f>IF(CM$7&gt;$N77,0,CL77*(1-'Interest Rate'!$B$17))</f>
        <v>0</v>
      </c>
      <c r="CN77" s="609">
        <f>IF(CN$7&gt;$N77,0,CM77*(1-'Interest Rate'!$B$17))</f>
        <v>0</v>
      </c>
      <c r="CO77" s="609">
        <f>IF(CO$7&gt;$N77,0,CN77*(1-'Interest Rate'!$B$17))</f>
        <v>0</v>
      </c>
      <c r="CP77" s="609">
        <f>IF(CP$7&gt;$N77,0,CO77*(1-'Interest Rate'!$B$17))</f>
        <v>0</v>
      </c>
      <c r="CQ77" s="609">
        <f>IF(CQ$7&gt;$N77,0,CP77*(1-'Interest Rate'!$B$17))</f>
        <v>0</v>
      </c>
      <c r="CR77" s="609">
        <f>IF(CR$7&gt;$N77,0,CQ77*(1-'Interest Rate'!$B$17))</f>
        <v>0</v>
      </c>
      <c r="CS77" s="609">
        <f>IF(CS$7&gt;$N77,0,CR77*(1-'Interest Rate'!$B$17))</f>
        <v>0</v>
      </c>
      <c r="CT77" s="609">
        <f>IF(CT$7&gt;$N77,0,CS77*(1-'Interest Rate'!$B$17))</f>
        <v>0</v>
      </c>
      <c r="CU77" s="609">
        <f>IF(CU$7&gt;$N77,0,CT77*(1-'Interest Rate'!$B$17))</f>
        <v>0</v>
      </c>
      <c r="CV77" s="609">
        <f>IF(CV$7&gt;$N77,0,CU77*(1-'Interest Rate'!$B$17))</f>
        <v>0</v>
      </c>
      <c r="CW77" s="609">
        <f>IF(CW$7&gt;$N77,0,CV77*(1-'Interest Rate'!$B$17))</f>
        <v>0</v>
      </c>
      <c r="CX77" s="609">
        <f>IF(CX$7&gt;$N77,0,CW77*(1-'Interest Rate'!$B$17))</f>
        <v>0</v>
      </c>
      <c r="CY77" s="609">
        <f>IF(CY$7&gt;$N77,0,CX77*(1-'Interest Rate'!$B$17))</f>
        <v>0</v>
      </c>
      <c r="CZ77" s="609">
        <f>IF(CZ$7&gt;$N77,0,CY77*(1-'Interest Rate'!$B$17))</f>
        <v>0</v>
      </c>
      <c r="DA77" s="609">
        <f>IF(DA$7&gt;$N77,0,CZ77*(1-'Interest Rate'!$B$17))</f>
        <v>0</v>
      </c>
      <c r="DB77" s="609">
        <f>IF(DB$7&gt;$N77,0,DA77*(1-'Interest Rate'!$B$17))</f>
        <v>0</v>
      </c>
      <c r="DC77" s="609">
        <f>IF(DC$7&gt;$N77,0,DB77*(1-'Interest Rate'!$B$17))</f>
        <v>0</v>
      </c>
      <c r="DD77" s="609">
        <f>IF(DD$7&gt;$N77,0,DC77*(1-'Interest Rate'!$B$17))</f>
        <v>0</v>
      </c>
      <c r="DE77" s="609">
        <f>IF(DE$7&gt;$N77,0,DD77*(1-'Interest Rate'!$B$17))</f>
        <v>0</v>
      </c>
      <c r="DF77" s="609">
        <f>IF(DF$7&gt;$N77,0,DE77*(1-'Interest Rate'!$B$17))</f>
        <v>0</v>
      </c>
      <c r="DG77" s="609">
        <f>IF(DG$7&gt;$N77,0,DF77*(1-'Interest Rate'!$B$17))</f>
        <v>0</v>
      </c>
      <c r="DH77" s="609">
        <f>IF(DH$7&gt;$N77,0,DG77*(1-'Interest Rate'!$B$17))</f>
        <v>0</v>
      </c>
      <c r="DI77" s="609">
        <f>IF(DI$7&gt;$N77,0,DH77*(1-'Interest Rate'!$B$17))</f>
        <v>0</v>
      </c>
      <c r="DJ77" s="609">
        <f>IF(DJ$7&gt;$N77,0,DI77*(1-'Interest Rate'!$B$17))</f>
        <v>0</v>
      </c>
      <c r="DK77" s="609">
        <f>IF(DK$7&gt;$N77,0,DJ77*(1-'Interest Rate'!$B$17))</f>
        <v>0</v>
      </c>
      <c r="DL77" s="609">
        <f>IF(DL$7&gt;$N77,0,DK77*(1-'Interest Rate'!$B$17))</f>
        <v>0</v>
      </c>
      <c r="DM77" s="609">
        <f>IF(DM$7&gt;$N77,0,DL77*(1-'Interest Rate'!$B$17))</f>
        <v>0</v>
      </c>
    </row>
    <row r="78" spans="1:117" ht="27.75" customHeight="1" x14ac:dyDescent="0.3">
      <c r="A78" s="624" t="str">
        <f>'EEM Data Entry'!A153</f>
        <v/>
      </c>
      <c r="B78" s="625" t="str">
        <f>IF('EEM Data Entry'!B153="  ","  ", 'EEM Data Entry'!B153)</f>
        <v/>
      </c>
      <c r="C78" s="626" t="str">
        <f>'EEM Data Entry'!F153</f>
        <v/>
      </c>
      <c r="D78" s="626">
        <v>0</v>
      </c>
      <c r="E78" s="626" t="e">
        <f t="shared" si="22"/>
        <v>#VALUE!</v>
      </c>
      <c r="F78" s="626">
        <f>('Savings Summary'!D81*'Savings Summary'!D$5)+('Savings Summary'!F81*'Savings Summary'!F$5)+('Savings Summary'!H81*'Savings Summary'!H$5)+('Savings Summary'!J81*'Savings Summary'!J$5)+('Savings Summary'!L81*'Savings Summary'!L$5)+('Savings Summary'!N81*'Savings Summary'!N$5)+('Savings Summary'!P81*'Savings Summary'!P$5)+('Savings Summary'!R81*'Savings Summary'!R$5)</f>
        <v>0</v>
      </c>
      <c r="G78" s="627">
        <f>'Savings Summary'!T81</f>
        <v>0</v>
      </c>
      <c r="H78" s="628" t="e">
        <f t="shared" si="23"/>
        <v>#VALUE!</v>
      </c>
      <c r="I78" s="624" t="e">
        <f t="shared" si="24"/>
        <v>#VALUE!</v>
      </c>
      <c r="J78" s="629" t="e">
        <f t="shared" si="20"/>
        <v>#NUM!</v>
      </c>
      <c r="K78" s="630" t="e">
        <f>PV('Interest Rate'!$B$17,Table9[[#This Row],[LIFETIME]],-Table9[[#This Row],[ANNUAL ENERGY COST SAVINGS]],Table9[[#This Row],[END-OF-LIFE]],0)-Table9[[#This Row],[ CAPITAL INVESTMENT]]</f>
        <v>#VALUE!</v>
      </c>
      <c r="L78" s="624" t="str">
        <f>'EEM Data Entry'!C153</f>
        <v/>
      </c>
      <c r="M78" s="631" t="e">
        <f>Table6[[#This Row],[ANNUAL ENERGY COST SAVINGS]]/Table6[[#This Row],[CAPITAL INVESTMENT]]</f>
        <v>#VALUE!</v>
      </c>
      <c r="N78" s="804" t="str">
        <f>Table9[[#This Row],[LIFETIME]]</f>
        <v/>
      </c>
      <c r="O78" s="803"/>
      <c r="P78" s="803"/>
      <c r="Q78" s="608" t="str">
        <f t="shared" si="21"/>
        <v/>
      </c>
      <c r="R78" s="609">
        <f t="shared" si="25"/>
        <v>0</v>
      </c>
      <c r="S78" s="609">
        <f>IF(S$7&gt;$N78,0,R78*(1-'Interest Rate'!$B$17))</f>
        <v>0</v>
      </c>
      <c r="T78" s="609">
        <f>IF(T$7&gt;$N78,0,S78*(1-'Interest Rate'!$B$17))</f>
        <v>0</v>
      </c>
      <c r="U78" s="609">
        <f>IF(U$7&gt;$N78,0,T78*(1-'Interest Rate'!$B$17))</f>
        <v>0</v>
      </c>
      <c r="V78" s="609">
        <f>IF(V$7&gt;$N78,0,U78*(1-'Interest Rate'!$B$17))</f>
        <v>0</v>
      </c>
      <c r="W78" s="609">
        <f>IF(W$7&gt;$N78,0,V78*(1-'Interest Rate'!$B$17))</f>
        <v>0</v>
      </c>
      <c r="X78" s="609">
        <f>IF(X$7&gt;$N78,0,W78*(1-'Interest Rate'!$B$17))</f>
        <v>0</v>
      </c>
      <c r="Y78" s="609">
        <f>IF(Y$7&gt;$N78,0,X78*(1-'Interest Rate'!$B$17))</f>
        <v>0</v>
      </c>
      <c r="Z78" s="609">
        <f>IF(Z$7&gt;$N78,0,Y78*(1-'Interest Rate'!$B$17))</f>
        <v>0</v>
      </c>
      <c r="AA78" s="609">
        <f>IF(AA$7&gt;$N78,0,Z78*(1-'Interest Rate'!$B$17))</f>
        <v>0</v>
      </c>
      <c r="AB78" s="609">
        <f>IF(AB$7&gt;$N78,0,AA78*(1-'Interest Rate'!$B$17))</f>
        <v>0</v>
      </c>
      <c r="AC78" s="609">
        <f>IF(AC$7&gt;$N78,0,AB78*(1-'Interest Rate'!$B$17))</f>
        <v>0</v>
      </c>
      <c r="AD78" s="609">
        <f>IF(AD$7&gt;$N78,0,AC78*(1-'Interest Rate'!$B$17))</f>
        <v>0</v>
      </c>
      <c r="AE78" s="609">
        <f>IF(AE$7&gt;$N78,0,AD78*(1-'Interest Rate'!$B$17))</f>
        <v>0</v>
      </c>
      <c r="AF78" s="609">
        <f>IF(AF$7&gt;$N78,0,AE78*(1-'Interest Rate'!$B$17))</f>
        <v>0</v>
      </c>
      <c r="AG78" s="609">
        <f>IF(AG$7&gt;$N78,0,AF78*(1-'Interest Rate'!$B$17))</f>
        <v>0</v>
      </c>
      <c r="AH78" s="609">
        <f>IF(AH$7&gt;$N78,0,AG78*(1-'Interest Rate'!$B$17))</f>
        <v>0</v>
      </c>
      <c r="AI78" s="609">
        <f>IF(AI$7&gt;$N78,0,AH78*(1-'Interest Rate'!$B$17))</f>
        <v>0</v>
      </c>
      <c r="AJ78" s="609">
        <f>IF(AJ$7&gt;$N78,0,AI78*(1-'Interest Rate'!$B$17))</f>
        <v>0</v>
      </c>
      <c r="AK78" s="609">
        <f>IF(AK$7&gt;$N78,0,AJ78*(1-'Interest Rate'!$B$17))</f>
        <v>0</v>
      </c>
      <c r="AL78" s="609">
        <f>IF(AL$7&gt;$N78,0,AK78*(1-'Interest Rate'!$B$17))</f>
        <v>0</v>
      </c>
      <c r="AM78" s="609">
        <f>IF(AM$7&gt;$N78,0,AL78*(1-'Interest Rate'!$B$17))</f>
        <v>0</v>
      </c>
      <c r="AN78" s="609">
        <f>IF(AN$7&gt;$N78,0,AM78*(1-'Interest Rate'!$B$17))</f>
        <v>0</v>
      </c>
      <c r="AO78" s="609">
        <f>IF(AO$7&gt;$N78,0,AN78*(1-'Interest Rate'!$B$17))</f>
        <v>0</v>
      </c>
      <c r="AP78" s="609">
        <f>IF(AP$7&gt;$N78,0,AO78*(1-'Interest Rate'!$B$17))</f>
        <v>0</v>
      </c>
      <c r="AQ78" s="609">
        <f>IF(AQ$7&gt;$N78,0,AP78*(1-'Interest Rate'!$B$17))</f>
        <v>0</v>
      </c>
      <c r="AR78" s="609">
        <f>IF(AR$7&gt;$N78,0,AQ78*(1-'Interest Rate'!$B$17))</f>
        <v>0</v>
      </c>
      <c r="AS78" s="609">
        <f>IF(AS$7&gt;$N78,0,AR78*(1-'Interest Rate'!$B$17))</f>
        <v>0</v>
      </c>
      <c r="AT78" s="609">
        <f>IF(AT$7&gt;$N78,0,AS78*(1-'Interest Rate'!$B$17))</f>
        <v>0</v>
      </c>
      <c r="AU78" s="609">
        <f>IF(AU$7&gt;$N78,0,AT78*(1-'Interest Rate'!$B$17))</f>
        <v>0</v>
      </c>
      <c r="AV78" s="609">
        <f>IF(AV$7&gt;$N78,0,AU78*(1-'Interest Rate'!$B$17))</f>
        <v>0</v>
      </c>
      <c r="AW78" s="609">
        <f>IF(AW$7&gt;$N78,0,AV78*(1-'Interest Rate'!$B$17))</f>
        <v>0</v>
      </c>
      <c r="AX78" s="609">
        <f>IF(AX$7&gt;$N78,0,AW78*(1-'Interest Rate'!$B$17))</f>
        <v>0</v>
      </c>
      <c r="AY78" s="609">
        <f>IF(AY$7&gt;$N78,0,AX78*(1-'Interest Rate'!$B$17))</f>
        <v>0</v>
      </c>
      <c r="AZ78" s="609">
        <f>IF(AZ$7&gt;$N78,0,AY78*(1-'Interest Rate'!$B$17))</f>
        <v>0</v>
      </c>
      <c r="BA78" s="609">
        <f>IF(BA$7&gt;$N78,0,AZ78*(1-'Interest Rate'!$B$17))</f>
        <v>0</v>
      </c>
      <c r="BB78" s="609">
        <f>IF(BB$7&gt;$N78,0,BA78*(1-'Interest Rate'!$B$17))</f>
        <v>0</v>
      </c>
      <c r="BC78" s="609">
        <f>IF(BC$7&gt;$N78,0,BB78*(1-'Interest Rate'!$B$17))</f>
        <v>0</v>
      </c>
      <c r="BD78" s="609">
        <f>IF(BD$7&gt;$N78,0,BC78*(1-'Interest Rate'!$B$17))</f>
        <v>0</v>
      </c>
      <c r="BE78" s="609">
        <f>IF(BE$7&gt;$N78,0,BD78*(1-'Interest Rate'!$B$17))</f>
        <v>0</v>
      </c>
      <c r="BF78" s="609">
        <f>IF(BF$7&gt;$N78,0,BE78*(1-'Interest Rate'!$B$17))</f>
        <v>0</v>
      </c>
      <c r="BG78" s="609">
        <f>IF(BG$7&gt;$N78,0,BF78*(1-'Interest Rate'!$B$17))</f>
        <v>0</v>
      </c>
      <c r="BH78" s="609">
        <f>IF(BH$7&gt;$N78,0,BG78*(1-'Interest Rate'!$B$17))</f>
        <v>0</v>
      </c>
      <c r="BI78" s="609">
        <f>IF(BI$7&gt;$N78,0,BH78*(1-'Interest Rate'!$B$17))</f>
        <v>0</v>
      </c>
      <c r="BJ78" s="609">
        <f>IF(BJ$7&gt;$N78,0,BI78*(1-'Interest Rate'!$B$17))</f>
        <v>0</v>
      </c>
      <c r="BK78" s="609">
        <f>IF(BK$7&gt;$N78,0,BJ78*(1-'Interest Rate'!$B$17))</f>
        <v>0</v>
      </c>
      <c r="BL78" s="609">
        <f>IF(BL$7&gt;$N78,0,BK78*(1-'Interest Rate'!$B$17))</f>
        <v>0</v>
      </c>
      <c r="BM78" s="609">
        <f>IF(BM$7&gt;$N78,0,BL78*(1-'Interest Rate'!$B$17))</f>
        <v>0</v>
      </c>
      <c r="BN78" s="609">
        <f>IF(BN$7&gt;$N78,0,BM78*(1-'Interest Rate'!$B$17))</f>
        <v>0</v>
      </c>
      <c r="BO78" s="609">
        <f>IF(BO$7&gt;$N78,0,BN78*(1-'Interest Rate'!$B$17))</f>
        <v>0</v>
      </c>
      <c r="BP78" s="609">
        <f>IF(BP$7&gt;$N78,0,BO78*(1-'Interest Rate'!$B$17))</f>
        <v>0</v>
      </c>
      <c r="BQ78" s="609">
        <f>IF(BQ$7&gt;$N78,0,BP78*(1-'Interest Rate'!$B$17))</f>
        <v>0</v>
      </c>
      <c r="BR78" s="609">
        <f>IF(BR$7&gt;$N78,0,BQ78*(1-'Interest Rate'!$B$17))</f>
        <v>0</v>
      </c>
      <c r="BS78" s="609">
        <f>IF(BS$7&gt;$N78,0,BR78*(1-'Interest Rate'!$B$17))</f>
        <v>0</v>
      </c>
      <c r="BT78" s="609">
        <f>IF(BT$7&gt;$N78,0,BS78*(1-'Interest Rate'!$B$17))</f>
        <v>0</v>
      </c>
      <c r="BU78" s="609">
        <f>IF(BU$7&gt;$N78,0,BT78*(1-'Interest Rate'!$B$17))</f>
        <v>0</v>
      </c>
      <c r="BV78" s="609">
        <f>IF(BV$7&gt;$N78,0,BU78*(1-'Interest Rate'!$B$17))</f>
        <v>0</v>
      </c>
      <c r="BW78" s="609">
        <f>IF(BW$7&gt;$N78,0,BV78*(1-'Interest Rate'!$B$17))</f>
        <v>0</v>
      </c>
      <c r="BX78" s="609">
        <f>IF(BX$7&gt;$N78,0,BW78*(1-'Interest Rate'!$B$17))</f>
        <v>0</v>
      </c>
      <c r="BY78" s="609">
        <f>IF(BY$7&gt;$N78,0,BX78*(1-'Interest Rate'!$B$17))</f>
        <v>0</v>
      </c>
      <c r="BZ78" s="609">
        <f>IF(BZ$7&gt;$N78,0,BY78*(1-'Interest Rate'!$B$17))</f>
        <v>0</v>
      </c>
      <c r="CA78" s="609">
        <f>IF(CA$7&gt;$N78,0,BZ78*(1-'Interest Rate'!$B$17))</f>
        <v>0</v>
      </c>
      <c r="CB78" s="609">
        <f>IF(CB$7&gt;$N78,0,CA78*(1-'Interest Rate'!$B$17))</f>
        <v>0</v>
      </c>
      <c r="CC78" s="609">
        <f>IF(CC$7&gt;$N78,0,CB78*(1-'Interest Rate'!$B$17))</f>
        <v>0</v>
      </c>
      <c r="CD78" s="609">
        <f>IF(CD$7&gt;$N78,0,CC78*(1-'Interest Rate'!$B$17))</f>
        <v>0</v>
      </c>
      <c r="CE78" s="609">
        <f>IF(CE$7&gt;$N78,0,CD78*(1-'Interest Rate'!$B$17))</f>
        <v>0</v>
      </c>
      <c r="CF78" s="609">
        <f>IF(CF$7&gt;$N78,0,CE78*(1-'Interest Rate'!$B$17))</f>
        <v>0</v>
      </c>
      <c r="CG78" s="609">
        <f>IF(CG$7&gt;$N78,0,CF78*(1-'Interest Rate'!$B$17))</f>
        <v>0</v>
      </c>
      <c r="CH78" s="609">
        <f>IF(CH$7&gt;$N78,0,CG78*(1-'Interest Rate'!$B$17))</f>
        <v>0</v>
      </c>
      <c r="CI78" s="609">
        <f>IF(CI$7&gt;$N78,0,CH78*(1-'Interest Rate'!$B$17))</f>
        <v>0</v>
      </c>
      <c r="CJ78" s="609">
        <f>IF(CJ$7&gt;$N78,0,CI78*(1-'Interest Rate'!$B$17))</f>
        <v>0</v>
      </c>
      <c r="CK78" s="609">
        <f>IF(CK$7&gt;$N78,0,CJ78*(1-'Interest Rate'!$B$17))</f>
        <v>0</v>
      </c>
      <c r="CL78" s="609">
        <f>IF(CL$7&gt;$N78,0,CK78*(1-'Interest Rate'!$B$17))</f>
        <v>0</v>
      </c>
      <c r="CM78" s="609">
        <f>IF(CM$7&gt;$N78,0,CL78*(1-'Interest Rate'!$B$17))</f>
        <v>0</v>
      </c>
      <c r="CN78" s="609">
        <f>IF(CN$7&gt;$N78,0,CM78*(1-'Interest Rate'!$B$17))</f>
        <v>0</v>
      </c>
      <c r="CO78" s="609">
        <f>IF(CO$7&gt;$N78,0,CN78*(1-'Interest Rate'!$B$17))</f>
        <v>0</v>
      </c>
      <c r="CP78" s="609">
        <f>IF(CP$7&gt;$N78,0,CO78*(1-'Interest Rate'!$B$17))</f>
        <v>0</v>
      </c>
      <c r="CQ78" s="609">
        <f>IF(CQ$7&gt;$N78,0,CP78*(1-'Interest Rate'!$B$17))</f>
        <v>0</v>
      </c>
      <c r="CR78" s="609">
        <f>IF(CR$7&gt;$N78,0,CQ78*(1-'Interest Rate'!$B$17))</f>
        <v>0</v>
      </c>
      <c r="CS78" s="609">
        <f>IF(CS$7&gt;$N78,0,CR78*(1-'Interest Rate'!$B$17))</f>
        <v>0</v>
      </c>
      <c r="CT78" s="609">
        <f>IF(CT$7&gt;$N78,0,CS78*(1-'Interest Rate'!$B$17))</f>
        <v>0</v>
      </c>
      <c r="CU78" s="609">
        <f>IF(CU$7&gt;$N78,0,CT78*(1-'Interest Rate'!$B$17))</f>
        <v>0</v>
      </c>
      <c r="CV78" s="609">
        <f>IF(CV$7&gt;$N78,0,CU78*(1-'Interest Rate'!$B$17))</f>
        <v>0</v>
      </c>
      <c r="CW78" s="609">
        <f>IF(CW$7&gt;$N78,0,CV78*(1-'Interest Rate'!$B$17))</f>
        <v>0</v>
      </c>
      <c r="CX78" s="609">
        <f>IF(CX$7&gt;$N78,0,CW78*(1-'Interest Rate'!$B$17))</f>
        <v>0</v>
      </c>
      <c r="CY78" s="609">
        <f>IF(CY$7&gt;$N78,0,CX78*(1-'Interest Rate'!$B$17))</f>
        <v>0</v>
      </c>
      <c r="CZ78" s="609">
        <f>IF(CZ$7&gt;$N78,0,CY78*(1-'Interest Rate'!$B$17))</f>
        <v>0</v>
      </c>
      <c r="DA78" s="609">
        <f>IF(DA$7&gt;$N78,0,CZ78*(1-'Interest Rate'!$B$17))</f>
        <v>0</v>
      </c>
      <c r="DB78" s="609">
        <f>IF(DB$7&gt;$N78,0,DA78*(1-'Interest Rate'!$B$17))</f>
        <v>0</v>
      </c>
      <c r="DC78" s="609">
        <f>IF(DC$7&gt;$N78,0,DB78*(1-'Interest Rate'!$B$17))</f>
        <v>0</v>
      </c>
      <c r="DD78" s="609">
        <f>IF(DD$7&gt;$N78,0,DC78*(1-'Interest Rate'!$B$17))</f>
        <v>0</v>
      </c>
      <c r="DE78" s="609">
        <f>IF(DE$7&gt;$N78,0,DD78*(1-'Interest Rate'!$B$17))</f>
        <v>0</v>
      </c>
      <c r="DF78" s="609">
        <f>IF(DF$7&gt;$N78,0,DE78*(1-'Interest Rate'!$B$17))</f>
        <v>0</v>
      </c>
      <c r="DG78" s="609">
        <f>IF(DG$7&gt;$N78,0,DF78*(1-'Interest Rate'!$B$17))</f>
        <v>0</v>
      </c>
      <c r="DH78" s="609">
        <f>IF(DH$7&gt;$N78,0,DG78*(1-'Interest Rate'!$B$17))</f>
        <v>0</v>
      </c>
      <c r="DI78" s="609">
        <f>IF(DI$7&gt;$N78,0,DH78*(1-'Interest Rate'!$B$17))</f>
        <v>0</v>
      </c>
      <c r="DJ78" s="609">
        <f>IF(DJ$7&gt;$N78,0,DI78*(1-'Interest Rate'!$B$17))</f>
        <v>0</v>
      </c>
      <c r="DK78" s="609">
        <f>IF(DK$7&gt;$N78,0,DJ78*(1-'Interest Rate'!$B$17))</f>
        <v>0</v>
      </c>
      <c r="DL78" s="609">
        <f>IF(DL$7&gt;$N78,0,DK78*(1-'Interest Rate'!$B$17))</f>
        <v>0</v>
      </c>
      <c r="DM78" s="609">
        <f>IF(DM$7&gt;$N78,0,DL78*(1-'Interest Rate'!$B$17))</f>
        <v>0</v>
      </c>
    </row>
    <row r="79" spans="1:117" ht="27.75" customHeight="1" x14ac:dyDescent="0.3">
      <c r="A79" s="624" t="str">
        <f>'EEM Data Entry'!A154</f>
        <v/>
      </c>
      <c r="B79" s="625" t="str">
        <f>IF('EEM Data Entry'!B154="  ","  ", 'EEM Data Entry'!B154)</f>
        <v/>
      </c>
      <c r="C79" s="626" t="str">
        <f>'EEM Data Entry'!F154</f>
        <v/>
      </c>
      <c r="D79" s="626">
        <v>0</v>
      </c>
      <c r="E79" s="626" t="e">
        <f t="shared" si="22"/>
        <v>#VALUE!</v>
      </c>
      <c r="F79" s="626">
        <f>('Savings Summary'!D82*'Savings Summary'!D$5)+('Savings Summary'!F82*'Savings Summary'!F$5)+('Savings Summary'!H82*'Savings Summary'!H$5)+('Savings Summary'!J82*'Savings Summary'!J$5)+('Savings Summary'!L82*'Savings Summary'!L$5)+('Savings Summary'!N82*'Savings Summary'!N$5)+('Savings Summary'!P82*'Savings Summary'!P$5)+('Savings Summary'!R82*'Savings Summary'!R$5)</f>
        <v>0</v>
      </c>
      <c r="G79" s="627">
        <f>'Savings Summary'!T82</f>
        <v>0</v>
      </c>
      <c r="H79" s="628" t="e">
        <f t="shared" si="23"/>
        <v>#VALUE!</v>
      </c>
      <c r="I79" s="624" t="e">
        <f>IF(H79=0, "n/a", IF(H79&gt;100, "no",IF(H79&lt;0, "no", "yes")))</f>
        <v>#VALUE!</v>
      </c>
      <c r="J79" s="629" t="e">
        <f t="shared" si="20"/>
        <v>#NUM!</v>
      </c>
      <c r="K79" s="630" t="e">
        <f>PV('Interest Rate'!$B$17,Table9[[#This Row],[LIFETIME]],-Table9[[#This Row],[ANNUAL ENERGY COST SAVINGS]],Table9[[#This Row],[END-OF-LIFE]],0)-Table9[[#This Row],[ CAPITAL INVESTMENT]]</f>
        <v>#VALUE!</v>
      </c>
      <c r="L79" s="624" t="str">
        <f>'EEM Data Entry'!C154</f>
        <v/>
      </c>
      <c r="M79" s="631" t="e">
        <f>Table6[[#This Row],[ANNUAL ENERGY COST SAVINGS]]/Table6[[#This Row],[CAPITAL INVESTMENT]]</f>
        <v>#VALUE!</v>
      </c>
      <c r="N79" s="804" t="str">
        <f>Table9[[#This Row],[LIFETIME]]</f>
        <v/>
      </c>
      <c r="O79" s="803"/>
      <c r="P79" s="803"/>
      <c r="Q79" s="608" t="str">
        <f t="shared" si="21"/>
        <v/>
      </c>
      <c r="R79" s="609">
        <f t="shared" si="25"/>
        <v>0</v>
      </c>
      <c r="S79" s="609">
        <f>IF(S$7&gt;$N79,0,R79*(1-'Interest Rate'!$B$17))</f>
        <v>0</v>
      </c>
      <c r="T79" s="609">
        <f>IF(T$7&gt;$N79,0,S79*(1-'Interest Rate'!$B$17))</f>
        <v>0</v>
      </c>
      <c r="U79" s="609">
        <f>IF(U$7&gt;$N79,0,T79*(1-'Interest Rate'!$B$17))</f>
        <v>0</v>
      </c>
      <c r="V79" s="609">
        <f>IF(V$7&gt;$N79,0,U79*(1-'Interest Rate'!$B$17))</f>
        <v>0</v>
      </c>
      <c r="W79" s="609">
        <f>IF(W$7&gt;$N79,0,V79*(1-'Interest Rate'!$B$17))</f>
        <v>0</v>
      </c>
      <c r="X79" s="609">
        <f>IF(X$7&gt;$N79,0,W79*(1-'Interest Rate'!$B$17))</f>
        <v>0</v>
      </c>
      <c r="Y79" s="609">
        <f>IF(Y$7&gt;$N79,0,X79*(1-'Interest Rate'!$B$17))</f>
        <v>0</v>
      </c>
      <c r="Z79" s="609">
        <f>IF(Z$7&gt;$N79,0,Y79*(1-'Interest Rate'!$B$17))</f>
        <v>0</v>
      </c>
      <c r="AA79" s="609">
        <f>IF(AA$7&gt;$N79,0,Z79*(1-'Interest Rate'!$B$17))</f>
        <v>0</v>
      </c>
      <c r="AB79" s="609">
        <f>IF(AB$7&gt;$N79,0,AA79*(1-'Interest Rate'!$B$17))</f>
        <v>0</v>
      </c>
      <c r="AC79" s="609">
        <f>IF(AC$7&gt;$N79,0,AB79*(1-'Interest Rate'!$B$17))</f>
        <v>0</v>
      </c>
      <c r="AD79" s="609">
        <f>IF(AD$7&gt;$N79,0,AC79*(1-'Interest Rate'!$B$17))</f>
        <v>0</v>
      </c>
      <c r="AE79" s="609">
        <f>IF(AE$7&gt;$N79,0,AD79*(1-'Interest Rate'!$B$17))</f>
        <v>0</v>
      </c>
      <c r="AF79" s="609">
        <f>IF(AF$7&gt;$N79,0,AE79*(1-'Interest Rate'!$B$17))</f>
        <v>0</v>
      </c>
      <c r="AG79" s="609">
        <f>IF(AG$7&gt;$N79,0,AF79*(1-'Interest Rate'!$B$17))</f>
        <v>0</v>
      </c>
      <c r="AH79" s="609">
        <f>IF(AH$7&gt;$N79,0,AG79*(1-'Interest Rate'!$B$17))</f>
        <v>0</v>
      </c>
      <c r="AI79" s="609">
        <f>IF(AI$7&gt;$N79,0,AH79*(1-'Interest Rate'!$B$17))</f>
        <v>0</v>
      </c>
      <c r="AJ79" s="609">
        <f>IF(AJ$7&gt;$N79,0,AI79*(1-'Interest Rate'!$B$17))</f>
        <v>0</v>
      </c>
      <c r="AK79" s="609">
        <f>IF(AK$7&gt;$N79,0,AJ79*(1-'Interest Rate'!$B$17))</f>
        <v>0</v>
      </c>
      <c r="AL79" s="609">
        <f>IF(AL$7&gt;$N79,0,AK79*(1-'Interest Rate'!$B$17))</f>
        <v>0</v>
      </c>
      <c r="AM79" s="609">
        <f>IF(AM$7&gt;$N79,0,AL79*(1-'Interest Rate'!$B$17))</f>
        <v>0</v>
      </c>
      <c r="AN79" s="609">
        <f>IF(AN$7&gt;$N79,0,AM79*(1-'Interest Rate'!$B$17))</f>
        <v>0</v>
      </c>
      <c r="AO79" s="609">
        <f>IF(AO$7&gt;$N79,0,AN79*(1-'Interest Rate'!$B$17))</f>
        <v>0</v>
      </c>
      <c r="AP79" s="609">
        <f>IF(AP$7&gt;$N79,0,AO79*(1-'Interest Rate'!$B$17))</f>
        <v>0</v>
      </c>
      <c r="AQ79" s="609">
        <f>IF(AQ$7&gt;$N79,0,AP79*(1-'Interest Rate'!$B$17))</f>
        <v>0</v>
      </c>
      <c r="AR79" s="609">
        <f>IF(AR$7&gt;$N79,0,AQ79*(1-'Interest Rate'!$B$17))</f>
        <v>0</v>
      </c>
      <c r="AS79" s="609">
        <f>IF(AS$7&gt;$N79,0,AR79*(1-'Interest Rate'!$B$17))</f>
        <v>0</v>
      </c>
      <c r="AT79" s="609">
        <f>IF(AT$7&gt;$N79,0,AS79*(1-'Interest Rate'!$B$17))</f>
        <v>0</v>
      </c>
      <c r="AU79" s="609">
        <f>IF(AU$7&gt;$N79,0,AT79*(1-'Interest Rate'!$B$17))</f>
        <v>0</v>
      </c>
      <c r="AV79" s="609">
        <f>IF(AV$7&gt;$N79,0,AU79*(1-'Interest Rate'!$B$17))</f>
        <v>0</v>
      </c>
      <c r="AW79" s="609">
        <f>IF(AW$7&gt;$N79,0,AV79*(1-'Interest Rate'!$B$17))</f>
        <v>0</v>
      </c>
      <c r="AX79" s="609">
        <f>IF(AX$7&gt;$N79,0,AW79*(1-'Interest Rate'!$B$17))</f>
        <v>0</v>
      </c>
      <c r="AY79" s="609">
        <f>IF(AY$7&gt;$N79,0,AX79*(1-'Interest Rate'!$B$17))</f>
        <v>0</v>
      </c>
      <c r="AZ79" s="609">
        <f>IF(AZ$7&gt;$N79,0,AY79*(1-'Interest Rate'!$B$17))</f>
        <v>0</v>
      </c>
      <c r="BA79" s="609">
        <f>IF(BA$7&gt;$N79,0,AZ79*(1-'Interest Rate'!$B$17))</f>
        <v>0</v>
      </c>
      <c r="BB79" s="609">
        <f>IF(BB$7&gt;$N79,0,BA79*(1-'Interest Rate'!$B$17))</f>
        <v>0</v>
      </c>
      <c r="BC79" s="609">
        <f>IF(BC$7&gt;$N79,0,BB79*(1-'Interest Rate'!$B$17))</f>
        <v>0</v>
      </c>
      <c r="BD79" s="609">
        <f>IF(BD$7&gt;$N79,0,BC79*(1-'Interest Rate'!$B$17))</f>
        <v>0</v>
      </c>
      <c r="BE79" s="609">
        <f>IF(BE$7&gt;$N79,0,BD79*(1-'Interest Rate'!$B$17))</f>
        <v>0</v>
      </c>
      <c r="BF79" s="609">
        <f>IF(BF$7&gt;$N79,0,BE79*(1-'Interest Rate'!$B$17))</f>
        <v>0</v>
      </c>
      <c r="BG79" s="609">
        <f>IF(BG$7&gt;$N79,0,BF79*(1-'Interest Rate'!$B$17))</f>
        <v>0</v>
      </c>
      <c r="BH79" s="609">
        <f>IF(BH$7&gt;$N79,0,BG79*(1-'Interest Rate'!$B$17))</f>
        <v>0</v>
      </c>
      <c r="BI79" s="609">
        <f>IF(BI$7&gt;$N79,0,BH79*(1-'Interest Rate'!$B$17))</f>
        <v>0</v>
      </c>
      <c r="BJ79" s="609">
        <f>IF(BJ$7&gt;$N79,0,BI79*(1-'Interest Rate'!$B$17))</f>
        <v>0</v>
      </c>
      <c r="BK79" s="609">
        <f>IF(BK$7&gt;$N79,0,BJ79*(1-'Interest Rate'!$B$17))</f>
        <v>0</v>
      </c>
      <c r="BL79" s="609">
        <f>IF(BL$7&gt;$N79,0,BK79*(1-'Interest Rate'!$B$17))</f>
        <v>0</v>
      </c>
      <c r="BM79" s="609">
        <f>IF(BM$7&gt;$N79,0,BL79*(1-'Interest Rate'!$B$17))</f>
        <v>0</v>
      </c>
      <c r="BN79" s="609">
        <f>IF(BN$7&gt;$N79,0,BM79*(1-'Interest Rate'!$B$17))</f>
        <v>0</v>
      </c>
      <c r="BO79" s="609">
        <f>IF(BO$7&gt;$N79,0,BN79*(1-'Interest Rate'!$B$17))</f>
        <v>0</v>
      </c>
      <c r="BP79" s="609">
        <f>IF(BP$7&gt;$N79,0,BO79*(1-'Interest Rate'!$B$17))</f>
        <v>0</v>
      </c>
      <c r="BQ79" s="609">
        <f>IF(BQ$7&gt;$N79,0,BP79*(1-'Interest Rate'!$B$17))</f>
        <v>0</v>
      </c>
      <c r="BR79" s="609">
        <f>IF(BR$7&gt;$N79,0,BQ79*(1-'Interest Rate'!$B$17))</f>
        <v>0</v>
      </c>
      <c r="BS79" s="609">
        <f>IF(BS$7&gt;$N79,0,BR79*(1-'Interest Rate'!$B$17))</f>
        <v>0</v>
      </c>
      <c r="BT79" s="609">
        <f>IF(BT$7&gt;$N79,0,BS79*(1-'Interest Rate'!$B$17))</f>
        <v>0</v>
      </c>
      <c r="BU79" s="609">
        <f>IF(BU$7&gt;$N79,0,BT79*(1-'Interest Rate'!$B$17))</f>
        <v>0</v>
      </c>
      <c r="BV79" s="609">
        <f>IF(BV$7&gt;$N79,0,BU79*(1-'Interest Rate'!$B$17))</f>
        <v>0</v>
      </c>
      <c r="BW79" s="609">
        <f>IF(BW$7&gt;$N79,0,BV79*(1-'Interest Rate'!$B$17))</f>
        <v>0</v>
      </c>
      <c r="BX79" s="609">
        <f>IF(BX$7&gt;$N79,0,BW79*(1-'Interest Rate'!$B$17))</f>
        <v>0</v>
      </c>
      <c r="BY79" s="609">
        <f>IF(BY$7&gt;$N79,0,BX79*(1-'Interest Rate'!$B$17))</f>
        <v>0</v>
      </c>
      <c r="BZ79" s="609">
        <f>IF(BZ$7&gt;$N79,0,BY79*(1-'Interest Rate'!$B$17))</f>
        <v>0</v>
      </c>
      <c r="CA79" s="609">
        <f>IF(CA$7&gt;$N79,0,BZ79*(1-'Interest Rate'!$B$17))</f>
        <v>0</v>
      </c>
      <c r="CB79" s="609">
        <f>IF(CB$7&gt;$N79,0,CA79*(1-'Interest Rate'!$B$17))</f>
        <v>0</v>
      </c>
      <c r="CC79" s="609">
        <f>IF(CC$7&gt;$N79,0,CB79*(1-'Interest Rate'!$B$17))</f>
        <v>0</v>
      </c>
      <c r="CD79" s="609">
        <f>IF(CD$7&gt;$N79,0,CC79*(1-'Interest Rate'!$B$17))</f>
        <v>0</v>
      </c>
      <c r="CE79" s="609">
        <f>IF(CE$7&gt;$N79,0,CD79*(1-'Interest Rate'!$B$17))</f>
        <v>0</v>
      </c>
      <c r="CF79" s="609">
        <f>IF(CF$7&gt;$N79,0,CE79*(1-'Interest Rate'!$B$17))</f>
        <v>0</v>
      </c>
      <c r="CG79" s="609">
        <f>IF(CG$7&gt;$N79,0,CF79*(1-'Interest Rate'!$B$17))</f>
        <v>0</v>
      </c>
      <c r="CH79" s="609">
        <f>IF(CH$7&gt;$N79,0,CG79*(1-'Interest Rate'!$B$17))</f>
        <v>0</v>
      </c>
      <c r="CI79" s="609">
        <f>IF(CI$7&gt;$N79,0,CH79*(1-'Interest Rate'!$B$17))</f>
        <v>0</v>
      </c>
      <c r="CJ79" s="609">
        <f>IF(CJ$7&gt;$N79,0,CI79*(1-'Interest Rate'!$B$17))</f>
        <v>0</v>
      </c>
      <c r="CK79" s="609">
        <f>IF(CK$7&gt;$N79,0,CJ79*(1-'Interest Rate'!$B$17))</f>
        <v>0</v>
      </c>
      <c r="CL79" s="609">
        <f>IF(CL$7&gt;$N79,0,CK79*(1-'Interest Rate'!$B$17))</f>
        <v>0</v>
      </c>
      <c r="CM79" s="609">
        <f>IF(CM$7&gt;$N79,0,CL79*(1-'Interest Rate'!$B$17))</f>
        <v>0</v>
      </c>
      <c r="CN79" s="609">
        <f>IF(CN$7&gt;$N79,0,CM79*(1-'Interest Rate'!$B$17))</f>
        <v>0</v>
      </c>
      <c r="CO79" s="609">
        <f>IF(CO$7&gt;$N79,0,CN79*(1-'Interest Rate'!$B$17))</f>
        <v>0</v>
      </c>
      <c r="CP79" s="609">
        <f>IF(CP$7&gt;$N79,0,CO79*(1-'Interest Rate'!$B$17))</f>
        <v>0</v>
      </c>
      <c r="CQ79" s="609">
        <f>IF(CQ$7&gt;$N79,0,CP79*(1-'Interest Rate'!$B$17))</f>
        <v>0</v>
      </c>
      <c r="CR79" s="609">
        <f>IF(CR$7&gt;$N79,0,CQ79*(1-'Interest Rate'!$B$17))</f>
        <v>0</v>
      </c>
      <c r="CS79" s="609">
        <f>IF(CS$7&gt;$N79,0,CR79*(1-'Interest Rate'!$B$17))</f>
        <v>0</v>
      </c>
      <c r="CT79" s="609">
        <f>IF(CT$7&gt;$N79,0,CS79*(1-'Interest Rate'!$B$17))</f>
        <v>0</v>
      </c>
      <c r="CU79" s="609">
        <f>IF(CU$7&gt;$N79,0,CT79*(1-'Interest Rate'!$B$17))</f>
        <v>0</v>
      </c>
      <c r="CV79" s="609">
        <f>IF(CV$7&gt;$N79,0,CU79*(1-'Interest Rate'!$B$17))</f>
        <v>0</v>
      </c>
      <c r="CW79" s="609">
        <f>IF(CW$7&gt;$N79,0,CV79*(1-'Interest Rate'!$B$17))</f>
        <v>0</v>
      </c>
      <c r="CX79" s="609">
        <f>IF(CX$7&gt;$N79,0,CW79*(1-'Interest Rate'!$B$17))</f>
        <v>0</v>
      </c>
      <c r="CY79" s="609">
        <f>IF(CY$7&gt;$N79,0,CX79*(1-'Interest Rate'!$B$17))</f>
        <v>0</v>
      </c>
      <c r="CZ79" s="609">
        <f>IF(CZ$7&gt;$N79,0,CY79*(1-'Interest Rate'!$B$17))</f>
        <v>0</v>
      </c>
      <c r="DA79" s="609">
        <f>IF(DA$7&gt;$N79,0,CZ79*(1-'Interest Rate'!$B$17))</f>
        <v>0</v>
      </c>
      <c r="DB79" s="609">
        <f>IF(DB$7&gt;$N79,0,DA79*(1-'Interest Rate'!$B$17))</f>
        <v>0</v>
      </c>
      <c r="DC79" s="609">
        <f>IF(DC$7&gt;$N79,0,DB79*(1-'Interest Rate'!$B$17))</f>
        <v>0</v>
      </c>
      <c r="DD79" s="609">
        <f>IF(DD$7&gt;$N79,0,DC79*(1-'Interest Rate'!$B$17))</f>
        <v>0</v>
      </c>
      <c r="DE79" s="609">
        <f>IF(DE$7&gt;$N79,0,DD79*(1-'Interest Rate'!$B$17))</f>
        <v>0</v>
      </c>
      <c r="DF79" s="609">
        <f>IF(DF$7&gt;$N79,0,DE79*(1-'Interest Rate'!$B$17))</f>
        <v>0</v>
      </c>
      <c r="DG79" s="609">
        <f>IF(DG$7&gt;$N79,0,DF79*(1-'Interest Rate'!$B$17))</f>
        <v>0</v>
      </c>
      <c r="DH79" s="609">
        <f>IF(DH$7&gt;$N79,0,DG79*(1-'Interest Rate'!$B$17))</f>
        <v>0</v>
      </c>
      <c r="DI79" s="609">
        <f>IF(DI$7&gt;$N79,0,DH79*(1-'Interest Rate'!$B$17))</f>
        <v>0</v>
      </c>
      <c r="DJ79" s="609">
        <f>IF(DJ$7&gt;$N79,0,DI79*(1-'Interest Rate'!$B$17))</f>
        <v>0</v>
      </c>
      <c r="DK79" s="609">
        <f>IF(DK$7&gt;$N79,0,DJ79*(1-'Interest Rate'!$B$17))</f>
        <v>0</v>
      </c>
      <c r="DL79" s="609">
        <f>IF(DL$7&gt;$N79,0,DK79*(1-'Interest Rate'!$B$17))</f>
        <v>0</v>
      </c>
      <c r="DM79" s="609">
        <f>IF(DM$7&gt;$N79,0,DL79*(1-'Interest Rate'!$B$17))</f>
        <v>0</v>
      </c>
    </row>
    <row r="80" spans="1:117" x14ac:dyDescent="0.3">
      <c r="A80" s="632"/>
      <c r="B80" s="633"/>
      <c r="K80" s="636"/>
      <c r="Q80" s="609"/>
    </row>
    <row r="81" spans="1:2" x14ac:dyDescent="0.3">
      <c r="A81" s="632"/>
      <c r="B81" s="637"/>
    </row>
    <row r="82" spans="1:2" ht="14" x14ac:dyDescent="0.3">
      <c r="A82" s="572"/>
      <c r="B82" s="638"/>
    </row>
    <row r="83" spans="1:2" x14ac:dyDescent="0.3">
      <c r="A83" s="572"/>
    </row>
    <row r="84" spans="1:2" x14ac:dyDescent="0.3">
      <c r="A84" s="572"/>
    </row>
    <row r="85" spans="1:2" x14ac:dyDescent="0.3">
      <c r="A85" s="572"/>
    </row>
    <row r="86" spans="1:2" x14ac:dyDescent="0.3">
      <c r="A86" s="572"/>
    </row>
    <row r="87" spans="1:2" x14ac:dyDescent="0.3">
      <c r="A87" s="572"/>
    </row>
    <row r="99" spans="2:4" x14ac:dyDescent="0.3">
      <c r="B99" s="639"/>
    </row>
    <row r="102" spans="2:4" ht="20.5" x14ac:dyDescent="0.45">
      <c r="D102" s="640"/>
    </row>
  </sheetData>
  <sheetProtection selectLockedCells="1"/>
  <mergeCells count="10">
    <mergeCell ref="D1:E1"/>
    <mergeCell ref="Q1:R1"/>
    <mergeCell ref="S1:T1"/>
    <mergeCell ref="U1:V1"/>
    <mergeCell ref="Y1:Z1"/>
    <mergeCell ref="F1:G1"/>
    <mergeCell ref="H1:I1"/>
    <mergeCell ref="J1:K1"/>
    <mergeCell ref="L1:M1"/>
    <mergeCell ref="W1:X1"/>
  </mergeCells>
  <phoneticPr fontId="11" type="noConversion"/>
  <printOptions horizontalCentered="1"/>
  <pageMargins left="0.25" right="0.25" top="0.25" bottom="0.25" header="0.05" footer="0.05"/>
  <pageSetup paperSize="17" scale="85" orientation="landscape" r:id="rId1"/>
  <headerFooter scaleWithDoc="0" alignWithMargins="0">
    <oddFooter>&amp;LResilient Buildings Group&amp;R Page 24</oddFooter>
  </headerFooter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tabColor rgb="FF92D050"/>
  </sheetPr>
  <dimension ref="A1:AB83"/>
  <sheetViews>
    <sheetView topLeftCell="C28" workbookViewId="0">
      <selection activeCell="C50" sqref="C50"/>
    </sheetView>
  </sheetViews>
  <sheetFormatPr defaultColWidth="8.90625" defaultRowHeight="13" x14ac:dyDescent="0.3"/>
  <cols>
    <col min="1" max="1" width="3.36328125" style="568" customWidth="1"/>
    <col min="2" max="2" width="13.6328125" style="568" customWidth="1"/>
    <col min="3" max="3" width="53.26953125" style="568" customWidth="1"/>
    <col min="4" max="19" width="18.08984375" style="568" customWidth="1"/>
    <col min="20" max="20" width="35" style="568" customWidth="1"/>
    <col min="21" max="21" width="16.26953125" style="568" customWidth="1"/>
    <col min="22" max="22" width="18" style="568" customWidth="1"/>
    <col min="23" max="23" width="8.90625" style="568"/>
    <col min="24" max="24" width="12" style="568" bestFit="1" customWidth="1"/>
    <col min="25" max="27" width="8.90625" style="568"/>
    <col min="28" max="28" width="11.81640625" style="568" bestFit="1" customWidth="1"/>
    <col min="29" max="16384" width="8.90625" style="568"/>
  </cols>
  <sheetData>
    <row r="1" spans="1:22" s="747" customFormat="1" ht="23.25" customHeight="1" x14ac:dyDescent="0.4">
      <c r="A1" s="532"/>
      <c r="B1" s="532"/>
      <c r="C1" s="529" t="s">
        <v>18</v>
      </c>
      <c r="D1" s="939" t="s">
        <v>0</v>
      </c>
      <c r="E1" s="939"/>
      <c r="F1" s="939" t="s">
        <v>1</v>
      </c>
      <c r="G1" s="939"/>
      <c r="H1" s="939" t="s">
        <v>2</v>
      </c>
      <c r="I1" s="939"/>
      <c r="J1" s="939" t="s">
        <v>3</v>
      </c>
      <c r="K1" s="939"/>
      <c r="L1" s="939" t="s">
        <v>62</v>
      </c>
      <c r="M1" s="939"/>
      <c r="N1" s="939" t="s">
        <v>23</v>
      </c>
      <c r="O1" s="939"/>
      <c r="P1" s="939" t="s">
        <v>26</v>
      </c>
      <c r="Q1" s="939"/>
      <c r="R1" s="939" t="s">
        <v>19</v>
      </c>
      <c r="S1" s="939"/>
      <c r="T1" s="939" t="s">
        <v>4</v>
      </c>
      <c r="U1" s="940"/>
    </row>
    <row r="2" spans="1:22" s="774" customFormat="1" ht="19" customHeight="1" x14ac:dyDescent="0.35">
      <c r="A2" s="771"/>
      <c r="B2" s="771"/>
      <c r="C2" s="541" t="s">
        <v>223</v>
      </c>
      <c r="D2" s="772">
        <v>3.4121419999999998</v>
      </c>
      <c r="E2" s="772"/>
      <c r="F2" s="772">
        <v>137.381</v>
      </c>
      <c r="G2" s="772"/>
      <c r="H2" s="772">
        <v>100</v>
      </c>
      <c r="I2" s="772"/>
      <c r="J2" s="772">
        <v>91.5</v>
      </c>
      <c r="K2" s="772"/>
      <c r="L2" s="772">
        <v>1194</v>
      </c>
      <c r="M2" s="772"/>
      <c r="N2" s="772">
        <v>16400</v>
      </c>
      <c r="O2" s="772"/>
      <c r="P2" s="772">
        <v>9500</v>
      </c>
      <c r="Q2" s="772"/>
      <c r="R2" s="772">
        <v>0</v>
      </c>
      <c r="S2" s="772"/>
      <c r="T2" s="772"/>
      <c r="U2" s="773"/>
    </row>
    <row r="3" spans="1:22" s="747" customFormat="1" ht="15.75" customHeight="1" x14ac:dyDescent="0.35">
      <c r="A3" s="532"/>
      <c r="B3" s="532"/>
      <c r="C3" s="533" t="s">
        <v>213</v>
      </c>
      <c r="D3" s="534">
        <f>'EEM Data Entry'!S5</f>
        <v>0</v>
      </c>
      <c r="E3" s="535" t="s">
        <v>168</v>
      </c>
      <c r="F3" s="534">
        <f>'EEM Data Entry'!U5</f>
        <v>0</v>
      </c>
      <c r="G3" s="536" t="s">
        <v>7</v>
      </c>
      <c r="H3" s="537">
        <f>'EEM Data Entry'!W5</f>
        <v>0</v>
      </c>
      <c r="I3" s="536" t="s">
        <v>165</v>
      </c>
      <c r="J3" s="534">
        <f>'EEM Data Entry'!Y5</f>
        <v>0</v>
      </c>
      <c r="K3" s="536" t="s">
        <v>89</v>
      </c>
      <c r="L3" s="534">
        <f>'EEM Data Entry'!AA5</f>
        <v>0</v>
      </c>
      <c r="M3" s="536" t="s">
        <v>69</v>
      </c>
      <c r="N3" s="534">
        <f>'EEM Data Entry'!AC5</f>
        <v>0</v>
      </c>
      <c r="O3" s="536" t="s">
        <v>24</v>
      </c>
      <c r="P3" s="534">
        <f>'EEM Data Entry'!AE5</f>
        <v>0</v>
      </c>
      <c r="Q3" s="536" t="s">
        <v>24</v>
      </c>
      <c r="R3" s="534">
        <f>'EEM Data Entry'!AG5</f>
        <v>0</v>
      </c>
      <c r="S3" s="536" t="s">
        <v>37</v>
      </c>
      <c r="T3" s="748">
        <f>(D3*3.412)+(F3*138.6905)+(H3*100)+(J3*91.6476)+(L3*1194)+(N3*16400)+(P3*9500)+(R3*0)</f>
        <v>0</v>
      </c>
      <c r="U3" s="539" t="s">
        <v>21</v>
      </c>
    </row>
    <row r="4" spans="1:22" s="747" customFormat="1" ht="15" customHeight="1" x14ac:dyDescent="0.4">
      <c r="A4" s="532"/>
      <c r="B4" s="540"/>
      <c r="C4" s="541" t="s">
        <v>9</v>
      </c>
      <c r="D4" s="749">
        <f>'EEM Data Entry'!S6</f>
        <v>0</v>
      </c>
      <c r="E4" s="535" t="s">
        <v>10</v>
      </c>
      <c r="F4" s="750">
        <f>'EEM Data Entry'!U6</f>
        <v>0</v>
      </c>
      <c r="G4" s="536"/>
      <c r="H4" s="542">
        <f>'EEM Data Entry'!W6</f>
        <v>0</v>
      </c>
      <c r="I4" s="536"/>
      <c r="J4" s="543">
        <f>'EEM Data Entry'!Y6</f>
        <v>0</v>
      </c>
      <c r="K4" s="536"/>
      <c r="L4" s="543">
        <f>'EEM Data Entry'!AA6</f>
        <v>0</v>
      </c>
      <c r="M4" s="536"/>
      <c r="N4" s="543">
        <f>'EEM Data Entry'!AC6</f>
        <v>0</v>
      </c>
      <c r="O4" s="536"/>
      <c r="P4" s="543">
        <f>'EEM Data Entry'!AE6</f>
        <v>0</v>
      </c>
      <c r="Q4" s="536"/>
      <c r="R4" s="543">
        <f>'EEM Data Entry'!AG6</f>
        <v>0</v>
      </c>
      <c r="S4" s="536"/>
      <c r="T4" s="996">
        <f>D4+F4+H4+J4+L4+P4+R4</f>
        <v>0</v>
      </c>
      <c r="U4" s="997"/>
    </row>
    <row r="5" spans="1:22" s="747" customFormat="1" ht="15" customHeight="1" thickBot="1" x14ac:dyDescent="0.45">
      <c r="A5" s="751"/>
      <c r="B5" s="546"/>
      <c r="C5" s="547" t="s">
        <v>11</v>
      </c>
      <c r="D5" s="548">
        <f>IF(D3=0,0,D4/D3)</f>
        <v>0</v>
      </c>
      <c r="E5" s="549" t="s">
        <v>12</v>
      </c>
      <c r="F5" s="548">
        <f>IF(F3=0,0,F4/F3)</f>
        <v>0</v>
      </c>
      <c r="G5" s="550" t="s">
        <v>13</v>
      </c>
      <c r="H5" s="548">
        <f>IF(H3=0,0,H4/H3)</f>
        <v>0</v>
      </c>
      <c r="I5" s="550" t="s">
        <v>14</v>
      </c>
      <c r="J5" s="548">
        <f>IF(J3=0,0,J4/J3)</f>
        <v>0</v>
      </c>
      <c r="K5" s="550" t="s">
        <v>13</v>
      </c>
      <c r="L5" s="548">
        <f>IF(L3=0,0,L4/L3)</f>
        <v>0</v>
      </c>
      <c r="M5" s="550" t="s">
        <v>70</v>
      </c>
      <c r="N5" s="548">
        <f>IF(N3=0,0,N4/N3)</f>
        <v>0</v>
      </c>
      <c r="O5" s="550" t="s">
        <v>25</v>
      </c>
      <c r="P5" s="548">
        <f>IF(P3=0,0,P4/P3)</f>
        <v>0</v>
      </c>
      <c r="Q5" s="550" t="s">
        <v>25</v>
      </c>
      <c r="R5" s="548">
        <f>IF(R3=0,0,R4/R3)</f>
        <v>0</v>
      </c>
      <c r="S5" s="550" t="s">
        <v>13</v>
      </c>
      <c r="T5" s="551"/>
      <c r="U5" s="552"/>
      <c r="V5" s="752"/>
    </row>
    <row r="6" spans="1:22" ht="20.5" x14ac:dyDescent="0.3">
      <c r="A6" s="753"/>
      <c r="B6" s="995" t="s">
        <v>33</v>
      </c>
      <c r="C6" s="995"/>
      <c r="D6" s="993" t="s">
        <v>29</v>
      </c>
      <c r="E6" s="994"/>
      <c r="F6" s="993" t="s">
        <v>30</v>
      </c>
      <c r="G6" s="994"/>
      <c r="H6" s="993" t="s">
        <v>31</v>
      </c>
      <c r="I6" s="994"/>
      <c r="J6" s="993" t="s">
        <v>32</v>
      </c>
      <c r="K6" s="994"/>
      <c r="L6" s="993" t="s">
        <v>71</v>
      </c>
      <c r="M6" s="994"/>
      <c r="N6" s="993" t="s">
        <v>27</v>
      </c>
      <c r="O6" s="994"/>
      <c r="P6" s="993" t="s">
        <v>28</v>
      </c>
      <c r="Q6" s="994"/>
      <c r="R6" s="993" t="s">
        <v>38</v>
      </c>
      <c r="S6" s="998"/>
      <c r="T6" s="775" t="s">
        <v>15</v>
      </c>
      <c r="U6" s="776" t="s">
        <v>36</v>
      </c>
      <c r="V6" s="754" t="s">
        <v>134</v>
      </c>
    </row>
    <row r="7" spans="1:22" ht="15.75" customHeight="1" x14ac:dyDescent="0.3">
      <c r="A7" s="755"/>
      <c r="B7" s="786" t="str">
        <f>'EEM Data Entry'!A85</f>
        <v/>
      </c>
      <c r="C7" s="787" t="str">
        <f>'EEM Data Entry'!B85</f>
        <v/>
      </c>
      <c r="D7" s="766">
        <f>'EEM Data Entry'!H85*'Savings Summary'!$D$3</f>
        <v>0</v>
      </c>
      <c r="E7" s="767">
        <f>IF($D$3=0,0,IF('Individual Measure List'!$I8="yes", D7/D$3, 0))</f>
        <v>0</v>
      </c>
      <c r="F7" s="766">
        <f>'EEM Data Entry'!I85*'Savings Summary'!$F$3</f>
        <v>0</v>
      </c>
      <c r="G7" s="767">
        <f>IF($F$3=0,0,IF('Individual Measure List'!$I8="yes", F7/F$3, 0))</f>
        <v>0</v>
      </c>
      <c r="H7" s="766">
        <f>'EEM Data Entry'!J85*'Savings Summary'!$H$3</f>
        <v>0</v>
      </c>
      <c r="I7" s="767">
        <f>IF($H$3=0,0,IF('Individual Measure List'!$I8="yes", H7/H$3, 0))</f>
        <v>0</v>
      </c>
      <c r="J7" s="766">
        <f>'EEM Data Entry'!K85*'Savings Summary'!$J$3</f>
        <v>0</v>
      </c>
      <c r="K7" s="767">
        <f>IF($J$3=0,0,IF('Individual Measure List'!$I8="yes", J7/J$3, 0))</f>
        <v>0</v>
      </c>
      <c r="L7" s="788">
        <f>'EEM Data Entry'!L85*'Savings Summary'!$L$3</f>
        <v>0</v>
      </c>
      <c r="M7" s="767">
        <f>IF($L$3=0,0,IF('Individual Measure List'!$I8="yes", L7/L$3, 0))</f>
        <v>0</v>
      </c>
      <c r="N7" s="789">
        <f>'EEM Data Entry'!M85*'Savings Summary'!$N$3</f>
        <v>0</v>
      </c>
      <c r="O7" s="767">
        <f>IF($N$3=0,0,IF('Individual Measure List'!$I8="yes", N7/N$3, 0))</f>
        <v>0</v>
      </c>
      <c r="P7" s="789">
        <f>'EEM Data Entry'!N85*'Savings Summary'!$P$3</f>
        <v>0</v>
      </c>
      <c r="Q7" s="767">
        <f>IF($P$3=0,0,IF('Individual Measure List'!$I8="yes", P7/P$3, 0))</f>
        <v>0</v>
      </c>
      <c r="R7" s="766">
        <f>'EEM Data Entry'!O85*'Savings Summary'!$R$3</f>
        <v>0</v>
      </c>
      <c r="S7" s="767">
        <f>IF($R$3=0,0,IF('Individual Measure List'!$I8="yes", R7/R$3, 0))</f>
        <v>0</v>
      </c>
      <c r="T7" s="766">
        <f>SUM((D7*$D$2),(F7*$F$2),(H7*$H$2),(J7*$J$2),(L7*$L$2),(N7*$N$2),(P7*$P$2),(R7*$R$2))</f>
        <v>0</v>
      </c>
      <c r="U7" s="767">
        <f>IF(T$3&gt;0, T7/T$3, 0)</f>
        <v>0</v>
      </c>
      <c r="V7" s="623" t="e">
        <f>'Individual Measure List'!I8</f>
        <v>#VALUE!</v>
      </c>
    </row>
    <row r="8" spans="1:22" x14ac:dyDescent="0.3">
      <c r="A8" s="755"/>
      <c r="B8" s="786" t="str">
        <f>'EEM Data Entry'!A86</f>
        <v/>
      </c>
      <c r="C8" s="787" t="str">
        <f>'EEM Data Entry'!B86</f>
        <v/>
      </c>
      <c r="D8" s="766">
        <f>'EEM Data Entry'!H86*'Savings Summary'!$D$3</f>
        <v>0</v>
      </c>
      <c r="E8" s="767">
        <f>IF($D$3=0,0,IF('Individual Measure List'!$I9="yes", D8/D$3, 0))</f>
        <v>0</v>
      </c>
      <c r="F8" s="766">
        <f>'EEM Data Entry'!I86*'Savings Summary'!$F$3</f>
        <v>0</v>
      </c>
      <c r="G8" s="767">
        <f>IF($F$3=0,0,IF('Individual Measure List'!$I9="yes", F8/F$3, 0))</f>
        <v>0</v>
      </c>
      <c r="H8" s="766">
        <f>'EEM Data Entry'!J86*'Savings Summary'!$H$3</f>
        <v>0</v>
      </c>
      <c r="I8" s="767">
        <f>IF($H$3=0,0,IF('Individual Measure List'!$I9="yes", H8/H$3, 0))</f>
        <v>0</v>
      </c>
      <c r="J8" s="766">
        <f>'EEM Data Entry'!K86*'Savings Summary'!$J$3</f>
        <v>0</v>
      </c>
      <c r="K8" s="767">
        <f>IF($J$3=0,0,IF('Individual Measure List'!$I9="yes", J8/J$3, 0))</f>
        <v>0</v>
      </c>
      <c r="L8" s="788">
        <f>'EEM Data Entry'!L86*'Savings Summary'!$L$3</f>
        <v>0</v>
      </c>
      <c r="M8" s="767">
        <f>IF($L$3=0,0,IF('Individual Measure List'!$I9="yes", L8/L$3, 0))</f>
        <v>0</v>
      </c>
      <c r="N8" s="789">
        <f>'EEM Data Entry'!M86*'Savings Summary'!$N$3</f>
        <v>0</v>
      </c>
      <c r="O8" s="767">
        <f>IF($N$3=0,0,IF('Individual Measure List'!$I9="yes", N8/N$3, 0))</f>
        <v>0</v>
      </c>
      <c r="P8" s="789">
        <f>'EEM Data Entry'!N86*'Savings Summary'!$P$3</f>
        <v>0</v>
      </c>
      <c r="Q8" s="767">
        <f>IF($P$3=0,0,IF('Individual Measure List'!$I9="yes", P8/P$3, 0))</f>
        <v>0</v>
      </c>
      <c r="R8" s="766">
        <f>'EEM Data Entry'!O86*'Savings Summary'!$R$3</f>
        <v>0</v>
      </c>
      <c r="S8" s="767">
        <f>IF($R$3=0,0,IF('Individual Measure List'!$I9="yes", R8/R$3, 0))</f>
        <v>0</v>
      </c>
      <c r="T8" s="766">
        <f t="shared" ref="T8:T30" si="0">SUM((D8*$D$2),(F8*$F$2),(H8*$H$2),(J8*$J$2),(L8*$L$2),(N8*$N$2),(P8*$P$2),(R8*$R$2))</f>
        <v>0</v>
      </c>
      <c r="U8" s="767">
        <f t="shared" ref="U8:U30" si="1">IF(T$3&gt;0, T8/T$3, 0)</f>
        <v>0</v>
      </c>
      <c r="V8" s="623" t="e">
        <f>'Individual Measure List'!I9</f>
        <v>#VALUE!</v>
      </c>
    </row>
    <row r="9" spans="1:22" x14ac:dyDescent="0.3">
      <c r="A9" s="755"/>
      <c r="B9" s="786" t="str">
        <f>'EEM Data Entry'!A87</f>
        <v/>
      </c>
      <c r="C9" s="787" t="str">
        <f>'EEM Data Entry'!B87</f>
        <v/>
      </c>
      <c r="D9" s="766">
        <f>'EEM Data Entry'!H87*'Savings Summary'!$D$3</f>
        <v>0</v>
      </c>
      <c r="E9" s="767">
        <f>IF($D$3=0,0,IF('Individual Measure List'!$I10="yes", D9/D$3, 0))</f>
        <v>0</v>
      </c>
      <c r="F9" s="766">
        <f>'EEM Data Entry'!I87*'Savings Summary'!$F$3</f>
        <v>0</v>
      </c>
      <c r="G9" s="767">
        <f>IF($F$3=0,0,IF('Individual Measure List'!$I10="yes", F9/F$3, 0))</f>
        <v>0</v>
      </c>
      <c r="H9" s="766">
        <f>'EEM Data Entry'!J87*'Savings Summary'!$H$3</f>
        <v>0</v>
      </c>
      <c r="I9" s="767">
        <f>IF($H$3=0,0,IF('Individual Measure List'!$I10="yes", H9/H$3, 0))</f>
        <v>0</v>
      </c>
      <c r="J9" s="766">
        <f>'EEM Data Entry'!K87*'Savings Summary'!$J$3</f>
        <v>0</v>
      </c>
      <c r="K9" s="767">
        <f>IF($J$3=0,0,IF('Individual Measure List'!$I10="yes", J9/J$3, 0))</f>
        <v>0</v>
      </c>
      <c r="L9" s="788">
        <f>'EEM Data Entry'!L87*'Savings Summary'!$L$3</f>
        <v>0</v>
      </c>
      <c r="M9" s="767">
        <f>IF($L$3=0,0,IF('Individual Measure List'!$I10="yes", L9/L$3, 0))</f>
        <v>0</v>
      </c>
      <c r="N9" s="789">
        <f>'EEM Data Entry'!M87*'Savings Summary'!$N$3</f>
        <v>0</v>
      </c>
      <c r="O9" s="767">
        <f>IF($N$3=0,0,IF('Individual Measure List'!$I10="yes", N9/N$3, 0))</f>
        <v>0</v>
      </c>
      <c r="P9" s="789">
        <f>'EEM Data Entry'!N87*'Savings Summary'!$P$3</f>
        <v>0</v>
      </c>
      <c r="Q9" s="767">
        <f>IF($P$3=0,0,IF('Individual Measure List'!$I10="yes", P9/P$3, 0))</f>
        <v>0</v>
      </c>
      <c r="R9" s="766">
        <f>'EEM Data Entry'!O87*'Savings Summary'!$R$3</f>
        <v>0</v>
      </c>
      <c r="S9" s="767">
        <f>IF($R$3=0,0,IF('Individual Measure List'!$I10="yes", R9/R$3, 0))</f>
        <v>0</v>
      </c>
      <c r="T9" s="766">
        <f t="shared" si="0"/>
        <v>0</v>
      </c>
      <c r="U9" s="767">
        <f t="shared" si="1"/>
        <v>0</v>
      </c>
      <c r="V9" s="623" t="e">
        <f>'Individual Measure List'!I10</f>
        <v>#VALUE!</v>
      </c>
    </row>
    <row r="10" spans="1:22" x14ac:dyDescent="0.3">
      <c r="A10" s="755"/>
      <c r="B10" s="786" t="str">
        <f>'EEM Data Entry'!A88</f>
        <v/>
      </c>
      <c r="C10" s="787" t="str">
        <f>'EEM Data Entry'!B88</f>
        <v/>
      </c>
      <c r="D10" s="766">
        <f>'EEM Data Entry'!H88*'Savings Summary'!$D$3</f>
        <v>0</v>
      </c>
      <c r="E10" s="767">
        <f>IF($D$3=0,0,IF('Individual Measure List'!$I11="yes", D10/D$3, 0))</f>
        <v>0</v>
      </c>
      <c r="F10" s="766">
        <f>'EEM Data Entry'!I88*'Savings Summary'!$F$3</f>
        <v>0</v>
      </c>
      <c r="G10" s="767">
        <f>IF($F$3=0,0,IF('Individual Measure List'!$I11="yes", F10/F$3, 0))</f>
        <v>0</v>
      </c>
      <c r="H10" s="766">
        <f>'EEM Data Entry'!J88*'Savings Summary'!$H$3</f>
        <v>0</v>
      </c>
      <c r="I10" s="767">
        <f>IF($H$3=0,0,IF('Individual Measure List'!$I11="yes", H10/H$3, 0))</f>
        <v>0</v>
      </c>
      <c r="J10" s="766">
        <f>'EEM Data Entry'!K88*'Savings Summary'!$J$3</f>
        <v>0</v>
      </c>
      <c r="K10" s="767">
        <f>IF($J$3=0,0,IF('Individual Measure List'!$I11="yes", J10/J$3, 0))</f>
        <v>0</v>
      </c>
      <c r="L10" s="788">
        <f>'EEM Data Entry'!L88*'Savings Summary'!$L$3</f>
        <v>0</v>
      </c>
      <c r="M10" s="767">
        <f>IF($L$3=0,0,IF('Individual Measure List'!$I11="yes", L10/L$3, 0))</f>
        <v>0</v>
      </c>
      <c r="N10" s="789">
        <f>'EEM Data Entry'!M88*'Savings Summary'!$N$3</f>
        <v>0</v>
      </c>
      <c r="O10" s="767">
        <f>IF($N$3=0,0,IF('Individual Measure List'!$I11="yes", N10/N$3, 0))</f>
        <v>0</v>
      </c>
      <c r="P10" s="789">
        <f>'EEM Data Entry'!N88*'Savings Summary'!$P$3</f>
        <v>0</v>
      </c>
      <c r="Q10" s="767">
        <f>IF($P$3=0,0,IF('Individual Measure List'!$I11="yes", P10/P$3, 0))</f>
        <v>0</v>
      </c>
      <c r="R10" s="766">
        <f>'EEM Data Entry'!O88*'Savings Summary'!$R$3</f>
        <v>0</v>
      </c>
      <c r="S10" s="767">
        <f>IF($R$3=0,0,IF('Individual Measure List'!$I11="yes", R10/R$3, 0))</f>
        <v>0</v>
      </c>
      <c r="T10" s="766">
        <f t="shared" si="0"/>
        <v>0</v>
      </c>
      <c r="U10" s="767">
        <f t="shared" si="1"/>
        <v>0</v>
      </c>
      <c r="V10" s="623" t="e">
        <f>'Individual Measure List'!I11</f>
        <v>#VALUE!</v>
      </c>
    </row>
    <row r="11" spans="1:22" x14ac:dyDescent="0.3">
      <c r="A11" s="755"/>
      <c r="B11" s="786" t="str">
        <f>'EEM Data Entry'!A89</f>
        <v/>
      </c>
      <c r="C11" s="787" t="str">
        <f>'EEM Data Entry'!B89</f>
        <v/>
      </c>
      <c r="D11" s="766">
        <f>'EEM Data Entry'!H89*'Savings Summary'!$D$3</f>
        <v>0</v>
      </c>
      <c r="E11" s="767">
        <f>IF($D$3=0,0,IF('Individual Measure List'!$I12="yes", D11/D$3, 0))</f>
        <v>0</v>
      </c>
      <c r="F11" s="766">
        <f>'EEM Data Entry'!I89*'Savings Summary'!$F$3</f>
        <v>0</v>
      </c>
      <c r="G11" s="767">
        <f>IF($F$3=0,0,IF('Individual Measure List'!$I12="yes", F11/F$3, 0))</f>
        <v>0</v>
      </c>
      <c r="H11" s="766">
        <f>'EEM Data Entry'!J89*'Savings Summary'!$H$3</f>
        <v>0</v>
      </c>
      <c r="I11" s="767">
        <f>IF($H$3=0,0,IF('Individual Measure List'!$I12="yes", H11/H$3, 0))</f>
        <v>0</v>
      </c>
      <c r="J11" s="766">
        <f>'EEM Data Entry'!K89*'Savings Summary'!$J$3</f>
        <v>0</v>
      </c>
      <c r="K11" s="767">
        <f>IF($J$3=0,0,IF('Individual Measure List'!$I12="yes", J11/J$3, 0))</f>
        <v>0</v>
      </c>
      <c r="L11" s="788">
        <f>'EEM Data Entry'!L89*'Savings Summary'!$L$3</f>
        <v>0</v>
      </c>
      <c r="M11" s="767">
        <f>IF($L$3=0,0,IF('Individual Measure List'!$I12="yes", L11/L$3, 0))</f>
        <v>0</v>
      </c>
      <c r="N11" s="789">
        <f>'EEM Data Entry'!M89*'Savings Summary'!$N$3</f>
        <v>0</v>
      </c>
      <c r="O11" s="767">
        <f>IF($N$3=0,0,IF('Individual Measure List'!$I12="yes", N11/N$3, 0))</f>
        <v>0</v>
      </c>
      <c r="P11" s="789">
        <f>'EEM Data Entry'!N89*'Savings Summary'!$P$3</f>
        <v>0</v>
      </c>
      <c r="Q11" s="767">
        <f>IF($P$3=0,0,IF('Individual Measure List'!$I12="yes", P11/P$3, 0))</f>
        <v>0</v>
      </c>
      <c r="R11" s="766">
        <f>'EEM Data Entry'!O89*'Savings Summary'!$R$3</f>
        <v>0</v>
      </c>
      <c r="S11" s="767">
        <f>IF($R$3=0,0,IF('Individual Measure List'!$I12="yes", R11/R$3, 0))</f>
        <v>0</v>
      </c>
      <c r="T11" s="766">
        <f t="shared" si="0"/>
        <v>0</v>
      </c>
      <c r="U11" s="767">
        <f t="shared" si="1"/>
        <v>0</v>
      </c>
      <c r="V11" s="623" t="e">
        <f>'Individual Measure List'!I12</f>
        <v>#VALUE!</v>
      </c>
    </row>
    <row r="12" spans="1:22" x14ac:dyDescent="0.3">
      <c r="A12" s="755"/>
      <c r="B12" s="786" t="str">
        <f>'EEM Data Entry'!A90</f>
        <v/>
      </c>
      <c r="C12" s="787" t="str">
        <f>'EEM Data Entry'!B90</f>
        <v/>
      </c>
      <c r="D12" s="766">
        <f>'EEM Data Entry'!H90*'Savings Summary'!$D$3</f>
        <v>0</v>
      </c>
      <c r="E12" s="767">
        <f>IF($D$3=0,0,IF('Individual Measure List'!$I13="yes", D12/D$3, 0))</f>
        <v>0</v>
      </c>
      <c r="F12" s="766">
        <f>'EEM Data Entry'!I90*'Savings Summary'!$F$3</f>
        <v>0</v>
      </c>
      <c r="G12" s="767">
        <f>IF($F$3=0,0,IF('Individual Measure List'!$I13="yes", F12/F$3, 0))</f>
        <v>0</v>
      </c>
      <c r="H12" s="766">
        <f>'EEM Data Entry'!J90*'Savings Summary'!$H$3</f>
        <v>0</v>
      </c>
      <c r="I12" s="767">
        <f>IF($H$3=0,0,IF('Individual Measure List'!$I13="yes", H12/H$3, 0))</f>
        <v>0</v>
      </c>
      <c r="J12" s="766">
        <f>'EEM Data Entry'!K90*'Savings Summary'!$J$3</f>
        <v>0</v>
      </c>
      <c r="K12" s="767">
        <f>IF($J$3=0,0,IF('Individual Measure List'!$I13="yes", J12/J$3, 0))</f>
        <v>0</v>
      </c>
      <c r="L12" s="788">
        <f>'EEM Data Entry'!L90*'Savings Summary'!$L$3</f>
        <v>0</v>
      </c>
      <c r="M12" s="767">
        <f>IF($L$3=0,0,IF('Individual Measure List'!$I13="yes", L12/L$3, 0))</f>
        <v>0</v>
      </c>
      <c r="N12" s="789">
        <f>'EEM Data Entry'!M90*'Savings Summary'!$N$3</f>
        <v>0</v>
      </c>
      <c r="O12" s="767">
        <f>IF($N$3=0,0,IF('Individual Measure List'!$I13="yes", N12/N$3, 0))</f>
        <v>0</v>
      </c>
      <c r="P12" s="789">
        <f>'EEM Data Entry'!N90*'Savings Summary'!$P$3</f>
        <v>0</v>
      </c>
      <c r="Q12" s="767">
        <f>IF($P$3=0,0,IF('Individual Measure List'!$I13="yes", P12/P$3, 0))</f>
        <v>0</v>
      </c>
      <c r="R12" s="766">
        <f>'EEM Data Entry'!O90*'Savings Summary'!$R$3</f>
        <v>0</v>
      </c>
      <c r="S12" s="767">
        <f>IF($R$3=0,0,IF('Individual Measure List'!$I13="yes", R12/R$3, 0))</f>
        <v>0</v>
      </c>
      <c r="T12" s="766">
        <f t="shared" si="0"/>
        <v>0</v>
      </c>
      <c r="U12" s="767">
        <f t="shared" si="1"/>
        <v>0</v>
      </c>
      <c r="V12" s="623" t="e">
        <f>'Individual Measure List'!I13</f>
        <v>#VALUE!</v>
      </c>
    </row>
    <row r="13" spans="1:22" x14ac:dyDescent="0.3">
      <c r="A13" s="755"/>
      <c r="B13" s="786" t="str">
        <f>'EEM Data Entry'!A91</f>
        <v/>
      </c>
      <c r="C13" s="787" t="str">
        <f>'EEM Data Entry'!B91</f>
        <v/>
      </c>
      <c r="D13" s="766">
        <f>'EEM Data Entry'!H91*'Savings Summary'!$D$3</f>
        <v>0</v>
      </c>
      <c r="E13" s="767">
        <f>IF($D$3=0,0,IF('Individual Measure List'!$I14="yes", D13/D$3, 0))</f>
        <v>0</v>
      </c>
      <c r="F13" s="766">
        <f>'EEM Data Entry'!I91*'Savings Summary'!$F$3</f>
        <v>0</v>
      </c>
      <c r="G13" s="767">
        <f>IF($F$3=0,0,IF('Individual Measure List'!$I14="yes", F13/F$3, 0))</f>
        <v>0</v>
      </c>
      <c r="H13" s="766">
        <f>'EEM Data Entry'!J91*'Savings Summary'!$H$3</f>
        <v>0</v>
      </c>
      <c r="I13" s="767">
        <f>IF($H$3=0,0,IF('Individual Measure List'!$I14="yes", H13/H$3, 0))</f>
        <v>0</v>
      </c>
      <c r="J13" s="766">
        <f>'EEM Data Entry'!K91*'Savings Summary'!$J$3</f>
        <v>0</v>
      </c>
      <c r="K13" s="767">
        <f>IF($J$3=0,0,IF('Individual Measure List'!$I14="yes", J13/J$3, 0))</f>
        <v>0</v>
      </c>
      <c r="L13" s="788">
        <f>'EEM Data Entry'!L91*'Savings Summary'!$L$3</f>
        <v>0</v>
      </c>
      <c r="M13" s="767">
        <f>IF($L$3=0,0,IF('Individual Measure List'!$I14="yes", L13/L$3, 0))</f>
        <v>0</v>
      </c>
      <c r="N13" s="789">
        <f>'EEM Data Entry'!M91*'Savings Summary'!$N$3</f>
        <v>0</v>
      </c>
      <c r="O13" s="767">
        <f>IF($N$3=0,0,IF('Individual Measure List'!$I14="yes", N13/N$3, 0))</f>
        <v>0</v>
      </c>
      <c r="P13" s="789">
        <f>'EEM Data Entry'!N91*'Savings Summary'!$P$3</f>
        <v>0</v>
      </c>
      <c r="Q13" s="767">
        <f>IF($P$3=0,0,IF('Individual Measure List'!$I14="yes", P13/P$3, 0))</f>
        <v>0</v>
      </c>
      <c r="R13" s="766">
        <f>'EEM Data Entry'!O91*'Savings Summary'!$R$3</f>
        <v>0</v>
      </c>
      <c r="S13" s="767">
        <f>IF($R$3=0,0,IF('Individual Measure List'!$I14="yes", R13/R$3, 0))</f>
        <v>0</v>
      </c>
      <c r="T13" s="766">
        <f t="shared" si="0"/>
        <v>0</v>
      </c>
      <c r="U13" s="767">
        <f t="shared" si="1"/>
        <v>0</v>
      </c>
      <c r="V13" s="623" t="e">
        <f>'Individual Measure List'!I14</f>
        <v>#VALUE!</v>
      </c>
    </row>
    <row r="14" spans="1:22" x14ac:dyDescent="0.3">
      <c r="A14" s="755"/>
      <c r="B14" s="786" t="str">
        <f>'EEM Data Entry'!A92</f>
        <v/>
      </c>
      <c r="C14" s="787" t="str">
        <f>'EEM Data Entry'!B92</f>
        <v/>
      </c>
      <c r="D14" s="766">
        <f>'EEM Data Entry'!H92*'Savings Summary'!$D$3</f>
        <v>0</v>
      </c>
      <c r="E14" s="767">
        <f>IF($D$3=0,0,IF('Individual Measure List'!$I15="yes", D14/D$3, 0))</f>
        <v>0</v>
      </c>
      <c r="F14" s="766">
        <f>'EEM Data Entry'!I92*'Savings Summary'!$F$3</f>
        <v>0</v>
      </c>
      <c r="G14" s="767">
        <f>IF($F$3=0,0,IF('Individual Measure List'!$I15="yes", F14/F$3, 0))</f>
        <v>0</v>
      </c>
      <c r="H14" s="766">
        <f>'EEM Data Entry'!J92*'Savings Summary'!$H$3</f>
        <v>0</v>
      </c>
      <c r="I14" s="767">
        <f>IF($H$3=0,0,IF('Individual Measure List'!$I15="yes", H14/H$3, 0))</f>
        <v>0</v>
      </c>
      <c r="J14" s="766">
        <f>'EEM Data Entry'!K92*'Savings Summary'!$J$3</f>
        <v>0</v>
      </c>
      <c r="K14" s="767">
        <f>IF($J$3=0,0,IF('Individual Measure List'!$I15="yes", J14/J$3, 0))</f>
        <v>0</v>
      </c>
      <c r="L14" s="788">
        <f>'EEM Data Entry'!L92*'Savings Summary'!$L$3</f>
        <v>0</v>
      </c>
      <c r="M14" s="767">
        <f>IF($L$3=0,0,IF('Individual Measure List'!$I15="yes", L14/L$3, 0))</f>
        <v>0</v>
      </c>
      <c r="N14" s="789">
        <f>'EEM Data Entry'!M92*'Savings Summary'!$N$3</f>
        <v>0</v>
      </c>
      <c r="O14" s="767">
        <f>IF($N$3=0,0,IF('Individual Measure List'!$I15="yes", N14/N$3, 0))</f>
        <v>0</v>
      </c>
      <c r="P14" s="789">
        <f>'EEM Data Entry'!N92*'Savings Summary'!$P$3</f>
        <v>0</v>
      </c>
      <c r="Q14" s="767">
        <f>IF($P$3=0,0,IF('Individual Measure List'!$I15="yes", P14/P$3, 0))</f>
        <v>0</v>
      </c>
      <c r="R14" s="766">
        <f>'EEM Data Entry'!O92*'Savings Summary'!$R$3</f>
        <v>0</v>
      </c>
      <c r="S14" s="767">
        <f>IF($R$3=0,0,IF('Individual Measure List'!$I15="yes", R14/R$3, 0))</f>
        <v>0</v>
      </c>
      <c r="T14" s="766">
        <f t="shared" si="0"/>
        <v>0</v>
      </c>
      <c r="U14" s="767">
        <f t="shared" si="1"/>
        <v>0</v>
      </c>
      <c r="V14" s="623" t="e">
        <f>'Individual Measure List'!I15</f>
        <v>#VALUE!</v>
      </c>
    </row>
    <row r="15" spans="1:22" x14ac:dyDescent="0.3">
      <c r="A15" s="755"/>
      <c r="B15" s="786" t="str">
        <f>'EEM Data Entry'!A93</f>
        <v/>
      </c>
      <c r="C15" s="787" t="str">
        <f>'EEM Data Entry'!B93</f>
        <v/>
      </c>
      <c r="D15" s="766">
        <f>'EEM Data Entry'!H93*'Savings Summary'!$D$3</f>
        <v>0</v>
      </c>
      <c r="E15" s="767">
        <f>IF($D$3=0,0,IF('Individual Measure List'!$I16="yes", D15/D$3, 0))</f>
        <v>0</v>
      </c>
      <c r="F15" s="766">
        <f>'EEM Data Entry'!I93*'Savings Summary'!$F$3</f>
        <v>0</v>
      </c>
      <c r="G15" s="767">
        <f>IF($F$3=0,0,IF('Individual Measure List'!$I16="yes", F15/F$3, 0))</f>
        <v>0</v>
      </c>
      <c r="H15" s="766">
        <f>'EEM Data Entry'!J93*'Savings Summary'!$H$3</f>
        <v>0</v>
      </c>
      <c r="I15" s="767">
        <f>IF($H$3=0,0,IF('Individual Measure List'!$I16="yes", H15/H$3, 0))</f>
        <v>0</v>
      </c>
      <c r="J15" s="766">
        <f>'EEM Data Entry'!K93*'Savings Summary'!$J$3</f>
        <v>0</v>
      </c>
      <c r="K15" s="767">
        <f>IF($J$3=0,0,IF('Individual Measure List'!$I16="yes", J15/J$3, 0))</f>
        <v>0</v>
      </c>
      <c r="L15" s="788">
        <f>'EEM Data Entry'!L93*'Savings Summary'!$L$3</f>
        <v>0</v>
      </c>
      <c r="M15" s="767">
        <f>IF($L$3=0,0,IF('Individual Measure List'!$I16="yes", L15/L$3, 0))</f>
        <v>0</v>
      </c>
      <c r="N15" s="789">
        <f>'EEM Data Entry'!M93*'Savings Summary'!$N$3</f>
        <v>0</v>
      </c>
      <c r="O15" s="767">
        <f>IF($N$3=0,0,IF('Individual Measure List'!$I16="yes", N15/N$3, 0))</f>
        <v>0</v>
      </c>
      <c r="P15" s="789">
        <f>'EEM Data Entry'!N93*'Savings Summary'!$P$3</f>
        <v>0</v>
      </c>
      <c r="Q15" s="767">
        <f>IF($P$3=0,0,IF('Individual Measure List'!$I16="yes", P15/P$3, 0))</f>
        <v>0</v>
      </c>
      <c r="R15" s="766">
        <f>'EEM Data Entry'!O93*'Savings Summary'!$R$3</f>
        <v>0</v>
      </c>
      <c r="S15" s="767">
        <f>IF($R$3=0,0,IF('Individual Measure List'!$I16="yes", R15/R$3, 0))</f>
        <v>0</v>
      </c>
      <c r="T15" s="766">
        <f t="shared" si="0"/>
        <v>0</v>
      </c>
      <c r="U15" s="767">
        <f t="shared" si="1"/>
        <v>0</v>
      </c>
      <c r="V15" s="623" t="e">
        <f>'Individual Measure List'!I16</f>
        <v>#VALUE!</v>
      </c>
    </row>
    <row r="16" spans="1:22" x14ac:dyDescent="0.3">
      <c r="A16" s="755"/>
      <c r="B16" s="786" t="str">
        <f>'EEM Data Entry'!A94</f>
        <v/>
      </c>
      <c r="C16" s="787" t="str">
        <f>'EEM Data Entry'!B94</f>
        <v/>
      </c>
      <c r="D16" s="766">
        <f>'EEM Data Entry'!H94*'Savings Summary'!$D$3</f>
        <v>0</v>
      </c>
      <c r="E16" s="767">
        <f>IF($D$3=0,0,IF('Individual Measure List'!$I17="yes", D16/D$3, 0))</f>
        <v>0</v>
      </c>
      <c r="F16" s="766">
        <f>'EEM Data Entry'!I94*'Savings Summary'!$F$3</f>
        <v>0</v>
      </c>
      <c r="G16" s="767">
        <f>IF($F$3=0,0,IF('Individual Measure List'!$I17="yes", F16/F$3, 0))</f>
        <v>0</v>
      </c>
      <c r="H16" s="766">
        <f>'EEM Data Entry'!J94*'Savings Summary'!$H$3</f>
        <v>0</v>
      </c>
      <c r="I16" s="767">
        <f>IF($H$3=0,0,IF('Individual Measure List'!$I17="yes", H16/H$3, 0))</f>
        <v>0</v>
      </c>
      <c r="J16" s="766">
        <f>'EEM Data Entry'!K94*'Savings Summary'!$J$3</f>
        <v>0</v>
      </c>
      <c r="K16" s="767">
        <f>IF($J$3=0,0,IF('Individual Measure List'!$I17="yes", J16/J$3, 0))</f>
        <v>0</v>
      </c>
      <c r="L16" s="788">
        <f>'EEM Data Entry'!L94*'Savings Summary'!$L$3</f>
        <v>0</v>
      </c>
      <c r="M16" s="767">
        <f>IF($L$3=0,0,IF('Individual Measure List'!$I17="yes", L16/L$3, 0))</f>
        <v>0</v>
      </c>
      <c r="N16" s="789">
        <f>'EEM Data Entry'!M94*'Savings Summary'!$N$3</f>
        <v>0</v>
      </c>
      <c r="O16" s="767">
        <f>IF($N$3=0,0,IF('Individual Measure List'!$I17="yes", N16/N$3, 0))</f>
        <v>0</v>
      </c>
      <c r="P16" s="789">
        <f>'EEM Data Entry'!N94*'Savings Summary'!$P$3</f>
        <v>0</v>
      </c>
      <c r="Q16" s="767">
        <f>IF($P$3=0,0,IF('Individual Measure List'!$I17="yes", P16/P$3, 0))</f>
        <v>0</v>
      </c>
      <c r="R16" s="766">
        <f>'EEM Data Entry'!O94*'Savings Summary'!$R$3</f>
        <v>0</v>
      </c>
      <c r="S16" s="767">
        <f>IF($R$3=0,0,IF('Individual Measure List'!$I17="yes", R16/R$3, 0))</f>
        <v>0</v>
      </c>
      <c r="T16" s="766">
        <f t="shared" si="0"/>
        <v>0</v>
      </c>
      <c r="U16" s="767">
        <f t="shared" si="1"/>
        <v>0</v>
      </c>
      <c r="V16" s="623" t="e">
        <f>'Individual Measure List'!I17</f>
        <v>#VALUE!</v>
      </c>
    </row>
    <row r="17" spans="1:27" x14ac:dyDescent="0.3">
      <c r="A17" s="755"/>
      <c r="B17" s="786" t="str">
        <f>'EEM Data Entry'!A95</f>
        <v/>
      </c>
      <c r="C17" s="787" t="str">
        <f>'EEM Data Entry'!B95</f>
        <v/>
      </c>
      <c r="D17" s="766">
        <f>'EEM Data Entry'!H95*'Savings Summary'!$D$3</f>
        <v>0</v>
      </c>
      <c r="E17" s="767">
        <f>IF($D$3=0,0,IF('Individual Measure List'!$I18="yes", D17/D$3, 0))</f>
        <v>0</v>
      </c>
      <c r="F17" s="766">
        <f>'EEM Data Entry'!I95*'Savings Summary'!$F$3</f>
        <v>0</v>
      </c>
      <c r="G17" s="767">
        <f>IF($F$3=0,0,IF('Individual Measure List'!$I18="yes", F17/F$3, 0))</f>
        <v>0</v>
      </c>
      <c r="H17" s="766">
        <f>'EEM Data Entry'!J95*'Savings Summary'!$H$3</f>
        <v>0</v>
      </c>
      <c r="I17" s="767">
        <f>IF($H$3=0,0,IF('Individual Measure List'!$I18="yes", H17/H$3, 0))</f>
        <v>0</v>
      </c>
      <c r="J17" s="766">
        <f>'EEM Data Entry'!K95*'Savings Summary'!$J$3</f>
        <v>0</v>
      </c>
      <c r="K17" s="767">
        <f>IF($J$3=0,0,IF('Individual Measure List'!$I18="yes", J17/J$3, 0))</f>
        <v>0</v>
      </c>
      <c r="L17" s="788">
        <f>'EEM Data Entry'!L95*'Savings Summary'!$L$3</f>
        <v>0</v>
      </c>
      <c r="M17" s="767">
        <f>IF($L$3=0,0,IF('Individual Measure List'!$I18="yes", L17/L$3, 0))</f>
        <v>0</v>
      </c>
      <c r="N17" s="789">
        <f>'EEM Data Entry'!M95*'Savings Summary'!$N$3</f>
        <v>0</v>
      </c>
      <c r="O17" s="767">
        <f>IF($N$3=0,0,IF('Individual Measure List'!$I18="yes", N17/N$3, 0))</f>
        <v>0</v>
      </c>
      <c r="P17" s="789">
        <f>'EEM Data Entry'!N95*'Savings Summary'!$P$3</f>
        <v>0</v>
      </c>
      <c r="Q17" s="767">
        <f>IF($P$3=0,0,IF('Individual Measure List'!$I18="yes", P17/P$3, 0))</f>
        <v>0</v>
      </c>
      <c r="R17" s="766">
        <f>'EEM Data Entry'!O95*'Savings Summary'!$R$3</f>
        <v>0</v>
      </c>
      <c r="S17" s="767">
        <f>IF($R$3=0,0,IF('Individual Measure List'!$I18="yes", R17/R$3, 0))</f>
        <v>0</v>
      </c>
      <c r="T17" s="766">
        <f t="shared" si="0"/>
        <v>0</v>
      </c>
      <c r="U17" s="767">
        <f t="shared" si="1"/>
        <v>0</v>
      </c>
      <c r="V17" s="623" t="e">
        <f>'Individual Measure List'!I18</f>
        <v>#VALUE!</v>
      </c>
    </row>
    <row r="18" spans="1:27" x14ac:dyDescent="0.3">
      <c r="A18" s="755"/>
      <c r="B18" s="786" t="str">
        <f>'EEM Data Entry'!A96</f>
        <v/>
      </c>
      <c r="C18" s="787" t="str">
        <f>'EEM Data Entry'!B96</f>
        <v/>
      </c>
      <c r="D18" s="766">
        <f>'EEM Data Entry'!H96*'Savings Summary'!$D$3</f>
        <v>0</v>
      </c>
      <c r="E18" s="767">
        <f>IF($D$3=0,0,IF('Individual Measure List'!$I19="yes", D18/D$3, 0))</f>
        <v>0</v>
      </c>
      <c r="F18" s="766">
        <f>'EEM Data Entry'!I96*'Savings Summary'!$F$3</f>
        <v>0</v>
      </c>
      <c r="G18" s="767">
        <f>IF($F$3=0,0,IF('Individual Measure List'!$I19="yes", F18/F$3, 0))</f>
        <v>0</v>
      </c>
      <c r="H18" s="766">
        <f>'EEM Data Entry'!J96*'Savings Summary'!$H$3</f>
        <v>0</v>
      </c>
      <c r="I18" s="767">
        <f>IF($H$3=0,0,IF('Individual Measure List'!$I19="yes", H18/H$3, 0))</f>
        <v>0</v>
      </c>
      <c r="J18" s="766">
        <f>'EEM Data Entry'!K96*'Savings Summary'!$J$3</f>
        <v>0</v>
      </c>
      <c r="K18" s="767">
        <f>IF($J$3=0,0,IF('Individual Measure List'!$I19="yes", J18/J$3, 0))</f>
        <v>0</v>
      </c>
      <c r="L18" s="788">
        <f>'EEM Data Entry'!L96*'Savings Summary'!$L$3</f>
        <v>0</v>
      </c>
      <c r="M18" s="767">
        <f>IF($L$3=0,0,IF('Individual Measure List'!$I19="yes", L18/L$3, 0))</f>
        <v>0</v>
      </c>
      <c r="N18" s="789">
        <f>'EEM Data Entry'!M96*'Savings Summary'!$N$3</f>
        <v>0</v>
      </c>
      <c r="O18" s="767">
        <f>IF($N$3=0,0,IF('Individual Measure List'!$I19="yes", N18/N$3, 0))</f>
        <v>0</v>
      </c>
      <c r="P18" s="789">
        <f>'EEM Data Entry'!N96*'Savings Summary'!$P$3</f>
        <v>0</v>
      </c>
      <c r="Q18" s="767">
        <f>IF($P$3=0,0,IF('Individual Measure List'!$I19="yes", P18/P$3, 0))</f>
        <v>0</v>
      </c>
      <c r="R18" s="766">
        <f>'EEM Data Entry'!O96*'Savings Summary'!$R$3</f>
        <v>0</v>
      </c>
      <c r="S18" s="767">
        <f>IF($R$3=0,0,IF('Individual Measure List'!$I19="yes", R18/R$3, 0))</f>
        <v>0</v>
      </c>
      <c r="T18" s="766">
        <f t="shared" si="0"/>
        <v>0</v>
      </c>
      <c r="U18" s="767">
        <f t="shared" si="1"/>
        <v>0</v>
      </c>
      <c r="V18" s="623" t="e">
        <f>'Individual Measure List'!I19</f>
        <v>#VALUE!</v>
      </c>
    </row>
    <row r="19" spans="1:27" x14ac:dyDescent="0.3">
      <c r="A19" s="756"/>
      <c r="B19" s="786" t="str">
        <f>'EEM Data Entry'!A97</f>
        <v/>
      </c>
      <c r="C19" s="787" t="str">
        <f>'EEM Data Entry'!B97</f>
        <v/>
      </c>
      <c r="D19" s="766">
        <f>'EEM Data Entry'!H97*'Savings Summary'!$D$3</f>
        <v>0</v>
      </c>
      <c r="E19" s="767">
        <f>IF($D$3=0,0,IF('Individual Measure List'!$I20="yes", D19/D$3, 0))</f>
        <v>0</v>
      </c>
      <c r="F19" s="766">
        <f>'EEM Data Entry'!I97*'Savings Summary'!$F$3</f>
        <v>0</v>
      </c>
      <c r="G19" s="767">
        <f>IF($F$3=0,0,IF('Individual Measure List'!$I20="yes", F19/F$3, 0))</f>
        <v>0</v>
      </c>
      <c r="H19" s="766">
        <f>'EEM Data Entry'!J97*'Savings Summary'!$H$3</f>
        <v>0</v>
      </c>
      <c r="I19" s="767">
        <f>IF($H$3=0,0,IF('Individual Measure List'!$I20="yes", H19/H$3, 0))</f>
        <v>0</v>
      </c>
      <c r="J19" s="766">
        <f>'EEM Data Entry'!K97*'Savings Summary'!$J$3</f>
        <v>0</v>
      </c>
      <c r="K19" s="767">
        <f>IF($J$3=0,0,IF('Individual Measure List'!$I20="yes", J19/J$3, 0))</f>
        <v>0</v>
      </c>
      <c r="L19" s="788">
        <f>'EEM Data Entry'!L97*'Savings Summary'!$L$3</f>
        <v>0</v>
      </c>
      <c r="M19" s="767">
        <f>IF($L$3=0,0,IF('Individual Measure List'!$I20="yes", L19/L$3, 0))</f>
        <v>0</v>
      </c>
      <c r="N19" s="789">
        <f>'EEM Data Entry'!M97*'Savings Summary'!$N$3</f>
        <v>0</v>
      </c>
      <c r="O19" s="767">
        <f>IF($N$3=0,0,IF('Individual Measure List'!$I20="yes", N19/N$3, 0))</f>
        <v>0</v>
      </c>
      <c r="P19" s="789">
        <f>'EEM Data Entry'!N97*'Savings Summary'!$P$3</f>
        <v>0</v>
      </c>
      <c r="Q19" s="767">
        <f>IF($P$3=0,0,IF('Individual Measure List'!$I20="yes", P19/P$3, 0))</f>
        <v>0</v>
      </c>
      <c r="R19" s="766">
        <f>'EEM Data Entry'!O97*'Savings Summary'!$R$3</f>
        <v>0</v>
      </c>
      <c r="S19" s="767">
        <f>IF($R$3=0,0,IF('Individual Measure List'!$I20="yes", R19/R$3, 0))</f>
        <v>0</v>
      </c>
      <c r="T19" s="766">
        <f t="shared" si="0"/>
        <v>0</v>
      </c>
      <c r="U19" s="767">
        <f t="shared" si="1"/>
        <v>0</v>
      </c>
      <c r="V19" s="623" t="e">
        <f>'Individual Measure List'!I20</f>
        <v>#VALUE!</v>
      </c>
    </row>
    <row r="20" spans="1:27" x14ac:dyDescent="0.3">
      <c r="A20" s="756"/>
      <c r="B20" s="786" t="str">
        <f>'EEM Data Entry'!A98</f>
        <v/>
      </c>
      <c r="C20" s="787" t="str">
        <f>'EEM Data Entry'!B98</f>
        <v/>
      </c>
      <c r="D20" s="766">
        <f>'EEM Data Entry'!H98*'Savings Summary'!$D$3</f>
        <v>0</v>
      </c>
      <c r="E20" s="767">
        <f>IF($D$3=0,0,IF('Individual Measure List'!$I21="yes", D20/D$3, 0))</f>
        <v>0</v>
      </c>
      <c r="F20" s="766">
        <f>'EEM Data Entry'!I98*'Savings Summary'!$F$3</f>
        <v>0</v>
      </c>
      <c r="G20" s="767">
        <f>IF($F$3=0,0,IF('Individual Measure List'!$I21="yes", F20/F$3, 0))</f>
        <v>0</v>
      </c>
      <c r="H20" s="766">
        <f>'EEM Data Entry'!J98*'Savings Summary'!$H$3</f>
        <v>0</v>
      </c>
      <c r="I20" s="767">
        <f>IF($H$3=0,0,IF('Individual Measure List'!$I21="yes", H20/H$3, 0))</f>
        <v>0</v>
      </c>
      <c r="J20" s="766">
        <f>'EEM Data Entry'!K98*'Savings Summary'!$J$3</f>
        <v>0</v>
      </c>
      <c r="K20" s="767">
        <f>IF($J$3=0,0,IF('Individual Measure List'!$I21="yes", J20/J$3, 0))</f>
        <v>0</v>
      </c>
      <c r="L20" s="788">
        <f>'EEM Data Entry'!L98*'Savings Summary'!$L$3</f>
        <v>0</v>
      </c>
      <c r="M20" s="767">
        <f>IF($L$3=0,0,IF('Individual Measure List'!$I21="yes", L20/L$3, 0))</f>
        <v>0</v>
      </c>
      <c r="N20" s="789">
        <f>'EEM Data Entry'!M98*'Savings Summary'!$N$3</f>
        <v>0</v>
      </c>
      <c r="O20" s="767">
        <f>IF($N$3=0,0,IF('Individual Measure List'!$I21="yes", N20/N$3, 0))</f>
        <v>0</v>
      </c>
      <c r="P20" s="789">
        <f>'EEM Data Entry'!N98*'Savings Summary'!$P$3</f>
        <v>0</v>
      </c>
      <c r="Q20" s="767">
        <f>IF($P$3=0,0,IF('Individual Measure List'!$I21="yes", P20/P$3, 0))</f>
        <v>0</v>
      </c>
      <c r="R20" s="766">
        <f>'EEM Data Entry'!O98*'Savings Summary'!$R$3</f>
        <v>0</v>
      </c>
      <c r="S20" s="767">
        <f>IF($R$3=0,0,IF('Individual Measure List'!$I21="yes", R20/R$3, 0))</f>
        <v>0</v>
      </c>
      <c r="T20" s="766">
        <f t="shared" si="0"/>
        <v>0</v>
      </c>
      <c r="U20" s="767">
        <f t="shared" si="1"/>
        <v>0</v>
      </c>
      <c r="V20" s="623" t="e">
        <f>'Individual Measure List'!I21</f>
        <v>#VALUE!</v>
      </c>
    </row>
    <row r="21" spans="1:27" x14ac:dyDescent="0.3">
      <c r="A21" s="756"/>
      <c r="B21" s="786" t="str">
        <f>'EEM Data Entry'!A99</f>
        <v/>
      </c>
      <c r="C21" s="787" t="str">
        <f>'EEM Data Entry'!B99</f>
        <v/>
      </c>
      <c r="D21" s="766">
        <f>'EEM Data Entry'!H99*'Savings Summary'!$D$3</f>
        <v>0</v>
      </c>
      <c r="E21" s="767">
        <f>IF($D$3=0,0,IF('Individual Measure List'!$I22="yes", D21/D$3, 0))</f>
        <v>0</v>
      </c>
      <c r="F21" s="766">
        <f>'EEM Data Entry'!I99*'Savings Summary'!$F$3</f>
        <v>0</v>
      </c>
      <c r="G21" s="767">
        <f>IF($F$3=0,0,IF('Individual Measure List'!$I22="yes", F21/F$3, 0))</f>
        <v>0</v>
      </c>
      <c r="H21" s="766">
        <f>'EEM Data Entry'!J99*'Savings Summary'!$H$3</f>
        <v>0</v>
      </c>
      <c r="I21" s="767">
        <f>IF($H$3=0,0,IF('Individual Measure List'!$I22="yes", H21/H$3, 0))</f>
        <v>0</v>
      </c>
      <c r="J21" s="766">
        <f>'EEM Data Entry'!K99*'Savings Summary'!$J$3</f>
        <v>0</v>
      </c>
      <c r="K21" s="767">
        <f>IF($J$3=0,0,IF('Individual Measure List'!$I22="yes", J21/J$3, 0))</f>
        <v>0</v>
      </c>
      <c r="L21" s="788">
        <f>'EEM Data Entry'!L99*'Savings Summary'!$L$3</f>
        <v>0</v>
      </c>
      <c r="M21" s="767">
        <f>IF($L$3=0,0,IF('Individual Measure List'!$I22="yes", L21/L$3, 0))</f>
        <v>0</v>
      </c>
      <c r="N21" s="789">
        <f>'EEM Data Entry'!M99*'Savings Summary'!$N$3</f>
        <v>0</v>
      </c>
      <c r="O21" s="767">
        <f>IF($N$3=0,0,IF('Individual Measure List'!$I22="yes", N21/N$3, 0))</f>
        <v>0</v>
      </c>
      <c r="P21" s="789">
        <f>'EEM Data Entry'!N99*'Savings Summary'!$P$3</f>
        <v>0</v>
      </c>
      <c r="Q21" s="767">
        <f>IF($P$3=0,0,IF('Individual Measure List'!$I22="yes", P21/P$3, 0))</f>
        <v>0</v>
      </c>
      <c r="R21" s="766">
        <f>'EEM Data Entry'!O99*'Savings Summary'!$R$3</f>
        <v>0</v>
      </c>
      <c r="S21" s="767">
        <f>IF($R$3=0,0,IF('Individual Measure List'!$I22="yes", R21/R$3, 0))</f>
        <v>0</v>
      </c>
      <c r="T21" s="766">
        <f t="shared" si="0"/>
        <v>0</v>
      </c>
      <c r="U21" s="767">
        <f t="shared" si="1"/>
        <v>0</v>
      </c>
      <c r="V21" s="623" t="e">
        <f>'Individual Measure List'!I22</f>
        <v>#VALUE!</v>
      </c>
    </row>
    <row r="22" spans="1:27" x14ac:dyDescent="0.3">
      <c r="A22" s="756"/>
      <c r="B22" s="786" t="str">
        <f>'EEM Data Entry'!A100</f>
        <v/>
      </c>
      <c r="C22" s="787" t="str">
        <f>'EEM Data Entry'!B100</f>
        <v/>
      </c>
      <c r="D22" s="766">
        <f>'EEM Data Entry'!H100*'Savings Summary'!$D$3</f>
        <v>0</v>
      </c>
      <c r="E22" s="767">
        <f>IF($D$3=0,0,IF('Individual Measure List'!$I23="yes", D22/D$3, 0))</f>
        <v>0</v>
      </c>
      <c r="F22" s="766">
        <f>'EEM Data Entry'!I100*'Savings Summary'!$F$3</f>
        <v>0</v>
      </c>
      <c r="G22" s="767">
        <f>IF($F$3=0,0,IF('Individual Measure List'!$I23="yes", F22/F$3, 0))</f>
        <v>0</v>
      </c>
      <c r="H22" s="766">
        <f>'EEM Data Entry'!J100*'Savings Summary'!$H$3</f>
        <v>0</v>
      </c>
      <c r="I22" s="767">
        <f>IF($H$3=0,0,IF('Individual Measure List'!$I23="yes", H22/H$3, 0))</f>
        <v>0</v>
      </c>
      <c r="J22" s="766">
        <f>'EEM Data Entry'!K100*'Savings Summary'!$J$3</f>
        <v>0</v>
      </c>
      <c r="K22" s="767">
        <f>IF($J$3=0,0,IF('Individual Measure List'!$I23="yes", J22/J$3, 0))</f>
        <v>0</v>
      </c>
      <c r="L22" s="788">
        <f>'EEM Data Entry'!L100*'Savings Summary'!$L$3</f>
        <v>0</v>
      </c>
      <c r="M22" s="767">
        <f>IF($L$3=0,0,IF('Individual Measure List'!$I23="yes", L22/L$3, 0))</f>
        <v>0</v>
      </c>
      <c r="N22" s="789">
        <f>'EEM Data Entry'!M100*'Savings Summary'!$N$3</f>
        <v>0</v>
      </c>
      <c r="O22" s="767">
        <f>IF($N$3=0,0,IF('Individual Measure List'!$I23="yes", N22/N$3, 0))</f>
        <v>0</v>
      </c>
      <c r="P22" s="789">
        <f>'EEM Data Entry'!N100*'Savings Summary'!$P$3</f>
        <v>0</v>
      </c>
      <c r="Q22" s="767">
        <f>IF($P$3=0,0,IF('Individual Measure List'!$I23="yes", P22/P$3, 0))</f>
        <v>0</v>
      </c>
      <c r="R22" s="766">
        <f>'EEM Data Entry'!O100*'Savings Summary'!$R$3</f>
        <v>0</v>
      </c>
      <c r="S22" s="767">
        <f>IF($R$3=0,0,IF('Individual Measure List'!$I23="yes", R22/R$3, 0))</f>
        <v>0</v>
      </c>
      <c r="T22" s="766">
        <f t="shared" si="0"/>
        <v>0</v>
      </c>
      <c r="U22" s="767">
        <f t="shared" si="1"/>
        <v>0</v>
      </c>
      <c r="V22" s="623" t="e">
        <f>'Individual Measure List'!I23</f>
        <v>#VALUE!</v>
      </c>
    </row>
    <row r="23" spans="1:27" x14ac:dyDescent="0.3">
      <c r="A23" s="756"/>
      <c r="B23" s="786" t="str">
        <f>'EEM Data Entry'!A101</f>
        <v/>
      </c>
      <c r="C23" s="787" t="str">
        <f>'EEM Data Entry'!B101</f>
        <v/>
      </c>
      <c r="D23" s="766">
        <f>'EEM Data Entry'!H101*'Savings Summary'!$D$3</f>
        <v>0</v>
      </c>
      <c r="E23" s="767">
        <f>IF($D$3=0,0,IF('Individual Measure List'!$I24="yes", D23/D$3, 0))</f>
        <v>0</v>
      </c>
      <c r="F23" s="766">
        <f>'EEM Data Entry'!I101*'Savings Summary'!$F$3</f>
        <v>0</v>
      </c>
      <c r="G23" s="767">
        <f>IF($F$3=0,0,IF('Individual Measure List'!$I24="yes", F23/F$3, 0))</f>
        <v>0</v>
      </c>
      <c r="H23" s="766">
        <f>'EEM Data Entry'!J101*'Savings Summary'!$H$3</f>
        <v>0</v>
      </c>
      <c r="I23" s="767">
        <f>IF($H$3=0,0,IF('Individual Measure List'!$I24="yes", H23/H$3, 0))</f>
        <v>0</v>
      </c>
      <c r="J23" s="766">
        <f>'EEM Data Entry'!K101*'Savings Summary'!$J$3</f>
        <v>0</v>
      </c>
      <c r="K23" s="767">
        <f>IF($J$3=0,0,IF('Individual Measure List'!$I24="yes", J23/J$3, 0))</f>
        <v>0</v>
      </c>
      <c r="L23" s="788">
        <f>'EEM Data Entry'!L101*'Savings Summary'!$L$3</f>
        <v>0</v>
      </c>
      <c r="M23" s="767">
        <f>IF($L$3=0,0,IF('Individual Measure List'!$I24="yes", L23/L$3, 0))</f>
        <v>0</v>
      </c>
      <c r="N23" s="789">
        <f>'EEM Data Entry'!M101*'Savings Summary'!$N$3</f>
        <v>0</v>
      </c>
      <c r="O23" s="767">
        <f>IF($N$3=0,0,IF('Individual Measure List'!$I24="yes", N23/N$3, 0))</f>
        <v>0</v>
      </c>
      <c r="P23" s="789">
        <f>'EEM Data Entry'!N101*'Savings Summary'!$P$3</f>
        <v>0</v>
      </c>
      <c r="Q23" s="767">
        <f>IF($P$3=0,0,IF('Individual Measure List'!$I24="yes", P23/P$3, 0))</f>
        <v>0</v>
      </c>
      <c r="R23" s="766">
        <f>'EEM Data Entry'!O101*'Savings Summary'!$R$3</f>
        <v>0</v>
      </c>
      <c r="S23" s="767">
        <f>IF($R$3=0,0,IF('Individual Measure List'!$I24="yes", R23/R$3, 0))</f>
        <v>0</v>
      </c>
      <c r="T23" s="766">
        <f t="shared" si="0"/>
        <v>0</v>
      </c>
      <c r="U23" s="767">
        <f t="shared" si="1"/>
        <v>0</v>
      </c>
      <c r="V23" s="623" t="e">
        <f>'Individual Measure List'!I24</f>
        <v>#VALUE!</v>
      </c>
    </row>
    <row r="24" spans="1:27" x14ac:dyDescent="0.3">
      <c r="A24" s="756"/>
      <c r="B24" s="786" t="str">
        <f>'EEM Data Entry'!A102</f>
        <v/>
      </c>
      <c r="C24" s="787" t="str">
        <f>'EEM Data Entry'!B102</f>
        <v/>
      </c>
      <c r="D24" s="766">
        <f>'EEM Data Entry'!H102*'Savings Summary'!$D$3</f>
        <v>0</v>
      </c>
      <c r="E24" s="767">
        <f>IF($D$3=0,0,IF('Individual Measure List'!$I25="yes", D24/D$3, 0))</f>
        <v>0</v>
      </c>
      <c r="F24" s="766">
        <f>'EEM Data Entry'!I102*'Savings Summary'!$F$3</f>
        <v>0</v>
      </c>
      <c r="G24" s="767">
        <f>IF($F$3=0,0,IF('Individual Measure List'!$I25="yes", F24/F$3, 0))</f>
        <v>0</v>
      </c>
      <c r="H24" s="766">
        <f>'EEM Data Entry'!J102*'Savings Summary'!$H$3</f>
        <v>0</v>
      </c>
      <c r="I24" s="767">
        <f>IF($H$3=0,0,IF('Individual Measure List'!$I25="yes", H24/H$3, 0))</f>
        <v>0</v>
      </c>
      <c r="J24" s="766">
        <f>'EEM Data Entry'!K102*'Savings Summary'!$J$3</f>
        <v>0</v>
      </c>
      <c r="K24" s="767">
        <f>IF($J$3=0,0,IF('Individual Measure List'!$I25="yes", J24/J$3, 0))</f>
        <v>0</v>
      </c>
      <c r="L24" s="788">
        <f>'EEM Data Entry'!L102*'Savings Summary'!$L$3</f>
        <v>0</v>
      </c>
      <c r="M24" s="767">
        <f>IF($L$3=0,0,IF('Individual Measure List'!$I25="yes", L24/L$3, 0))</f>
        <v>0</v>
      </c>
      <c r="N24" s="789">
        <f>'EEM Data Entry'!M102*'Savings Summary'!$N$3</f>
        <v>0</v>
      </c>
      <c r="O24" s="767">
        <f>IF($N$3=0,0,IF('Individual Measure List'!$I25="yes", N24/N$3, 0))</f>
        <v>0</v>
      </c>
      <c r="P24" s="789">
        <f>'EEM Data Entry'!N102*'Savings Summary'!$P$3</f>
        <v>0</v>
      </c>
      <c r="Q24" s="767">
        <f>IF($P$3=0,0,IF('Individual Measure List'!$I25="yes", P24/P$3, 0))</f>
        <v>0</v>
      </c>
      <c r="R24" s="766">
        <f>'EEM Data Entry'!O102*'Savings Summary'!$R$3</f>
        <v>0</v>
      </c>
      <c r="S24" s="767">
        <f>IF($R$3=0,0,IF('Individual Measure List'!$I25="yes", R24/R$3, 0))</f>
        <v>0</v>
      </c>
      <c r="T24" s="766">
        <f t="shared" si="0"/>
        <v>0</v>
      </c>
      <c r="U24" s="767">
        <f t="shared" si="1"/>
        <v>0</v>
      </c>
      <c r="V24" s="623" t="e">
        <f>'Individual Measure List'!I25</f>
        <v>#VALUE!</v>
      </c>
    </row>
    <row r="25" spans="1:27" x14ac:dyDescent="0.3">
      <c r="A25" s="756"/>
      <c r="B25" s="786" t="str">
        <f>'EEM Data Entry'!A103</f>
        <v/>
      </c>
      <c r="C25" s="787" t="str">
        <f>'EEM Data Entry'!B103</f>
        <v/>
      </c>
      <c r="D25" s="766">
        <f>'EEM Data Entry'!H103*'Savings Summary'!$D$3</f>
        <v>0</v>
      </c>
      <c r="E25" s="767">
        <f>IF($D$3=0,0,IF('Individual Measure List'!$I26="yes", D25/D$3, 0))</f>
        <v>0</v>
      </c>
      <c r="F25" s="766">
        <f>'EEM Data Entry'!I103*'Savings Summary'!$F$3</f>
        <v>0</v>
      </c>
      <c r="G25" s="767">
        <f>IF($F$3=0,0,IF('Individual Measure List'!$I26="yes", F25/F$3, 0))</f>
        <v>0</v>
      </c>
      <c r="H25" s="766">
        <f>'EEM Data Entry'!J103*'Savings Summary'!$H$3</f>
        <v>0</v>
      </c>
      <c r="I25" s="767">
        <f>IF($H$3=0,0,IF('Individual Measure List'!$I26="yes", H25/H$3, 0))</f>
        <v>0</v>
      </c>
      <c r="J25" s="766">
        <f>'EEM Data Entry'!K103*'Savings Summary'!$J$3</f>
        <v>0</v>
      </c>
      <c r="K25" s="767">
        <f>IF($J$3=0,0,IF('Individual Measure List'!$I26="yes", J25/J$3, 0))</f>
        <v>0</v>
      </c>
      <c r="L25" s="788">
        <f>'EEM Data Entry'!L103*'Savings Summary'!$L$3</f>
        <v>0</v>
      </c>
      <c r="M25" s="767">
        <f>IF($L$3=0,0,IF('Individual Measure List'!$I26="yes", L25/L$3, 0))</f>
        <v>0</v>
      </c>
      <c r="N25" s="789">
        <f>'EEM Data Entry'!M103*'Savings Summary'!$N$3</f>
        <v>0</v>
      </c>
      <c r="O25" s="767">
        <f>IF($N$3=0,0,IF('Individual Measure List'!$I26="yes", N25/N$3, 0))</f>
        <v>0</v>
      </c>
      <c r="P25" s="789">
        <f>'EEM Data Entry'!N103*'Savings Summary'!$P$3</f>
        <v>0</v>
      </c>
      <c r="Q25" s="767">
        <f>IF($P$3=0,0,IF('Individual Measure List'!$I26="yes", P25/P$3, 0))</f>
        <v>0</v>
      </c>
      <c r="R25" s="766">
        <f>'EEM Data Entry'!O103*'Savings Summary'!$R$3</f>
        <v>0</v>
      </c>
      <c r="S25" s="767">
        <f>IF($R$3=0,0,IF('Individual Measure List'!$I26="yes", R25/R$3, 0))</f>
        <v>0</v>
      </c>
      <c r="T25" s="766">
        <f t="shared" si="0"/>
        <v>0</v>
      </c>
      <c r="U25" s="767">
        <f t="shared" si="1"/>
        <v>0</v>
      </c>
      <c r="V25" s="623" t="e">
        <f>'Individual Measure List'!I26</f>
        <v>#VALUE!</v>
      </c>
    </row>
    <row r="26" spans="1:27" x14ac:dyDescent="0.3">
      <c r="A26" s="756"/>
      <c r="B26" s="786" t="str">
        <f>'EEM Data Entry'!A104</f>
        <v/>
      </c>
      <c r="C26" s="787" t="str">
        <f>'EEM Data Entry'!B104</f>
        <v/>
      </c>
      <c r="D26" s="766">
        <f>'EEM Data Entry'!H104*'Savings Summary'!$D$3</f>
        <v>0</v>
      </c>
      <c r="E26" s="767">
        <f>IF($D$3=0,0,IF('Individual Measure List'!$I27="yes", D26/D$3, 0))</f>
        <v>0</v>
      </c>
      <c r="F26" s="766">
        <f>'EEM Data Entry'!I104*'Savings Summary'!$F$3</f>
        <v>0</v>
      </c>
      <c r="G26" s="767">
        <f>IF($F$3=0,0,IF('Individual Measure List'!$I27="yes", F26/F$3, 0))</f>
        <v>0</v>
      </c>
      <c r="H26" s="766">
        <f>'EEM Data Entry'!J104*'Savings Summary'!$H$3</f>
        <v>0</v>
      </c>
      <c r="I26" s="767">
        <f>IF($H$3=0,0,IF('Individual Measure List'!$I27="yes", H26/H$3, 0))</f>
        <v>0</v>
      </c>
      <c r="J26" s="766">
        <f>'EEM Data Entry'!K104*'Savings Summary'!$J$3</f>
        <v>0</v>
      </c>
      <c r="K26" s="767">
        <f>IF($J$3=0,0,IF('Individual Measure List'!$I27="yes", J26/J$3, 0))</f>
        <v>0</v>
      </c>
      <c r="L26" s="788">
        <f>'EEM Data Entry'!L104*'Savings Summary'!$L$3</f>
        <v>0</v>
      </c>
      <c r="M26" s="767">
        <f>IF($L$3=0,0,IF('Individual Measure List'!$I27="yes", L26/L$3, 0))</f>
        <v>0</v>
      </c>
      <c r="N26" s="789">
        <f>'EEM Data Entry'!M104*'Savings Summary'!$N$3</f>
        <v>0</v>
      </c>
      <c r="O26" s="767">
        <f>IF($N$3=0,0,IF('Individual Measure List'!$I27="yes", N26/N$3, 0))</f>
        <v>0</v>
      </c>
      <c r="P26" s="789">
        <f>'EEM Data Entry'!N104*'Savings Summary'!$P$3</f>
        <v>0</v>
      </c>
      <c r="Q26" s="767">
        <f>IF($P$3=0,0,IF('Individual Measure List'!$I27="yes", P26/P$3, 0))</f>
        <v>0</v>
      </c>
      <c r="R26" s="766">
        <f>'EEM Data Entry'!O104*'Savings Summary'!$R$3</f>
        <v>0</v>
      </c>
      <c r="S26" s="767">
        <f>IF($R$3=0,0,IF('Individual Measure List'!$I27="yes", R26/R$3, 0))</f>
        <v>0</v>
      </c>
      <c r="T26" s="766">
        <f t="shared" si="0"/>
        <v>0</v>
      </c>
      <c r="U26" s="767">
        <f t="shared" si="1"/>
        <v>0</v>
      </c>
      <c r="V26" s="623" t="e">
        <f>'Individual Measure List'!I27</f>
        <v>#VALUE!</v>
      </c>
    </row>
    <row r="27" spans="1:27" x14ac:dyDescent="0.3">
      <c r="A27" s="756"/>
      <c r="B27" s="786" t="str">
        <f>'EEM Data Entry'!A105</f>
        <v/>
      </c>
      <c r="C27" s="787" t="str">
        <f>'EEM Data Entry'!B105</f>
        <v/>
      </c>
      <c r="D27" s="766">
        <f>'EEM Data Entry'!H105*'Savings Summary'!$D$3</f>
        <v>0</v>
      </c>
      <c r="E27" s="767">
        <f>IF($D$3=0,0,IF('Individual Measure List'!$I28="yes", D27/D$3, 0))</f>
        <v>0</v>
      </c>
      <c r="F27" s="766">
        <f>'EEM Data Entry'!I105*'Savings Summary'!$F$3</f>
        <v>0</v>
      </c>
      <c r="G27" s="767">
        <f>IF($F$3=0,0,IF('Individual Measure List'!$I28="yes", F27/F$3, 0))</f>
        <v>0</v>
      </c>
      <c r="H27" s="766">
        <f>'EEM Data Entry'!J105*'Savings Summary'!$H$3</f>
        <v>0</v>
      </c>
      <c r="I27" s="767">
        <f>IF($H$3=0,0,IF('Individual Measure List'!$I28="yes", H27/H$3, 0))</f>
        <v>0</v>
      </c>
      <c r="J27" s="766">
        <f>'EEM Data Entry'!K105*'Savings Summary'!$J$3</f>
        <v>0</v>
      </c>
      <c r="K27" s="767">
        <f>IF($J$3=0,0,IF('Individual Measure List'!$I28="yes", J27/J$3, 0))</f>
        <v>0</v>
      </c>
      <c r="L27" s="788">
        <f>'EEM Data Entry'!L105*'Savings Summary'!$L$3</f>
        <v>0</v>
      </c>
      <c r="M27" s="767">
        <f>IF($L$3=0,0,IF('Individual Measure List'!$I28="yes", L27/L$3, 0))</f>
        <v>0</v>
      </c>
      <c r="N27" s="789">
        <f>'EEM Data Entry'!M105*'Savings Summary'!$N$3</f>
        <v>0</v>
      </c>
      <c r="O27" s="767">
        <f>IF($N$3=0,0,IF('Individual Measure List'!$I28="yes", N27/N$3, 0))</f>
        <v>0</v>
      </c>
      <c r="P27" s="789">
        <f>'EEM Data Entry'!N105*'Savings Summary'!$P$3</f>
        <v>0</v>
      </c>
      <c r="Q27" s="767">
        <f>IF($P$3=0,0,IF('Individual Measure List'!$I28="yes", P27/P$3, 0))</f>
        <v>0</v>
      </c>
      <c r="R27" s="766">
        <f>'EEM Data Entry'!O105*'Savings Summary'!$R$3</f>
        <v>0</v>
      </c>
      <c r="S27" s="767">
        <f>IF($R$3=0,0,IF('Individual Measure List'!$I28="yes", R27/R$3, 0))</f>
        <v>0</v>
      </c>
      <c r="T27" s="766">
        <f t="shared" si="0"/>
        <v>0</v>
      </c>
      <c r="U27" s="767">
        <f t="shared" si="1"/>
        <v>0</v>
      </c>
      <c r="V27" s="623" t="e">
        <f>'Individual Measure List'!I28</f>
        <v>#VALUE!</v>
      </c>
    </row>
    <row r="28" spans="1:27" x14ac:dyDescent="0.3">
      <c r="A28" s="756"/>
      <c r="B28" s="786" t="str">
        <f>'EEM Data Entry'!A106</f>
        <v/>
      </c>
      <c r="C28" s="787" t="str">
        <f>'EEM Data Entry'!B106</f>
        <v/>
      </c>
      <c r="D28" s="766">
        <f>'EEM Data Entry'!H106*'Savings Summary'!$D$3</f>
        <v>0</v>
      </c>
      <c r="E28" s="767">
        <f>IF($D$3=0,0,IF('Individual Measure List'!$I29="yes", D28/D$3, 0))</f>
        <v>0</v>
      </c>
      <c r="F28" s="766">
        <f>'EEM Data Entry'!I106*'Savings Summary'!$F$3</f>
        <v>0</v>
      </c>
      <c r="G28" s="767">
        <f>IF($F$3=0,0,IF('Individual Measure List'!$I29="yes", F28/F$3, 0))</f>
        <v>0</v>
      </c>
      <c r="H28" s="766">
        <f>'EEM Data Entry'!J106*'Savings Summary'!$H$3</f>
        <v>0</v>
      </c>
      <c r="I28" s="767">
        <f>IF($H$3=0,0,IF('Individual Measure List'!$I29="yes", H28/H$3, 0))</f>
        <v>0</v>
      </c>
      <c r="J28" s="766">
        <f>'EEM Data Entry'!K106*'Savings Summary'!$J$3</f>
        <v>0</v>
      </c>
      <c r="K28" s="767">
        <f>IF($J$3=0,0,IF('Individual Measure List'!$I29="yes", J28/J$3, 0))</f>
        <v>0</v>
      </c>
      <c r="L28" s="788">
        <f>'EEM Data Entry'!L106*'Savings Summary'!$L$3</f>
        <v>0</v>
      </c>
      <c r="M28" s="767">
        <f>IF($L$3=0,0,IF('Individual Measure List'!$I29="yes", L28/L$3, 0))</f>
        <v>0</v>
      </c>
      <c r="N28" s="789">
        <f>'EEM Data Entry'!M106*'Savings Summary'!$N$3</f>
        <v>0</v>
      </c>
      <c r="O28" s="767">
        <f>IF($N$3=0,0,IF('Individual Measure List'!$I29="yes", N28/N$3, 0))</f>
        <v>0</v>
      </c>
      <c r="P28" s="789">
        <f>'EEM Data Entry'!N106*'Savings Summary'!$P$3</f>
        <v>0</v>
      </c>
      <c r="Q28" s="767">
        <f>IF($P$3=0,0,IF('Individual Measure List'!$I29="yes", P28/P$3, 0))</f>
        <v>0</v>
      </c>
      <c r="R28" s="766">
        <f>'EEM Data Entry'!O106*'Savings Summary'!$R$3</f>
        <v>0</v>
      </c>
      <c r="S28" s="767">
        <f>IF($R$3=0,0,IF('Individual Measure List'!$I29="yes", R28/R$3, 0))</f>
        <v>0</v>
      </c>
      <c r="T28" s="766">
        <f t="shared" si="0"/>
        <v>0</v>
      </c>
      <c r="U28" s="767">
        <f t="shared" si="1"/>
        <v>0</v>
      </c>
      <c r="V28" s="623" t="e">
        <f>'Individual Measure List'!I29</f>
        <v>#VALUE!</v>
      </c>
    </row>
    <row r="29" spans="1:27" x14ac:dyDescent="0.3">
      <c r="A29" s="756"/>
      <c r="B29" s="786" t="str">
        <f>'EEM Data Entry'!A107</f>
        <v/>
      </c>
      <c r="C29" s="787" t="str">
        <f>'EEM Data Entry'!B107</f>
        <v/>
      </c>
      <c r="D29" s="766">
        <f>'EEM Data Entry'!H107*'Savings Summary'!$D$3</f>
        <v>0</v>
      </c>
      <c r="E29" s="767">
        <f>IF($D$3=0,0,IF('Individual Measure List'!$I30="yes", D29/D$3, 0))</f>
        <v>0</v>
      </c>
      <c r="F29" s="766">
        <f>'EEM Data Entry'!I107*'Savings Summary'!$F$3</f>
        <v>0</v>
      </c>
      <c r="G29" s="767">
        <f>IF($F$3=0,0,IF('Individual Measure List'!$I30="yes", F29/F$3, 0))</f>
        <v>0</v>
      </c>
      <c r="H29" s="766">
        <f>'EEM Data Entry'!J107*'Savings Summary'!$H$3</f>
        <v>0</v>
      </c>
      <c r="I29" s="767">
        <f>IF($H$3=0,0,IF('Individual Measure List'!$I30="yes", H29/H$3, 0))</f>
        <v>0</v>
      </c>
      <c r="J29" s="766">
        <f>'EEM Data Entry'!K107*'Savings Summary'!$J$3</f>
        <v>0</v>
      </c>
      <c r="K29" s="767">
        <f>IF($J$3=0,0,IF('Individual Measure List'!$I30="yes", J29/J$3, 0))</f>
        <v>0</v>
      </c>
      <c r="L29" s="788">
        <f>'EEM Data Entry'!L107*'Savings Summary'!$L$3</f>
        <v>0</v>
      </c>
      <c r="M29" s="767">
        <f>IF($L$3=0,0,IF('Individual Measure List'!$I30="yes", L29/L$3, 0))</f>
        <v>0</v>
      </c>
      <c r="N29" s="789">
        <f>'EEM Data Entry'!M107*'Savings Summary'!$N$3</f>
        <v>0</v>
      </c>
      <c r="O29" s="767">
        <f>IF($N$3=0,0,IF('Individual Measure List'!$I30="yes", N29/N$3, 0))</f>
        <v>0</v>
      </c>
      <c r="P29" s="789">
        <f>'EEM Data Entry'!N107*'Savings Summary'!$P$3</f>
        <v>0</v>
      </c>
      <c r="Q29" s="767">
        <f>IF($P$3=0,0,IF('Individual Measure List'!$I30="yes", P29/P$3, 0))</f>
        <v>0</v>
      </c>
      <c r="R29" s="766">
        <f>'EEM Data Entry'!O107*'Savings Summary'!$R$3</f>
        <v>0</v>
      </c>
      <c r="S29" s="767">
        <f>IF($R$3=0,0,IF('Individual Measure List'!$I30="yes", R29/R$3, 0))</f>
        <v>0</v>
      </c>
      <c r="T29" s="766">
        <f t="shared" si="0"/>
        <v>0</v>
      </c>
      <c r="U29" s="767">
        <f t="shared" si="1"/>
        <v>0</v>
      </c>
      <c r="V29" s="623" t="e">
        <f>'Individual Measure List'!I30</f>
        <v>#VALUE!</v>
      </c>
    </row>
    <row r="30" spans="1:27" x14ac:dyDescent="0.3">
      <c r="A30" s="756"/>
      <c r="B30" s="786" t="str">
        <f>'EEM Data Entry'!A108</f>
        <v/>
      </c>
      <c r="C30" s="787" t="str">
        <f>'EEM Data Entry'!B108</f>
        <v/>
      </c>
      <c r="D30" s="766">
        <f>'EEM Data Entry'!H108*'Savings Summary'!$D$3</f>
        <v>0</v>
      </c>
      <c r="E30" s="767">
        <f>IF($D$3=0,0,IF('Individual Measure List'!$I31="yes", D30/D$3, 0))</f>
        <v>0</v>
      </c>
      <c r="F30" s="766">
        <f>'EEM Data Entry'!I108*'Savings Summary'!$F$3</f>
        <v>0</v>
      </c>
      <c r="G30" s="767">
        <f>IF($F$3=0,0,IF('Individual Measure List'!$I31="yes", F30/F$3, 0))</f>
        <v>0</v>
      </c>
      <c r="H30" s="766">
        <f>'EEM Data Entry'!J108*'Savings Summary'!$H$3</f>
        <v>0</v>
      </c>
      <c r="I30" s="767">
        <f>IF($H$3=0,0,IF('Individual Measure List'!$I31="yes", H30/H$3, 0))</f>
        <v>0</v>
      </c>
      <c r="J30" s="766">
        <f>'EEM Data Entry'!K108*'Savings Summary'!$J$3</f>
        <v>0</v>
      </c>
      <c r="K30" s="767">
        <f>IF($J$3=0,0,IF('Individual Measure List'!$I31="yes", J30/J$3, 0))</f>
        <v>0</v>
      </c>
      <c r="L30" s="788">
        <f>'EEM Data Entry'!L108*'Savings Summary'!$L$3</f>
        <v>0</v>
      </c>
      <c r="M30" s="767">
        <f>IF($L$3=0,0,IF('Individual Measure List'!$I31="yes", L30/L$3, 0))</f>
        <v>0</v>
      </c>
      <c r="N30" s="789">
        <f>'EEM Data Entry'!M108*'Savings Summary'!$N$3</f>
        <v>0</v>
      </c>
      <c r="O30" s="767">
        <f>IF($N$3=0,0,IF('Individual Measure List'!$I31="yes", N30/N$3, 0))</f>
        <v>0</v>
      </c>
      <c r="P30" s="789">
        <f>'EEM Data Entry'!N108*'Savings Summary'!$P$3</f>
        <v>0</v>
      </c>
      <c r="Q30" s="767">
        <f>IF($P$3=0,0,IF('Individual Measure List'!$I31="yes", P30/P$3, 0))</f>
        <v>0</v>
      </c>
      <c r="R30" s="766">
        <f>'EEM Data Entry'!O108*'Savings Summary'!$R$3</f>
        <v>0</v>
      </c>
      <c r="S30" s="767">
        <f>IF($R$3=0,0,IF('Individual Measure List'!$I31="yes", R30/R$3, 0))</f>
        <v>0</v>
      </c>
      <c r="T30" s="766">
        <f t="shared" si="0"/>
        <v>0</v>
      </c>
      <c r="U30" s="767">
        <f t="shared" si="1"/>
        <v>0</v>
      </c>
      <c r="V30" s="623" t="e">
        <f>'Individual Measure List'!I31</f>
        <v>#VALUE!</v>
      </c>
    </row>
    <row r="31" spans="1:27" ht="13.5" thickBot="1" x14ac:dyDescent="0.35">
      <c r="A31" s="633"/>
      <c r="B31" s="633"/>
      <c r="C31" s="757"/>
      <c r="D31" s="758"/>
      <c r="E31" s="780"/>
      <c r="F31" s="758"/>
      <c r="G31" s="759"/>
      <c r="H31" s="758"/>
      <c r="I31" s="759"/>
      <c r="J31" s="758"/>
      <c r="K31" s="759"/>
      <c r="L31" s="758"/>
      <c r="M31" s="759"/>
      <c r="N31" s="758"/>
      <c r="O31" s="759"/>
      <c r="P31" s="758"/>
      <c r="Q31" s="759"/>
      <c r="R31" s="758"/>
      <c r="S31" s="759"/>
      <c r="T31" s="758"/>
      <c r="U31" s="760"/>
      <c r="V31" s="623"/>
      <c r="Z31" s="568">
        <f>D34*3.412</f>
        <v>0</v>
      </c>
      <c r="AA31" s="568">
        <f>F34*138</f>
        <v>0</v>
      </c>
    </row>
    <row r="32" spans="1:27" ht="13.5" thickBot="1" x14ac:dyDescent="0.35">
      <c r="A32" s="761"/>
      <c r="D32" s="762"/>
      <c r="E32" s="762"/>
      <c r="F32" s="762"/>
      <c r="G32" s="762"/>
      <c r="H32" s="762"/>
      <c r="I32" s="762"/>
      <c r="J32" s="762"/>
      <c r="K32" s="762"/>
      <c r="L32" s="762"/>
      <c r="M32" s="762"/>
      <c r="T32" s="623"/>
      <c r="V32" s="623"/>
      <c r="Z32" s="568">
        <f>D35*3.412</f>
        <v>0</v>
      </c>
      <c r="AA32" s="568">
        <f>F35*138</f>
        <v>0</v>
      </c>
    </row>
    <row r="33" spans="1:28" x14ac:dyDescent="0.3">
      <c r="A33" s="763"/>
      <c r="B33" s="777"/>
      <c r="C33" s="778" t="s">
        <v>164</v>
      </c>
      <c r="D33" s="779"/>
      <c r="E33" s="779"/>
      <c r="F33" s="779"/>
      <c r="G33" s="779"/>
      <c r="H33" s="779"/>
      <c r="I33" s="779"/>
      <c r="J33" s="779"/>
      <c r="K33" s="779"/>
      <c r="L33" s="779"/>
      <c r="M33" s="779"/>
      <c r="N33" s="779"/>
      <c r="O33" s="779"/>
      <c r="P33" s="779"/>
      <c r="Q33" s="779"/>
      <c r="R33" s="779"/>
      <c r="S33" s="779"/>
      <c r="T33" s="779"/>
      <c r="U33" s="779"/>
      <c r="V33" s="754" t="s">
        <v>134</v>
      </c>
    </row>
    <row r="34" spans="1:28" x14ac:dyDescent="0.3">
      <c r="A34" s="755"/>
      <c r="B34" s="786" t="str">
        <f>'EEM Data Entry'!A110</f>
        <v/>
      </c>
      <c r="C34" s="790" t="str">
        <f>'EEM Data Entry'!B110</f>
        <v/>
      </c>
      <c r="D34" s="766">
        <f>'EEM Data Entry'!H110*'Savings Summary'!$D$3</f>
        <v>0</v>
      </c>
      <c r="E34" s="767">
        <f>IF($D$3=0,0,IF('Individual Measure List'!I33="yes", D34/D$3, 0))</f>
        <v>0</v>
      </c>
      <c r="F34" s="766">
        <f>'EEM Data Entry'!I110*'Savings Summary'!$F$3</f>
        <v>0</v>
      </c>
      <c r="G34" s="791">
        <f>IF($F$3=0,0,IF('Individual Measure List'!$I33="yes", F34/F$3, 0))</f>
        <v>0</v>
      </c>
      <c r="H34" s="766">
        <f>'EEM Data Entry'!J110*'Savings Summary'!$H$3</f>
        <v>0</v>
      </c>
      <c r="I34" s="767">
        <f>IF($H$3=0,0,IF('Individual Measure List'!$I33="yes", H34/H$3, 0))</f>
        <v>0</v>
      </c>
      <c r="J34" s="766">
        <f>'EEM Data Entry'!K110*'Savings Summary'!$J$3</f>
        <v>0</v>
      </c>
      <c r="K34" s="767">
        <f>IF($J$3=0,0,IF('Individual Measure List'!I33="yes", J34/J$3, 0))</f>
        <v>0</v>
      </c>
      <c r="L34" s="766">
        <f>'EEM Data Entry'!L110*'Savings Summary'!$L$3</f>
        <v>0</v>
      </c>
      <c r="M34" s="767">
        <f>IF($L$3=0,0,IF('Individual Measure List'!$I33="yes", L34/L$3, 0))</f>
        <v>0</v>
      </c>
      <c r="N34" s="766">
        <f>'EEM Data Entry'!M110*'Savings Summary'!$N$3</f>
        <v>0</v>
      </c>
      <c r="O34" s="767">
        <f>IF($N$3=0,0,IF('Individual Measure List'!$I33="yes", N34/N$3, 0))</f>
        <v>0</v>
      </c>
      <c r="P34" s="766">
        <f>'EEM Data Entry'!N110*'Savings Summary'!$P$3</f>
        <v>0</v>
      </c>
      <c r="Q34" s="767">
        <f>IF($P$3=0,0,IF('Individual Measure List'!I33="yes", P34/P$3, 0))</f>
        <v>0</v>
      </c>
      <c r="R34" s="766">
        <f>'EEM Data Entry'!O110*'Savings Summary'!$R$3</f>
        <v>0</v>
      </c>
      <c r="S34" s="767">
        <f>IF($R$3=0,0,IF('Individual Measure List'!$I32="yes", R34/R$3, 0))</f>
        <v>0</v>
      </c>
      <c r="T34" s="766">
        <f>SUM((D34*$D$2),(F34*$F$2),(H34*$H$2),(J34*$J$2),(L34*$L$2),(N34*$N$2),(P34*$P$2),(R34*$R$2))</f>
        <v>0</v>
      </c>
      <c r="U34" s="767">
        <f>IF(T$3&gt;0, T34/T$3, 0)</f>
        <v>0</v>
      </c>
      <c r="V34" s="623" t="e">
        <f>'Individual Measure List'!I33</f>
        <v>#VALUE!</v>
      </c>
      <c r="X34" s="764"/>
    </row>
    <row r="35" spans="1:28" x14ac:dyDescent="0.3">
      <c r="A35" s="755"/>
      <c r="B35" s="786" t="str">
        <f>'EEM Data Entry'!A111</f>
        <v/>
      </c>
      <c r="C35" s="790" t="str">
        <f>'EEM Data Entry'!B111</f>
        <v/>
      </c>
      <c r="D35" s="766">
        <f>'EEM Data Entry'!H111*'Savings Summary'!$D$3</f>
        <v>0</v>
      </c>
      <c r="E35" s="767">
        <f>IF($D$3=0,0,IF('Individual Measure List'!I34="yes", D35/D$3, 0))</f>
        <v>0</v>
      </c>
      <c r="F35" s="766">
        <f>'EEM Data Entry'!I111*'Savings Summary'!$F$3</f>
        <v>0</v>
      </c>
      <c r="G35" s="791">
        <f>IF($F$3=0,0,IF('Individual Measure List'!$I34="yes", F35/F$3, 0))</f>
        <v>0</v>
      </c>
      <c r="H35" s="766">
        <f>'EEM Data Entry'!J111*'Savings Summary'!$H$3</f>
        <v>0</v>
      </c>
      <c r="I35" s="767">
        <f>IF($H$3=0,0,IF('Individual Measure List'!$I34="yes", H35/H$3, 0))</f>
        <v>0</v>
      </c>
      <c r="J35" s="766">
        <f>'EEM Data Entry'!K111*'Savings Summary'!$J$3</f>
        <v>0</v>
      </c>
      <c r="K35" s="767">
        <f>IF($J$3=0,0,IF('Individual Measure List'!I34="yes", J35/J$3, 0))</f>
        <v>0</v>
      </c>
      <c r="L35" s="766">
        <f>'EEM Data Entry'!L111*'Savings Summary'!$L$3</f>
        <v>0</v>
      </c>
      <c r="M35" s="767">
        <f>IF($L$3=0,0,IF('Individual Measure List'!$I34="yes", L35/L$3, 0))</f>
        <v>0</v>
      </c>
      <c r="N35" s="766">
        <f>'EEM Data Entry'!M111*'Savings Summary'!$N$3</f>
        <v>0</v>
      </c>
      <c r="O35" s="767">
        <f>IF($N$3=0,0,IF('Individual Measure List'!$I34="yes", N35/N$3, 0))</f>
        <v>0</v>
      </c>
      <c r="P35" s="766">
        <f>'EEM Data Entry'!N111*'Savings Summary'!$P$3</f>
        <v>0</v>
      </c>
      <c r="Q35" s="767">
        <f>IF($P$3=0,0,IF('Individual Measure List'!I34="yes", P35/P$3, 0))</f>
        <v>0</v>
      </c>
      <c r="R35" s="766">
        <f>'EEM Data Entry'!O111*'Savings Summary'!$R$3</f>
        <v>0</v>
      </c>
      <c r="S35" s="767">
        <f>IF($R$3=0,0,IF('Individual Measure List'!$I33="yes", R35/R$3, 0))</f>
        <v>0</v>
      </c>
      <c r="T35" s="766">
        <f t="shared" ref="T35:T47" si="2">SUM((D35*$D$2),(F35*$F$2),(H35*$H$2),(J35*$J$2),(L35*$L$2),(N35*$N$2),(P35*$P$2),(R35*$R$2))</f>
        <v>0</v>
      </c>
      <c r="U35" s="767">
        <f t="shared" ref="U35:U47" si="3">IF(T$3&gt;0, T35/T$3, 0)</f>
        <v>0</v>
      </c>
      <c r="V35" s="623" t="e">
        <f>'Individual Measure List'!I34</f>
        <v>#VALUE!</v>
      </c>
      <c r="Y35" s="568">
        <f>D34*D5</f>
        <v>0</v>
      </c>
      <c r="Z35" s="568">
        <f>F34*F5</f>
        <v>0</v>
      </c>
      <c r="AB35" s="765">
        <f>SUM(Y35:Z35)</f>
        <v>0</v>
      </c>
    </row>
    <row r="36" spans="1:28" x14ac:dyDescent="0.3">
      <c r="A36" s="755"/>
      <c r="B36" s="786" t="str">
        <f>'EEM Data Entry'!A113</f>
        <v/>
      </c>
      <c r="C36" s="790" t="str">
        <f>'EEM Data Entry'!B112</f>
        <v/>
      </c>
      <c r="D36" s="766">
        <f>'EEM Data Entry'!H112*'Savings Summary'!$D$3</f>
        <v>0</v>
      </c>
      <c r="E36" s="767">
        <f>IF($D$3=0,0,IF('Individual Measure List'!I35="yes", D36/D$3, 0))</f>
        <v>0</v>
      </c>
      <c r="F36" s="766">
        <f>'EEM Data Entry'!I112*'Savings Summary'!$F$3</f>
        <v>0</v>
      </c>
      <c r="G36" s="791">
        <f>IF($F$3=0,0,IF('Individual Measure List'!$I35="yes", F36/F$3, 0))</f>
        <v>0</v>
      </c>
      <c r="H36" s="766">
        <f>'EEM Data Entry'!J112*'Savings Summary'!$H$3</f>
        <v>0</v>
      </c>
      <c r="I36" s="767">
        <f>IF($H$3=0,0,IF('Individual Measure List'!$I35="yes", H36/H$3, 0))</f>
        <v>0</v>
      </c>
      <c r="J36" s="766">
        <f>'EEM Data Entry'!K112*'Savings Summary'!$J$3</f>
        <v>0</v>
      </c>
      <c r="K36" s="767">
        <f>IF($J$3=0,0,IF('Individual Measure List'!I35="yes", J36/J$3, 0))</f>
        <v>0</v>
      </c>
      <c r="L36" s="766">
        <f>'EEM Data Entry'!L112*'Savings Summary'!$L$3</f>
        <v>0</v>
      </c>
      <c r="M36" s="767">
        <f>IF($L$3=0,0,IF('Individual Measure List'!$I35="yes", L36/L$3, 0))</f>
        <v>0</v>
      </c>
      <c r="N36" s="766">
        <f>'EEM Data Entry'!M112*'Savings Summary'!$N$3</f>
        <v>0</v>
      </c>
      <c r="O36" s="767">
        <f>IF($N$3=0,0,IF('Individual Measure List'!$I35="yes", N36/N$3, 0))</f>
        <v>0</v>
      </c>
      <c r="P36" s="766">
        <f>'EEM Data Entry'!N112*'Savings Summary'!$P$3</f>
        <v>0</v>
      </c>
      <c r="Q36" s="767">
        <f>IF($P$3=0,0,IF('Individual Measure List'!I35="yes", P36/P$3, 0))</f>
        <v>0</v>
      </c>
      <c r="R36" s="766">
        <f>'EEM Data Entry'!O112*'Savings Summary'!$R$3</f>
        <v>0</v>
      </c>
      <c r="S36" s="767">
        <f>IF($R$3=0,0,IF('Individual Measure List'!$I34="yes", R36/R$3, 0))</f>
        <v>0</v>
      </c>
      <c r="T36" s="766">
        <f t="shared" si="2"/>
        <v>0</v>
      </c>
      <c r="U36" s="767">
        <f t="shared" si="3"/>
        <v>0</v>
      </c>
      <c r="V36" s="623" t="e">
        <f>'Individual Measure List'!I35</f>
        <v>#VALUE!</v>
      </c>
      <c r="Y36" s="568">
        <f>D35*D5</f>
        <v>0</v>
      </c>
      <c r="Z36" s="568">
        <f>F35*F5</f>
        <v>0</v>
      </c>
      <c r="AB36" s="765">
        <f>SUM(Y36:Z36)</f>
        <v>0</v>
      </c>
    </row>
    <row r="37" spans="1:28" x14ac:dyDescent="0.3">
      <c r="A37" s="755"/>
      <c r="B37" s="786" t="str">
        <f>'EEM Data Entry'!A115</f>
        <v/>
      </c>
      <c r="C37" s="790" t="str">
        <f>'EEM Data Entry'!B113</f>
        <v/>
      </c>
      <c r="D37" s="766">
        <f>'EEM Data Entry'!H113*'Savings Summary'!$D$3</f>
        <v>0</v>
      </c>
      <c r="E37" s="767">
        <f>IF($D$3=0,0,IF('Individual Measure List'!I36="yes", D37/D$3, 0))</f>
        <v>0</v>
      </c>
      <c r="F37" s="766">
        <f>'EEM Data Entry'!I113*'Savings Summary'!$F$3</f>
        <v>0</v>
      </c>
      <c r="G37" s="791">
        <f>IF($F$3=0,0,IF('Individual Measure List'!$I36="yes", F37/F$3, 0))</f>
        <v>0</v>
      </c>
      <c r="H37" s="766">
        <f>'EEM Data Entry'!J113*'Savings Summary'!$H$3</f>
        <v>0</v>
      </c>
      <c r="I37" s="767">
        <f>IF($H$3=0,0,IF('Individual Measure List'!$I36="yes", H37/H$3, 0))</f>
        <v>0</v>
      </c>
      <c r="J37" s="766">
        <f>'EEM Data Entry'!K113*'Savings Summary'!$J$3</f>
        <v>0</v>
      </c>
      <c r="K37" s="767">
        <f>IF($J$3=0,0,IF('Individual Measure List'!I36="yes", J37/J$3, 0))</f>
        <v>0</v>
      </c>
      <c r="L37" s="766">
        <f>'EEM Data Entry'!L113*'Savings Summary'!$L$3</f>
        <v>0</v>
      </c>
      <c r="M37" s="767">
        <f>IF($L$3=0,0,IF('Individual Measure List'!$I36="yes", L37/L$3, 0))</f>
        <v>0</v>
      </c>
      <c r="N37" s="766">
        <f>'EEM Data Entry'!M113*'Savings Summary'!$N$3</f>
        <v>0</v>
      </c>
      <c r="O37" s="767">
        <f>IF($N$3=0,0,IF('Individual Measure List'!$I36="yes", N37/N$3, 0))</f>
        <v>0</v>
      </c>
      <c r="P37" s="766">
        <f>'EEM Data Entry'!N113*'Savings Summary'!$P$3</f>
        <v>0</v>
      </c>
      <c r="Q37" s="767">
        <f>IF($P$3=0,0,IF('Individual Measure List'!I36="yes", P37/P$3, 0))</f>
        <v>0</v>
      </c>
      <c r="R37" s="766">
        <f>'EEM Data Entry'!O113*'Savings Summary'!$R$3</f>
        <v>0</v>
      </c>
      <c r="S37" s="767">
        <f>IF($R$3=0,0,IF('Individual Measure List'!$I35="yes", R37/R$3, 0))</f>
        <v>0</v>
      </c>
      <c r="T37" s="766">
        <f t="shared" si="2"/>
        <v>0</v>
      </c>
      <c r="U37" s="767">
        <f t="shared" si="3"/>
        <v>0</v>
      </c>
      <c r="V37" s="623" t="e">
        <f>'Individual Measure List'!I36</f>
        <v>#VALUE!</v>
      </c>
    </row>
    <row r="38" spans="1:28" x14ac:dyDescent="0.3">
      <c r="A38" s="755"/>
      <c r="B38" s="786" t="str">
        <f>'EEM Data Entry'!A112</f>
        <v/>
      </c>
      <c r="C38" s="790" t="str">
        <f>'EEM Data Entry'!B114</f>
        <v/>
      </c>
      <c r="D38" s="766">
        <f>'EEM Data Entry'!H114*'Savings Summary'!$D$3</f>
        <v>0</v>
      </c>
      <c r="E38" s="767">
        <f>IF($D$3=0,0,IF('Individual Measure List'!I37="yes", D38/D$3, 0))</f>
        <v>0</v>
      </c>
      <c r="F38" s="766">
        <f>'EEM Data Entry'!I114*'Savings Summary'!$F$3</f>
        <v>0</v>
      </c>
      <c r="G38" s="791">
        <f>IF($F$3=0,0,IF('Individual Measure List'!$I37="yes", F38/F$3, 0))</f>
        <v>0</v>
      </c>
      <c r="H38" s="766">
        <f>'EEM Data Entry'!J114*'Savings Summary'!$H$3</f>
        <v>0</v>
      </c>
      <c r="I38" s="767">
        <f>IF($H$3=0,0,IF('Individual Measure List'!$I37="yes", H38/H$3, 0))</f>
        <v>0</v>
      </c>
      <c r="J38" s="766">
        <f>'EEM Data Entry'!K114*'Savings Summary'!$J$3</f>
        <v>0</v>
      </c>
      <c r="K38" s="767">
        <f>IF($J$3=0,0,IF('Individual Measure List'!I37="yes", J38/J$3, 0))</f>
        <v>0</v>
      </c>
      <c r="L38" s="766">
        <f>'EEM Data Entry'!L114*'Savings Summary'!$L$3</f>
        <v>0</v>
      </c>
      <c r="M38" s="767">
        <f>IF($L$3=0,0,IF('Individual Measure List'!$I37="yes", L38/L$3, 0))</f>
        <v>0</v>
      </c>
      <c r="N38" s="766">
        <f>'EEM Data Entry'!M114*'Savings Summary'!$N$3</f>
        <v>0</v>
      </c>
      <c r="O38" s="767">
        <f>IF($N$3=0,0,IF('Individual Measure List'!$I37="yes", N38/N$3, 0))</f>
        <v>0</v>
      </c>
      <c r="P38" s="766">
        <f>'EEM Data Entry'!N114*'Savings Summary'!$P$3</f>
        <v>0</v>
      </c>
      <c r="Q38" s="767">
        <f>IF($P$3=0,0,IF('Individual Measure List'!I37="yes", P38/P$3, 0))</f>
        <v>0</v>
      </c>
      <c r="R38" s="766">
        <f>'EEM Data Entry'!O114*'Savings Summary'!$R$3</f>
        <v>0</v>
      </c>
      <c r="S38" s="767">
        <f>IF($R$3=0,0,IF('Individual Measure List'!$I36="yes", R38/R$3, 0))</f>
        <v>0</v>
      </c>
      <c r="T38" s="766">
        <f t="shared" si="2"/>
        <v>0</v>
      </c>
      <c r="U38" s="767">
        <f t="shared" si="3"/>
        <v>0</v>
      </c>
      <c r="V38" s="623" t="e">
        <f>'Individual Measure List'!I37</f>
        <v>#VALUE!</v>
      </c>
    </row>
    <row r="39" spans="1:28" x14ac:dyDescent="0.3">
      <c r="A39" s="755"/>
      <c r="B39" s="786" t="str">
        <f>'EEM Data Entry'!A114</f>
        <v/>
      </c>
      <c r="C39" s="790" t="str">
        <f>'EEM Data Entry'!B115</f>
        <v/>
      </c>
      <c r="D39" s="766">
        <f>'EEM Data Entry'!H115*'Savings Summary'!$D$3</f>
        <v>0</v>
      </c>
      <c r="E39" s="767">
        <f>IF($D$3=0,0,IF('Individual Measure List'!I38="yes", D39/D$3, 0))</f>
        <v>0</v>
      </c>
      <c r="F39" s="766">
        <f>'EEM Data Entry'!I115*'Savings Summary'!$F$3</f>
        <v>0</v>
      </c>
      <c r="G39" s="791">
        <f>IF($F$3=0,0,IF('Individual Measure List'!$I38="yes", F39/F$3, 0))</f>
        <v>0</v>
      </c>
      <c r="H39" s="766">
        <f>'EEM Data Entry'!J115*'Savings Summary'!$H$3</f>
        <v>0</v>
      </c>
      <c r="I39" s="767">
        <f>IF($H$3=0,0,IF('Individual Measure List'!$I38="yes", H39/H$3, 0))</f>
        <v>0</v>
      </c>
      <c r="J39" s="766">
        <f>'EEM Data Entry'!K115*'Savings Summary'!$J$3</f>
        <v>0</v>
      </c>
      <c r="K39" s="767">
        <f>IF($J$3=0,0,IF('Individual Measure List'!I38="yes", J39/J$3, 0))</f>
        <v>0</v>
      </c>
      <c r="L39" s="766">
        <f>'EEM Data Entry'!L115*'Savings Summary'!$L$3</f>
        <v>0</v>
      </c>
      <c r="M39" s="767">
        <f>IF($L$3=0,0,IF('Individual Measure List'!$I38="yes", L39/L$3, 0))</f>
        <v>0</v>
      </c>
      <c r="N39" s="766">
        <f>'EEM Data Entry'!M115*'Savings Summary'!$N$3</f>
        <v>0</v>
      </c>
      <c r="O39" s="767">
        <f>IF($N$3=0,0,IF('Individual Measure List'!$I38="yes", N39/N$3, 0))</f>
        <v>0</v>
      </c>
      <c r="P39" s="766">
        <f>'EEM Data Entry'!N115*'Savings Summary'!$P$3</f>
        <v>0</v>
      </c>
      <c r="Q39" s="767">
        <f>IF($P$3=0,0,IF('Individual Measure List'!I38="yes", P39/P$3, 0))</f>
        <v>0</v>
      </c>
      <c r="R39" s="766">
        <f>'EEM Data Entry'!O115*'Savings Summary'!$R$3</f>
        <v>0</v>
      </c>
      <c r="S39" s="767">
        <f>IF($R$3=0,0,IF('Individual Measure List'!$I37="yes", R39/R$3, 0))</f>
        <v>0</v>
      </c>
      <c r="T39" s="766">
        <f t="shared" si="2"/>
        <v>0</v>
      </c>
      <c r="U39" s="767">
        <f t="shared" si="3"/>
        <v>0</v>
      </c>
      <c r="V39" s="623" t="e">
        <f>'Individual Measure List'!I38</f>
        <v>#VALUE!</v>
      </c>
    </row>
    <row r="40" spans="1:28" x14ac:dyDescent="0.3">
      <c r="A40" s="755"/>
      <c r="B40" s="786" t="str">
        <f>'EEM Data Entry'!A116</f>
        <v/>
      </c>
      <c r="C40" s="790" t="str">
        <f>'EEM Data Entry'!B116</f>
        <v/>
      </c>
      <c r="D40" s="766">
        <f>'EEM Data Entry'!H116*'Savings Summary'!$D$3</f>
        <v>0</v>
      </c>
      <c r="E40" s="767">
        <f>IF($D$3=0,0,IF('Individual Measure List'!I39="yes", D40/D$3, 0))</f>
        <v>0</v>
      </c>
      <c r="F40" s="766">
        <f>'EEM Data Entry'!I116*'Savings Summary'!$F$3</f>
        <v>0</v>
      </c>
      <c r="G40" s="791">
        <f>IF($F$3=0,0,IF('Individual Measure List'!$I39="yes", F40/F$3, 0))</f>
        <v>0</v>
      </c>
      <c r="H40" s="766">
        <f>'EEM Data Entry'!J116*'Savings Summary'!$H$3</f>
        <v>0</v>
      </c>
      <c r="I40" s="767">
        <f>IF($H$3=0,0,IF('Individual Measure List'!$I39="yes", H40/H$3, 0))</f>
        <v>0</v>
      </c>
      <c r="J40" s="766">
        <f>'EEM Data Entry'!K116*'Savings Summary'!$J$3</f>
        <v>0</v>
      </c>
      <c r="K40" s="767">
        <f>IF($J$3=0,0,IF('Individual Measure List'!I39="yes", J40/J$3, 0))</f>
        <v>0</v>
      </c>
      <c r="L40" s="766">
        <f>'EEM Data Entry'!L116*'Savings Summary'!$L$3</f>
        <v>0</v>
      </c>
      <c r="M40" s="767">
        <f>IF($L$3=0,0,IF('Individual Measure List'!$I39="yes", L40/L$3, 0))</f>
        <v>0</v>
      </c>
      <c r="N40" s="766">
        <f>'EEM Data Entry'!M116*'Savings Summary'!$N$3</f>
        <v>0</v>
      </c>
      <c r="O40" s="767">
        <f>IF($N$3=0,0,IF('Individual Measure List'!$I39="yes", N40/N$3, 0))</f>
        <v>0</v>
      </c>
      <c r="P40" s="766">
        <f>'EEM Data Entry'!N116*'Savings Summary'!$P$3</f>
        <v>0</v>
      </c>
      <c r="Q40" s="767">
        <f>IF($P$3=0,0,IF('Individual Measure List'!I39="yes", P40/P$3, 0))</f>
        <v>0</v>
      </c>
      <c r="R40" s="766">
        <f>'EEM Data Entry'!O116*'Savings Summary'!$R$3</f>
        <v>0</v>
      </c>
      <c r="S40" s="767">
        <f>IF($R$3=0,0,IF('Individual Measure List'!$I38="yes", R40/R$3, 0))</f>
        <v>0</v>
      </c>
      <c r="T40" s="766">
        <f t="shared" si="2"/>
        <v>0</v>
      </c>
      <c r="U40" s="767">
        <f t="shared" si="3"/>
        <v>0</v>
      </c>
      <c r="V40" s="623" t="e">
        <f>'Individual Measure List'!I39</f>
        <v>#VALUE!</v>
      </c>
    </row>
    <row r="41" spans="1:28" x14ac:dyDescent="0.3">
      <c r="A41" s="755"/>
      <c r="B41" s="786" t="str">
        <f>'EEM Data Entry'!A117</f>
        <v/>
      </c>
      <c r="C41" s="790" t="str">
        <f>'EEM Data Entry'!B117</f>
        <v/>
      </c>
      <c r="D41" s="766">
        <f>'EEM Data Entry'!H117*'Savings Summary'!$D$3</f>
        <v>0</v>
      </c>
      <c r="E41" s="767">
        <f>IF($D$3=0,0,IF('Individual Measure List'!I40="yes", D41/D$3, 0))</f>
        <v>0</v>
      </c>
      <c r="F41" s="766">
        <f>'EEM Data Entry'!I117*'Savings Summary'!$F$3</f>
        <v>0</v>
      </c>
      <c r="G41" s="791">
        <f>IF($F$3=0,0,IF('Individual Measure List'!$I40="yes", F41/F$3, 0))</f>
        <v>0</v>
      </c>
      <c r="H41" s="766">
        <f>'EEM Data Entry'!J117*'Savings Summary'!$H$3</f>
        <v>0</v>
      </c>
      <c r="I41" s="767">
        <f>IF($H$3=0,0,IF('Individual Measure List'!$I40="yes", H41/H$3, 0))</f>
        <v>0</v>
      </c>
      <c r="J41" s="766">
        <f>'EEM Data Entry'!K117*'Savings Summary'!$J$3</f>
        <v>0</v>
      </c>
      <c r="K41" s="767">
        <f>IF($J$3=0,0,IF('Individual Measure List'!I40="yes", J41/J$3, 0))</f>
        <v>0</v>
      </c>
      <c r="L41" s="766">
        <f>'EEM Data Entry'!L117*'Savings Summary'!$L$3</f>
        <v>0</v>
      </c>
      <c r="M41" s="767">
        <f>IF($L$3=0,0,IF('Individual Measure List'!$I40="yes", L41/L$3, 0))</f>
        <v>0</v>
      </c>
      <c r="N41" s="766">
        <f>'EEM Data Entry'!M117*'Savings Summary'!$N$3</f>
        <v>0</v>
      </c>
      <c r="O41" s="767">
        <f>IF($N$3=0,0,IF('Individual Measure List'!$I40="yes", N41/N$3, 0))</f>
        <v>0</v>
      </c>
      <c r="P41" s="766">
        <f>'EEM Data Entry'!N117*'Savings Summary'!$P$3</f>
        <v>0</v>
      </c>
      <c r="Q41" s="767">
        <f>IF($P$3=0,0,IF('Individual Measure List'!I40="yes", P41/P$3, 0))</f>
        <v>0</v>
      </c>
      <c r="R41" s="766">
        <f>'EEM Data Entry'!O117*'Savings Summary'!$R$3</f>
        <v>0</v>
      </c>
      <c r="S41" s="767">
        <f>IF($R$3=0,0,IF('Individual Measure List'!$I39="yes", R41/R$3, 0))</f>
        <v>0</v>
      </c>
      <c r="T41" s="766">
        <f t="shared" si="2"/>
        <v>0</v>
      </c>
      <c r="U41" s="767">
        <f t="shared" si="3"/>
        <v>0</v>
      </c>
      <c r="V41" s="623" t="e">
        <f>'Individual Measure List'!I40</f>
        <v>#VALUE!</v>
      </c>
    </row>
    <row r="42" spans="1:28" x14ac:dyDescent="0.3">
      <c r="A42" s="755"/>
      <c r="B42" s="786" t="str">
        <f>'EEM Data Entry'!A118</f>
        <v/>
      </c>
      <c r="C42" s="790" t="str">
        <f>'EEM Data Entry'!B118</f>
        <v/>
      </c>
      <c r="D42" s="766">
        <f>'EEM Data Entry'!H118*'Savings Summary'!$D$3</f>
        <v>0</v>
      </c>
      <c r="E42" s="767">
        <f>IF($D$3=0,0,IF('Individual Measure List'!I41="yes", D42/D$3, 0))</f>
        <v>0</v>
      </c>
      <c r="F42" s="766">
        <f>'EEM Data Entry'!I118*'Savings Summary'!$F$3</f>
        <v>0</v>
      </c>
      <c r="G42" s="791">
        <f>IF($F$3=0,0,IF('Individual Measure List'!$I41="yes", F42/F$3, 0))</f>
        <v>0</v>
      </c>
      <c r="H42" s="766">
        <f>'EEM Data Entry'!J118*'Savings Summary'!$H$3</f>
        <v>0</v>
      </c>
      <c r="I42" s="767">
        <f>IF($H$3=0,0,IF('Individual Measure List'!$I41="yes", H42/H$3, 0))</f>
        <v>0</v>
      </c>
      <c r="J42" s="766">
        <f>'EEM Data Entry'!K118*'Savings Summary'!$J$3</f>
        <v>0</v>
      </c>
      <c r="K42" s="767">
        <f>IF($J$3=0,0,IF('Individual Measure List'!I41="yes", J42/J$3, 0))</f>
        <v>0</v>
      </c>
      <c r="L42" s="766">
        <f>'EEM Data Entry'!L118*'Savings Summary'!$L$3</f>
        <v>0</v>
      </c>
      <c r="M42" s="767">
        <f>IF($L$3=0,0,IF('Individual Measure List'!$I41="yes", L42/L$3, 0))</f>
        <v>0</v>
      </c>
      <c r="N42" s="766">
        <f>'EEM Data Entry'!M118*'Savings Summary'!$N$3</f>
        <v>0</v>
      </c>
      <c r="O42" s="767">
        <f>IF($N$3=0,0,IF('Individual Measure List'!$I41="yes", N42/N$3, 0))</f>
        <v>0</v>
      </c>
      <c r="P42" s="766">
        <f>'EEM Data Entry'!N118*'Savings Summary'!$P$3</f>
        <v>0</v>
      </c>
      <c r="Q42" s="767">
        <f>IF($P$3=0,0,IF('Individual Measure List'!I41="yes", P42/P$3, 0))</f>
        <v>0</v>
      </c>
      <c r="R42" s="766">
        <f>'EEM Data Entry'!O118*'Savings Summary'!$R$3</f>
        <v>0</v>
      </c>
      <c r="S42" s="767">
        <f>IF($R$3=0,0,IF('Individual Measure List'!$I40="yes", R42/R$3, 0))</f>
        <v>0</v>
      </c>
      <c r="T42" s="766">
        <f t="shared" si="2"/>
        <v>0</v>
      </c>
      <c r="U42" s="767">
        <f t="shared" si="3"/>
        <v>0</v>
      </c>
      <c r="V42" s="623" t="e">
        <f>'Individual Measure List'!I41</f>
        <v>#VALUE!</v>
      </c>
    </row>
    <row r="43" spans="1:28" x14ac:dyDescent="0.3">
      <c r="A43" s="755"/>
      <c r="B43" s="786" t="str">
        <f>'EEM Data Entry'!A119</f>
        <v/>
      </c>
      <c r="C43" s="790" t="str">
        <f>'EEM Data Entry'!B119</f>
        <v/>
      </c>
      <c r="D43" s="766">
        <f>'EEM Data Entry'!H119*'Savings Summary'!$D$3</f>
        <v>0</v>
      </c>
      <c r="E43" s="767">
        <f>IF($D$3=0,0,IF('Individual Measure List'!I42="yes", D43/D$3, 0))</f>
        <v>0</v>
      </c>
      <c r="F43" s="766">
        <f>'EEM Data Entry'!I119*'Savings Summary'!$F$3</f>
        <v>0</v>
      </c>
      <c r="G43" s="791">
        <f>IF($F$3=0,0,IF('Individual Measure List'!$I42="yes", F43/F$3, 0))</f>
        <v>0</v>
      </c>
      <c r="H43" s="766">
        <f>'EEM Data Entry'!J119*'Savings Summary'!$H$3</f>
        <v>0</v>
      </c>
      <c r="I43" s="767">
        <f>IF($H$3=0,0,IF('Individual Measure List'!$I42="yes", H43/H$3, 0))</f>
        <v>0</v>
      </c>
      <c r="J43" s="766">
        <f>'EEM Data Entry'!K119*'Savings Summary'!$J$3</f>
        <v>0</v>
      </c>
      <c r="K43" s="767">
        <f>IF($J$3=0,0,IF('Individual Measure List'!I42="yes", J43/J$3, 0))</f>
        <v>0</v>
      </c>
      <c r="L43" s="766">
        <f>'EEM Data Entry'!L119*'Savings Summary'!$L$3</f>
        <v>0</v>
      </c>
      <c r="M43" s="767">
        <f>IF($L$3=0,0,IF('Individual Measure List'!$I42="yes", L43/L$3, 0))</f>
        <v>0</v>
      </c>
      <c r="N43" s="766">
        <f>'EEM Data Entry'!M119*'Savings Summary'!$N$3</f>
        <v>0</v>
      </c>
      <c r="O43" s="767">
        <f>IF($N$3=0,0,IF('Individual Measure List'!$I42="yes", N43/N$3, 0))</f>
        <v>0</v>
      </c>
      <c r="P43" s="766">
        <f>'EEM Data Entry'!N119*'Savings Summary'!$P$3</f>
        <v>0</v>
      </c>
      <c r="Q43" s="767">
        <f>IF($P$3=0,0,IF('Individual Measure List'!I42="yes", P43/P$3, 0))</f>
        <v>0</v>
      </c>
      <c r="R43" s="766">
        <f>'EEM Data Entry'!O119*'Savings Summary'!$R$3</f>
        <v>0</v>
      </c>
      <c r="S43" s="767">
        <f>IF($R$3=0,0,IF('Individual Measure List'!$I41="yes", R43/R$3, 0))</f>
        <v>0</v>
      </c>
      <c r="T43" s="766">
        <f t="shared" si="2"/>
        <v>0</v>
      </c>
      <c r="U43" s="767">
        <f t="shared" si="3"/>
        <v>0</v>
      </c>
      <c r="V43" s="623" t="e">
        <f>'Individual Measure List'!I42</f>
        <v>#VALUE!</v>
      </c>
    </row>
    <row r="44" spans="1:28" x14ac:dyDescent="0.3">
      <c r="A44" s="755"/>
      <c r="B44" s="786" t="str">
        <f>'EEM Data Entry'!A120</f>
        <v/>
      </c>
      <c r="C44" s="790" t="str">
        <f>'EEM Data Entry'!B120</f>
        <v/>
      </c>
      <c r="D44" s="766">
        <f>'EEM Data Entry'!H120*'Savings Summary'!$D$3</f>
        <v>0</v>
      </c>
      <c r="E44" s="767">
        <f>IF($D$3=0,0,IF('Individual Measure List'!I43="yes", D44/D$3, 0))</f>
        <v>0</v>
      </c>
      <c r="F44" s="766">
        <f>'EEM Data Entry'!I120*'Savings Summary'!$F$3</f>
        <v>0</v>
      </c>
      <c r="G44" s="791">
        <f>IF($F$3=0,0,IF('Individual Measure List'!$I43="yes", F44/F$3, 0))</f>
        <v>0</v>
      </c>
      <c r="H44" s="766">
        <f>'EEM Data Entry'!J120*'Savings Summary'!$H$3</f>
        <v>0</v>
      </c>
      <c r="I44" s="767">
        <f>IF($H$3=0,0,IF('Individual Measure List'!$I43="yes", H44/H$3, 0))</f>
        <v>0</v>
      </c>
      <c r="J44" s="766">
        <f>'EEM Data Entry'!K120*'Savings Summary'!$J$3</f>
        <v>0</v>
      </c>
      <c r="K44" s="767">
        <f>IF($J$3=0,0,IF('Individual Measure List'!I43="yes", J44/J$3, 0))</f>
        <v>0</v>
      </c>
      <c r="L44" s="766">
        <f>'EEM Data Entry'!L120*'Savings Summary'!$L$3</f>
        <v>0</v>
      </c>
      <c r="M44" s="767">
        <f>IF($L$3=0,0,IF('Individual Measure List'!$I43="yes", L44/L$3, 0))</f>
        <v>0</v>
      </c>
      <c r="N44" s="766">
        <f>'EEM Data Entry'!M120*'Savings Summary'!$N$3</f>
        <v>0</v>
      </c>
      <c r="O44" s="767">
        <f>IF($N$3=0,0,IF('Individual Measure List'!$I43="yes", N44/N$3, 0))</f>
        <v>0</v>
      </c>
      <c r="P44" s="766">
        <f>'EEM Data Entry'!N120*'Savings Summary'!$P$3</f>
        <v>0</v>
      </c>
      <c r="Q44" s="767">
        <f>IF($P$3=0,0,IF('Individual Measure List'!I43="yes", P44/P$3, 0))</f>
        <v>0</v>
      </c>
      <c r="R44" s="766">
        <f>'EEM Data Entry'!O120*'Savings Summary'!$R$3</f>
        <v>0</v>
      </c>
      <c r="S44" s="767">
        <f>IF($R$3=0,0,IF('Individual Measure List'!$I42="yes", R44/R$3, 0))</f>
        <v>0</v>
      </c>
      <c r="T44" s="766">
        <f t="shared" si="2"/>
        <v>0</v>
      </c>
      <c r="U44" s="767">
        <f t="shared" si="3"/>
        <v>0</v>
      </c>
      <c r="V44" s="623" t="e">
        <f>'Individual Measure List'!I43</f>
        <v>#VALUE!</v>
      </c>
    </row>
    <row r="45" spans="1:28" ht="36" customHeight="1" x14ac:dyDescent="0.3">
      <c r="A45" s="755"/>
      <c r="B45" s="786" t="str">
        <f>'EEM Data Entry'!A121</f>
        <v/>
      </c>
      <c r="C45" s="790" t="str">
        <f>'EEM Data Entry'!B121</f>
        <v/>
      </c>
      <c r="D45" s="766">
        <f>'EEM Data Entry'!H121*'Savings Summary'!$D$3</f>
        <v>0</v>
      </c>
      <c r="E45" s="767">
        <f>IF($D$3=0,0,IF('Individual Measure List'!I44="yes", D45/D$3, 0))</f>
        <v>0</v>
      </c>
      <c r="F45" s="766">
        <f>'EEM Data Entry'!I121*'Savings Summary'!$F$3</f>
        <v>0</v>
      </c>
      <c r="G45" s="791">
        <f>IF($F$3=0,0,IF('Individual Measure List'!$I44="yes", F45/F$3, 0))</f>
        <v>0</v>
      </c>
      <c r="H45" s="766">
        <f>'EEM Data Entry'!J121*'Savings Summary'!$H$3</f>
        <v>0</v>
      </c>
      <c r="I45" s="767">
        <f>IF($H$3=0,0,IF('Individual Measure List'!$I44="yes", H45/H$3, 0))</f>
        <v>0</v>
      </c>
      <c r="J45" s="766">
        <f>'EEM Data Entry'!K121*'Savings Summary'!$J$3</f>
        <v>0</v>
      </c>
      <c r="K45" s="767">
        <f>IF($J$3=0,0,IF('Individual Measure List'!I44="yes", J45/J$3, 0))</f>
        <v>0</v>
      </c>
      <c r="L45" s="766">
        <f>'EEM Data Entry'!L121*'Savings Summary'!$L$3</f>
        <v>0</v>
      </c>
      <c r="M45" s="767">
        <f>IF($L$3=0,0,IF('Individual Measure List'!$I44="yes", L45/L$3, 0))</f>
        <v>0</v>
      </c>
      <c r="N45" s="766">
        <f>'EEM Data Entry'!M121*'Savings Summary'!$N$3</f>
        <v>0</v>
      </c>
      <c r="O45" s="767">
        <f>IF($N$3=0,0,IF('Individual Measure List'!$I44="yes", N45/N$3, 0))</f>
        <v>0</v>
      </c>
      <c r="P45" s="766">
        <f>'EEM Data Entry'!N121*'Savings Summary'!$P$3</f>
        <v>0</v>
      </c>
      <c r="Q45" s="767">
        <f>IF($P$3=0,0,IF('Individual Measure List'!I44="yes", P45/P$3, 0))</f>
        <v>0</v>
      </c>
      <c r="R45" s="766">
        <f>'EEM Data Entry'!O121*'Savings Summary'!$R$3</f>
        <v>0</v>
      </c>
      <c r="S45" s="767">
        <f>IF($R$3=0,0,IF('Individual Measure List'!$I43="yes", R45/R$3, 0))</f>
        <v>0</v>
      </c>
      <c r="T45" s="766">
        <f t="shared" si="2"/>
        <v>0</v>
      </c>
      <c r="U45" s="767">
        <f t="shared" si="3"/>
        <v>0</v>
      </c>
      <c r="V45" s="623" t="e">
        <f>'Individual Measure List'!I44</f>
        <v>#VALUE!</v>
      </c>
    </row>
    <row r="46" spans="1:28" ht="36" customHeight="1" x14ac:dyDescent="0.3">
      <c r="A46" s="755"/>
      <c r="B46" s="786" t="str">
        <f>'EEM Data Entry'!A122</f>
        <v/>
      </c>
      <c r="C46" s="790" t="str">
        <f>'EEM Data Entry'!B122</f>
        <v/>
      </c>
      <c r="D46" s="766">
        <f>'EEM Data Entry'!H122*'Savings Summary'!$D$3</f>
        <v>0</v>
      </c>
      <c r="E46" s="767">
        <f>IF($D$3=0,0,IF('Individual Measure List'!I45="yes", D46/D$3, 0))</f>
        <v>0</v>
      </c>
      <c r="F46" s="766">
        <f>'EEM Data Entry'!I122*'Savings Summary'!$F$3</f>
        <v>0</v>
      </c>
      <c r="G46" s="791">
        <f>IF($F$3=0,0,IF('Individual Measure List'!$I45="yes", F46/F$3, 0))</f>
        <v>0</v>
      </c>
      <c r="H46" s="766">
        <f>'EEM Data Entry'!J122*'Savings Summary'!$H$3</f>
        <v>0</v>
      </c>
      <c r="I46" s="767">
        <f>IF($H$3=0,0,IF('Individual Measure List'!$I45="yes", H46/H$3, 0))</f>
        <v>0</v>
      </c>
      <c r="J46" s="766">
        <f>'EEM Data Entry'!K122*'Savings Summary'!$J$3</f>
        <v>0</v>
      </c>
      <c r="K46" s="767">
        <f>IF($J$3=0,0,IF('Individual Measure List'!I45="yes", J46/J$3, 0))</f>
        <v>0</v>
      </c>
      <c r="L46" s="766">
        <f>'EEM Data Entry'!L122*'Savings Summary'!$L$3</f>
        <v>0</v>
      </c>
      <c r="M46" s="767">
        <f>IF($L$3=0,0,IF('Individual Measure List'!$I45="yes", L46/L$3, 0))</f>
        <v>0</v>
      </c>
      <c r="N46" s="766">
        <f>'EEM Data Entry'!M122*'Savings Summary'!$N$3</f>
        <v>0</v>
      </c>
      <c r="O46" s="767">
        <f>IF($N$3=0,0,IF('Individual Measure List'!$I45="yes", N46/N$3, 0))</f>
        <v>0</v>
      </c>
      <c r="P46" s="766">
        <f>'EEM Data Entry'!N122*'Savings Summary'!$P$3</f>
        <v>0</v>
      </c>
      <c r="Q46" s="767">
        <f>IF($P$3=0,0,IF('Individual Measure List'!I45="yes", P46/P$3, 0))</f>
        <v>0</v>
      </c>
      <c r="R46" s="766">
        <f>'EEM Data Entry'!O122*'Savings Summary'!$R$3</f>
        <v>0</v>
      </c>
      <c r="S46" s="767">
        <f>IF($R$3=0,0,IF('Individual Measure List'!$I44="yes", R46/R$3, 0))</f>
        <v>0</v>
      </c>
      <c r="T46" s="766">
        <f t="shared" si="2"/>
        <v>0</v>
      </c>
      <c r="U46" s="767">
        <f t="shared" si="3"/>
        <v>0</v>
      </c>
      <c r="V46" s="623" t="e">
        <f>'Individual Measure List'!I45</f>
        <v>#VALUE!</v>
      </c>
    </row>
    <row r="47" spans="1:28" ht="36" customHeight="1" x14ac:dyDescent="0.3">
      <c r="A47" s="755"/>
      <c r="B47" s="786" t="str">
        <f>'EEM Data Entry'!A123</f>
        <v/>
      </c>
      <c r="C47" s="790" t="str">
        <f>'EEM Data Entry'!B123</f>
        <v/>
      </c>
      <c r="D47" s="766">
        <f>'EEM Data Entry'!H123*'Savings Summary'!$D$3</f>
        <v>0</v>
      </c>
      <c r="E47" s="767">
        <f>IF($D$3=0,0,IF('Individual Measure List'!I46="yes", D47/D$3, 0))</f>
        <v>0</v>
      </c>
      <c r="F47" s="766">
        <f>'EEM Data Entry'!I123*'Savings Summary'!$F$3</f>
        <v>0</v>
      </c>
      <c r="G47" s="791">
        <f>IF($F$3=0,0,IF('Individual Measure List'!$I46="yes", F47/F$3, 0))</f>
        <v>0</v>
      </c>
      <c r="H47" s="766">
        <f>'EEM Data Entry'!J123*'Savings Summary'!$H$3</f>
        <v>0</v>
      </c>
      <c r="I47" s="767">
        <f>IF($H$3=0,0,IF('Individual Measure List'!$I46="yes", H47/H$3, 0))</f>
        <v>0</v>
      </c>
      <c r="J47" s="766">
        <f>'EEM Data Entry'!K123*'Savings Summary'!$J$3</f>
        <v>0</v>
      </c>
      <c r="K47" s="767">
        <f>IF($J$3=0,0,IF('Individual Measure List'!I46="yes", J47/J$3, 0))</f>
        <v>0</v>
      </c>
      <c r="L47" s="766">
        <f>'EEM Data Entry'!L123*'Savings Summary'!$L$3</f>
        <v>0</v>
      </c>
      <c r="M47" s="767">
        <f>IF($L$3=0,0,IF('Individual Measure List'!$I46="yes", L47/L$3, 0))</f>
        <v>0</v>
      </c>
      <c r="N47" s="766">
        <f>'EEM Data Entry'!M123*'Savings Summary'!$N$3</f>
        <v>0</v>
      </c>
      <c r="O47" s="767">
        <f>IF($N$3=0,0,IF('Individual Measure List'!$I46="yes", N47/N$3, 0))</f>
        <v>0</v>
      </c>
      <c r="P47" s="766">
        <f>'EEM Data Entry'!N123*'Savings Summary'!$P$3</f>
        <v>0</v>
      </c>
      <c r="Q47" s="767">
        <f>IF($P$3=0,0,IF('Individual Measure List'!I46="yes", P47/P$3, 0))</f>
        <v>0</v>
      </c>
      <c r="R47" s="766">
        <f>'EEM Data Entry'!O123*'Savings Summary'!$R$3</f>
        <v>0</v>
      </c>
      <c r="S47" s="767">
        <f>IF($R$3=0,0,IF('Individual Measure List'!$I45="yes", R47/R$3, 0))</f>
        <v>0</v>
      </c>
      <c r="T47" s="766">
        <f t="shared" si="2"/>
        <v>0</v>
      </c>
      <c r="U47" s="767">
        <f t="shared" si="3"/>
        <v>0</v>
      </c>
      <c r="V47" s="623" t="e">
        <f>'Individual Measure List'!I46</f>
        <v>#VALUE!</v>
      </c>
    </row>
    <row r="48" spans="1:28" ht="13.5" thickBot="1" x14ac:dyDescent="0.35">
      <c r="A48" s="633"/>
      <c r="B48" s="633"/>
      <c r="C48" s="757"/>
      <c r="D48" s="758"/>
      <c r="E48" s="759"/>
      <c r="F48" s="758"/>
      <c r="G48" s="759"/>
      <c r="H48" s="758"/>
      <c r="I48" s="759"/>
      <c r="J48" s="758"/>
      <c r="K48" s="759"/>
      <c r="L48" s="758"/>
      <c r="M48" s="759"/>
      <c r="N48" s="758"/>
      <c r="O48" s="759"/>
      <c r="P48" s="758"/>
      <c r="Q48" s="759"/>
      <c r="R48" s="758"/>
      <c r="S48" s="759"/>
      <c r="T48" s="758"/>
      <c r="U48" s="760"/>
      <c r="V48" s="623"/>
    </row>
    <row r="49" spans="1:22" ht="13.5" thickBot="1" x14ac:dyDescent="0.35">
      <c r="A49" s="761"/>
      <c r="D49" s="762"/>
      <c r="E49" s="762"/>
      <c r="F49" s="762"/>
      <c r="G49" s="762"/>
      <c r="H49" s="762"/>
      <c r="I49" s="762"/>
      <c r="J49" s="762"/>
      <c r="K49" s="762"/>
      <c r="L49" s="762"/>
      <c r="M49" s="762"/>
      <c r="T49" s="623"/>
      <c r="V49" s="623"/>
    </row>
    <row r="50" spans="1:22" ht="26.25" customHeight="1" x14ac:dyDescent="0.3">
      <c r="A50" s="763"/>
      <c r="B50" s="777"/>
      <c r="C50" s="778" t="s">
        <v>407</v>
      </c>
      <c r="D50" s="779"/>
      <c r="E50" s="779"/>
      <c r="F50" s="779"/>
      <c r="G50" s="779"/>
      <c r="H50" s="779"/>
      <c r="I50" s="779"/>
      <c r="J50" s="779"/>
      <c r="K50" s="779"/>
      <c r="L50" s="779"/>
      <c r="M50" s="779"/>
      <c r="N50" s="779"/>
      <c r="O50" s="779"/>
      <c r="P50" s="779"/>
      <c r="Q50" s="779"/>
      <c r="R50" s="779"/>
      <c r="S50" s="779"/>
      <c r="T50" s="779"/>
      <c r="U50" s="779"/>
      <c r="V50" s="754" t="s">
        <v>134</v>
      </c>
    </row>
    <row r="51" spans="1:22" x14ac:dyDescent="0.3">
      <c r="A51" s="755"/>
      <c r="B51" s="786" t="str">
        <f>'EEM Data Entry'!A125</f>
        <v/>
      </c>
      <c r="C51" s="792" t="str">
        <f>'EEM Data Entry'!B125</f>
        <v/>
      </c>
      <c r="D51" s="766">
        <f>'EEM Data Entry'!H125*'Savings Summary'!$D$3</f>
        <v>0</v>
      </c>
      <c r="E51" s="767">
        <f>IF($D$3=0,0,IF('Individual Measure List'!$I49="yes", D51/D$3, 0))</f>
        <v>0</v>
      </c>
      <c r="F51" s="766">
        <f>'EEM Data Entry'!I125*'Savings Summary'!$F$3</f>
        <v>0</v>
      </c>
      <c r="G51" s="767">
        <f>IF($F$3=0,0,IF('Individual Measure List'!$I49="yes", F51/F$3, 0))</f>
        <v>0</v>
      </c>
      <c r="H51" s="766">
        <f>'EEM Data Entry'!J125*'Savings Summary'!$H$3</f>
        <v>0</v>
      </c>
      <c r="I51" s="767">
        <f>IF($H$3=0,0,IF('Individual Measure List'!$I49="yes", H51/H$3, 0))</f>
        <v>0</v>
      </c>
      <c r="J51" s="766">
        <f>'EEM Data Entry'!K125*'Savings Summary'!$J$3</f>
        <v>0</v>
      </c>
      <c r="K51" s="767">
        <f>IF($J$3=0,0,IF('Individual Measure List'!$I49="yes", J51/J$3, 0))</f>
        <v>0</v>
      </c>
      <c r="L51" s="766">
        <f>'EEM Data Entry'!L125*'Savings Summary'!$L$3</f>
        <v>0</v>
      </c>
      <c r="M51" s="767">
        <f>IF($L$3=0,0,IF('Individual Measure List'!$I49="yes", L51/L$3, 0))</f>
        <v>0</v>
      </c>
      <c r="N51" s="766">
        <f>'EEM Data Entry'!M125*'Savings Summary'!$N$3</f>
        <v>0</v>
      </c>
      <c r="O51" s="767">
        <f>IF($N$3=0,0,IF('Individual Measure List'!$I49="yes", N51/N$3, 0))</f>
        <v>0</v>
      </c>
      <c r="P51" s="766">
        <f>'EEM Data Entry'!N125*'Savings Summary'!$P$3</f>
        <v>0</v>
      </c>
      <c r="Q51" s="767">
        <f>IF($P$3=0,0,IF('Individual Measure List'!$I49="yes", P51/P$3, 0))</f>
        <v>0</v>
      </c>
      <c r="R51" s="766">
        <f>'EEM Data Entry'!O125*'Savings Summary'!$R$3</f>
        <v>0</v>
      </c>
      <c r="S51" s="767">
        <f>IF($R$3=0,0,IF('Individual Measure List'!$I49="yes", R51/R$3, 0))</f>
        <v>0</v>
      </c>
      <c r="T51" s="766">
        <f t="shared" ref="T51:T65" si="4">SUM((D51*$D$2),(F51*$F$2),(H51*$H$2),(J51*$J$2),(L51*$L$2),(N51*$N$2),(P51*$P$2),(R51*$R$2))</f>
        <v>0</v>
      </c>
      <c r="U51" s="767">
        <f>IF(T$3&gt;0, T51/T$3, 0)</f>
        <v>0</v>
      </c>
      <c r="V51" s="623" t="e">
        <f>'Individual Measure List'!I49</f>
        <v>#VALUE!</v>
      </c>
    </row>
    <row r="52" spans="1:22" x14ac:dyDescent="0.3">
      <c r="A52" s="755"/>
      <c r="B52" s="786" t="str">
        <f>'EEM Data Entry'!A126</f>
        <v/>
      </c>
      <c r="C52" s="792" t="str">
        <f>'EEM Data Entry'!B126</f>
        <v/>
      </c>
      <c r="D52" s="766">
        <f>'EEM Data Entry'!H126*'Savings Summary'!$D$3</f>
        <v>0</v>
      </c>
      <c r="E52" s="767">
        <f>IF($D$3=0,0,IF('Individual Measure List'!$I50="yes", D52/D$3, 0))</f>
        <v>0</v>
      </c>
      <c r="F52" s="766">
        <f>'EEM Data Entry'!I126*'Savings Summary'!$F$3</f>
        <v>0</v>
      </c>
      <c r="G52" s="767">
        <f>IF($F$3=0,0,IF('Individual Measure List'!$I50="yes", F52/F$3, 0))</f>
        <v>0</v>
      </c>
      <c r="H52" s="766">
        <f>'EEM Data Entry'!J126*'Savings Summary'!$H$3</f>
        <v>0</v>
      </c>
      <c r="I52" s="767">
        <f>IF($H$3=0,0,IF('Individual Measure List'!$I50="yes", H52/H$3, 0))</f>
        <v>0</v>
      </c>
      <c r="J52" s="766">
        <f>'EEM Data Entry'!K126*'Savings Summary'!$J$3</f>
        <v>0</v>
      </c>
      <c r="K52" s="767">
        <f>IF($J$3=0,0,IF('Individual Measure List'!$I50="yes", J52/J$3, 0))</f>
        <v>0</v>
      </c>
      <c r="L52" s="766">
        <f>'EEM Data Entry'!L126*'Savings Summary'!$L$3</f>
        <v>0</v>
      </c>
      <c r="M52" s="767">
        <f>IF($L$3=0,0,IF('Individual Measure List'!$I50="yes", L52/L$3, 0))</f>
        <v>0</v>
      </c>
      <c r="N52" s="766">
        <f>'EEM Data Entry'!M126*'Savings Summary'!$N$3</f>
        <v>0</v>
      </c>
      <c r="O52" s="767">
        <f>IF($N$3=0,0,IF('Individual Measure List'!$I50="yes", N52/N$3, 0))</f>
        <v>0</v>
      </c>
      <c r="P52" s="766">
        <f>'EEM Data Entry'!N126*'Savings Summary'!$P$3</f>
        <v>0</v>
      </c>
      <c r="Q52" s="767">
        <f>IF($P$3=0,0,IF('Individual Measure List'!$I50="yes", P52/P$3, 0))</f>
        <v>0</v>
      </c>
      <c r="R52" s="766">
        <f>'EEM Data Entry'!O126*'Savings Summary'!$R$3</f>
        <v>0</v>
      </c>
      <c r="S52" s="767">
        <f>IF($R$3=0,0,IF('Individual Measure List'!$I50="yes", R52/R$3, 0))</f>
        <v>0</v>
      </c>
      <c r="T52" s="766">
        <f t="shared" si="4"/>
        <v>0</v>
      </c>
      <c r="U52" s="767">
        <f t="shared" ref="U52:U65" si="5">IF(T$3&gt;0, T52/T$3, 0)</f>
        <v>0</v>
      </c>
      <c r="V52" s="623" t="e">
        <f>'Individual Measure List'!I50</f>
        <v>#VALUE!</v>
      </c>
    </row>
    <row r="53" spans="1:22" x14ac:dyDescent="0.3">
      <c r="A53" s="755"/>
      <c r="B53" s="786" t="str">
        <f>'EEM Data Entry'!A127</f>
        <v/>
      </c>
      <c r="C53" s="792" t="str">
        <f>'EEM Data Entry'!B127</f>
        <v/>
      </c>
      <c r="D53" s="766">
        <f>'EEM Data Entry'!H127*'Savings Summary'!$D$3</f>
        <v>0</v>
      </c>
      <c r="E53" s="767">
        <f>IF($D$3=0,0,IF('Individual Measure List'!$I51="yes", D53/D$3, 0))</f>
        <v>0</v>
      </c>
      <c r="F53" s="766">
        <f>'EEM Data Entry'!I127*'Savings Summary'!$F$3</f>
        <v>0</v>
      </c>
      <c r="G53" s="767">
        <f>IF($F$3=0,0,IF('Individual Measure List'!$I51="yes", F53/F$3, 0))</f>
        <v>0</v>
      </c>
      <c r="H53" s="766">
        <f>'EEM Data Entry'!J127*'Savings Summary'!$H$3</f>
        <v>0</v>
      </c>
      <c r="I53" s="767">
        <f>IF($H$3=0,0,IF('Individual Measure List'!$I51="yes", H53/H$3, 0))</f>
        <v>0</v>
      </c>
      <c r="J53" s="766">
        <f>'EEM Data Entry'!K127*'Savings Summary'!$J$3</f>
        <v>0</v>
      </c>
      <c r="K53" s="767">
        <f>IF($J$3=0,0,IF('Individual Measure List'!$I51="yes", J53/J$3, 0))</f>
        <v>0</v>
      </c>
      <c r="L53" s="766">
        <f>'EEM Data Entry'!L127*'Savings Summary'!$L$3</f>
        <v>0</v>
      </c>
      <c r="M53" s="767">
        <f>IF($L$3=0,0,IF('Individual Measure List'!$I51="yes", L53/L$3, 0))</f>
        <v>0</v>
      </c>
      <c r="N53" s="766">
        <f>'EEM Data Entry'!M127*'Savings Summary'!$N$3</f>
        <v>0</v>
      </c>
      <c r="O53" s="767">
        <f>IF($N$3=0,0,IF('Individual Measure List'!$I51="yes", N53/N$3, 0))</f>
        <v>0</v>
      </c>
      <c r="P53" s="766">
        <f>'EEM Data Entry'!N127*'Savings Summary'!$P$3</f>
        <v>0</v>
      </c>
      <c r="Q53" s="767">
        <f>IF($P$3=0,0,IF('Individual Measure List'!$I51="yes", P53/P$3, 0))</f>
        <v>0</v>
      </c>
      <c r="R53" s="766">
        <f>'EEM Data Entry'!O127*'Savings Summary'!$R$3</f>
        <v>0</v>
      </c>
      <c r="S53" s="767">
        <f>IF($R$3=0,0,IF('Individual Measure List'!$I51="yes", R53/R$3, 0))</f>
        <v>0</v>
      </c>
      <c r="T53" s="766">
        <f t="shared" si="4"/>
        <v>0</v>
      </c>
      <c r="U53" s="767">
        <f t="shared" si="5"/>
        <v>0</v>
      </c>
      <c r="V53" s="623" t="e">
        <f>'Individual Measure List'!I51</f>
        <v>#VALUE!</v>
      </c>
    </row>
    <row r="54" spans="1:22" x14ac:dyDescent="0.3">
      <c r="A54" s="755"/>
      <c r="B54" s="786" t="str">
        <f>'EEM Data Entry'!A128</f>
        <v/>
      </c>
      <c r="C54" s="792" t="str">
        <f>'EEM Data Entry'!B128</f>
        <v/>
      </c>
      <c r="D54" s="766">
        <f>'EEM Data Entry'!H128*'Savings Summary'!$D$3</f>
        <v>0</v>
      </c>
      <c r="E54" s="767">
        <f>IF($D$3=0,0,IF('Individual Measure List'!$I52="yes", D54/D$3, 0))</f>
        <v>0</v>
      </c>
      <c r="F54" s="766">
        <f>'EEM Data Entry'!I128*'Savings Summary'!$F$3</f>
        <v>0</v>
      </c>
      <c r="G54" s="767">
        <f>IF($F$3=0,0,IF('Individual Measure List'!$I52="yes", F54/F$3, 0))</f>
        <v>0</v>
      </c>
      <c r="H54" s="766">
        <f>'EEM Data Entry'!J128*'Savings Summary'!$H$3</f>
        <v>0</v>
      </c>
      <c r="I54" s="767">
        <f>IF($H$3=0,0,IF('Individual Measure List'!$I52="yes", H54/H$3, 0))</f>
        <v>0</v>
      </c>
      <c r="J54" s="766">
        <f>'EEM Data Entry'!K128*'Savings Summary'!$J$3</f>
        <v>0</v>
      </c>
      <c r="K54" s="767">
        <f>IF($J$3=0,0,IF('Individual Measure List'!$I52="yes", J54/J$3, 0))</f>
        <v>0</v>
      </c>
      <c r="L54" s="766">
        <f>'EEM Data Entry'!L128*'Savings Summary'!$L$3</f>
        <v>0</v>
      </c>
      <c r="M54" s="767">
        <f>IF($L$3=0,0,IF('Individual Measure List'!$I52="yes", L54/L$3, 0))</f>
        <v>0</v>
      </c>
      <c r="N54" s="766">
        <f>'EEM Data Entry'!M128*'Savings Summary'!$N$3</f>
        <v>0</v>
      </c>
      <c r="O54" s="767">
        <f>IF($N$3=0,0,IF('Individual Measure List'!$I52="yes", N54/N$3, 0))</f>
        <v>0</v>
      </c>
      <c r="P54" s="766">
        <f>'EEM Data Entry'!N128*'Savings Summary'!$P$3</f>
        <v>0</v>
      </c>
      <c r="Q54" s="767">
        <f>IF($P$3=0,0,IF('Individual Measure List'!$I52="yes", P54/P$3, 0))</f>
        <v>0</v>
      </c>
      <c r="R54" s="766">
        <f>'EEM Data Entry'!O128*'Savings Summary'!$R$3</f>
        <v>0</v>
      </c>
      <c r="S54" s="767">
        <f>IF($R$3=0,0,IF('Individual Measure List'!$I52="yes", R54/R$3, 0))</f>
        <v>0</v>
      </c>
      <c r="T54" s="766">
        <f t="shared" si="4"/>
        <v>0</v>
      </c>
      <c r="U54" s="767">
        <f t="shared" si="5"/>
        <v>0</v>
      </c>
      <c r="V54" s="623" t="e">
        <f>'Individual Measure List'!I52</f>
        <v>#VALUE!</v>
      </c>
    </row>
    <row r="55" spans="1:22" x14ac:dyDescent="0.3">
      <c r="A55" s="755"/>
      <c r="B55" s="786" t="str">
        <f>'EEM Data Entry'!A129</f>
        <v/>
      </c>
      <c r="C55" s="792" t="str">
        <f>'EEM Data Entry'!B129</f>
        <v/>
      </c>
      <c r="D55" s="766">
        <f>'EEM Data Entry'!H129*'Savings Summary'!$D$3</f>
        <v>0</v>
      </c>
      <c r="E55" s="767">
        <f>IF($D$3=0,0,IF('Individual Measure List'!$I53="yes", D55/D$3, 0))</f>
        <v>0</v>
      </c>
      <c r="F55" s="766">
        <f>'EEM Data Entry'!I129*'Savings Summary'!$F$3</f>
        <v>0</v>
      </c>
      <c r="G55" s="767">
        <f>IF($F$3=0,0,IF('Individual Measure List'!$I53="yes", F55/F$3, 0))</f>
        <v>0</v>
      </c>
      <c r="H55" s="766">
        <f>'EEM Data Entry'!J129*'Savings Summary'!$H$3</f>
        <v>0</v>
      </c>
      <c r="I55" s="767">
        <f>IF($H$3=0,0,IF('Individual Measure List'!$I53="yes", H55/H$3, 0))</f>
        <v>0</v>
      </c>
      <c r="J55" s="766">
        <f>'EEM Data Entry'!K129*'Savings Summary'!$J$3</f>
        <v>0</v>
      </c>
      <c r="K55" s="767">
        <f>IF($J$3=0,0,IF('Individual Measure List'!$I53="yes", J55/J$3, 0))</f>
        <v>0</v>
      </c>
      <c r="L55" s="766">
        <f>'EEM Data Entry'!L129*'Savings Summary'!$L$3</f>
        <v>0</v>
      </c>
      <c r="M55" s="767">
        <f>IF($L$3=0,0,IF('Individual Measure List'!$I53="yes", L55/L$3, 0))</f>
        <v>0</v>
      </c>
      <c r="N55" s="766">
        <f>'EEM Data Entry'!M129*'Savings Summary'!$N$3</f>
        <v>0</v>
      </c>
      <c r="O55" s="767">
        <f>IF($N$3=0,0,IF('Individual Measure List'!$I53="yes", N55/N$3, 0))</f>
        <v>0</v>
      </c>
      <c r="P55" s="766">
        <f>'EEM Data Entry'!N129*'Savings Summary'!$P$3</f>
        <v>0</v>
      </c>
      <c r="Q55" s="767">
        <f>IF($P$3=0,0,IF('Individual Measure List'!$I53="yes", P55/P$3, 0))</f>
        <v>0</v>
      </c>
      <c r="R55" s="766">
        <f>'EEM Data Entry'!O129*'Savings Summary'!$R$3</f>
        <v>0</v>
      </c>
      <c r="S55" s="767">
        <f>IF($R$3=0,0,IF('Individual Measure List'!$I53="yes", R55/R$3, 0))</f>
        <v>0</v>
      </c>
      <c r="T55" s="766">
        <f t="shared" si="4"/>
        <v>0</v>
      </c>
      <c r="U55" s="767">
        <f t="shared" si="5"/>
        <v>0</v>
      </c>
      <c r="V55" s="623" t="e">
        <f>'Individual Measure List'!I53</f>
        <v>#VALUE!</v>
      </c>
    </row>
    <row r="56" spans="1:22" x14ac:dyDescent="0.3">
      <c r="A56" s="755"/>
      <c r="B56" s="786" t="str">
        <f>'EEM Data Entry'!A130</f>
        <v/>
      </c>
      <c r="C56" s="792" t="str">
        <f>'EEM Data Entry'!B130</f>
        <v/>
      </c>
      <c r="D56" s="766">
        <f>'EEM Data Entry'!H130*'Savings Summary'!$D$3</f>
        <v>0</v>
      </c>
      <c r="E56" s="767">
        <f>IF($D$3=0,0,IF('Individual Measure List'!$I54="yes", D56/D$3, 0))</f>
        <v>0</v>
      </c>
      <c r="F56" s="766">
        <f>'EEM Data Entry'!I130*'Savings Summary'!$F$3</f>
        <v>0</v>
      </c>
      <c r="G56" s="767">
        <f>IF($F$3=0,0,IF('Individual Measure List'!$I54="yes", F56/F$3, 0))</f>
        <v>0</v>
      </c>
      <c r="H56" s="766">
        <f>'EEM Data Entry'!J130*'Savings Summary'!$H$3</f>
        <v>0</v>
      </c>
      <c r="I56" s="767">
        <f>IF($H$3=0,0,IF('Individual Measure List'!$I54="yes", H56/H$3, 0))</f>
        <v>0</v>
      </c>
      <c r="J56" s="766">
        <f>'EEM Data Entry'!K130*'Savings Summary'!$J$3</f>
        <v>0</v>
      </c>
      <c r="K56" s="767">
        <f>IF($J$3=0,0,IF('Individual Measure List'!$I54="yes", J56/J$3, 0))</f>
        <v>0</v>
      </c>
      <c r="L56" s="766">
        <f>'EEM Data Entry'!L130*'Savings Summary'!$L$3</f>
        <v>0</v>
      </c>
      <c r="M56" s="767">
        <f>IF($L$3=0,0,IF('Individual Measure List'!$I54="yes", L56/L$3, 0))</f>
        <v>0</v>
      </c>
      <c r="N56" s="766">
        <f>'EEM Data Entry'!M130*'Savings Summary'!$N$3</f>
        <v>0</v>
      </c>
      <c r="O56" s="767">
        <f>IF($N$3=0,0,IF('Individual Measure List'!$I54="yes", N56/N$3, 0))</f>
        <v>0</v>
      </c>
      <c r="P56" s="766">
        <f>'EEM Data Entry'!N130*'Savings Summary'!$P$3</f>
        <v>0</v>
      </c>
      <c r="Q56" s="767">
        <f>IF($P$3=0,0,IF('Individual Measure List'!$I54="yes", P56/P$3, 0))</f>
        <v>0</v>
      </c>
      <c r="R56" s="766">
        <f>'EEM Data Entry'!O130*'Savings Summary'!$R$3</f>
        <v>0</v>
      </c>
      <c r="S56" s="767">
        <f>IF($R$3=0,0,IF('Individual Measure List'!$I54="yes", R56/R$3, 0))</f>
        <v>0</v>
      </c>
      <c r="T56" s="766">
        <f t="shared" si="4"/>
        <v>0</v>
      </c>
      <c r="U56" s="767">
        <f t="shared" si="5"/>
        <v>0</v>
      </c>
      <c r="V56" s="623" t="e">
        <f>'Individual Measure List'!I54</f>
        <v>#VALUE!</v>
      </c>
    </row>
    <row r="57" spans="1:22" x14ac:dyDescent="0.3">
      <c r="A57" s="755"/>
      <c r="B57" s="786" t="str">
        <f>'EEM Data Entry'!A131</f>
        <v/>
      </c>
      <c r="C57" s="792" t="str">
        <f>'EEM Data Entry'!B131</f>
        <v/>
      </c>
      <c r="D57" s="766">
        <f>'EEM Data Entry'!H131*'Savings Summary'!$D$3</f>
        <v>0</v>
      </c>
      <c r="E57" s="767">
        <f>IF($D$3=0,0,IF('Individual Measure List'!$I55="yes", D57/D$3, 0))</f>
        <v>0</v>
      </c>
      <c r="F57" s="766">
        <f>'EEM Data Entry'!I131*'Savings Summary'!$F$3</f>
        <v>0</v>
      </c>
      <c r="G57" s="767">
        <f>IF($F$3=0,0,IF('Individual Measure List'!$I55="yes", F57/F$3, 0))</f>
        <v>0</v>
      </c>
      <c r="H57" s="766">
        <f>'EEM Data Entry'!J131*'Savings Summary'!$H$3</f>
        <v>0</v>
      </c>
      <c r="I57" s="767">
        <f>IF($H$3=0,0,IF('Individual Measure List'!$I55="yes", H57/H$3, 0))</f>
        <v>0</v>
      </c>
      <c r="J57" s="766">
        <f>'EEM Data Entry'!K131*'Savings Summary'!$J$3</f>
        <v>0</v>
      </c>
      <c r="K57" s="767">
        <f>IF($J$3=0,0,IF('Individual Measure List'!$I55="yes", J57/J$3, 0))</f>
        <v>0</v>
      </c>
      <c r="L57" s="766">
        <f>'EEM Data Entry'!L131*'Savings Summary'!$L$3</f>
        <v>0</v>
      </c>
      <c r="M57" s="767">
        <f>IF($L$3=0,0,IF('Individual Measure List'!$I55="yes", L57/L$3, 0))</f>
        <v>0</v>
      </c>
      <c r="N57" s="766">
        <f>'EEM Data Entry'!M131*'Savings Summary'!$N$3</f>
        <v>0</v>
      </c>
      <c r="O57" s="767">
        <f>IF($N$3=0,0,IF('Individual Measure List'!$I55="yes", N57/N$3, 0))</f>
        <v>0</v>
      </c>
      <c r="P57" s="766">
        <f>'EEM Data Entry'!N131*'Savings Summary'!$P$3</f>
        <v>0</v>
      </c>
      <c r="Q57" s="767">
        <f>IF($P$3=0,0,IF('Individual Measure List'!$I55="yes", P57/P$3, 0))</f>
        <v>0</v>
      </c>
      <c r="R57" s="766">
        <f>'EEM Data Entry'!O131*'Savings Summary'!$R$3</f>
        <v>0</v>
      </c>
      <c r="S57" s="767">
        <f>IF($R$3=0,0,IF('Individual Measure List'!$I55="yes", R57/R$3, 0))</f>
        <v>0</v>
      </c>
      <c r="T57" s="766">
        <f t="shared" si="4"/>
        <v>0</v>
      </c>
      <c r="U57" s="767">
        <f t="shared" si="5"/>
        <v>0</v>
      </c>
      <c r="V57" s="623" t="e">
        <f>'Individual Measure List'!I55</f>
        <v>#VALUE!</v>
      </c>
    </row>
    <row r="58" spans="1:22" x14ac:dyDescent="0.3">
      <c r="A58" s="755"/>
      <c r="B58" s="786" t="str">
        <f>'EEM Data Entry'!A132</f>
        <v/>
      </c>
      <c r="C58" s="792" t="str">
        <f>'EEM Data Entry'!B132</f>
        <v/>
      </c>
      <c r="D58" s="766">
        <f>'EEM Data Entry'!H132*'Savings Summary'!$D$3</f>
        <v>0</v>
      </c>
      <c r="E58" s="767">
        <f>'EEM Data Entry'!H132</f>
        <v>0</v>
      </c>
      <c r="F58" s="766">
        <f>'EEM Data Entry'!I132*'Savings Summary'!$F$3</f>
        <v>0</v>
      </c>
      <c r="G58" s="767">
        <f>IF($F$3=0,0,IF('Individual Measure List'!$I56="yes", F58/F$3, 0))</f>
        <v>0</v>
      </c>
      <c r="H58" s="766">
        <f>'EEM Data Entry'!J132*'Savings Summary'!$H$3</f>
        <v>0</v>
      </c>
      <c r="I58" s="767">
        <v>0</v>
      </c>
      <c r="J58" s="766">
        <f>'EEM Data Entry'!K132*'Savings Summary'!$J$3</f>
        <v>0</v>
      </c>
      <c r="K58" s="767">
        <f>IF($J$3=0,0,IF('Individual Measure List'!$I56="yes", J58/J$3, 0))</f>
        <v>0</v>
      </c>
      <c r="L58" s="766">
        <f>'EEM Data Entry'!L132*'Savings Summary'!$L$3</f>
        <v>0</v>
      </c>
      <c r="M58" s="767">
        <f>IF($L$3=0,0,IF('Individual Measure List'!$I56="yes", L58/L$3, 0))</f>
        <v>0</v>
      </c>
      <c r="N58" s="766">
        <f>'EEM Data Entry'!M132*'Savings Summary'!$N$3</f>
        <v>0</v>
      </c>
      <c r="O58" s="767">
        <f>IF($N$3=0,0,IF('Individual Measure List'!$I56="yes", N58/N$3, 0))</f>
        <v>0</v>
      </c>
      <c r="P58" s="766">
        <f>'EEM Data Entry'!N132*'Savings Summary'!$P$3</f>
        <v>0</v>
      </c>
      <c r="Q58" s="767">
        <f>IF($P$3=0,0,IF('Individual Measure List'!$I56="yes", P58/P$3, 0))</f>
        <v>0</v>
      </c>
      <c r="R58" s="766">
        <v>0</v>
      </c>
      <c r="S58" s="767">
        <v>0</v>
      </c>
      <c r="T58" s="766">
        <f t="shared" si="4"/>
        <v>0</v>
      </c>
      <c r="U58" s="767">
        <f t="shared" si="5"/>
        <v>0</v>
      </c>
      <c r="V58" s="623" t="e">
        <f>'Individual Measure List'!I56</f>
        <v>#VALUE!</v>
      </c>
    </row>
    <row r="59" spans="1:22" x14ac:dyDescent="0.3">
      <c r="A59" s="755"/>
      <c r="B59" s="786" t="str">
        <f>'EEM Data Entry'!A133</f>
        <v/>
      </c>
      <c r="C59" s="792" t="str">
        <f>'EEM Data Entry'!B133</f>
        <v/>
      </c>
      <c r="D59" s="766">
        <f>'EEM Data Entry'!H133*'Savings Summary'!$D$3</f>
        <v>0</v>
      </c>
      <c r="E59" s="767">
        <f>IF($D$3=0,0,IF('Individual Measure List'!$I57="yes", D59/D$3, 0))</f>
        <v>0</v>
      </c>
      <c r="F59" s="766">
        <f>'EEM Data Entry'!I133*'Savings Summary'!$F$3</f>
        <v>0</v>
      </c>
      <c r="G59" s="767">
        <f>IF($F$3=0,0,IF('Individual Measure List'!$I57="yes", F59/F$3, 0))</f>
        <v>0</v>
      </c>
      <c r="H59" s="766">
        <f>'EEM Data Entry'!J133*'Savings Summary'!$H$3</f>
        <v>0</v>
      </c>
      <c r="I59" s="767">
        <f>IF($H$3=0,0,IF('Individual Measure List'!$I57="yes", H59/H$3, 0))</f>
        <v>0</v>
      </c>
      <c r="J59" s="766">
        <f>'EEM Data Entry'!K133*'Savings Summary'!$J$3</f>
        <v>0</v>
      </c>
      <c r="K59" s="767">
        <f>IF($J$3=0,0,IF('Individual Measure List'!$I57="yes", J59/J$3, 0))</f>
        <v>0</v>
      </c>
      <c r="L59" s="766">
        <f>'EEM Data Entry'!L133*'Savings Summary'!$L$3</f>
        <v>0</v>
      </c>
      <c r="M59" s="767">
        <f>IF($L$3=0,0,IF('Individual Measure List'!$I57="yes", L59/L$3, 0))</f>
        <v>0</v>
      </c>
      <c r="N59" s="766">
        <f>'EEM Data Entry'!M133*'Savings Summary'!$N$3</f>
        <v>0</v>
      </c>
      <c r="O59" s="767">
        <f>IF($N$3=0,0,IF('Individual Measure List'!$I57="yes", N59/N$3, 0))</f>
        <v>0</v>
      </c>
      <c r="P59" s="766">
        <f>'EEM Data Entry'!N133*'Savings Summary'!$P$3</f>
        <v>0</v>
      </c>
      <c r="Q59" s="767">
        <f>IF($P$3=0,0,IF('Individual Measure List'!$I57="yes", P59/P$3, 0))</f>
        <v>0</v>
      </c>
      <c r="R59" s="766">
        <f>'EEM Data Entry'!O133*'Savings Summary'!$R$3</f>
        <v>0</v>
      </c>
      <c r="S59" s="767">
        <f>IF($R$3=0,0,IF('Individual Measure List'!$I57="yes", R59/R$3, 0))</f>
        <v>0</v>
      </c>
      <c r="T59" s="766">
        <f t="shared" si="4"/>
        <v>0</v>
      </c>
      <c r="U59" s="767">
        <f t="shared" si="5"/>
        <v>0</v>
      </c>
      <c r="V59" s="623" t="e">
        <f>'Individual Measure List'!I57</f>
        <v>#VALUE!</v>
      </c>
    </row>
    <row r="60" spans="1:22" x14ac:dyDescent="0.3">
      <c r="A60" s="755"/>
      <c r="B60" s="786" t="str">
        <f>'EEM Data Entry'!A134</f>
        <v/>
      </c>
      <c r="C60" s="792" t="str">
        <f>'EEM Data Entry'!B134</f>
        <v/>
      </c>
      <c r="D60" s="766">
        <f>'EEM Data Entry'!H134*'Savings Summary'!$D$3</f>
        <v>0</v>
      </c>
      <c r="E60" s="767">
        <f>IF($D$3=0,0,IF('Individual Measure List'!$I58="yes", D60/D$3, 0))</f>
        <v>0</v>
      </c>
      <c r="F60" s="766">
        <f>'EEM Data Entry'!I134*'Savings Summary'!$F$3</f>
        <v>0</v>
      </c>
      <c r="G60" s="767">
        <f>IF($F$3=0,0,IF('Individual Measure List'!$I58="yes", F60/F$3, 0))</f>
        <v>0</v>
      </c>
      <c r="H60" s="766">
        <f>'EEM Data Entry'!J134*'Savings Summary'!$H$3</f>
        <v>0</v>
      </c>
      <c r="I60" s="767">
        <f>IF($H$3=0,0,IF('Individual Measure List'!$I58="yes", H60/H$3, 0))</f>
        <v>0</v>
      </c>
      <c r="J60" s="766">
        <f>'EEM Data Entry'!K134*'Savings Summary'!$J$3</f>
        <v>0</v>
      </c>
      <c r="K60" s="767">
        <f>IF($J$3=0,0,IF('Individual Measure List'!$I58="yes", J60/J$3, 0))</f>
        <v>0</v>
      </c>
      <c r="L60" s="766">
        <f>'EEM Data Entry'!L134*'Savings Summary'!$L$3</f>
        <v>0</v>
      </c>
      <c r="M60" s="767">
        <f>IF($L$3=0,0,IF('Individual Measure List'!$I58="yes", L60/L$3, 0))</f>
        <v>0</v>
      </c>
      <c r="N60" s="766">
        <f>'EEM Data Entry'!M134*'Savings Summary'!$N$3</f>
        <v>0</v>
      </c>
      <c r="O60" s="767">
        <f>IF($N$3=0,0,IF('Individual Measure List'!$I58="yes", N60/N$3, 0))</f>
        <v>0</v>
      </c>
      <c r="P60" s="766">
        <f>'EEM Data Entry'!N134*'Savings Summary'!$P$3</f>
        <v>0</v>
      </c>
      <c r="Q60" s="767">
        <f>IF($P$3=0,0,IF('Individual Measure List'!$I58="yes", P60/P$3, 0))</f>
        <v>0</v>
      </c>
      <c r="R60" s="766">
        <f>'EEM Data Entry'!O134*'Savings Summary'!$R$3</f>
        <v>0</v>
      </c>
      <c r="S60" s="767">
        <f>IF($R$3=0,0,IF('Individual Measure List'!$I58="yes", R60/R$3, 0))</f>
        <v>0</v>
      </c>
      <c r="T60" s="766">
        <f t="shared" si="4"/>
        <v>0</v>
      </c>
      <c r="U60" s="767">
        <f t="shared" si="5"/>
        <v>0</v>
      </c>
      <c r="V60" s="623" t="e">
        <f>'Individual Measure List'!I58</f>
        <v>#VALUE!</v>
      </c>
    </row>
    <row r="61" spans="1:22" x14ac:dyDescent="0.3">
      <c r="A61" s="755"/>
      <c r="B61" s="786" t="str">
        <f>'EEM Data Entry'!A135</f>
        <v/>
      </c>
      <c r="C61" s="792" t="str">
        <f>'EEM Data Entry'!B135</f>
        <v/>
      </c>
      <c r="D61" s="766">
        <f>'EEM Data Entry'!H135*'Savings Summary'!$D$3</f>
        <v>0</v>
      </c>
      <c r="E61" s="767">
        <f>IF($D$3=0,0,IF('Individual Measure List'!$I59="yes", D61/D$3, 0))</f>
        <v>0</v>
      </c>
      <c r="F61" s="766">
        <f>'EEM Data Entry'!I135*'Savings Summary'!$F$3</f>
        <v>0</v>
      </c>
      <c r="G61" s="767">
        <f>IF($F$3=0,0,IF('Individual Measure List'!$I59="yes", F61/F$3, 0))</f>
        <v>0</v>
      </c>
      <c r="H61" s="766">
        <f>'EEM Data Entry'!J135*'Savings Summary'!$H$3</f>
        <v>0</v>
      </c>
      <c r="I61" s="767">
        <f>IF($H$3=0,0,IF('Individual Measure List'!$I59="yes", H61/H$3, 0))</f>
        <v>0</v>
      </c>
      <c r="J61" s="766">
        <f>'EEM Data Entry'!K135*'Savings Summary'!$J$3</f>
        <v>0</v>
      </c>
      <c r="K61" s="767">
        <f>IF($J$3=0,0,IF('Individual Measure List'!$I59="yes", J61/J$3, 0))</f>
        <v>0</v>
      </c>
      <c r="L61" s="766">
        <f>'EEM Data Entry'!L135*'Savings Summary'!$L$3</f>
        <v>0</v>
      </c>
      <c r="M61" s="767">
        <f>IF($L$3=0,0,IF('Individual Measure List'!$I59="yes", L61/L$3, 0))</f>
        <v>0</v>
      </c>
      <c r="N61" s="766">
        <f>'EEM Data Entry'!M135*'Savings Summary'!$N$3</f>
        <v>0</v>
      </c>
      <c r="O61" s="767">
        <f>IF($N$3=0,0,IF('Individual Measure List'!$I59="yes", N61/N$3, 0))</f>
        <v>0</v>
      </c>
      <c r="P61" s="766">
        <f>'EEM Data Entry'!N135*'Savings Summary'!$P$3</f>
        <v>0</v>
      </c>
      <c r="Q61" s="767">
        <f>IF($P$3=0,0,IF('Individual Measure List'!$I59="yes", P61/P$3, 0))</f>
        <v>0</v>
      </c>
      <c r="R61" s="766">
        <f>'EEM Data Entry'!O135*'Savings Summary'!$R$3</f>
        <v>0</v>
      </c>
      <c r="S61" s="767">
        <f>IF($R$3=0,0,IF('Individual Measure List'!$I59="yes", R61/R$3, 0))</f>
        <v>0</v>
      </c>
      <c r="T61" s="766">
        <f t="shared" si="4"/>
        <v>0</v>
      </c>
      <c r="U61" s="767">
        <f t="shared" si="5"/>
        <v>0</v>
      </c>
      <c r="V61" s="623" t="e">
        <f>'Individual Measure List'!I59</f>
        <v>#VALUE!</v>
      </c>
    </row>
    <row r="62" spans="1:22" x14ac:dyDescent="0.3">
      <c r="A62" s="755"/>
      <c r="B62" s="786" t="str">
        <f>'EEM Data Entry'!A136</f>
        <v/>
      </c>
      <c r="C62" s="792" t="str">
        <f>'EEM Data Entry'!B136</f>
        <v/>
      </c>
      <c r="D62" s="766">
        <f>'EEM Data Entry'!H136*'Savings Summary'!$D$3</f>
        <v>0</v>
      </c>
      <c r="E62" s="767">
        <f>IF($D$3=0,0,IF('Individual Measure List'!$I60="yes", D62/D$3, 0))</f>
        <v>0</v>
      </c>
      <c r="F62" s="766">
        <f>'EEM Data Entry'!I136*'Savings Summary'!$F$3</f>
        <v>0</v>
      </c>
      <c r="G62" s="767">
        <f>IF($F$3=0,0,IF('Individual Measure List'!$I60="yes", F62/F$3, 0))</f>
        <v>0</v>
      </c>
      <c r="H62" s="766">
        <f>'EEM Data Entry'!J136*'Savings Summary'!$H$3</f>
        <v>0</v>
      </c>
      <c r="I62" s="767">
        <f>IF($H$3=0,0,IF('Individual Measure List'!$I60="yes", H62/H$3, 0))</f>
        <v>0</v>
      </c>
      <c r="J62" s="766">
        <f>'EEM Data Entry'!K136*'Savings Summary'!$J$3</f>
        <v>0</v>
      </c>
      <c r="K62" s="767">
        <f>IF($J$3=0,0,IF('Individual Measure List'!$I60="yes", J62/J$3, 0))</f>
        <v>0</v>
      </c>
      <c r="L62" s="766">
        <f>'EEM Data Entry'!L136*'Savings Summary'!$L$3</f>
        <v>0</v>
      </c>
      <c r="M62" s="767">
        <f>IF($L$3=0,0,IF('Individual Measure List'!$I60="yes", L62/L$3, 0))</f>
        <v>0</v>
      </c>
      <c r="N62" s="766">
        <f>'EEM Data Entry'!M136*'Savings Summary'!$N$3</f>
        <v>0</v>
      </c>
      <c r="O62" s="767">
        <f>IF($N$3=0,0,IF('Individual Measure List'!$I60="yes", N62/N$3, 0))</f>
        <v>0</v>
      </c>
      <c r="P62" s="766">
        <f>'EEM Data Entry'!N136*'Savings Summary'!$P$3</f>
        <v>0</v>
      </c>
      <c r="Q62" s="767">
        <f>IF($P$3=0,0,IF('Individual Measure List'!$I60="yes", P62/P$3, 0))</f>
        <v>0</v>
      </c>
      <c r="R62" s="766">
        <f>'EEM Data Entry'!O136*'Savings Summary'!$R$3</f>
        <v>0</v>
      </c>
      <c r="S62" s="767">
        <f>IF($R$3=0,0,IF('Individual Measure List'!$I60="yes", R62/R$3, 0))</f>
        <v>0</v>
      </c>
      <c r="T62" s="766">
        <f t="shared" si="4"/>
        <v>0</v>
      </c>
      <c r="U62" s="767">
        <f t="shared" si="5"/>
        <v>0</v>
      </c>
      <c r="V62" s="623" t="e">
        <f>'Individual Measure List'!I60</f>
        <v>#VALUE!</v>
      </c>
    </row>
    <row r="63" spans="1:22" x14ac:dyDescent="0.3">
      <c r="A63" s="755"/>
      <c r="B63" s="786" t="str">
        <f>'EEM Data Entry'!A137</f>
        <v/>
      </c>
      <c r="C63" s="792" t="str">
        <f>'EEM Data Entry'!B137</f>
        <v/>
      </c>
      <c r="D63" s="766">
        <f>'EEM Data Entry'!H137*'Savings Summary'!$D$3</f>
        <v>0</v>
      </c>
      <c r="E63" s="767">
        <f>IF($D$3=0,0,IF('Individual Measure List'!$I61="yes", D63/D$3, 0))</f>
        <v>0</v>
      </c>
      <c r="F63" s="766">
        <f>'EEM Data Entry'!I137*'Savings Summary'!$F$3</f>
        <v>0</v>
      </c>
      <c r="G63" s="767">
        <f>IF($F$3=0,0,IF('Individual Measure List'!$I61="yes", F63/F$3, 0))</f>
        <v>0</v>
      </c>
      <c r="H63" s="766">
        <f>'EEM Data Entry'!J137*'Savings Summary'!$H$3</f>
        <v>0</v>
      </c>
      <c r="I63" s="767">
        <f>IF($H$3=0,0,IF('Individual Measure List'!$I61="yes", H63/H$3, 0))</f>
        <v>0</v>
      </c>
      <c r="J63" s="766">
        <f>'EEM Data Entry'!K137*'Savings Summary'!$J$3</f>
        <v>0</v>
      </c>
      <c r="K63" s="767">
        <f>IF($J$3=0,0,IF('Individual Measure List'!$I61="yes", J63/J$3, 0))</f>
        <v>0</v>
      </c>
      <c r="L63" s="766">
        <f>'EEM Data Entry'!L137*'Savings Summary'!$L$3</f>
        <v>0</v>
      </c>
      <c r="M63" s="767">
        <f>IF($L$3=0,0,IF('Individual Measure List'!$I61="yes", L63/L$3, 0))</f>
        <v>0</v>
      </c>
      <c r="N63" s="766">
        <f>'EEM Data Entry'!M137*'Savings Summary'!$N$3</f>
        <v>0</v>
      </c>
      <c r="O63" s="767">
        <f>IF($N$3=0,0,IF('Individual Measure List'!$I61="yes", N63/N$3, 0))</f>
        <v>0</v>
      </c>
      <c r="P63" s="766">
        <f>'EEM Data Entry'!N137*'Savings Summary'!$P$3</f>
        <v>0</v>
      </c>
      <c r="Q63" s="767">
        <f>IF($P$3=0,0,IF('Individual Measure List'!$I61="yes", P63/P$3, 0))</f>
        <v>0</v>
      </c>
      <c r="R63" s="766">
        <f>'EEM Data Entry'!O137*'Savings Summary'!$R$3</f>
        <v>0</v>
      </c>
      <c r="S63" s="767">
        <f>IF($R$3=0,0,IF('Individual Measure List'!$I61="yes", R63/R$3, 0))</f>
        <v>0</v>
      </c>
      <c r="T63" s="766">
        <f t="shared" si="4"/>
        <v>0</v>
      </c>
      <c r="U63" s="767">
        <f t="shared" si="5"/>
        <v>0</v>
      </c>
      <c r="V63" s="623" t="e">
        <f>'Individual Measure List'!I61</f>
        <v>#VALUE!</v>
      </c>
    </row>
    <row r="64" spans="1:22" x14ac:dyDescent="0.3">
      <c r="A64" s="755"/>
      <c r="B64" s="786" t="str">
        <f>'EEM Data Entry'!A138</f>
        <v/>
      </c>
      <c r="C64" s="792" t="str">
        <f>'EEM Data Entry'!B138</f>
        <v/>
      </c>
      <c r="D64" s="766">
        <f>'EEM Data Entry'!H138*'Savings Summary'!$D$3</f>
        <v>0</v>
      </c>
      <c r="E64" s="767">
        <f>IF($D$3=0,0,IF('Individual Measure List'!$I62="yes", D64/D$3, 0))</f>
        <v>0</v>
      </c>
      <c r="F64" s="766">
        <f>'EEM Data Entry'!I138*'Savings Summary'!$F$3</f>
        <v>0</v>
      </c>
      <c r="G64" s="767">
        <f>IF($F$3=0,0,IF('Individual Measure List'!$I62="yes", F64/F$3, 0))</f>
        <v>0</v>
      </c>
      <c r="H64" s="766">
        <f>'EEM Data Entry'!J138*'Savings Summary'!$H$3</f>
        <v>0</v>
      </c>
      <c r="I64" s="767">
        <f>IF($H$3=0,0,IF('Individual Measure List'!$I62="yes", H64/H$3, 0))</f>
        <v>0</v>
      </c>
      <c r="J64" s="766">
        <f>'EEM Data Entry'!K138*'Savings Summary'!$J$3</f>
        <v>0</v>
      </c>
      <c r="K64" s="767">
        <f>IF($J$3=0,0,IF('Individual Measure List'!$I62="yes", J64/J$3, 0))</f>
        <v>0</v>
      </c>
      <c r="L64" s="766">
        <f>'EEM Data Entry'!L138*'Savings Summary'!$L$3</f>
        <v>0</v>
      </c>
      <c r="M64" s="767">
        <f>IF($L$3=0,0,IF('Individual Measure List'!$I62="yes", L64/L$3, 0))</f>
        <v>0</v>
      </c>
      <c r="N64" s="766">
        <f>'EEM Data Entry'!M138*'Savings Summary'!$N$3</f>
        <v>0</v>
      </c>
      <c r="O64" s="767">
        <f>IF($N$3=0,0,IF('Individual Measure List'!$I62="yes", N64/N$3, 0))</f>
        <v>0</v>
      </c>
      <c r="P64" s="766">
        <f>'EEM Data Entry'!N138*'Savings Summary'!$P$3</f>
        <v>0</v>
      </c>
      <c r="Q64" s="767">
        <f>IF($P$3=0,0,IF('Individual Measure List'!$I62="yes", P64/P$3, 0))</f>
        <v>0</v>
      </c>
      <c r="R64" s="766">
        <f>'EEM Data Entry'!O138*'Savings Summary'!$R$3</f>
        <v>0</v>
      </c>
      <c r="S64" s="767">
        <f>IF($R$3=0,0,IF('Individual Measure List'!$I62="yes", R64/R$3, 0))</f>
        <v>0</v>
      </c>
      <c r="T64" s="766">
        <f t="shared" si="4"/>
        <v>0</v>
      </c>
      <c r="U64" s="767">
        <f t="shared" si="5"/>
        <v>0</v>
      </c>
      <c r="V64" s="623" t="e">
        <f>'Individual Measure List'!I62</f>
        <v>#VALUE!</v>
      </c>
    </row>
    <row r="65" spans="1:22" x14ac:dyDescent="0.3">
      <c r="A65" s="755"/>
      <c r="B65" s="786" t="str">
        <f>'EEM Data Entry'!A139</f>
        <v/>
      </c>
      <c r="C65" s="792" t="str">
        <f>'EEM Data Entry'!B139</f>
        <v/>
      </c>
      <c r="D65" s="766">
        <f>'EEM Data Entry'!H139*'Savings Summary'!$D$3</f>
        <v>0</v>
      </c>
      <c r="E65" s="767">
        <f>IF($D$3=0,0,IF('Individual Measure List'!$I63="yes", D65/D$3, 0))</f>
        <v>0</v>
      </c>
      <c r="F65" s="766">
        <f>'EEM Data Entry'!I139*'Savings Summary'!$F$3</f>
        <v>0</v>
      </c>
      <c r="G65" s="767">
        <f>IF($F$3=0,0,IF('Individual Measure List'!$I63="yes", F65/F$3, 0))</f>
        <v>0</v>
      </c>
      <c r="H65" s="766">
        <f>'EEM Data Entry'!J139*'Savings Summary'!$H$3</f>
        <v>0</v>
      </c>
      <c r="I65" s="767">
        <f>IF($H$3=0,0,IF('Individual Measure List'!$I63="yes", H65/H$3, 0))</f>
        <v>0</v>
      </c>
      <c r="J65" s="766">
        <f>'EEM Data Entry'!K139*'Savings Summary'!$J$3</f>
        <v>0</v>
      </c>
      <c r="K65" s="767">
        <f>IF($J$3=0,0,IF('Individual Measure List'!$I63="yes", J65/J$3, 0))</f>
        <v>0</v>
      </c>
      <c r="L65" s="766">
        <f>'EEM Data Entry'!L139*'Savings Summary'!$L$3</f>
        <v>0</v>
      </c>
      <c r="M65" s="767">
        <f>IF($L$3=0,0,IF('Individual Measure List'!$I63="yes", L65/L$3, 0))</f>
        <v>0</v>
      </c>
      <c r="N65" s="766">
        <f>'EEM Data Entry'!M139*'Savings Summary'!$N$3</f>
        <v>0</v>
      </c>
      <c r="O65" s="767">
        <f>IF($N$3=0,0,IF('Individual Measure List'!$I63="yes", N65/N$3, 0))</f>
        <v>0</v>
      </c>
      <c r="P65" s="766">
        <f>'EEM Data Entry'!N139*'Savings Summary'!$P$3</f>
        <v>0</v>
      </c>
      <c r="Q65" s="767">
        <f>IF($P$3=0,0,IF('Individual Measure List'!$I63="yes", P65/P$3, 0))</f>
        <v>0</v>
      </c>
      <c r="R65" s="766">
        <f>'EEM Data Entry'!O139*'Savings Summary'!$R$3</f>
        <v>0</v>
      </c>
      <c r="S65" s="767">
        <f>IF($R$3=0,0,IF('Individual Measure List'!$I63="yes", R65/R$3, 0))</f>
        <v>0</v>
      </c>
      <c r="T65" s="766">
        <f t="shared" si="4"/>
        <v>0</v>
      </c>
      <c r="U65" s="767">
        <f t="shared" si="5"/>
        <v>0</v>
      </c>
      <c r="V65" s="623" t="e">
        <f>'Individual Measure List'!I63</f>
        <v>#VALUE!</v>
      </c>
    </row>
    <row r="66" spans="1:22" ht="13.5" customHeight="1" thickBot="1" x14ac:dyDescent="0.35">
      <c r="A66" s="633"/>
      <c r="B66" s="633"/>
      <c r="C66" s="757"/>
      <c r="D66" s="758"/>
      <c r="E66" s="759"/>
      <c r="F66" s="758"/>
      <c r="G66" s="759"/>
      <c r="H66" s="758"/>
      <c r="I66" s="759"/>
      <c r="J66" s="758"/>
      <c r="K66" s="759"/>
      <c r="L66" s="758"/>
      <c r="M66" s="759"/>
      <c r="N66" s="758"/>
      <c r="O66" s="759"/>
      <c r="P66" s="758"/>
      <c r="Q66" s="759"/>
      <c r="R66" s="758"/>
      <c r="S66" s="759"/>
      <c r="T66" s="758"/>
      <c r="U66" s="760"/>
      <c r="V66" s="623"/>
    </row>
    <row r="67" spans="1:22" ht="12" customHeight="1" thickBot="1" x14ac:dyDescent="0.35">
      <c r="A67" s="761"/>
      <c r="D67" s="762"/>
      <c r="E67" s="762"/>
      <c r="F67" s="762"/>
      <c r="G67" s="762"/>
      <c r="H67" s="762"/>
      <c r="I67" s="762"/>
      <c r="J67" s="762"/>
      <c r="K67" s="762"/>
      <c r="L67" s="762"/>
      <c r="M67" s="762"/>
      <c r="T67" s="623"/>
      <c r="V67" s="623"/>
    </row>
    <row r="68" spans="1:22" ht="12" customHeight="1" x14ac:dyDescent="0.3">
      <c r="A68" s="763"/>
      <c r="B68" s="777"/>
      <c r="C68" s="778" t="s">
        <v>136</v>
      </c>
      <c r="D68" s="779"/>
      <c r="E68" s="779"/>
      <c r="F68" s="779"/>
      <c r="G68" s="779"/>
      <c r="H68" s="779"/>
      <c r="I68" s="779"/>
      <c r="J68" s="779"/>
      <c r="K68" s="779"/>
      <c r="L68" s="779"/>
      <c r="M68" s="779"/>
      <c r="N68" s="779"/>
      <c r="O68" s="779"/>
      <c r="P68" s="779"/>
      <c r="Q68" s="779"/>
      <c r="R68" s="779"/>
      <c r="S68" s="779"/>
      <c r="T68" s="779"/>
      <c r="U68" s="779"/>
      <c r="V68" s="623"/>
    </row>
    <row r="69" spans="1:22" ht="20.25" customHeight="1" x14ac:dyDescent="0.3">
      <c r="A69" s="755"/>
      <c r="B69" s="786" t="str">
        <f>'EEM Data Entry'!A141</f>
        <v/>
      </c>
      <c r="C69" s="790" t="str">
        <f>'EEM Data Entry'!B141</f>
        <v/>
      </c>
      <c r="D69" s="766">
        <f>'EEM Data Entry'!H141*'Savings Summary'!$D$3</f>
        <v>0</v>
      </c>
      <c r="E69" s="767">
        <f>IF($D$3=0,0,IF('Individual Measure List'!$I66="yes", D69/D$3, 0))</f>
        <v>0</v>
      </c>
      <c r="F69" s="766">
        <f>'EEM Data Entry'!I141*'Savings Summary'!$F$3</f>
        <v>0</v>
      </c>
      <c r="G69" s="767">
        <f>IF($F$3=0,0,IF('Individual Measure List'!$I66="yes", F69/F$3, 0))</f>
        <v>0</v>
      </c>
      <c r="H69" s="766">
        <f>'EEM Data Entry'!J141*$H$3</f>
        <v>0</v>
      </c>
      <c r="I69" s="767">
        <f>IF($H$3=0,0,IF('Individual Measure List'!$I66="yes", H69/H$3, 0))</f>
        <v>0</v>
      </c>
      <c r="J69" s="766">
        <f>'EEM Data Entry'!K141*'Savings Summary'!$J$3</f>
        <v>0</v>
      </c>
      <c r="K69" s="767">
        <f>IF($J$3=0,0,IF('Individual Measure List'!$I66="yes", J69/J$3, 0))</f>
        <v>0</v>
      </c>
      <c r="L69" s="766">
        <f>'EEM Data Entry'!L141*'Savings Summary'!$L$3</f>
        <v>0</v>
      </c>
      <c r="M69" s="767">
        <f>IF($L$3=0,0,IF('Individual Measure List'!$I66="yes", L69/L$3, 0))</f>
        <v>0</v>
      </c>
      <c r="N69" s="766">
        <f>'EEM Data Entry'!M141*'Savings Summary'!$N$3</f>
        <v>0</v>
      </c>
      <c r="O69" s="767">
        <f>IF($N$3=0,0,IF('Individual Measure List'!$I66="yes", N69/N$3, 0))</f>
        <v>0</v>
      </c>
      <c r="P69" s="766">
        <f>'EEM Data Entry'!N141*'Savings Summary'!$P$3</f>
        <v>0</v>
      </c>
      <c r="Q69" s="767">
        <f>IF($P$3=0,0,IF('Individual Measure List'!$I66="yes", P69/P$3, 0))</f>
        <v>0</v>
      </c>
      <c r="R69" s="766">
        <f>'EEM Data Entry'!O141*'Savings Summary'!$R$3</f>
        <v>0</v>
      </c>
      <c r="S69" s="767">
        <f>IF($R$3=0,0,IF('Individual Measure List'!$I66="yes", R69/R$3, 0))</f>
        <v>0</v>
      </c>
      <c r="T69" s="766">
        <f t="shared" ref="T69:T82" si="6">SUM((D69*$D$2),(F69*$F$2),(H69*$H$2),(J69*$J$2),(L69*$L$2),(N69*$N$2),(P69*$P$2),(R69*$R$2))</f>
        <v>0</v>
      </c>
      <c r="U69" s="767">
        <f>IF(T$3&gt;0, T69/T$3, 0)</f>
        <v>0</v>
      </c>
      <c r="V69" s="623" t="e">
        <f>'Individual Measure List'!I66</f>
        <v>#VALUE!</v>
      </c>
    </row>
    <row r="70" spans="1:22" ht="20.25" customHeight="1" x14ac:dyDescent="0.3">
      <c r="A70" s="755"/>
      <c r="B70" s="786" t="str">
        <f>'EEM Data Entry'!A142</f>
        <v/>
      </c>
      <c r="C70" s="790" t="str">
        <f>'EEM Data Entry'!B142</f>
        <v/>
      </c>
      <c r="D70" s="766">
        <f>'EEM Data Entry'!H142*'Savings Summary'!$D$3</f>
        <v>0</v>
      </c>
      <c r="E70" s="767">
        <f>IF($D$3=0,0,IF('Individual Measure List'!$I67="yes", D70/D$3, 0))</f>
        <v>0</v>
      </c>
      <c r="F70" s="766">
        <f>'EEM Data Entry'!I142*'Savings Summary'!$F$3</f>
        <v>0</v>
      </c>
      <c r="G70" s="767">
        <f>IF($F$3=0,0,IF('Individual Measure List'!$I67="yes", F70/F$3, 0))</f>
        <v>0</v>
      </c>
      <c r="H70" s="766">
        <f>'EEM Data Entry'!J142*$H$3</f>
        <v>0</v>
      </c>
      <c r="I70" s="767">
        <f>IF($H$3=0,0,IF('Individual Measure List'!$I67="yes", H70/H$3, 0))</f>
        <v>0</v>
      </c>
      <c r="J70" s="766">
        <f>'EEM Data Entry'!K142*'Savings Summary'!$J$3</f>
        <v>0</v>
      </c>
      <c r="K70" s="767">
        <f>IF($J$3=0,0,IF('Individual Measure List'!$I67="yes", J70/J$3, 0))</f>
        <v>0</v>
      </c>
      <c r="L70" s="766">
        <f>'EEM Data Entry'!L142*'Savings Summary'!$L$3</f>
        <v>0</v>
      </c>
      <c r="M70" s="767">
        <f>IF($L$3=0,0,IF('Individual Measure List'!$I67="yes", L70/L$3, 0))</f>
        <v>0</v>
      </c>
      <c r="N70" s="766">
        <f>'EEM Data Entry'!M142*'Savings Summary'!$N$3</f>
        <v>0</v>
      </c>
      <c r="O70" s="767">
        <f>IF($N$3=0,0,IF('Individual Measure List'!$I67="yes", N70/N$3, 0))</f>
        <v>0</v>
      </c>
      <c r="P70" s="766">
        <f>'EEM Data Entry'!N142*'Savings Summary'!$P$3</f>
        <v>0</v>
      </c>
      <c r="Q70" s="767">
        <f>IF($P$3=0,0,IF('Individual Measure List'!$I67="yes", P70/P$3, 0))</f>
        <v>0</v>
      </c>
      <c r="R70" s="766">
        <f>'EEM Data Entry'!O142*'Savings Summary'!$R$3</f>
        <v>0</v>
      </c>
      <c r="S70" s="767">
        <f>IF($R$3=0,0,IF('Individual Measure List'!$I67="yes", R70/R$3, 0))</f>
        <v>0</v>
      </c>
      <c r="T70" s="766">
        <f t="shared" si="6"/>
        <v>0</v>
      </c>
      <c r="U70" s="767">
        <f t="shared" ref="U70:U82" si="7">IF(T$3&gt;0, T70/T$3, 0)</f>
        <v>0</v>
      </c>
      <c r="V70" s="623" t="e">
        <f>'Individual Measure List'!I67</f>
        <v>#VALUE!</v>
      </c>
    </row>
    <row r="71" spans="1:22" ht="20.25" customHeight="1" x14ac:dyDescent="0.3">
      <c r="A71" s="755"/>
      <c r="B71" s="786" t="str">
        <f>'EEM Data Entry'!A143</f>
        <v/>
      </c>
      <c r="C71" s="790" t="str">
        <f>'EEM Data Entry'!B143</f>
        <v/>
      </c>
      <c r="D71" s="766">
        <f>'EEM Data Entry'!H143*'Savings Summary'!$D$3</f>
        <v>0</v>
      </c>
      <c r="E71" s="767">
        <f>IF($D$3=0,0,IF('Individual Measure List'!$I68="yes", D71/D$3, 0))</f>
        <v>0</v>
      </c>
      <c r="F71" s="766">
        <f>'EEM Data Entry'!I143*'Savings Summary'!$F$3</f>
        <v>0</v>
      </c>
      <c r="G71" s="767">
        <f>IF($F$3=0,0,IF('Individual Measure List'!$I68="yes", F71/F$3, 0))</f>
        <v>0</v>
      </c>
      <c r="H71" s="766">
        <f>'EEM Data Entry'!J143*$H$3</f>
        <v>0</v>
      </c>
      <c r="I71" s="767">
        <f>IF($H$3=0,0,IF('Individual Measure List'!$I68="yes", H71/H$3, 0))</f>
        <v>0</v>
      </c>
      <c r="J71" s="766">
        <f>'EEM Data Entry'!K143*'Savings Summary'!$J$3</f>
        <v>0</v>
      </c>
      <c r="K71" s="767">
        <f>IF($J$3=0,0,IF('Individual Measure List'!$I68="yes", J71/J$3, 0))</f>
        <v>0</v>
      </c>
      <c r="L71" s="766">
        <f>'EEM Data Entry'!L143*'Savings Summary'!$L$3</f>
        <v>0</v>
      </c>
      <c r="M71" s="767">
        <f>IF($L$3=0,0,IF('Individual Measure List'!$I68="yes", L71/L$3, 0))</f>
        <v>0</v>
      </c>
      <c r="N71" s="766">
        <f>'EEM Data Entry'!M143*'Savings Summary'!$N$3</f>
        <v>0</v>
      </c>
      <c r="O71" s="767">
        <f>IF($N$3=0,0,IF('Individual Measure List'!$I68="yes", N71/N$3, 0))</f>
        <v>0</v>
      </c>
      <c r="P71" s="766">
        <f>'EEM Data Entry'!N143*'Savings Summary'!$P$3</f>
        <v>0</v>
      </c>
      <c r="Q71" s="767">
        <f>IF($P$3=0,0,IF('Individual Measure List'!$I68="yes", P71/P$3, 0))</f>
        <v>0</v>
      </c>
      <c r="R71" s="766">
        <f>'EEM Data Entry'!O143*'Savings Summary'!$R$3</f>
        <v>0</v>
      </c>
      <c r="S71" s="767">
        <f>IF($R$3=0,0,IF('Individual Measure List'!$I68="yes", R71/R$3, 0))</f>
        <v>0</v>
      </c>
      <c r="T71" s="766">
        <f t="shared" si="6"/>
        <v>0</v>
      </c>
      <c r="U71" s="767">
        <f>IF(T$3&gt;0, T71/T$3, 0)</f>
        <v>0</v>
      </c>
      <c r="V71" s="623" t="e">
        <f>'Individual Measure List'!I68</f>
        <v>#VALUE!</v>
      </c>
    </row>
    <row r="72" spans="1:22" ht="20.25" customHeight="1" x14ac:dyDescent="0.3">
      <c r="A72" s="755"/>
      <c r="B72" s="786" t="str">
        <f>'EEM Data Entry'!A144</f>
        <v/>
      </c>
      <c r="C72" s="790" t="str">
        <f>'EEM Data Entry'!B144</f>
        <v/>
      </c>
      <c r="D72" s="766">
        <f>'EEM Data Entry'!H144*'Savings Summary'!$D$3</f>
        <v>0</v>
      </c>
      <c r="E72" s="767">
        <f>IF($D$3=0,0,IF('Individual Measure List'!$I69="yes", D72/D$3, 0))</f>
        <v>0</v>
      </c>
      <c r="F72" s="766">
        <f>'EEM Data Entry'!I144*'Savings Summary'!$F$3</f>
        <v>0</v>
      </c>
      <c r="G72" s="767">
        <f>IF($F$3=0,0,IF('Individual Measure List'!$I69="yes", F72/F$3, 0))</f>
        <v>0</v>
      </c>
      <c r="H72" s="766">
        <f>'EEM Data Entry'!J144*$H$3</f>
        <v>0</v>
      </c>
      <c r="I72" s="767">
        <f>IF($H$3=0,0,IF('Individual Measure List'!$I69="yes", H72/H$3, 0))</f>
        <v>0</v>
      </c>
      <c r="J72" s="766">
        <f>'EEM Data Entry'!K144*'Savings Summary'!$J$3</f>
        <v>0</v>
      </c>
      <c r="K72" s="767">
        <f>IF($J$3=0,0,IF('Individual Measure List'!$I69="yes", J72/J$3, 0))</f>
        <v>0</v>
      </c>
      <c r="L72" s="766">
        <f>'EEM Data Entry'!L144*'Savings Summary'!$L$3</f>
        <v>0</v>
      </c>
      <c r="M72" s="767">
        <f>IF($L$3=0,0,IF('Individual Measure List'!$I69="yes", L72/L$3, 0))</f>
        <v>0</v>
      </c>
      <c r="N72" s="766">
        <f>'EEM Data Entry'!M144*'Savings Summary'!$N$3</f>
        <v>0</v>
      </c>
      <c r="O72" s="767">
        <f>IF($N$3=0,0,IF('Individual Measure List'!$I69="yes", N72/N$3, 0))</f>
        <v>0</v>
      </c>
      <c r="P72" s="766">
        <f>'EEM Data Entry'!N144*'Savings Summary'!$P$3</f>
        <v>0</v>
      </c>
      <c r="Q72" s="767">
        <f>IF($P$3=0,0,IF('Individual Measure List'!$I69="yes", P72/P$3, 0))</f>
        <v>0</v>
      </c>
      <c r="R72" s="766">
        <f>'EEM Data Entry'!O144*'Savings Summary'!$R$3</f>
        <v>0</v>
      </c>
      <c r="S72" s="767">
        <f>IF($R$3=0,0,IF('Individual Measure List'!$I69="yes", R72/R$3, 0))</f>
        <v>0</v>
      </c>
      <c r="T72" s="766">
        <f>SUM((D72*$D$2),(F72*$F$2),(H72*$H$2),(J72*$J$2),(L72*$L$2),(N72*$N$2),(P72*$P$2),(R72*$R$2))</f>
        <v>0</v>
      </c>
      <c r="U72" s="767">
        <f t="shared" si="7"/>
        <v>0</v>
      </c>
      <c r="V72" s="623" t="e">
        <f>'Individual Measure List'!I69</f>
        <v>#VALUE!</v>
      </c>
    </row>
    <row r="73" spans="1:22" ht="20.25" customHeight="1" x14ac:dyDescent="0.3">
      <c r="A73" s="755"/>
      <c r="B73" s="786" t="str">
        <f>'EEM Data Entry'!A145</f>
        <v/>
      </c>
      <c r="C73" s="790" t="str">
        <f>'EEM Data Entry'!B145</f>
        <v/>
      </c>
      <c r="D73" s="766">
        <f>'EEM Data Entry'!H145*'Savings Summary'!$D$3</f>
        <v>0</v>
      </c>
      <c r="E73" s="767">
        <f>IF($D$3=0,0,IF('Individual Measure List'!$I70="yes", D73/D$3, 0))</f>
        <v>0</v>
      </c>
      <c r="F73" s="766">
        <f>'EEM Data Entry'!I145*'Savings Summary'!$F$3</f>
        <v>0</v>
      </c>
      <c r="G73" s="767">
        <f>IF($F$3=0,0,IF('Individual Measure List'!$I70="yes", F73/F$3, 0))</f>
        <v>0</v>
      </c>
      <c r="H73" s="766">
        <f>'EEM Data Entry'!J145*$H$3</f>
        <v>0</v>
      </c>
      <c r="I73" s="767">
        <f>IF($H$3=0,0,IF('Individual Measure List'!$I70="yes", H73/H$3, 0))</f>
        <v>0</v>
      </c>
      <c r="J73" s="766">
        <f>'EEM Data Entry'!K145*'Savings Summary'!$J$3</f>
        <v>0</v>
      </c>
      <c r="K73" s="767">
        <f>IF($J$3=0,0,IF('Individual Measure List'!$I70="yes", J73/J$3, 0))</f>
        <v>0</v>
      </c>
      <c r="L73" s="766">
        <f>'EEM Data Entry'!L145*'Savings Summary'!$L$3</f>
        <v>0</v>
      </c>
      <c r="M73" s="767">
        <f>IF($L$3=0,0,IF('Individual Measure List'!$I70="yes", L73/L$3, 0))</f>
        <v>0</v>
      </c>
      <c r="N73" s="766">
        <f>'EEM Data Entry'!M145*'Savings Summary'!$N$3</f>
        <v>0</v>
      </c>
      <c r="O73" s="767">
        <f>IF($N$3=0,0,IF('Individual Measure List'!$I70="yes", N73/N$3, 0))</f>
        <v>0</v>
      </c>
      <c r="P73" s="766">
        <f>'EEM Data Entry'!N145*'Savings Summary'!$P$3</f>
        <v>0</v>
      </c>
      <c r="Q73" s="767">
        <f>IF($P$3=0,0,IF('Individual Measure List'!$I70="yes", P73/P$3, 0))</f>
        <v>0</v>
      </c>
      <c r="R73" s="766">
        <f>'EEM Data Entry'!O145*'Savings Summary'!$R$3</f>
        <v>0</v>
      </c>
      <c r="S73" s="767">
        <f>IF($R$3=0,0,IF('Individual Measure List'!$I70="yes", R73/R$3, 0))</f>
        <v>0</v>
      </c>
      <c r="T73" s="766">
        <f t="shared" si="6"/>
        <v>0</v>
      </c>
      <c r="U73" s="767">
        <f t="shared" si="7"/>
        <v>0</v>
      </c>
      <c r="V73" s="623" t="e">
        <f>'Individual Measure List'!I70</f>
        <v>#VALUE!</v>
      </c>
    </row>
    <row r="74" spans="1:22" ht="20.25" customHeight="1" x14ac:dyDescent="0.3">
      <c r="A74" s="755"/>
      <c r="B74" s="786" t="str">
        <f>'EEM Data Entry'!A146</f>
        <v/>
      </c>
      <c r="C74" s="790" t="str">
        <f>'EEM Data Entry'!B146</f>
        <v/>
      </c>
      <c r="D74" s="766">
        <f>'EEM Data Entry'!H146*'Savings Summary'!$D$3</f>
        <v>0</v>
      </c>
      <c r="E74" s="767">
        <f>IF($D$3=0,0,IF('Individual Measure List'!$I71="yes", D74/D$3, 0))</f>
        <v>0</v>
      </c>
      <c r="F74" s="766">
        <f>'EEM Data Entry'!I146*'Savings Summary'!$F$3</f>
        <v>0</v>
      </c>
      <c r="G74" s="767">
        <f>IF($F$3=0,0,IF('Individual Measure List'!$I71="yes", F74/F$3, 0))</f>
        <v>0</v>
      </c>
      <c r="H74" s="766">
        <f>'EEM Data Entry'!J146*$H$3</f>
        <v>0</v>
      </c>
      <c r="I74" s="767">
        <f>IF($H$3=0,0,IF('Individual Measure List'!$I71="yes", H74/H$3, 0))</f>
        <v>0</v>
      </c>
      <c r="J74" s="766">
        <f>'EEM Data Entry'!K146*'Savings Summary'!$J$3</f>
        <v>0</v>
      </c>
      <c r="K74" s="767">
        <f>IF($J$3=0,0,IF('Individual Measure List'!$I71="yes", J74/J$3, 0))</f>
        <v>0</v>
      </c>
      <c r="L74" s="766">
        <f>'EEM Data Entry'!L146*'Savings Summary'!$L$3</f>
        <v>0</v>
      </c>
      <c r="M74" s="767">
        <f>IF($L$3=0,0,IF('Individual Measure List'!$I71="yes", L74/L$3, 0))</f>
        <v>0</v>
      </c>
      <c r="N74" s="766">
        <f>'EEM Data Entry'!M146*'Savings Summary'!$N$3</f>
        <v>0</v>
      </c>
      <c r="O74" s="767">
        <f>IF($N$3=0,0,IF('Individual Measure List'!$I71="yes", N74/N$3, 0))</f>
        <v>0</v>
      </c>
      <c r="P74" s="766">
        <f>'EEM Data Entry'!N146*'Savings Summary'!$P$3</f>
        <v>0</v>
      </c>
      <c r="Q74" s="767">
        <f>IF($P$3=0,0,IF('Individual Measure List'!$I71="yes", P74/P$3, 0))</f>
        <v>0</v>
      </c>
      <c r="R74" s="766">
        <f>'EEM Data Entry'!O146*'Savings Summary'!$R$3</f>
        <v>0</v>
      </c>
      <c r="S74" s="767">
        <f>IF($R$3=0,0,IF('Individual Measure List'!$I71="yes", R74/R$3, 0))</f>
        <v>0</v>
      </c>
      <c r="T74" s="766">
        <f t="shared" si="6"/>
        <v>0</v>
      </c>
      <c r="U74" s="767">
        <f t="shared" si="7"/>
        <v>0</v>
      </c>
      <c r="V74" s="623" t="e">
        <f>'Individual Measure List'!I71</f>
        <v>#VALUE!</v>
      </c>
    </row>
    <row r="75" spans="1:22" ht="20.25" customHeight="1" x14ac:dyDescent="0.3">
      <c r="A75" s="755"/>
      <c r="B75" s="786" t="str">
        <f>'EEM Data Entry'!A147</f>
        <v/>
      </c>
      <c r="C75" s="790" t="str">
        <f>'EEM Data Entry'!B147</f>
        <v/>
      </c>
      <c r="D75" s="766">
        <f>'EEM Data Entry'!H147*'Savings Summary'!$D$3</f>
        <v>0</v>
      </c>
      <c r="E75" s="767">
        <f>IF($D$3=0,0,IF('Individual Measure List'!$I72="yes", D75/D$3, 0))</f>
        <v>0</v>
      </c>
      <c r="F75" s="766">
        <f>'EEM Data Entry'!I147*'Savings Summary'!$F$3</f>
        <v>0</v>
      </c>
      <c r="G75" s="767">
        <f>IF($F$3=0,0,IF('Individual Measure List'!$I72="yes", F75/F$3, 0))</f>
        <v>0</v>
      </c>
      <c r="H75" s="766">
        <f>'EEM Data Entry'!J147*$H$3</f>
        <v>0</v>
      </c>
      <c r="I75" s="767">
        <f>IF($H$3=0,0,IF('Individual Measure List'!$I72="yes", H75/H$3, 0))</f>
        <v>0</v>
      </c>
      <c r="J75" s="766">
        <f>'EEM Data Entry'!K147*'Savings Summary'!$J$3</f>
        <v>0</v>
      </c>
      <c r="K75" s="767">
        <f>IF($J$3=0,0,IF('Individual Measure List'!$I72="yes", J75/J$3, 0))</f>
        <v>0</v>
      </c>
      <c r="L75" s="766">
        <f>'EEM Data Entry'!L147*'Savings Summary'!$L$3</f>
        <v>0</v>
      </c>
      <c r="M75" s="767">
        <f>IF($L$3=0,0,IF('Individual Measure List'!$I72="yes", L75/L$3, 0))</f>
        <v>0</v>
      </c>
      <c r="N75" s="766">
        <f>'EEM Data Entry'!M147*'Savings Summary'!$N$3</f>
        <v>0</v>
      </c>
      <c r="O75" s="767">
        <f>IF($N$3=0,0,IF('Individual Measure List'!$I72="yes", N75/N$3, 0))</f>
        <v>0</v>
      </c>
      <c r="P75" s="766">
        <f>'EEM Data Entry'!N147*'Savings Summary'!$P$3</f>
        <v>0</v>
      </c>
      <c r="Q75" s="767">
        <f>IF($P$3=0,0,IF('Individual Measure List'!$I72="yes", P75/P$3, 0))</f>
        <v>0</v>
      </c>
      <c r="R75" s="766">
        <f>'EEM Data Entry'!O147*'Savings Summary'!$R$3</f>
        <v>0</v>
      </c>
      <c r="S75" s="767">
        <f>IF($R$3=0,0,IF('Individual Measure List'!$I72="yes", R75/R$3, 0))</f>
        <v>0</v>
      </c>
      <c r="T75" s="766">
        <f t="shared" si="6"/>
        <v>0</v>
      </c>
      <c r="U75" s="767">
        <f t="shared" si="7"/>
        <v>0</v>
      </c>
      <c r="V75" s="623" t="e">
        <f>'Individual Measure List'!I72</f>
        <v>#VALUE!</v>
      </c>
    </row>
    <row r="76" spans="1:22" ht="20.25" customHeight="1" x14ac:dyDescent="0.3">
      <c r="A76" s="755"/>
      <c r="B76" s="786" t="str">
        <f>'EEM Data Entry'!A148</f>
        <v/>
      </c>
      <c r="C76" s="790" t="str">
        <f>'EEM Data Entry'!B148</f>
        <v/>
      </c>
      <c r="D76" s="766">
        <f>'EEM Data Entry'!H148*'Savings Summary'!$D$3</f>
        <v>0</v>
      </c>
      <c r="E76" s="767">
        <f>IF($D$3=0,0,IF('Individual Measure List'!$I73="yes", D76/D$3, 0))</f>
        <v>0</v>
      </c>
      <c r="F76" s="766">
        <f>'EEM Data Entry'!I148*'Savings Summary'!$F$3</f>
        <v>0</v>
      </c>
      <c r="G76" s="767">
        <f>IF($F$3=0,0,IF('Individual Measure List'!$I73="yes", F76/F$3, 0))</f>
        <v>0</v>
      </c>
      <c r="H76" s="766">
        <f>'EEM Data Entry'!J148*$H$3</f>
        <v>0</v>
      </c>
      <c r="I76" s="767">
        <f>IF($H$3=0,0,IF('Individual Measure List'!$I73="yes", H76/H$3, 0))</f>
        <v>0</v>
      </c>
      <c r="J76" s="766">
        <f>'EEM Data Entry'!K148*'Savings Summary'!$J$3</f>
        <v>0</v>
      </c>
      <c r="K76" s="767">
        <f>IF($J$3=0,0,IF('Individual Measure List'!$I73="yes", J76/J$3, 0))</f>
        <v>0</v>
      </c>
      <c r="L76" s="766">
        <f>'EEM Data Entry'!L148*'Savings Summary'!$L$3</f>
        <v>0</v>
      </c>
      <c r="M76" s="767">
        <f>IF($L$3=0,0,IF('Individual Measure List'!$I73="yes", L76/L$3, 0))</f>
        <v>0</v>
      </c>
      <c r="N76" s="766">
        <f>'EEM Data Entry'!M148*'Savings Summary'!$N$3</f>
        <v>0</v>
      </c>
      <c r="O76" s="767">
        <f>IF($N$3=0,0,IF('Individual Measure List'!$I73="yes", N76/N$3, 0))</f>
        <v>0</v>
      </c>
      <c r="P76" s="766">
        <f>'EEM Data Entry'!N148*'Savings Summary'!$P$3</f>
        <v>0</v>
      </c>
      <c r="Q76" s="767">
        <f>IF($P$3=0,0,IF('Individual Measure List'!$I73="yes", P76/P$3, 0))</f>
        <v>0</v>
      </c>
      <c r="R76" s="766">
        <f>'EEM Data Entry'!O148*'Savings Summary'!$R$3</f>
        <v>0</v>
      </c>
      <c r="S76" s="767">
        <f>IF($R$3=0,0,IF('Individual Measure List'!$I73="yes", R76/R$3, 0))</f>
        <v>0</v>
      </c>
      <c r="T76" s="766">
        <f t="shared" si="6"/>
        <v>0</v>
      </c>
      <c r="U76" s="767">
        <f t="shared" si="7"/>
        <v>0</v>
      </c>
      <c r="V76" s="623" t="e">
        <f>'Individual Measure List'!I73</f>
        <v>#VALUE!</v>
      </c>
    </row>
    <row r="77" spans="1:22" ht="20.25" customHeight="1" x14ac:dyDescent="0.3">
      <c r="A77" s="755"/>
      <c r="B77" s="786" t="str">
        <f>'EEM Data Entry'!A149</f>
        <v/>
      </c>
      <c r="C77" s="790" t="str">
        <f>'EEM Data Entry'!B149</f>
        <v/>
      </c>
      <c r="D77" s="766">
        <f>'EEM Data Entry'!H149*'Savings Summary'!$D$3</f>
        <v>0</v>
      </c>
      <c r="E77" s="767">
        <f>IF($D$3=0,0,IF('Individual Measure List'!$I74="yes", D77/D$3, 0))</f>
        <v>0</v>
      </c>
      <c r="F77" s="766">
        <f>'EEM Data Entry'!I149*'Savings Summary'!$F$3</f>
        <v>0</v>
      </c>
      <c r="G77" s="767">
        <f>IF($F$3=0,0,IF('Individual Measure List'!$I74="yes", F77/F$3, 0))</f>
        <v>0</v>
      </c>
      <c r="H77" s="766">
        <f>'EEM Data Entry'!J149*$H$3</f>
        <v>0</v>
      </c>
      <c r="I77" s="767">
        <f>IF($H$3=0,0,IF('Individual Measure List'!$I74="yes", H77/H$3, 0))</f>
        <v>0</v>
      </c>
      <c r="J77" s="766">
        <f>'EEM Data Entry'!K149*'Savings Summary'!$J$3</f>
        <v>0</v>
      </c>
      <c r="K77" s="767">
        <f>IF($J$3=0,0,IF('Individual Measure List'!$I74="yes", J77/J$3, 0))</f>
        <v>0</v>
      </c>
      <c r="L77" s="766">
        <f>'EEM Data Entry'!L149*'Savings Summary'!$L$3</f>
        <v>0</v>
      </c>
      <c r="M77" s="767">
        <f>IF($L$3=0,0,IF('Individual Measure List'!$I74="yes", L77/L$3, 0))</f>
        <v>0</v>
      </c>
      <c r="N77" s="766">
        <f>'EEM Data Entry'!M149*'Savings Summary'!$N$3</f>
        <v>0</v>
      </c>
      <c r="O77" s="767">
        <f>IF($N$3=0,0,IF('Individual Measure List'!$I74="yes", N77/N$3, 0))</f>
        <v>0</v>
      </c>
      <c r="P77" s="766">
        <f>'EEM Data Entry'!N149*'Savings Summary'!$P$3</f>
        <v>0</v>
      </c>
      <c r="Q77" s="767">
        <f>IF($P$3=0,0,IF('Individual Measure List'!$I74="yes", P77/P$3, 0))</f>
        <v>0</v>
      </c>
      <c r="R77" s="766">
        <f>'EEM Data Entry'!O149*'Savings Summary'!$R$3</f>
        <v>0</v>
      </c>
      <c r="S77" s="767">
        <f>IF($R$3=0,0,IF('Individual Measure List'!$I74="yes", R77/R$3, 0))</f>
        <v>0</v>
      </c>
      <c r="T77" s="766">
        <f t="shared" si="6"/>
        <v>0</v>
      </c>
      <c r="U77" s="767">
        <f t="shared" si="7"/>
        <v>0</v>
      </c>
      <c r="V77" s="623" t="e">
        <f>'Individual Measure List'!I74</f>
        <v>#VALUE!</v>
      </c>
    </row>
    <row r="78" spans="1:22" ht="20.25" customHeight="1" x14ac:dyDescent="0.3">
      <c r="A78" s="755"/>
      <c r="B78" s="786" t="str">
        <f>'EEM Data Entry'!A150</f>
        <v/>
      </c>
      <c r="C78" s="790" t="str">
        <f>'EEM Data Entry'!B150</f>
        <v/>
      </c>
      <c r="D78" s="766">
        <f>'EEM Data Entry'!H150*'Savings Summary'!$D$3</f>
        <v>0</v>
      </c>
      <c r="E78" s="767">
        <f>IF($D$3=0,0,IF('Individual Measure List'!$I75="yes", D78/D$3, 0))</f>
        <v>0</v>
      </c>
      <c r="F78" s="766">
        <f>'EEM Data Entry'!I150*'Savings Summary'!$F$3</f>
        <v>0</v>
      </c>
      <c r="G78" s="767">
        <f>IF($F$3=0,0,IF('Individual Measure List'!$I75="yes", F78/F$3, 0))</f>
        <v>0</v>
      </c>
      <c r="H78" s="766">
        <f>'EEM Data Entry'!J150*$H$3</f>
        <v>0</v>
      </c>
      <c r="I78" s="767">
        <f>IF($H$3=0,0,IF('Individual Measure List'!$I75="yes", H78/H$3, 0))</f>
        <v>0</v>
      </c>
      <c r="J78" s="766">
        <f>'EEM Data Entry'!K150*'Savings Summary'!$J$3</f>
        <v>0</v>
      </c>
      <c r="K78" s="767">
        <f>IF($J$3=0,0,IF('Individual Measure List'!$I75="yes", J78/J$3, 0))</f>
        <v>0</v>
      </c>
      <c r="L78" s="766">
        <f>'EEM Data Entry'!L150*'Savings Summary'!$L$3</f>
        <v>0</v>
      </c>
      <c r="M78" s="767">
        <f>IF($L$3=0,0,IF('Individual Measure List'!$I75="yes", L78/L$3, 0))</f>
        <v>0</v>
      </c>
      <c r="N78" s="766">
        <f>'EEM Data Entry'!M150*'Savings Summary'!$N$3</f>
        <v>0</v>
      </c>
      <c r="O78" s="767">
        <f>IF($N$3=0,0,IF('Individual Measure List'!$I75="yes", N78/N$3, 0))</f>
        <v>0</v>
      </c>
      <c r="P78" s="766">
        <f>'EEM Data Entry'!N150*'Savings Summary'!$P$3</f>
        <v>0</v>
      </c>
      <c r="Q78" s="767">
        <f>IF($P$3=0,0,IF('Individual Measure List'!$I75="yes", P78/P$3, 0))</f>
        <v>0</v>
      </c>
      <c r="R78" s="766">
        <f>'EEM Data Entry'!O150*'Savings Summary'!$R$3</f>
        <v>0</v>
      </c>
      <c r="S78" s="767">
        <f>IF($R$3=0,0,IF('Individual Measure List'!$I75="yes", R78/R$3, 0))</f>
        <v>0</v>
      </c>
      <c r="T78" s="766">
        <f t="shared" si="6"/>
        <v>0</v>
      </c>
      <c r="U78" s="767">
        <f t="shared" si="7"/>
        <v>0</v>
      </c>
      <c r="V78" s="623" t="e">
        <f>'Individual Measure List'!I75</f>
        <v>#VALUE!</v>
      </c>
    </row>
    <row r="79" spans="1:22" ht="20.25" customHeight="1" x14ac:dyDescent="0.3">
      <c r="A79" s="755"/>
      <c r="B79" s="786" t="str">
        <f>'EEM Data Entry'!A151</f>
        <v/>
      </c>
      <c r="C79" s="790" t="str">
        <f>'EEM Data Entry'!B151</f>
        <v/>
      </c>
      <c r="D79" s="766">
        <f>'EEM Data Entry'!H151*'Savings Summary'!$D$3</f>
        <v>0</v>
      </c>
      <c r="E79" s="767">
        <f>IF($D$3=0,0,IF('Individual Measure List'!$I76="yes", D79/D$3, 0))</f>
        <v>0</v>
      </c>
      <c r="F79" s="766">
        <f>'EEM Data Entry'!I151*'Savings Summary'!$F$3</f>
        <v>0</v>
      </c>
      <c r="G79" s="767">
        <f>IF($F$3=0,0,IF('Individual Measure List'!$I76="yes", F79/F$3, 0))</f>
        <v>0</v>
      </c>
      <c r="H79" s="766">
        <f>'EEM Data Entry'!J151*$H$3</f>
        <v>0</v>
      </c>
      <c r="I79" s="767">
        <f>IF($H$3=0,0,IF('Individual Measure List'!$I76="yes", H79/H$3, 0))</f>
        <v>0</v>
      </c>
      <c r="J79" s="766">
        <f>'EEM Data Entry'!K151*'Savings Summary'!$J$3</f>
        <v>0</v>
      </c>
      <c r="K79" s="767">
        <f>IF($J$3=0,0,IF('Individual Measure List'!$I76="yes", J79/J$3, 0))</f>
        <v>0</v>
      </c>
      <c r="L79" s="766">
        <f>'EEM Data Entry'!L151*'Savings Summary'!$L$3</f>
        <v>0</v>
      </c>
      <c r="M79" s="767">
        <f>IF($L$3=0,0,IF('Individual Measure List'!$I76="yes", L79/L$3, 0))</f>
        <v>0</v>
      </c>
      <c r="N79" s="766">
        <f>'EEM Data Entry'!M151*'Savings Summary'!$N$3</f>
        <v>0</v>
      </c>
      <c r="O79" s="767">
        <f>IF($N$3=0,0,IF('Individual Measure List'!$I76="yes", N79/N$3, 0))</f>
        <v>0</v>
      </c>
      <c r="P79" s="766">
        <f>'EEM Data Entry'!N151*'Savings Summary'!$P$3</f>
        <v>0</v>
      </c>
      <c r="Q79" s="767">
        <f>IF($P$3=0,0,IF('Individual Measure List'!$I76="yes", P79/P$3, 0))</f>
        <v>0</v>
      </c>
      <c r="R79" s="766">
        <f>'EEM Data Entry'!O151*'Savings Summary'!$R$3</f>
        <v>0</v>
      </c>
      <c r="S79" s="767">
        <f>IF($R$3=0,0,IF('Individual Measure List'!$I76="yes", R79/R$3, 0))</f>
        <v>0</v>
      </c>
      <c r="T79" s="766">
        <f t="shared" si="6"/>
        <v>0</v>
      </c>
      <c r="U79" s="767">
        <f t="shared" si="7"/>
        <v>0</v>
      </c>
      <c r="V79" s="623" t="e">
        <f>'Individual Measure List'!I76</f>
        <v>#VALUE!</v>
      </c>
    </row>
    <row r="80" spans="1:22" ht="20.25" customHeight="1" x14ac:dyDescent="0.3">
      <c r="A80" s="755"/>
      <c r="B80" s="786" t="str">
        <f>'EEM Data Entry'!A152</f>
        <v/>
      </c>
      <c r="C80" s="790" t="str">
        <f>'EEM Data Entry'!B152</f>
        <v/>
      </c>
      <c r="D80" s="766">
        <f>'EEM Data Entry'!H152*'Savings Summary'!$D$3</f>
        <v>0</v>
      </c>
      <c r="E80" s="767">
        <f>IF($D$3=0,0,IF('Individual Measure List'!$I77="yes", D80/D$3, 0))</f>
        <v>0</v>
      </c>
      <c r="F80" s="766">
        <f>'EEM Data Entry'!I152*'Savings Summary'!$F$3</f>
        <v>0</v>
      </c>
      <c r="G80" s="767">
        <f>IF($F$3=0,0,IF('Individual Measure List'!$I77="yes", F80/F$3, 0))</f>
        <v>0</v>
      </c>
      <c r="H80" s="766">
        <f>'EEM Data Entry'!J152*$H$3</f>
        <v>0</v>
      </c>
      <c r="I80" s="767">
        <f>IF($H$3=0,0,IF('Individual Measure List'!$I77="yes", H80/H$3, 0))</f>
        <v>0</v>
      </c>
      <c r="J80" s="766">
        <f>'EEM Data Entry'!K152*'Savings Summary'!$J$3</f>
        <v>0</v>
      </c>
      <c r="K80" s="767">
        <f>IF($J$3=0,0,IF('Individual Measure List'!$I77="yes", J80/J$3, 0))</f>
        <v>0</v>
      </c>
      <c r="L80" s="766">
        <f>'EEM Data Entry'!L152*'Savings Summary'!$L$3</f>
        <v>0</v>
      </c>
      <c r="M80" s="767">
        <f>IF($L$3=0,0,IF('Individual Measure List'!$I77="yes", L80/L$3, 0))</f>
        <v>0</v>
      </c>
      <c r="N80" s="766">
        <f>'EEM Data Entry'!M152*'Savings Summary'!$N$3</f>
        <v>0</v>
      </c>
      <c r="O80" s="767">
        <f>IF($N$3=0,0,IF('Individual Measure List'!$I77="yes", N80/N$3, 0))</f>
        <v>0</v>
      </c>
      <c r="P80" s="766">
        <f>'EEM Data Entry'!N152*'Savings Summary'!$P$3</f>
        <v>0</v>
      </c>
      <c r="Q80" s="767">
        <f>IF($P$3=0,0,IF('Individual Measure List'!$I77="yes", P80/P$3, 0))</f>
        <v>0</v>
      </c>
      <c r="R80" s="766">
        <f>'EEM Data Entry'!O152*'Savings Summary'!$R$3</f>
        <v>0</v>
      </c>
      <c r="S80" s="767">
        <f>IF($R$3=0,0,IF('Individual Measure List'!$I77="yes", R80/R$3, 0))</f>
        <v>0</v>
      </c>
      <c r="T80" s="766">
        <f t="shared" si="6"/>
        <v>0</v>
      </c>
      <c r="U80" s="767">
        <f t="shared" si="7"/>
        <v>0</v>
      </c>
      <c r="V80" s="623" t="e">
        <f>'Individual Measure List'!I77</f>
        <v>#VALUE!</v>
      </c>
    </row>
    <row r="81" spans="1:22" ht="20.25" customHeight="1" x14ac:dyDescent="0.3">
      <c r="A81" s="755"/>
      <c r="B81" s="786" t="str">
        <f>'EEM Data Entry'!A153</f>
        <v/>
      </c>
      <c r="C81" s="790" t="str">
        <f>'EEM Data Entry'!B153</f>
        <v/>
      </c>
      <c r="D81" s="766">
        <f>'EEM Data Entry'!H153*'Savings Summary'!$D$3</f>
        <v>0</v>
      </c>
      <c r="E81" s="767">
        <f>IF($D$3=0,0,IF('Individual Measure List'!$I78="yes", D81/D$3, 0))</f>
        <v>0</v>
      </c>
      <c r="F81" s="766">
        <f>'EEM Data Entry'!I153*'Savings Summary'!$F$3</f>
        <v>0</v>
      </c>
      <c r="G81" s="767">
        <f>IF($F$3=0,0,IF('Individual Measure List'!$I78="yes", F81/F$3, 0))</f>
        <v>0</v>
      </c>
      <c r="H81" s="766">
        <f>'EEM Data Entry'!J153*$H$3</f>
        <v>0</v>
      </c>
      <c r="I81" s="767">
        <f>IF($H$3=0,0,IF('Individual Measure List'!$I78="yes", H81/H$3, 0))</f>
        <v>0</v>
      </c>
      <c r="J81" s="766">
        <f>'EEM Data Entry'!K153*'Savings Summary'!$J$3</f>
        <v>0</v>
      </c>
      <c r="K81" s="767">
        <f>IF($J$3=0,0,IF('Individual Measure List'!$I78="yes", J81/J$3, 0))</f>
        <v>0</v>
      </c>
      <c r="L81" s="766">
        <f>'EEM Data Entry'!L153*'Savings Summary'!$L$3</f>
        <v>0</v>
      </c>
      <c r="M81" s="767">
        <f>IF($L$3=0,0,IF('Individual Measure List'!$I78="yes", L81/L$3, 0))</f>
        <v>0</v>
      </c>
      <c r="N81" s="766">
        <f>'EEM Data Entry'!M153*'Savings Summary'!$N$3</f>
        <v>0</v>
      </c>
      <c r="O81" s="767">
        <f>IF($N$3=0,0,IF('Individual Measure List'!$I78="yes", N81/N$3, 0))</f>
        <v>0</v>
      </c>
      <c r="P81" s="766">
        <f>'EEM Data Entry'!N153*'Savings Summary'!$P$3</f>
        <v>0</v>
      </c>
      <c r="Q81" s="767">
        <f>IF($P$3=0,0,IF('Individual Measure List'!$I78="yes", P81/P$3, 0))</f>
        <v>0</v>
      </c>
      <c r="R81" s="766">
        <f>'EEM Data Entry'!O153*'Savings Summary'!$R$3</f>
        <v>0</v>
      </c>
      <c r="S81" s="767">
        <f>IF($R$3=0,0,IF('Individual Measure List'!$I78="yes", R81/R$3, 0))</f>
        <v>0</v>
      </c>
      <c r="T81" s="766">
        <f t="shared" si="6"/>
        <v>0</v>
      </c>
      <c r="U81" s="767">
        <f t="shared" si="7"/>
        <v>0</v>
      </c>
      <c r="V81" s="623" t="e">
        <f>'Individual Measure List'!I78</f>
        <v>#VALUE!</v>
      </c>
    </row>
    <row r="82" spans="1:22" ht="20.25" customHeight="1" x14ac:dyDescent="0.3">
      <c r="A82" s="755"/>
      <c r="B82" s="786" t="str">
        <f>'EEM Data Entry'!A154</f>
        <v/>
      </c>
      <c r="C82" s="790" t="str">
        <f>'EEM Data Entry'!B154</f>
        <v/>
      </c>
      <c r="D82" s="766">
        <f>'EEM Data Entry'!H154*'Savings Summary'!$D$3</f>
        <v>0</v>
      </c>
      <c r="E82" s="767">
        <f>IF($D$3=0,0,IF('Individual Measure List'!$I79="yes", D82/D$3, 0))</f>
        <v>0</v>
      </c>
      <c r="F82" s="766">
        <f>'EEM Data Entry'!I154*'Savings Summary'!$F$3</f>
        <v>0</v>
      </c>
      <c r="G82" s="767">
        <f>IF($F$3=0,0,IF('Individual Measure List'!$I79="yes", F82/F$3, 0))</f>
        <v>0</v>
      </c>
      <c r="H82" s="766">
        <f>'EEM Data Entry'!J154*$H$3</f>
        <v>0</v>
      </c>
      <c r="I82" s="767">
        <f>IF($H$3=0,0,IF('Individual Measure List'!$I79="yes", H82/H$3, 0))</f>
        <v>0</v>
      </c>
      <c r="J82" s="766">
        <f>'EEM Data Entry'!K154*'Savings Summary'!$J$3</f>
        <v>0</v>
      </c>
      <c r="K82" s="767">
        <f>IF($J$3=0,0,IF('Individual Measure List'!$I79="yes", J82/J$3, 0))</f>
        <v>0</v>
      </c>
      <c r="L82" s="766">
        <f>'EEM Data Entry'!L154*'Savings Summary'!$L$3</f>
        <v>0</v>
      </c>
      <c r="M82" s="767">
        <f>IF($L$3=0,0,IF('Individual Measure List'!$I79="yes", L82/L$3, 0))</f>
        <v>0</v>
      </c>
      <c r="N82" s="766">
        <f>'EEM Data Entry'!M154*'Savings Summary'!$N$3</f>
        <v>0</v>
      </c>
      <c r="O82" s="767">
        <f>IF($N$3=0,0,IF('Individual Measure List'!$I79="yes", N82/N$3, 0))</f>
        <v>0</v>
      </c>
      <c r="P82" s="766">
        <f>'EEM Data Entry'!N154*'Savings Summary'!$P$3</f>
        <v>0</v>
      </c>
      <c r="Q82" s="767">
        <f>IF($P$3=0,0,IF('Individual Measure List'!$I79="yes", P82/P$3, 0))</f>
        <v>0</v>
      </c>
      <c r="R82" s="766">
        <f>'EEM Data Entry'!O154*'Savings Summary'!$R$3</f>
        <v>0</v>
      </c>
      <c r="S82" s="767">
        <f>IF($R$3=0,0,IF('Individual Measure List'!$I79="yes", R82/R$3, 0))</f>
        <v>0</v>
      </c>
      <c r="T82" s="766">
        <f t="shared" si="6"/>
        <v>0</v>
      </c>
      <c r="U82" s="767">
        <f t="shared" si="7"/>
        <v>0</v>
      </c>
      <c r="V82" s="623" t="e">
        <f>'Individual Measure List'!I79</f>
        <v>#VALUE!</v>
      </c>
    </row>
    <row r="83" spans="1:22" ht="11.25" customHeight="1" thickBot="1" x14ac:dyDescent="0.35">
      <c r="A83" s="768"/>
      <c r="B83" s="781"/>
      <c r="C83" s="782"/>
      <c r="D83" s="783"/>
      <c r="E83" s="784"/>
      <c r="F83" s="783"/>
      <c r="G83" s="784"/>
      <c r="H83" s="783"/>
      <c r="I83" s="784"/>
      <c r="J83" s="783"/>
      <c r="K83" s="784"/>
      <c r="L83" s="783"/>
      <c r="M83" s="784"/>
      <c r="N83" s="783"/>
      <c r="O83" s="784"/>
      <c r="P83" s="783"/>
      <c r="Q83" s="784"/>
      <c r="R83" s="783"/>
      <c r="S83" s="784"/>
      <c r="T83" s="783"/>
      <c r="U83" s="785"/>
      <c r="V83" s="623"/>
    </row>
  </sheetData>
  <sheetProtection selectLockedCells="1" selectUnlockedCells="1"/>
  <mergeCells count="19">
    <mergeCell ref="T1:U1"/>
    <mergeCell ref="T4:U4"/>
    <mergeCell ref="N6:O6"/>
    <mergeCell ref="P6:Q6"/>
    <mergeCell ref="R6:S6"/>
    <mergeCell ref="P1:Q1"/>
    <mergeCell ref="R1:S1"/>
    <mergeCell ref="N1:O1"/>
    <mergeCell ref="J1:K1"/>
    <mergeCell ref="L1:M1"/>
    <mergeCell ref="L6:M6"/>
    <mergeCell ref="B6:C6"/>
    <mergeCell ref="H6:I6"/>
    <mergeCell ref="F6:G6"/>
    <mergeCell ref="D6:E6"/>
    <mergeCell ref="D1:E1"/>
    <mergeCell ref="J6:K6"/>
    <mergeCell ref="F1:G1"/>
    <mergeCell ref="H1:I1"/>
  </mergeCells>
  <phoneticPr fontId="11" type="noConversion"/>
  <pageMargins left="0.7" right="0.7" top="0.75" bottom="0.75" header="0.3" footer="0.3"/>
  <pageSetup paperSize="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  <pageSetUpPr fitToPage="1"/>
  </sheetPr>
  <dimension ref="A1:DR112"/>
  <sheetViews>
    <sheetView topLeftCell="A42" workbookViewId="0">
      <selection activeCell="B49" sqref="B49"/>
    </sheetView>
  </sheetViews>
  <sheetFormatPr defaultColWidth="8.90625" defaultRowHeight="13" x14ac:dyDescent="0.3"/>
  <cols>
    <col min="1" max="1" width="8.7265625" style="568" customWidth="1"/>
    <col min="2" max="2" width="47.36328125" style="568" customWidth="1"/>
    <col min="3" max="11" width="23.6328125" style="572" customWidth="1"/>
    <col min="12" max="19" width="23.6328125" style="568" customWidth="1"/>
    <col min="20" max="20" width="14" style="568" customWidth="1"/>
    <col min="21" max="21" width="14.26953125" style="568" customWidth="1"/>
    <col min="22" max="22" width="9.6328125" style="568" bestFit="1" customWidth="1"/>
    <col min="23" max="23" width="10.7265625" style="568" bestFit="1" customWidth="1"/>
    <col min="24" max="24" width="10" style="568" customWidth="1"/>
    <col min="25" max="26" width="9.26953125" style="568" bestFit="1" customWidth="1"/>
    <col min="27" max="29" width="9.6328125" style="568" bestFit="1" customWidth="1"/>
    <col min="30" max="31" width="9.26953125" style="568" bestFit="1" customWidth="1"/>
    <col min="32" max="32" width="11.6328125" style="568" customWidth="1"/>
    <col min="33" max="39" width="8.90625" style="568"/>
    <col min="40" max="40" width="12.7265625" style="568" customWidth="1"/>
    <col min="41" max="41" width="10" style="568" customWidth="1"/>
    <col min="42" max="42" width="10.08984375" style="568" customWidth="1"/>
    <col min="43" max="44" width="10.6328125" style="568" bestFit="1" customWidth="1"/>
    <col min="45" max="45" width="10.08984375" style="568" bestFit="1" customWidth="1"/>
    <col min="46" max="46" width="13.7265625" style="568" customWidth="1"/>
    <col min="47" max="47" width="12" style="568" customWidth="1"/>
    <col min="48" max="16384" width="8.90625" style="568"/>
  </cols>
  <sheetData>
    <row r="1" spans="1:122" ht="18.75" customHeight="1" x14ac:dyDescent="0.35">
      <c r="B1" s="577"/>
      <c r="C1" s="576" t="s">
        <v>146</v>
      </c>
      <c r="D1" s="988" t="s">
        <v>0</v>
      </c>
      <c r="E1" s="988"/>
      <c r="F1" s="988" t="s">
        <v>1</v>
      </c>
      <c r="G1" s="988"/>
      <c r="H1" s="988" t="s">
        <v>2</v>
      </c>
      <c r="I1" s="988"/>
      <c r="J1" s="988" t="s">
        <v>3</v>
      </c>
      <c r="K1" s="988"/>
      <c r="L1" s="989" t="s">
        <v>175</v>
      </c>
      <c r="M1" s="989"/>
      <c r="N1" s="989" t="s">
        <v>23</v>
      </c>
      <c r="O1" s="989"/>
      <c r="P1" s="989" t="s">
        <v>26</v>
      </c>
      <c r="Q1" s="989"/>
      <c r="R1" s="989" t="s">
        <v>176</v>
      </c>
      <c r="S1" s="990"/>
      <c r="T1" s="988" t="s">
        <v>4</v>
      </c>
      <c r="U1" s="992"/>
    </row>
    <row r="2" spans="1:122" ht="12.75" customHeight="1" x14ac:dyDescent="0.3">
      <c r="A2" s="577"/>
      <c r="B2" s="577"/>
      <c r="C2" s="578" t="s">
        <v>20</v>
      </c>
      <c r="D2" s="579">
        <f>'Savings Summary'!D3</f>
        <v>0</v>
      </c>
      <c r="E2" s="579" t="str">
        <f>'Savings Summary'!E3</f>
        <v>kWH</v>
      </c>
      <c r="F2" s="579">
        <f>'Savings Summary'!F3</f>
        <v>0</v>
      </c>
      <c r="G2" s="579" t="str">
        <f>'Savings Summary'!G3</f>
        <v>Gallons</v>
      </c>
      <c r="H2" s="579">
        <f>'Savings Summary'!H3</f>
        <v>0</v>
      </c>
      <c r="I2" s="579" t="str">
        <f>'Savings Summary'!I3</f>
        <v>Therms</v>
      </c>
      <c r="J2" s="579">
        <f>'Savings Summary'!J3</f>
        <v>0</v>
      </c>
      <c r="K2" s="579" t="str">
        <f>'Savings Summary'!K3</f>
        <v>gallons</v>
      </c>
      <c r="L2" s="579">
        <f>'Savings Summary'!L3</f>
        <v>0</v>
      </c>
      <c r="M2" s="579" t="str">
        <f>'Savings Summary'!M3</f>
        <v>kPounds</v>
      </c>
      <c r="N2" s="579">
        <f>'Savings Summary'!N3</f>
        <v>0</v>
      </c>
      <c r="O2" s="579" t="str">
        <f>'Savings Summary'!O3</f>
        <v>tons</v>
      </c>
      <c r="P2" s="579">
        <f>'Savings Summary'!P3</f>
        <v>0</v>
      </c>
      <c r="Q2" s="579" t="str">
        <f>'Savings Summary'!Q3</f>
        <v>tons</v>
      </c>
      <c r="R2" s="579">
        <f>'Savings Summary'!R3</f>
        <v>0</v>
      </c>
      <c r="S2" s="579" t="str">
        <f>'Savings Summary'!S3</f>
        <v>kGallons</v>
      </c>
      <c r="T2" s="579">
        <f>'Savings Summary'!T3</f>
        <v>0</v>
      </c>
      <c r="U2" s="579" t="str">
        <f>'Savings Summary'!U3</f>
        <v>kBTU</v>
      </c>
    </row>
    <row r="3" spans="1:122" ht="12.75" customHeight="1" x14ac:dyDescent="0.3">
      <c r="A3" s="577"/>
      <c r="B3" s="577"/>
      <c r="C3" s="580" t="s">
        <v>147</v>
      </c>
      <c r="D3" s="581">
        <f>'Savings Summary'!D4</f>
        <v>0</v>
      </c>
      <c r="E3" s="581" t="str">
        <f>'Savings Summary'!E4</f>
        <v>(elect.)</v>
      </c>
      <c r="F3" s="581">
        <f>'Savings Summary'!F4</f>
        <v>0</v>
      </c>
      <c r="G3" s="581">
        <f>'Savings Summary'!G4</f>
        <v>0</v>
      </c>
      <c r="H3" s="581">
        <f>'Savings Summary'!H4</f>
        <v>0</v>
      </c>
      <c r="I3" s="581">
        <f>'Savings Summary'!I4</f>
        <v>0</v>
      </c>
      <c r="J3" s="581">
        <f>'Savings Summary'!J4</f>
        <v>0</v>
      </c>
      <c r="K3" s="581">
        <f>'Savings Summary'!K4</f>
        <v>0</v>
      </c>
      <c r="L3" s="581">
        <f>'Savings Summary'!L4</f>
        <v>0</v>
      </c>
      <c r="M3" s="581">
        <f>'Savings Summary'!M4</f>
        <v>0</v>
      </c>
      <c r="N3" s="581">
        <f>'Savings Summary'!N4</f>
        <v>0</v>
      </c>
      <c r="O3" s="581">
        <f>'Savings Summary'!O4</f>
        <v>0</v>
      </c>
      <c r="P3" s="581">
        <f>'Savings Summary'!P4</f>
        <v>0</v>
      </c>
      <c r="Q3" s="581">
        <f>'Savings Summary'!Q4</f>
        <v>0</v>
      </c>
      <c r="R3" s="581">
        <f>'Savings Summary'!R4</f>
        <v>0</v>
      </c>
      <c r="S3" s="581">
        <f>'Savings Summary'!S4</f>
        <v>0</v>
      </c>
      <c r="T3" s="581">
        <f>'Savings Summary'!T4</f>
        <v>0</v>
      </c>
      <c r="U3" s="581">
        <f>'Savings Summary'!U4</f>
        <v>0</v>
      </c>
    </row>
    <row r="4" spans="1:122" ht="12.75" customHeight="1" x14ac:dyDescent="0.3">
      <c r="A4" s="577"/>
      <c r="B4" s="577"/>
      <c r="C4" s="583" t="s">
        <v>11</v>
      </c>
      <c r="D4" s="584">
        <f>'Savings Summary'!D5</f>
        <v>0</v>
      </c>
      <c r="E4" s="584" t="str">
        <f>'Savings Summary'!E5</f>
        <v>($/kWh)</v>
      </c>
      <c r="F4" s="584">
        <f>'Savings Summary'!F5</f>
        <v>0</v>
      </c>
      <c r="G4" s="584" t="str">
        <f>'Savings Summary'!G5</f>
        <v>($/gal.)</v>
      </c>
      <c r="H4" s="584">
        <f>'Savings Summary'!H5</f>
        <v>0</v>
      </c>
      <c r="I4" s="584" t="str">
        <f>'Savings Summary'!I5</f>
        <v>($/therm)</v>
      </c>
      <c r="J4" s="584">
        <f>'Savings Summary'!J5</f>
        <v>0</v>
      </c>
      <c r="K4" s="584" t="str">
        <f>'Savings Summary'!K5</f>
        <v>($/gal.)</v>
      </c>
      <c r="L4" s="584">
        <f>'Savings Summary'!L5</f>
        <v>0</v>
      </c>
      <c r="M4" s="584" t="str">
        <f>'Savings Summary'!M5</f>
        <v>($/kLbs..)</v>
      </c>
      <c r="N4" s="584">
        <f>'Savings Summary'!N5</f>
        <v>0</v>
      </c>
      <c r="O4" s="584" t="str">
        <f>'Savings Summary'!O5</f>
        <v>($/ton)</v>
      </c>
      <c r="P4" s="584">
        <f>'Savings Summary'!P5</f>
        <v>0</v>
      </c>
      <c r="Q4" s="584" t="str">
        <f>'Savings Summary'!Q5</f>
        <v>($/ton)</v>
      </c>
      <c r="R4" s="584">
        <f>'Savings Summary'!R5</f>
        <v>0</v>
      </c>
      <c r="S4" s="584" t="str">
        <f>'Savings Summary'!S5</f>
        <v>($/gal.)</v>
      </c>
    </row>
    <row r="5" spans="1:122" ht="33" customHeight="1" x14ac:dyDescent="0.45">
      <c r="A5" s="592" t="s">
        <v>169</v>
      </c>
      <c r="B5" s="641"/>
      <c r="D5" s="642"/>
      <c r="K5" s="642"/>
    </row>
    <row r="6" spans="1:122" ht="33" customHeight="1" x14ac:dyDescent="0.3">
      <c r="A6" s="643" t="s">
        <v>144</v>
      </c>
      <c r="B6" s="644" t="s">
        <v>42</v>
      </c>
      <c r="C6" s="596" t="s">
        <v>35</v>
      </c>
      <c r="D6" s="596" t="s">
        <v>90</v>
      </c>
      <c r="E6" s="596" t="s">
        <v>119</v>
      </c>
      <c r="F6" s="596" t="s">
        <v>118</v>
      </c>
      <c r="G6" s="596" t="s">
        <v>121</v>
      </c>
      <c r="H6" s="596" t="s">
        <v>117</v>
      </c>
      <c r="I6" s="596" t="s">
        <v>135</v>
      </c>
      <c r="J6" s="597" t="s">
        <v>17</v>
      </c>
      <c r="K6" s="597" t="s">
        <v>22</v>
      </c>
      <c r="L6" s="596" t="s">
        <v>157</v>
      </c>
      <c r="M6" s="596" t="s">
        <v>159</v>
      </c>
      <c r="N6" s="596" t="s">
        <v>232</v>
      </c>
      <c r="O6" s="596" t="s">
        <v>231</v>
      </c>
      <c r="V6" s="645"/>
      <c r="W6" s="646">
        <v>1</v>
      </c>
      <c r="X6" s="646">
        <v>2</v>
      </c>
      <c r="Y6" s="646">
        <v>3</v>
      </c>
      <c r="Z6" s="646">
        <v>4</v>
      </c>
      <c r="AA6" s="646">
        <v>5</v>
      </c>
      <c r="AB6" s="646">
        <v>6</v>
      </c>
      <c r="AC6" s="646">
        <v>7</v>
      </c>
      <c r="AD6" s="646">
        <v>8</v>
      </c>
      <c r="AE6" s="646">
        <v>9</v>
      </c>
      <c r="AF6" s="646">
        <v>10</v>
      </c>
      <c r="AG6" s="646">
        <v>11</v>
      </c>
      <c r="AH6" s="646">
        <v>12</v>
      </c>
      <c r="AI6" s="646">
        <v>13</v>
      </c>
      <c r="AJ6" s="646">
        <v>14</v>
      </c>
      <c r="AK6" s="646">
        <v>15</v>
      </c>
      <c r="AL6" s="646">
        <v>16</v>
      </c>
      <c r="AM6" s="646">
        <v>17</v>
      </c>
      <c r="AN6" s="646">
        <v>18</v>
      </c>
      <c r="AO6" s="646">
        <v>19</v>
      </c>
      <c r="AP6" s="646">
        <v>20</v>
      </c>
      <c r="AQ6" s="646">
        <v>21</v>
      </c>
      <c r="AR6" s="646">
        <v>22</v>
      </c>
      <c r="AS6" s="646">
        <v>23</v>
      </c>
      <c r="AT6" s="646">
        <v>24</v>
      </c>
      <c r="AU6" s="646">
        <v>25</v>
      </c>
      <c r="AV6" s="646">
        <v>26</v>
      </c>
      <c r="AW6" s="646">
        <v>27</v>
      </c>
      <c r="AX6" s="646">
        <v>28</v>
      </c>
      <c r="AY6" s="646">
        <v>29</v>
      </c>
      <c r="AZ6" s="646">
        <v>30</v>
      </c>
      <c r="BA6" s="646">
        <v>31</v>
      </c>
      <c r="BB6" s="646">
        <v>32</v>
      </c>
      <c r="BC6" s="646">
        <v>33</v>
      </c>
      <c r="BD6" s="646">
        <v>34</v>
      </c>
      <c r="BE6" s="646">
        <v>35</v>
      </c>
      <c r="BF6" s="646">
        <v>36</v>
      </c>
      <c r="BG6" s="646">
        <v>37</v>
      </c>
      <c r="BH6" s="646">
        <v>38</v>
      </c>
      <c r="BI6" s="646">
        <v>39</v>
      </c>
      <c r="BJ6" s="646">
        <v>40</v>
      </c>
      <c r="BK6" s="646">
        <v>41</v>
      </c>
      <c r="BL6" s="646">
        <v>42</v>
      </c>
      <c r="BM6" s="646">
        <v>43</v>
      </c>
      <c r="BN6" s="646">
        <v>44</v>
      </c>
      <c r="BO6" s="646">
        <v>45</v>
      </c>
      <c r="BP6" s="646">
        <v>46</v>
      </c>
      <c r="BQ6" s="646">
        <v>47</v>
      </c>
      <c r="BR6" s="646">
        <v>48</v>
      </c>
      <c r="BS6" s="646">
        <v>49</v>
      </c>
      <c r="BT6" s="646">
        <v>50</v>
      </c>
      <c r="BU6" s="646">
        <v>51</v>
      </c>
      <c r="BV6" s="646">
        <v>52</v>
      </c>
      <c r="BW6" s="646">
        <v>53</v>
      </c>
      <c r="BX6" s="646">
        <v>54</v>
      </c>
      <c r="BY6" s="646">
        <v>55</v>
      </c>
      <c r="BZ6" s="646">
        <v>56</v>
      </c>
      <c r="CA6" s="646">
        <v>57</v>
      </c>
      <c r="CB6" s="646">
        <v>58</v>
      </c>
      <c r="CC6" s="646">
        <v>59</v>
      </c>
      <c r="CD6" s="646">
        <v>60</v>
      </c>
      <c r="CE6" s="646">
        <v>61</v>
      </c>
      <c r="CF6" s="646">
        <v>62</v>
      </c>
      <c r="CG6" s="646">
        <v>63</v>
      </c>
      <c r="CH6" s="646">
        <v>64</v>
      </c>
      <c r="CI6" s="646">
        <v>65</v>
      </c>
      <c r="CJ6" s="646">
        <v>66</v>
      </c>
      <c r="CK6" s="646">
        <v>67</v>
      </c>
      <c r="CL6" s="646">
        <v>68</v>
      </c>
      <c r="CM6" s="646">
        <v>69</v>
      </c>
      <c r="CN6" s="646">
        <v>70</v>
      </c>
      <c r="CO6" s="646">
        <v>71</v>
      </c>
      <c r="CP6" s="646">
        <v>72</v>
      </c>
      <c r="CQ6" s="646">
        <v>73</v>
      </c>
      <c r="CR6" s="646">
        <v>74</v>
      </c>
      <c r="CS6" s="646">
        <v>75</v>
      </c>
      <c r="CT6" s="646">
        <v>76</v>
      </c>
      <c r="CU6" s="646">
        <v>77</v>
      </c>
      <c r="CV6" s="646">
        <v>78</v>
      </c>
      <c r="CW6" s="646">
        <v>79</v>
      </c>
      <c r="CX6" s="646">
        <v>80</v>
      </c>
      <c r="CY6" s="646">
        <v>81</v>
      </c>
      <c r="CZ6" s="646">
        <v>82</v>
      </c>
      <c r="DA6" s="646">
        <v>83</v>
      </c>
      <c r="DB6" s="646">
        <v>84</v>
      </c>
      <c r="DC6" s="646">
        <v>85</v>
      </c>
      <c r="DD6" s="646">
        <v>86</v>
      </c>
      <c r="DE6" s="646">
        <v>87</v>
      </c>
      <c r="DF6" s="646">
        <v>88</v>
      </c>
      <c r="DG6" s="646">
        <v>89</v>
      </c>
      <c r="DH6" s="646">
        <v>90</v>
      </c>
      <c r="DI6" s="646">
        <v>91</v>
      </c>
      <c r="DJ6" s="646">
        <v>92</v>
      </c>
      <c r="DK6" s="646">
        <v>93</v>
      </c>
      <c r="DL6" s="646">
        <v>94</v>
      </c>
      <c r="DM6" s="646">
        <v>95</v>
      </c>
      <c r="DN6" s="646">
        <v>96</v>
      </c>
      <c r="DO6" s="646">
        <v>97</v>
      </c>
      <c r="DP6" s="646">
        <v>98</v>
      </c>
      <c r="DQ6" s="646">
        <v>99</v>
      </c>
      <c r="DR6" s="646">
        <v>100</v>
      </c>
    </row>
    <row r="7" spans="1:122" ht="33" customHeight="1" x14ac:dyDescent="0.3">
      <c r="A7" s="647" t="str">
        <f>'EEM Data Entry'!A85</f>
        <v/>
      </c>
      <c r="B7" s="648" t="str">
        <f>'EEM Data Entry'!B85</f>
        <v/>
      </c>
      <c r="C7" s="649" t="str">
        <f>'EEM Data Entry'!F85</f>
        <v/>
      </c>
      <c r="D7" s="649">
        <v>0</v>
      </c>
      <c r="E7" s="649" t="e">
        <f>C7-D7</f>
        <v>#VALUE!</v>
      </c>
      <c r="F7" s="650">
        <f>('Cascading Savings'!D6*'Cascading Savings'!D$4)+('Cascading Savings'!F6*'Cascading Savings'!F$4)+('Cascading Savings'!H6*'Cascading Savings'!H$4)+('Cascading Savings'!J6*'Cascading Savings'!J$4)+('Cascading Savings'!L6*'Cascading Savings'!L$4)+('Cascading Savings'!N6*'Cascading Savings'!N$4)+('Cascading Savings'!P6*'Cascading Savings'!P$4)+('Cascading Savings'!R6*'Cascading Savings'!R$4)</f>
        <v>0</v>
      </c>
      <c r="G7" s="651">
        <f>'Cascading Savings'!T6</f>
        <v>0</v>
      </c>
      <c r="H7" s="652" t="e">
        <f>IF(C7=0,"n/a",E7/F7)</f>
        <v>#VALUE!</v>
      </c>
      <c r="I7" s="653" t="e">
        <f>IF(H7=0, "n/a", IF(H7&gt;100, "no",IF(H7&lt;0, "no", "yes")))</f>
        <v>#VALUE!</v>
      </c>
      <c r="J7" s="605" t="e">
        <f t="shared" ref="J7:J30" si="0">IRR(V7:DR7,0.1)</f>
        <v>#NUM!</v>
      </c>
      <c r="K7" s="655" t="e">
        <f>PV('Interest Rate'!$B$17,Table112[[#This Row],[Lifetime]],-Table112[[#This Row],[ANNUAL ENERGY COST SAVINGS]],Table112[[#This Row],[END-OF-LIFE]],0)-Table112[[#This Row],[CAPITAL INVESTMENT]]</f>
        <v>#VALUE!</v>
      </c>
      <c r="L7" s="653" t="str">
        <f>'EEM Data Entry'!C85</f>
        <v/>
      </c>
      <c r="M7" s="656" t="e">
        <f>Table112[[#This Row],[ANNUAL ENERGY COST SAVINGS]]/Table112[[#This Row],[CAPITAL INVESTMENT]]</f>
        <v>#VALUE!</v>
      </c>
      <c r="N7" s="794">
        <f>IF(ISNUMBER(Table112[[#This Row],[NPV]])=TRUE,Table112[[#This Row],[NPV]],0)</f>
        <v>0</v>
      </c>
      <c r="O7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7" s="568" t="str">
        <f>Table112[[#This Row],[Lifetime]]</f>
        <v/>
      </c>
      <c r="V7" s="657" t="str">
        <f>IF(ISNUMBER(E7)=TRUE,-E7,"")</f>
        <v/>
      </c>
      <c r="W7" s="658">
        <f t="shared" ref="W7:W30" si="1">F7</f>
        <v>0</v>
      </c>
      <c r="X7" s="658">
        <f>IF(X$6&gt;$L7,0,W7*(1-'Interest Rate'!$B$17))</f>
        <v>0</v>
      </c>
      <c r="Y7" s="658">
        <f>IF(Y$6&gt;$L7,0,X7*(1-'Interest Rate'!$B$17))</f>
        <v>0</v>
      </c>
      <c r="Z7" s="658">
        <f>IF(Z$6&gt;$L7,0,Y7*(1-'Interest Rate'!$B$17))</f>
        <v>0</v>
      </c>
      <c r="AA7" s="658">
        <f>IF(AA$6&gt;$L7,0,Z7*(1-'Interest Rate'!$B$17))</f>
        <v>0</v>
      </c>
      <c r="AB7" s="658">
        <f>IF(AB$6&gt;$L7,0,AA7*(1-'Interest Rate'!$B$17))</f>
        <v>0</v>
      </c>
      <c r="AC7" s="658">
        <f>IF(AC$6&gt;$L7,0,AB7*(1-'Interest Rate'!$B$17))</f>
        <v>0</v>
      </c>
      <c r="AD7" s="658">
        <f>IF(AD$6&gt;$L7,0,AC7*(1-'Interest Rate'!$B$17))</f>
        <v>0</v>
      </c>
      <c r="AE7" s="658">
        <f>IF(AE$6&gt;$L7,0,AD7*(1-'Interest Rate'!$B$17))</f>
        <v>0</v>
      </c>
      <c r="AF7" s="658">
        <f>IF(AF$6&gt;$L7,0,AE7*(1-'Interest Rate'!$B$17))</f>
        <v>0</v>
      </c>
      <c r="AG7" s="658">
        <f>IF(AG$6&gt;$L7,0,AF7*(1-'Interest Rate'!$B$17))</f>
        <v>0</v>
      </c>
      <c r="AH7" s="658">
        <f>IF(AH$6&gt;$L7,0,AG7*(1-'Interest Rate'!$B$17))</f>
        <v>0</v>
      </c>
      <c r="AI7" s="658">
        <f>IF(AI$6&gt;$L7,0,AH7*(1-'Interest Rate'!$B$17))</f>
        <v>0</v>
      </c>
      <c r="AJ7" s="658">
        <f>IF(AJ$6&gt;$L7,0,AI7*(1-'Interest Rate'!$B$17))</f>
        <v>0</v>
      </c>
      <c r="AK7" s="658">
        <f>IF(AK$6&gt;$L7,0,AJ7*(1-'Interest Rate'!$B$17))</f>
        <v>0</v>
      </c>
      <c r="AL7" s="658">
        <f>IF(AL$6&gt;$L7,0,AK7*(1-'Interest Rate'!$B$17))</f>
        <v>0</v>
      </c>
      <c r="AM7" s="658">
        <f>IF(AM$6&gt;$L7,0,AL7*(1-'Interest Rate'!$B$17))</f>
        <v>0</v>
      </c>
      <c r="AN7" s="658">
        <f>IF(AN$6&gt;$L7,0,AM7*(1-'Interest Rate'!$B$17))</f>
        <v>0</v>
      </c>
      <c r="AO7" s="658">
        <f>IF(AO$6&gt;$L7,0,AN7*(1-'Interest Rate'!$B$17))</f>
        <v>0</v>
      </c>
      <c r="AP7" s="658">
        <f>IF(AP$6&gt;$L7,0,AO7*(1-'Interest Rate'!$B$17))</f>
        <v>0</v>
      </c>
      <c r="AQ7" s="658">
        <f>IF(AQ$6&gt;$L7,0,AP7*(1-'Interest Rate'!$B$17))</f>
        <v>0</v>
      </c>
      <c r="AR7" s="658">
        <f>IF(AR$6&gt;$L7,0,AQ7*(1-'Interest Rate'!$B$17))</f>
        <v>0</v>
      </c>
      <c r="AS7" s="658">
        <f>IF(AS$6&gt;$L7,0,AR7*(1-'Interest Rate'!$B$17))</f>
        <v>0</v>
      </c>
      <c r="AT7" s="658">
        <f>IF(AT$6&gt;$L7,0,AS7*(1-'Interest Rate'!$B$17))</f>
        <v>0</v>
      </c>
      <c r="AU7" s="658">
        <f>IF(AU$6&gt;$L7,0,AT7*(1-'Interest Rate'!$B$17))</f>
        <v>0</v>
      </c>
      <c r="AV7" s="658">
        <f>IF(AV$6&gt;$L7,0,AU7*(1-'Interest Rate'!$B$17))</f>
        <v>0</v>
      </c>
      <c r="AW7" s="658">
        <f>IF(AW$6&gt;$L7,0,AV7*(1-'Interest Rate'!$B$17))</f>
        <v>0</v>
      </c>
      <c r="AX7" s="658">
        <f>IF(AX$6&gt;$L7,0,AW7*(1-'Interest Rate'!$B$17))</f>
        <v>0</v>
      </c>
      <c r="AY7" s="658">
        <f>IF(AY$6&gt;$L7,0,AX7*(1-'Interest Rate'!$B$17))</f>
        <v>0</v>
      </c>
      <c r="AZ7" s="658">
        <f>IF(AZ$6&gt;$L7,0,AY7*(1-'Interest Rate'!$B$17))</f>
        <v>0</v>
      </c>
      <c r="BA7" s="658">
        <f>IF(BA$6&gt;$L7,0,AZ7*(1-'Interest Rate'!$B$17))</f>
        <v>0</v>
      </c>
      <c r="BB7" s="658">
        <f>IF(BB$6&gt;$L7,0,BA7*(1-'Interest Rate'!$B$17))</f>
        <v>0</v>
      </c>
      <c r="BC7" s="658">
        <f>IF(BC$6&gt;$L7,0,BB7*(1-'Interest Rate'!$B$17))</f>
        <v>0</v>
      </c>
      <c r="BD7" s="658">
        <f>IF(BD$6&gt;$L7,0,BC7*(1-'Interest Rate'!$B$17))</f>
        <v>0</v>
      </c>
      <c r="BE7" s="658">
        <f>IF(BE$6&gt;$L7,0,BD7*(1-'Interest Rate'!$B$17))</f>
        <v>0</v>
      </c>
      <c r="BF7" s="658">
        <f>IF(BF$6&gt;$L7,0,BE7*(1-'Interest Rate'!$B$17))</f>
        <v>0</v>
      </c>
      <c r="BG7" s="658">
        <f>IF(BG$6&gt;$L7,0,BF7*(1-'Interest Rate'!$B$17))</f>
        <v>0</v>
      </c>
      <c r="BH7" s="658">
        <f>IF(BH$6&gt;$L7,0,BG7*(1-'Interest Rate'!$B$17))</f>
        <v>0</v>
      </c>
      <c r="BI7" s="658">
        <f>IF(BI$6&gt;$L7,0,BH7*(1-'Interest Rate'!$B$17))</f>
        <v>0</v>
      </c>
      <c r="BJ7" s="658">
        <f>IF(BJ$6&gt;$L7,0,BI7*(1-'Interest Rate'!$B$17))</f>
        <v>0</v>
      </c>
      <c r="BK7" s="658">
        <f>IF(BK$6&gt;$L7,0,BJ7*(1-'Interest Rate'!$B$17))</f>
        <v>0</v>
      </c>
      <c r="BL7" s="658">
        <f>IF(BL$6&gt;$L7,0,BK7*(1-'Interest Rate'!$B$17))</f>
        <v>0</v>
      </c>
      <c r="BM7" s="658">
        <f>IF(BM$6&gt;$L7,0,BL7*(1-'Interest Rate'!$B$17))</f>
        <v>0</v>
      </c>
      <c r="BN7" s="658">
        <f>IF(BN$6&gt;$L7,0,BM7*(1-'Interest Rate'!$B$17))</f>
        <v>0</v>
      </c>
      <c r="BO7" s="658">
        <f>IF(BO$6&gt;$L7,0,BN7*(1-'Interest Rate'!$B$17))</f>
        <v>0</v>
      </c>
      <c r="BP7" s="658">
        <f>IF(BP$6&gt;$L7,0,BO7*(1-'Interest Rate'!$B$17))</f>
        <v>0</v>
      </c>
      <c r="BQ7" s="658">
        <f>IF(BQ$6&gt;$L7,0,BP7*(1-'Interest Rate'!$B$17))</f>
        <v>0</v>
      </c>
      <c r="BR7" s="658">
        <f>IF(BR$6&gt;$L7,0,BQ7*(1-'Interest Rate'!$B$17))</f>
        <v>0</v>
      </c>
      <c r="BS7" s="658">
        <f>IF(BS$6&gt;$L7,0,BR7*(1-'Interest Rate'!$B$17))</f>
        <v>0</v>
      </c>
      <c r="BT7" s="658">
        <f>IF(BT$6&gt;$L7,0,BS7*(1-'Interest Rate'!$B$17))</f>
        <v>0</v>
      </c>
      <c r="BU7" s="658">
        <f>IF(BU$6&gt;$L7,0,BT7*(1-'Interest Rate'!$B$17))</f>
        <v>0</v>
      </c>
      <c r="BV7" s="658">
        <f>IF(BV$6&gt;$L7,0,BU7*(1-'Interest Rate'!$B$17))</f>
        <v>0</v>
      </c>
      <c r="BW7" s="658">
        <f>IF(BW$6&gt;$L7,0,BV7*(1-'Interest Rate'!$B$17))</f>
        <v>0</v>
      </c>
      <c r="BX7" s="658">
        <f>IF(BX$6&gt;$L7,0,BW7*(1-'Interest Rate'!$B$17))</f>
        <v>0</v>
      </c>
      <c r="BY7" s="658">
        <f>IF(BY$6&gt;$L7,0,BX7*(1-'Interest Rate'!$B$17))</f>
        <v>0</v>
      </c>
      <c r="BZ7" s="658">
        <f>IF(BZ$6&gt;$L7,0,BY7*(1-'Interest Rate'!$B$17))</f>
        <v>0</v>
      </c>
      <c r="CA7" s="658">
        <f>IF(CA$6&gt;$L7,0,BZ7*(1-'Interest Rate'!$B$17))</f>
        <v>0</v>
      </c>
      <c r="CB7" s="658">
        <f>IF(CB$6&gt;$L7,0,CA7*(1-'Interest Rate'!$B$17))</f>
        <v>0</v>
      </c>
      <c r="CC7" s="658">
        <f>IF(CC$6&gt;$L7,0,CB7*(1-'Interest Rate'!$B$17))</f>
        <v>0</v>
      </c>
      <c r="CD7" s="658">
        <f>IF(CD$6&gt;$L7,0,CC7*(1-'Interest Rate'!$B$17))</f>
        <v>0</v>
      </c>
      <c r="CE7" s="658">
        <f>IF(CE$6&gt;$L7,0,CD7*(1-'Interest Rate'!$B$17))</f>
        <v>0</v>
      </c>
      <c r="CF7" s="658">
        <f>IF(CF$6&gt;$L7,0,CE7*(1-'Interest Rate'!$B$17))</f>
        <v>0</v>
      </c>
      <c r="CG7" s="658">
        <f>IF(CG$6&gt;$L7,0,CF7*(1-'Interest Rate'!$B$17))</f>
        <v>0</v>
      </c>
      <c r="CH7" s="658">
        <f>IF(CH$6&gt;$L7,0,CG7*(1-'Interest Rate'!$B$17))</f>
        <v>0</v>
      </c>
      <c r="CI7" s="658">
        <f>IF(CI$6&gt;$L7,0,CH7*(1-'Interest Rate'!$B$17))</f>
        <v>0</v>
      </c>
      <c r="CJ7" s="658">
        <f>IF(CJ$6&gt;$L7,0,CI7*(1-'Interest Rate'!$B$17))</f>
        <v>0</v>
      </c>
      <c r="CK7" s="658">
        <f>IF(CK$6&gt;$L7,0,CJ7*(1-'Interest Rate'!$B$17))</f>
        <v>0</v>
      </c>
      <c r="CL7" s="658">
        <f>IF(CL$6&gt;$L7,0,CK7*(1-'Interest Rate'!$B$17))</f>
        <v>0</v>
      </c>
      <c r="CM7" s="658">
        <f>IF(CM$6&gt;$L7,0,CL7*(1-'Interest Rate'!$B$17))</f>
        <v>0</v>
      </c>
      <c r="CN7" s="658">
        <f>IF(CN$6&gt;$L7,0,CM7*(1-'Interest Rate'!$B$17))</f>
        <v>0</v>
      </c>
      <c r="CO7" s="658">
        <f>IF(CO$6&gt;$L7,0,CN7*(1-'Interest Rate'!$B$17))</f>
        <v>0</v>
      </c>
      <c r="CP7" s="658">
        <f>IF(CP$6&gt;$L7,0,CO7*(1-'Interest Rate'!$B$17))</f>
        <v>0</v>
      </c>
      <c r="CQ7" s="658">
        <f>IF(CQ$6&gt;$L7,0,CP7*(1-'Interest Rate'!$B$17))</f>
        <v>0</v>
      </c>
      <c r="CR7" s="658">
        <f>IF(CR$6&gt;$L7,0,CQ7*(1-'Interest Rate'!$B$17))</f>
        <v>0</v>
      </c>
      <c r="CS7" s="658">
        <f>IF(CS$6&gt;$L7,0,CR7*(1-'Interest Rate'!$B$17))</f>
        <v>0</v>
      </c>
      <c r="CT7" s="658">
        <f>IF(CT$6&gt;$L7,0,CS7*(1-'Interest Rate'!$B$17))</f>
        <v>0</v>
      </c>
      <c r="CU7" s="658">
        <f>IF(CU$6&gt;$L7,0,CT7*(1-'Interest Rate'!$B$17))</f>
        <v>0</v>
      </c>
      <c r="CV7" s="658">
        <f>IF(CV$6&gt;$L7,0,CU7*(1-'Interest Rate'!$B$17))</f>
        <v>0</v>
      </c>
      <c r="CW7" s="658">
        <f>IF(CW$6&gt;$L7,0,CV7*(1-'Interest Rate'!$B$17))</f>
        <v>0</v>
      </c>
      <c r="CX7" s="658">
        <f>IF(CX$6&gt;$L7,0,CW7*(1-'Interest Rate'!$B$17))</f>
        <v>0</v>
      </c>
      <c r="CY7" s="658">
        <f>IF(CY$6&gt;$L7,0,CX7*(1-'Interest Rate'!$B$17))</f>
        <v>0</v>
      </c>
      <c r="CZ7" s="658">
        <f>IF(CZ$6&gt;$L7,0,CY7*(1-'Interest Rate'!$B$17))</f>
        <v>0</v>
      </c>
      <c r="DA7" s="658">
        <f>IF(DA$6&gt;$L7,0,CZ7*(1-'Interest Rate'!$B$17))</f>
        <v>0</v>
      </c>
      <c r="DB7" s="658">
        <f>IF(DB$6&gt;$L7,0,DA7*(1-'Interest Rate'!$B$17))</f>
        <v>0</v>
      </c>
      <c r="DC7" s="658">
        <f>IF(DC$6&gt;$L7,0,DB7*(1-'Interest Rate'!$B$17))</f>
        <v>0</v>
      </c>
      <c r="DD7" s="658">
        <f>IF(DD$6&gt;$L7,0,DC7*(1-'Interest Rate'!$B$17))</f>
        <v>0</v>
      </c>
      <c r="DE7" s="658">
        <f>IF(DE$6&gt;$L7,0,DD7*(1-'Interest Rate'!$B$17))</f>
        <v>0</v>
      </c>
      <c r="DF7" s="658">
        <f>IF(DF$6&gt;$L7,0,DE7*(1-'Interest Rate'!$B$17))</f>
        <v>0</v>
      </c>
      <c r="DG7" s="658">
        <f>IF(DG$6&gt;$L7,0,DF7*(1-'Interest Rate'!$B$17))</f>
        <v>0</v>
      </c>
      <c r="DH7" s="658">
        <f>IF(DH$6&gt;$L7,0,DG7*(1-'Interest Rate'!$B$17))</f>
        <v>0</v>
      </c>
      <c r="DI7" s="658">
        <f>IF(DI$6&gt;$L7,0,DH7*(1-'Interest Rate'!$B$17))</f>
        <v>0</v>
      </c>
      <c r="DJ7" s="658">
        <f>IF(DJ$6&gt;$L7,0,DI7*(1-'Interest Rate'!$B$17))</f>
        <v>0</v>
      </c>
      <c r="DK7" s="658">
        <f>IF(DK$6&gt;$L7,0,DJ7*(1-'Interest Rate'!$B$17))</f>
        <v>0</v>
      </c>
      <c r="DL7" s="658">
        <f>IF(DL$6&gt;$L7,0,DK7*(1-'Interest Rate'!$B$17))</f>
        <v>0</v>
      </c>
      <c r="DM7" s="658">
        <f>IF(DM$6&gt;$L7,0,DL7*(1-'Interest Rate'!$B$17))</f>
        <v>0</v>
      </c>
      <c r="DN7" s="658">
        <f>IF(DN$6&gt;$L7,0,DM7*(1-'Interest Rate'!$B$17))</f>
        <v>0</v>
      </c>
      <c r="DO7" s="658">
        <f>IF(DO$6&gt;$L7,0,DN7*(1-'Interest Rate'!$B$17))</f>
        <v>0</v>
      </c>
      <c r="DP7" s="658">
        <f>IF(DP$6&gt;$L7,0,DO7*(1-'Interest Rate'!$B$17))</f>
        <v>0</v>
      </c>
      <c r="DQ7" s="658">
        <f>IF(DQ$6&gt;$L7,0,DP7*(1-'Interest Rate'!$B$17))</f>
        <v>0</v>
      </c>
      <c r="DR7" s="658">
        <f>IF(DR$6&gt;$L7,0,DQ7*(1-'Interest Rate'!$B$17))</f>
        <v>0</v>
      </c>
    </row>
    <row r="8" spans="1:122" s="623" customFormat="1" ht="33" customHeight="1" x14ac:dyDescent="0.3">
      <c r="A8" s="659" t="str">
        <f>'EEM Data Entry'!A86</f>
        <v/>
      </c>
      <c r="B8" s="660" t="str">
        <f>'EEM Data Entry'!B86</f>
        <v/>
      </c>
      <c r="C8" s="661" t="str">
        <f>'EEM Data Entry'!F86</f>
        <v/>
      </c>
      <c r="D8" s="661">
        <v>0</v>
      </c>
      <c r="E8" s="661" t="e">
        <f>C8-D8</f>
        <v>#VALUE!</v>
      </c>
      <c r="F8" s="662">
        <f>('Cascading Savings'!D7*'Cascading Savings'!D$4)+('Cascading Savings'!F7*'Cascading Savings'!F$4)+('Cascading Savings'!H7*'Cascading Savings'!H$4)+('Cascading Savings'!J7*'Cascading Savings'!J$4)+('Cascading Savings'!L7*'Cascading Savings'!L$4)+('Cascading Savings'!N7*'Cascading Savings'!N$4)+('Cascading Savings'!P7*'Cascading Savings'!P$4)+('Cascading Savings'!R7*'Cascading Savings'!R$4)</f>
        <v>0</v>
      </c>
      <c r="G8" s="663">
        <f>'Cascading Savings'!T7</f>
        <v>0</v>
      </c>
      <c r="H8" s="664" t="e">
        <f>IF(C8=0,"n/a",E8/F8)</f>
        <v>#VALUE!</v>
      </c>
      <c r="I8" s="665" t="e">
        <f>IF(H8=0, "n/a", IF(H8&gt;100, "no",IF(H8&lt;0, "no", "yes")))</f>
        <v>#VALUE!</v>
      </c>
      <c r="J8" s="666" t="e">
        <f t="shared" si="0"/>
        <v>#NUM!</v>
      </c>
      <c r="K8" s="667" t="e">
        <f>PV('Interest Rate'!$B$17,Table112[[#This Row],[Lifetime]],-Table112[[#This Row],[ANNUAL ENERGY COST SAVINGS]],Table112[[#This Row],[END-OF-LIFE]],0)-Table112[[#This Row],[CAPITAL INVESTMENT]]</f>
        <v>#VALUE!</v>
      </c>
      <c r="L8" s="668" t="str">
        <f>'EEM Data Entry'!C86</f>
        <v/>
      </c>
      <c r="M8" s="669" t="e">
        <f>Table112[[#This Row],[ANNUAL ENERGY COST SAVINGS]]/Table112[[#This Row],[CAPITAL INVESTMENT]]</f>
        <v>#VALUE!</v>
      </c>
      <c r="N8" s="794">
        <f>IF(ISNUMBER(Table112[[#This Row],[NPV]])=TRUE,Table112[[#This Row],[NPV]],0)</f>
        <v>0</v>
      </c>
      <c r="O8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8" s="568" t="str">
        <f>Table112[[#This Row],[Lifetime]]</f>
        <v/>
      </c>
      <c r="V8" s="657" t="str">
        <f t="shared" ref="V8:V30" si="2">IF(ISNUMBER(E8)=TRUE,-E8,"")</f>
        <v/>
      </c>
      <c r="W8" s="658">
        <f t="shared" si="1"/>
        <v>0</v>
      </c>
      <c r="X8" s="658">
        <f>IF(X$6&gt;$L8,0,W8*(1-'Interest Rate'!$B$17))</f>
        <v>0</v>
      </c>
      <c r="Y8" s="658">
        <f>IF(Y$6&gt;$L8,0,X8*(1-'Interest Rate'!$B$17))</f>
        <v>0</v>
      </c>
      <c r="Z8" s="658">
        <f>IF(Z$6&gt;$L8,0,Y8*(1-'Interest Rate'!$B$17))</f>
        <v>0</v>
      </c>
      <c r="AA8" s="658">
        <f>IF(AA$6&gt;$L8,0,Z8*(1-'Interest Rate'!$B$17))</f>
        <v>0</v>
      </c>
      <c r="AB8" s="658">
        <f>IF(AB$6&gt;$L8,0,AA8*(1-'Interest Rate'!$B$17))</f>
        <v>0</v>
      </c>
      <c r="AC8" s="658">
        <f>IF(AC$6&gt;$L8,0,AB8*(1-'Interest Rate'!$B$17))</f>
        <v>0</v>
      </c>
      <c r="AD8" s="658">
        <f>IF(AD$6&gt;$L8,0,AC8*(1-'Interest Rate'!$B$17))</f>
        <v>0</v>
      </c>
      <c r="AE8" s="658">
        <f>IF(AE$6&gt;$L8,0,AD8*(1-'Interest Rate'!$B$17))</f>
        <v>0</v>
      </c>
      <c r="AF8" s="658">
        <f>IF(AF$6&gt;$L8,0,AE8*(1-'Interest Rate'!$B$17))</f>
        <v>0</v>
      </c>
      <c r="AG8" s="658">
        <f>IF(AG$6&gt;$L8,0,AF8*(1-'Interest Rate'!$B$17))</f>
        <v>0</v>
      </c>
      <c r="AH8" s="658">
        <f>IF(AH$6&gt;$L8,0,AG8*(1-'Interest Rate'!$B$17))</f>
        <v>0</v>
      </c>
      <c r="AI8" s="658">
        <f>IF(AI$6&gt;$L8,0,AH8*(1-'Interest Rate'!$B$17))</f>
        <v>0</v>
      </c>
      <c r="AJ8" s="658">
        <f>IF(AJ$6&gt;$L8,0,AI8*(1-'Interest Rate'!$B$17))</f>
        <v>0</v>
      </c>
      <c r="AK8" s="658">
        <f>IF(AK$6&gt;$L8,0,AJ8*(1-'Interest Rate'!$B$17))</f>
        <v>0</v>
      </c>
      <c r="AL8" s="658">
        <f>IF(AL$6&gt;$L8,0,AK8*(1-'Interest Rate'!$B$17))</f>
        <v>0</v>
      </c>
      <c r="AM8" s="658">
        <f>IF(AM$6&gt;$L8,0,AL8*(1-'Interest Rate'!$B$17))</f>
        <v>0</v>
      </c>
      <c r="AN8" s="658">
        <f>IF(AN$6&gt;$L8,0,AM8*(1-'Interest Rate'!$B$17))</f>
        <v>0</v>
      </c>
      <c r="AO8" s="658">
        <f>IF(AO$6&gt;$L8,0,AN8*(1-'Interest Rate'!$B$17))</f>
        <v>0</v>
      </c>
      <c r="AP8" s="658">
        <f>IF(AP$6&gt;$L8,0,AO8*(1-'Interest Rate'!$B$17))</f>
        <v>0</v>
      </c>
      <c r="AQ8" s="658">
        <f>IF(AQ$6&gt;$L8,0,AP8*(1-'Interest Rate'!$B$17))</f>
        <v>0</v>
      </c>
      <c r="AR8" s="658">
        <f>IF(AR$6&gt;$L8,0,AQ8*(1-'Interest Rate'!$B$17))</f>
        <v>0</v>
      </c>
      <c r="AS8" s="658">
        <f>IF(AS$6&gt;$L8,0,AR8*(1-'Interest Rate'!$B$17))</f>
        <v>0</v>
      </c>
      <c r="AT8" s="658">
        <f>IF(AT$6&gt;$L8,0,AS8*(1-'Interest Rate'!$B$17))</f>
        <v>0</v>
      </c>
      <c r="AU8" s="658">
        <f>IF(AU$6&gt;$L8,0,AT8*(1-'Interest Rate'!$B$17))</f>
        <v>0</v>
      </c>
      <c r="AV8" s="658">
        <f>IF(AV$6&gt;$L8,0,AU8*(1-'Interest Rate'!$B$17))</f>
        <v>0</v>
      </c>
      <c r="AW8" s="658">
        <f>IF(AW$6&gt;$L8,0,AV8*(1-'Interest Rate'!$B$17))</f>
        <v>0</v>
      </c>
      <c r="AX8" s="658">
        <f>IF(AX$6&gt;$L8,0,AW8*(1-'Interest Rate'!$B$17))</f>
        <v>0</v>
      </c>
      <c r="AY8" s="658">
        <f>IF(AY$6&gt;$L8,0,AX8*(1-'Interest Rate'!$B$17))</f>
        <v>0</v>
      </c>
      <c r="AZ8" s="658">
        <f>IF(AZ$6&gt;$L8,0,AY8*(1-'Interest Rate'!$B$17))</f>
        <v>0</v>
      </c>
      <c r="BA8" s="658">
        <f>IF(BA$6&gt;$L8,0,AZ8*(1-'Interest Rate'!$B$17))</f>
        <v>0</v>
      </c>
      <c r="BB8" s="658">
        <f>IF(BB$6&gt;$L8,0,BA8*(1-'Interest Rate'!$B$17))</f>
        <v>0</v>
      </c>
      <c r="BC8" s="658">
        <f>IF(BC$6&gt;$L8,0,BB8*(1-'Interest Rate'!$B$17))</f>
        <v>0</v>
      </c>
      <c r="BD8" s="658">
        <f>IF(BD$6&gt;$L8,0,BC8*(1-'Interest Rate'!$B$17))</f>
        <v>0</v>
      </c>
      <c r="BE8" s="658">
        <f>IF(BE$6&gt;$L8,0,BD8*(1-'Interest Rate'!$B$17))</f>
        <v>0</v>
      </c>
      <c r="BF8" s="658">
        <f>IF(BF$6&gt;$L8,0,BE8*(1-'Interest Rate'!$B$17))</f>
        <v>0</v>
      </c>
      <c r="BG8" s="658">
        <f>IF(BG$6&gt;$L8,0,BF8*(1-'Interest Rate'!$B$17))</f>
        <v>0</v>
      </c>
      <c r="BH8" s="658">
        <f>IF(BH$6&gt;$L8,0,BG8*(1-'Interest Rate'!$B$17))</f>
        <v>0</v>
      </c>
      <c r="BI8" s="658">
        <f>IF(BI$6&gt;$L8,0,BH8*(1-'Interest Rate'!$B$17))</f>
        <v>0</v>
      </c>
      <c r="BJ8" s="658">
        <f>IF(BJ$6&gt;$L8,0,BI8*(1-'Interest Rate'!$B$17))</f>
        <v>0</v>
      </c>
      <c r="BK8" s="658">
        <f>IF(BK$6&gt;$L8,0,BJ8*(1-'Interest Rate'!$B$17))</f>
        <v>0</v>
      </c>
      <c r="BL8" s="658">
        <f>IF(BL$6&gt;$L8,0,BK8*(1-'Interest Rate'!$B$17))</f>
        <v>0</v>
      </c>
      <c r="BM8" s="658">
        <f>IF(BM$6&gt;$L8,0,BL8*(1-'Interest Rate'!$B$17))</f>
        <v>0</v>
      </c>
      <c r="BN8" s="658">
        <f>IF(BN$6&gt;$L8,0,BM8*(1-'Interest Rate'!$B$17))</f>
        <v>0</v>
      </c>
      <c r="BO8" s="658">
        <f>IF(BO$6&gt;$L8,0,BN8*(1-'Interest Rate'!$B$17))</f>
        <v>0</v>
      </c>
      <c r="BP8" s="658">
        <f>IF(BP$6&gt;$L8,0,BO8*(1-'Interest Rate'!$B$17))</f>
        <v>0</v>
      </c>
      <c r="BQ8" s="658">
        <f>IF(BQ$6&gt;$L8,0,BP8*(1-'Interest Rate'!$B$17))</f>
        <v>0</v>
      </c>
      <c r="BR8" s="658">
        <f>IF(BR$6&gt;$L8,0,BQ8*(1-'Interest Rate'!$B$17))</f>
        <v>0</v>
      </c>
      <c r="BS8" s="658">
        <f>IF(BS$6&gt;$L8,0,BR8*(1-'Interest Rate'!$B$17))</f>
        <v>0</v>
      </c>
      <c r="BT8" s="658">
        <f>IF(BT$6&gt;$L8,0,BS8*(1-'Interest Rate'!$B$17))</f>
        <v>0</v>
      </c>
      <c r="BU8" s="658">
        <f>IF(BU$6&gt;$L8,0,BT8*(1-'Interest Rate'!$B$17))</f>
        <v>0</v>
      </c>
      <c r="BV8" s="658">
        <f>IF(BV$6&gt;$L8,0,BU8*(1-'Interest Rate'!$B$17))</f>
        <v>0</v>
      </c>
      <c r="BW8" s="658">
        <f>IF(BW$6&gt;$L8,0,BV8*(1-'Interest Rate'!$B$17))</f>
        <v>0</v>
      </c>
      <c r="BX8" s="658">
        <f>IF(BX$6&gt;$L8,0,BW8*(1-'Interest Rate'!$B$17))</f>
        <v>0</v>
      </c>
      <c r="BY8" s="658">
        <f>IF(BY$6&gt;$L8,0,BX8*(1-'Interest Rate'!$B$17))</f>
        <v>0</v>
      </c>
      <c r="BZ8" s="658">
        <f>IF(BZ$6&gt;$L8,0,BY8*(1-'Interest Rate'!$B$17))</f>
        <v>0</v>
      </c>
      <c r="CA8" s="658">
        <f>IF(CA$6&gt;$L8,0,BZ8*(1-'Interest Rate'!$B$17))</f>
        <v>0</v>
      </c>
      <c r="CB8" s="658">
        <f>IF(CB$6&gt;$L8,0,CA8*(1-'Interest Rate'!$B$17))</f>
        <v>0</v>
      </c>
      <c r="CC8" s="658">
        <f>IF(CC$6&gt;$L8,0,CB8*(1-'Interest Rate'!$B$17))</f>
        <v>0</v>
      </c>
      <c r="CD8" s="658">
        <f>IF(CD$6&gt;$L8,0,CC8*(1-'Interest Rate'!$B$17))</f>
        <v>0</v>
      </c>
      <c r="CE8" s="658">
        <f>IF(CE$6&gt;$L8,0,CD8*(1-'Interest Rate'!$B$17))</f>
        <v>0</v>
      </c>
      <c r="CF8" s="658">
        <f>IF(CF$6&gt;$L8,0,CE8*(1-'Interest Rate'!$B$17))</f>
        <v>0</v>
      </c>
      <c r="CG8" s="658">
        <f>IF(CG$6&gt;$L8,0,CF8*(1-'Interest Rate'!$B$17))</f>
        <v>0</v>
      </c>
      <c r="CH8" s="658">
        <f>IF(CH$6&gt;$L8,0,CG8*(1-'Interest Rate'!$B$17))</f>
        <v>0</v>
      </c>
      <c r="CI8" s="658">
        <f>IF(CI$6&gt;$L8,0,CH8*(1-'Interest Rate'!$B$17))</f>
        <v>0</v>
      </c>
      <c r="CJ8" s="658">
        <f>IF(CJ$6&gt;$L8,0,CI8*(1-'Interest Rate'!$B$17))</f>
        <v>0</v>
      </c>
      <c r="CK8" s="658">
        <f>IF(CK$6&gt;$L8,0,CJ8*(1-'Interest Rate'!$B$17))</f>
        <v>0</v>
      </c>
      <c r="CL8" s="658">
        <f>IF(CL$6&gt;$L8,0,CK8*(1-'Interest Rate'!$B$17))</f>
        <v>0</v>
      </c>
      <c r="CM8" s="658">
        <f>IF(CM$6&gt;$L8,0,CL8*(1-'Interest Rate'!$B$17))</f>
        <v>0</v>
      </c>
      <c r="CN8" s="658">
        <f>IF(CN$6&gt;$L8,0,CM8*(1-'Interest Rate'!$B$17))</f>
        <v>0</v>
      </c>
      <c r="CO8" s="658">
        <f>IF(CO$6&gt;$L8,0,CN8*(1-'Interest Rate'!$B$17))</f>
        <v>0</v>
      </c>
      <c r="CP8" s="658">
        <f>IF(CP$6&gt;$L8,0,CO8*(1-'Interest Rate'!$B$17))</f>
        <v>0</v>
      </c>
      <c r="CQ8" s="658">
        <f>IF(CQ$6&gt;$L8,0,CP8*(1-'Interest Rate'!$B$17))</f>
        <v>0</v>
      </c>
      <c r="CR8" s="658">
        <f>IF(CR$6&gt;$L8,0,CQ8*(1-'Interest Rate'!$B$17))</f>
        <v>0</v>
      </c>
      <c r="CS8" s="658">
        <f>IF(CS$6&gt;$L8,0,CR8*(1-'Interest Rate'!$B$17))</f>
        <v>0</v>
      </c>
      <c r="CT8" s="658">
        <f>IF(CT$6&gt;$L8,0,CS8*(1-'Interest Rate'!$B$17))</f>
        <v>0</v>
      </c>
      <c r="CU8" s="658">
        <f>IF(CU$6&gt;$L8,0,CT8*(1-'Interest Rate'!$B$17))</f>
        <v>0</v>
      </c>
      <c r="CV8" s="658">
        <f>IF(CV$6&gt;$L8,0,CU8*(1-'Interest Rate'!$B$17))</f>
        <v>0</v>
      </c>
      <c r="CW8" s="658">
        <f>IF(CW$6&gt;$L8,0,CV8*(1-'Interest Rate'!$B$17))</f>
        <v>0</v>
      </c>
      <c r="CX8" s="658">
        <f>IF(CX$6&gt;$L8,0,CW8*(1-'Interest Rate'!$B$17))</f>
        <v>0</v>
      </c>
      <c r="CY8" s="658">
        <f>IF(CY$6&gt;$L8,0,CX8*(1-'Interest Rate'!$B$17))</f>
        <v>0</v>
      </c>
      <c r="CZ8" s="658">
        <f>IF(CZ$6&gt;$L8,0,CY8*(1-'Interest Rate'!$B$17))</f>
        <v>0</v>
      </c>
      <c r="DA8" s="658">
        <f>IF(DA$6&gt;$L8,0,CZ8*(1-'Interest Rate'!$B$17))</f>
        <v>0</v>
      </c>
      <c r="DB8" s="658">
        <f>IF(DB$6&gt;$L8,0,DA8*(1-'Interest Rate'!$B$17))</f>
        <v>0</v>
      </c>
      <c r="DC8" s="658">
        <f>IF(DC$6&gt;$L8,0,DB8*(1-'Interest Rate'!$B$17))</f>
        <v>0</v>
      </c>
      <c r="DD8" s="658">
        <f>IF(DD$6&gt;$L8,0,DC8*(1-'Interest Rate'!$B$17))</f>
        <v>0</v>
      </c>
      <c r="DE8" s="658">
        <f>IF(DE$6&gt;$L8,0,DD8*(1-'Interest Rate'!$B$17))</f>
        <v>0</v>
      </c>
      <c r="DF8" s="658">
        <f>IF(DF$6&gt;$L8,0,DE8*(1-'Interest Rate'!$B$17))</f>
        <v>0</v>
      </c>
      <c r="DG8" s="658">
        <f>IF(DG$6&gt;$L8,0,DF8*(1-'Interest Rate'!$B$17))</f>
        <v>0</v>
      </c>
      <c r="DH8" s="658">
        <f>IF(DH$6&gt;$L8,0,DG8*(1-'Interest Rate'!$B$17))</f>
        <v>0</v>
      </c>
      <c r="DI8" s="658">
        <f>IF(DI$6&gt;$L8,0,DH8*(1-'Interest Rate'!$B$17))</f>
        <v>0</v>
      </c>
      <c r="DJ8" s="658">
        <f>IF(DJ$6&gt;$L8,0,DI8*(1-'Interest Rate'!$B$17))</f>
        <v>0</v>
      </c>
      <c r="DK8" s="658">
        <f>IF(DK$6&gt;$L8,0,DJ8*(1-'Interest Rate'!$B$17))</f>
        <v>0</v>
      </c>
      <c r="DL8" s="658">
        <f>IF(DL$6&gt;$L8,0,DK8*(1-'Interest Rate'!$B$17))</f>
        <v>0</v>
      </c>
      <c r="DM8" s="658">
        <f>IF(DM$6&gt;$L8,0,DL8*(1-'Interest Rate'!$B$17))</f>
        <v>0</v>
      </c>
      <c r="DN8" s="658">
        <f>IF(DN$6&gt;$L8,0,DM8*(1-'Interest Rate'!$B$17))</f>
        <v>0</v>
      </c>
      <c r="DO8" s="658">
        <f>IF(DO$6&gt;$L8,0,DN8*(1-'Interest Rate'!$B$17))</f>
        <v>0</v>
      </c>
      <c r="DP8" s="658">
        <f>IF(DP$6&gt;$L8,0,DO8*(1-'Interest Rate'!$B$17))</f>
        <v>0</v>
      </c>
      <c r="DQ8" s="658">
        <f>IF(DQ$6&gt;$L8,0,DP8*(1-'Interest Rate'!$B$17))</f>
        <v>0</v>
      </c>
      <c r="DR8" s="658">
        <f>IF(DR$6&gt;$L8,0,DQ8*(1-'Interest Rate'!$B$17))</f>
        <v>0</v>
      </c>
    </row>
    <row r="9" spans="1:122" ht="33" customHeight="1" x14ac:dyDescent="0.3">
      <c r="A9" s="647" t="str">
        <f>'EEM Data Entry'!A87</f>
        <v/>
      </c>
      <c r="B9" s="670" t="str">
        <f>'EEM Data Entry'!B87</f>
        <v/>
      </c>
      <c r="C9" s="649" t="str">
        <f>'EEM Data Entry'!F87</f>
        <v/>
      </c>
      <c r="D9" s="649">
        <v>0</v>
      </c>
      <c r="E9" s="671" t="e">
        <f t="shared" ref="E9:E14" si="3">C9-D9</f>
        <v>#VALUE!</v>
      </c>
      <c r="F9" s="650">
        <f>('Cascading Savings'!D8*'Cascading Savings'!D$4)+('Cascading Savings'!F8*'Cascading Savings'!F$4)+('Cascading Savings'!H8*'Cascading Savings'!H$4)+('Cascading Savings'!J8*'Cascading Savings'!J$4)+('Cascading Savings'!L8*'Cascading Savings'!L$4)+('Cascading Savings'!N8*'Cascading Savings'!N$4)+('Cascading Savings'!P8*'Cascading Savings'!P$4)+('Cascading Savings'!R8*'Cascading Savings'!R$4)</f>
        <v>0</v>
      </c>
      <c r="G9" s="651">
        <f>'Cascading Savings'!T8</f>
        <v>0</v>
      </c>
      <c r="H9" s="672" t="e">
        <f t="shared" ref="H9:H30" si="4">IF(C9=0,"n/a",E9/F9)</f>
        <v>#VALUE!</v>
      </c>
      <c r="I9" s="668" t="e">
        <f t="shared" ref="I9:I14" si="5">IF(H9=0, "n/a", IF(H9&gt;100, "no",IF(H9&lt;0, "no", "yes")))</f>
        <v>#VALUE!</v>
      </c>
      <c r="J9" s="673" t="e">
        <f>IRR(V9:DR9,0.1)</f>
        <v>#NUM!</v>
      </c>
      <c r="K9" s="674" t="e">
        <f>PV('Interest Rate'!$B$17,Table112[[#This Row],[Lifetime]],-Table112[[#This Row],[ANNUAL ENERGY COST SAVINGS]],Table112[[#This Row],[END-OF-LIFE]],0)-Table112[[#This Row],[CAPITAL INVESTMENT]]</f>
        <v>#VALUE!</v>
      </c>
      <c r="L9" s="668" t="str">
        <f>'EEM Data Entry'!C87</f>
        <v/>
      </c>
      <c r="M9" s="669" t="e">
        <f>Table112[[#This Row],[ANNUAL ENERGY COST SAVINGS]]/Table112[[#This Row],[CAPITAL INVESTMENT]]</f>
        <v>#VALUE!</v>
      </c>
      <c r="N9" s="794">
        <f>IF(ISNUMBER(Table112[[#This Row],[NPV]])=TRUE,Table112[[#This Row],[NPV]],0)</f>
        <v>0</v>
      </c>
      <c r="O9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9" s="568" t="str">
        <f>Table112[[#This Row],[Lifetime]]</f>
        <v/>
      </c>
      <c r="V9" s="657" t="str">
        <f t="shared" si="2"/>
        <v/>
      </c>
      <c r="W9" s="658">
        <f t="shared" si="1"/>
        <v>0</v>
      </c>
      <c r="X9" s="658">
        <f>IF(X$6&gt;$L9,0,W9*(1-'Interest Rate'!$B$17))</f>
        <v>0</v>
      </c>
      <c r="Y9" s="658">
        <f>IF(Y$6&gt;$L9,0,X9*(1-'Interest Rate'!$B$17))</f>
        <v>0</v>
      </c>
      <c r="Z9" s="658">
        <f>IF(Z$6&gt;$L9,0,Y9*(1-'Interest Rate'!$B$17))</f>
        <v>0</v>
      </c>
      <c r="AA9" s="658">
        <f>IF(AA$6&gt;$L9,0,Z9*(1-'Interest Rate'!$B$17))</f>
        <v>0</v>
      </c>
      <c r="AB9" s="658">
        <f>IF(AB$6&gt;$L9,0,AA9*(1-'Interest Rate'!$B$17))</f>
        <v>0</v>
      </c>
      <c r="AC9" s="658">
        <f>IF(AC$6&gt;$L9,0,AB9*(1-'Interest Rate'!$B$17))</f>
        <v>0</v>
      </c>
      <c r="AD9" s="658">
        <f>IF(AD$6&gt;$L9,0,AC9*(1-'Interest Rate'!$B$17))</f>
        <v>0</v>
      </c>
      <c r="AE9" s="658">
        <f>IF(AE$6&gt;$L9,0,AD9*(1-'Interest Rate'!$B$17))</f>
        <v>0</v>
      </c>
      <c r="AF9" s="658">
        <f>IF(AF$6&gt;$L9,0,AE9*(1-'Interest Rate'!$B$17))</f>
        <v>0</v>
      </c>
      <c r="AG9" s="658">
        <f>IF(AG$6&gt;$L9,0,AF9*(1-'Interest Rate'!$B$17))</f>
        <v>0</v>
      </c>
      <c r="AH9" s="658">
        <f>IF(AH$6&gt;$L9,0,AG9*(1-'Interest Rate'!$B$17))</f>
        <v>0</v>
      </c>
      <c r="AI9" s="658">
        <f>IF(AI$6&gt;$L9,0,AH9*(1-'Interest Rate'!$B$17))</f>
        <v>0</v>
      </c>
      <c r="AJ9" s="658">
        <f>IF(AJ$6&gt;$L9,0,AI9*(1-'Interest Rate'!$B$17))</f>
        <v>0</v>
      </c>
      <c r="AK9" s="658">
        <f>IF(AK$6&gt;$L9,0,AJ9*(1-'Interest Rate'!$B$17))</f>
        <v>0</v>
      </c>
      <c r="AL9" s="658">
        <f>IF(AL$6&gt;$L9,0,AK9*(1-'Interest Rate'!$B$17))</f>
        <v>0</v>
      </c>
      <c r="AM9" s="658">
        <f>IF(AM$6&gt;$L9,0,AL9*(1-'Interest Rate'!$B$17))</f>
        <v>0</v>
      </c>
      <c r="AN9" s="658">
        <f>IF(AN$6&gt;$L9,0,AM9*(1-'Interest Rate'!$B$17))</f>
        <v>0</v>
      </c>
      <c r="AO9" s="658">
        <f>IF(AO$6&gt;$L9,0,AN9*(1-'Interest Rate'!$B$17))</f>
        <v>0</v>
      </c>
      <c r="AP9" s="658">
        <f>IF(AP$6&gt;$L9,0,AO9*(1-'Interest Rate'!$B$17))</f>
        <v>0</v>
      </c>
      <c r="AQ9" s="658">
        <f>IF(AQ$6&gt;$L9,0,AP9*(1-'Interest Rate'!$B$17))</f>
        <v>0</v>
      </c>
      <c r="AR9" s="658">
        <f>IF(AR$6&gt;$L9,0,AQ9*(1-'Interest Rate'!$B$17))</f>
        <v>0</v>
      </c>
      <c r="AS9" s="658">
        <f>IF(AS$6&gt;$L9,0,AR9*(1-'Interest Rate'!$B$17))</f>
        <v>0</v>
      </c>
      <c r="AT9" s="658">
        <f>IF(AT$6&gt;$L9,0,AS9*(1-'Interest Rate'!$B$17))</f>
        <v>0</v>
      </c>
      <c r="AU9" s="658">
        <f>IF(AU$6&gt;$L9,0,AT9*(1-'Interest Rate'!$B$17))</f>
        <v>0</v>
      </c>
      <c r="AV9" s="658">
        <f>IF(AV$6&gt;$L9,0,AU9*(1-'Interest Rate'!$B$17))</f>
        <v>0</v>
      </c>
      <c r="AW9" s="658">
        <f>IF(AW$6&gt;$L9,0,AV9*(1-'Interest Rate'!$B$17))</f>
        <v>0</v>
      </c>
      <c r="AX9" s="658">
        <f>IF(AX$6&gt;$L9,0,AW9*(1-'Interest Rate'!$B$17))</f>
        <v>0</v>
      </c>
      <c r="AY9" s="658">
        <f>IF(AY$6&gt;$L9,0,AX9*(1-'Interest Rate'!$B$17))</f>
        <v>0</v>
      </c>
      <c r="AZ9" s="658">
        <f>IF(AZ$6&gt;$L9,0,AY9*(1-'Interest Rate'!$B$17))</f>
        <v>0</v>
      </c>
      <c r="BA9" s="658">
        <f>IF(BA$6&gt;$L9,0,AZ9*(1-'Interest Rate'!$B$17))</f>
        <v>0</v>
      </c>
      <c r="BB9" s="658">
        <f>IF(BB$6&gt;$L9,0,BA9*(1-'Interest Rate'!$B$17))</f>
        <v>0</v>
      </c>
      <c r="BC9" s="658">
        <f>IF(BC$6&gt;$L9,0,BB9*(1-'Interest Rate'!$B$17))</f>
        <v>0</v>
      </c>
      <c r="BD9" s="658">
        <f>IF(BD$6&gt;$L9,0,BC9*(1-'Interest Rate'!$B$17))</f>
        <v>0</v>
      </c>
      <c r="BE9" s="658">
        <f>IF(BE$6&gt;$L9,0,BD9*(1-'Interest Rate'!$B$17))</f>
        <v>0</v>
      </c>
      <c r="BF9" s="658">
        <f>IF(BF$6&gt;$L9,0,BE9*(1-'Interest Rate'!$B$17))</f>
        <v>0</v>
      </c>
      <c r="BG9" s="658">
        <f>IF(BG$6&gt;$L9,0,BF9*(1-'Interest Rate'!$B$17))</f>
        <v>0</v>
      </c>
      <c r="BH9" s="658">
        <f>IF(BH$6&gt;$L9,0,BG9*(1-'Interest Rate'!$B$17))</f>
        <v>0</v>
      </c>
      <c r="BI9" s="658">
        <f>IF(BI$6&gt;$L9,0,BH9*(1-'Interest Rate'!$B$17))</f>
        <v>0</v>
      </c>
      <c r="BJ9" s="658">
        <f>IF(BJ$6&gt;$L9,0,BI9*(1-'Interest Rate'!$B$17))</f>
        <v>0</v>
      </c>
      <c r="BK9" s="658">
        <f>IF(BK$6&gt;$L9,0,BJ9*(1-'Interest Rate'!$B$17))</f>
        <v>0</v>
      </c>
      <c r="BL9" s="658">
        <f>IF(BL$6&gt;$L9,0,BK9*(1-'Interest Rate'!$B$17))</f>
        <v>0</v>
      </c>
      <c r="BM9" s="658">
        <f>IF(BM$6&gt;$L9,0,BL9*(1-'Interest Rate'!$B$17))</f>
        <v>0</v>
      </c>
      <c r="BN9" s="658">
        <f>IF(BN$6&gt;$L9,0,BM9*(1-'Interest Rate'!$B$17))</f>
        <v>0</v>
      </c>
      <c r="BO9" s="658">
        <f>IF(BO$6&gt;$L9,0,BN9*(1-'Interest Rate'!$B$17))</f>
        <v>0</v>
      </c>
      <c r="BP9" s="658">
        <f>IF(BP$6&gt;$L9,0,BO9*(1-'Interest Rate'!$B$17))</f>
        <v>0</v>
      </c>
      <c r="BQ9" s="658">
        <f>IF(BQ$6&gt;$L9,0,BP9*(1-'Interest Rate'!$B$17))</f>
        <v>0</v>
      </c>
      <c r="BR9" s="658">
        <f>IF(BR$6&gt;$L9,0,BQ9*(1-'Interest Rate'!$B$17))</f>
        <v>0</v>
      </c>
      <c r="BS9" s="658">
        <f>IF(BS$6&gt;$L9,0,BR9*(1-'Interest Rate'!$B$17))</f>
        <v>0</v>
      </c>
      <c r="BT9" s="658">
        <f>IF(BT$6&gt;$L9,0,BS9*(1-'Interest Rate'!$B$17))</f>
        <v>0</v>
      </c>
      <c r="BU9" s="658">
        <f>IF(BU$6&gt;$L9,0,BT9*(1-'Interest Rate'!$B$17))</f>
        <v>0</v>
      </c>
      <c r="BV9" s="658">
        <f>IF(BV$6&gt;$L9,0,BU9*(1-'Interest Rate'!$B$17))</f>
        <v>0</v>
      </c>
      <c r="BW9" s="658">
        <f>IF(BW$6&gt;$L9,0,BV9*(1-'Interest Rate'!$B$17))</f>
        <v>0</v>
      </c>
      <c r="BX9" s="658">
        <f>IF(BX$6&gt;$L9,0,BW9*(1-'Interest Rate'!$B$17))</f>
        <v>0</v>
      </c>
      <c r="BY9" s="658">
        <f>IF(BY$6&gt;$L9,0,BX9*(1-'Interest Rate'!$B$17))</f>
        <v>0</v>
      </c>
      <c r="BZ9" s="658">
        <f>IF(BZ$6&gt;$L9,0,BY9*(1-'Interest Rate'!$B$17))</f>
        <v>0</v>
      </c>
      <c r="CA9" s="658">
        <f>IF(CA$6&gt;$L9,0,BZ9*(1-'Interest Rate'!$B$17))</f>
        <v>0</v>
      </c>
      <c r="CB9" s="658">
        <f>IF(CB$6&gt;$L9,0,CA9*(1-'Interest Rate'!$B$17))</f>
        <v>0</v>
      </c>
      <c r="CC9" s="658">
        <f>IF(CC$6&gt;$L9,0,CB9*(1-'Interest Rate'!$B$17))</f>
        <v>0</v>
      </c>
      <c r="CD9" s="658">
        <f>IF(CD$6&gt;$L9,0,CC9*(1-'Interest Rate'!$B$17))</f>
        <v>0</v>
      </c>
      <c r="CE9" s="658">
        <f>IF(CE$6&gt;$L9,0,CD9*(1-'Interest Rate'!$B$17))</f>
        <v>0</v>
      </c>
      <c r="CF9" s="658">
        <f>IF(CF$6&gt;$L9,0,CE9*(1-'Interest Rate'!$B$17))</f>
        <v>0</v>
      </c>
      <c r="CG9" s="658">
        <f>IF(CG$6&gt;$L9,0,CF9*(1-'Interest Rate'!$B$17))</f>
        <v>0</v>
      </c>
      <c r="CH9" s="658">
        <f>IF(CH$6&gt;$L9,0,CG9*(1-'Interest Rate'!$B$17))</f>
        <v>0</v>
      </c>
      <c r="CI9" s="658">
        <f>IF(CI$6&gt;$L9,0,CH9*(1-'Interest Rate'!$B$17))</f>
        <v>0</v>
      </c>
      <c r="CJ9" s="658">
        <f>IF(CJ$6&gt;$L9,0,CI9*(1-'Interest Rate'!$B$17))</f>
        <v>0</v>
      </c>
      <c r="CK9" s="658">
        <f>IF(CK$6&gt;$L9,0,CJ9*(1-'Interest Rate'!$B$17))</f>
        <v>0</v>
      </c>
      <c r="CL9" s="658">
        <f>IF(CL$6&gt;$L9,0,CK9*(1-'Interest Rate'!$B$17))</f>
        <v>0</v>
      </c>
      <c r="CM9" s="658">
        <f>IF(CM$6&gt;$L9,0,CL9*(1-'Interest Rate'!$B$17))</f>
        <v>0</v>
      </c>
      <c r="CN9" s="658">
        <f>IF(CN$6&gt;$L9,0,CM9*(1-'Interest Rate'!$B$17))</f>
        <v>0</v>
      </c>
      <c r="CO9" s="658">
        <f>IF(CO$6&gt;$L9,0,CN9*(1-'Interest Rate'!$B$17))</f>
        <v>0</v>
      </c>
      <c r="CP9" s="658">
        <f>IF(CP$6&gt;$L9,0,CO9*(1-'Interest Rate'!$B$17))</f>
        <v>0</v>
      </c>
      <c r="CQ9" s="658">
        <f>IF(CQ$6&gt;$L9,0,CP9*(1-'Interest Rate'!$B$17))</f>
        <v>0</v>
      </c>
      <c r="CR9" s="658">
        <f>IF(CR$6&gt;$L9,0,CQ9*(1-'Interest Rate'!$B$17))</f>
        <v>0</v>
      </c>
      <c r="CS9" s="658">
        <f>IF(CS$6&gt;$L9,0,CR9*(1-'Interest Rate'!$B$17))</f>
        <v>0</v>
      </c>
      <c r="CT9" s="658">
        <f>IF(CT$6&gt;$L9,0,CS9*(1-'Interest Rate'!$B$17))</f>
        <v>0</v>
      </c>
      <c r="CU9" s="658">
        <f>IF(CU$6&gt;$L9,0,CT9*(1-'Interest Rate'!$B$17))</f>
        <v>0</v>
      </c>
      <c r="CV9" s="658">
        <f>IF(CV$6&gt;$L9,0,CU9*(1-'Interest Rate'!$B$17))</f>
        <v>0</v>
      </c>
      <c r="CW9" s="658">
        <f>IF(CW$6&gt;$L9,0,CV9*(1-'Interest Rate'!$B$17))</f>
        <v>0</v>
      </c>
      <c r="CX9" s="658">
        <f>IF(CX$6&gt;$L9,0,CW9*(1-'Interest Rate'!$B$17))</f>
        <v>0</v>
      </c>
      <c r="CY9" s="658">
        <f>IF(CY$6&gt;$L9,0,CX9*(1-'Interest Rate'!$B$17))</f>
        <v>0</v>
      </c>
      <c r="CZ9" s="658">
        <f>IF(CZ$6&gt;$L9,0,CY9*(1-'Interest Rate'!$B$17))</f>
        <v>0</v>
      </c>
      <c r="DA9" s="658">
        <f>IF(DA$6&gt;$L9,0,CZ9*(1-'Interest Rate'!$B$17))</f>
        <v>0</v>
      </c>
      <c r="DB9" s="658">
        <f>IF(DB$6&gt;$L9,0,DA9*(1-'Interest Rate'!$B$17))</f>
        <v>0</v>
      </c>
      <c r="DC9" s="658">
        <f>IF(DC$6&gt;$L9,0,DB9*(1-'Interest Rate'!$B$17))</f>
        <v>0</v>
      </c>
      <c r="DD9" s="658">
        <f>IF(DD$6&gt;$L9,0,DC9*(1-'Interest Rate'!$B$17))</f>
        <v>0</v>
      </c>
      <c r="DE9" s="658">
        <f>IF(DE$6&gt;$L9,0,DD9*(1-'Interest Rate'!$B$17))</f>
        <v>0</v>
      </c>
      <c r="DF9" s="658">
        <f>IF(DF$6&gt;$L9,0,DE9*(1-'Interest Rate'!$B$17))</f>
        <v>0</v>
      </c>
      <c r="DG9" s="658">
        <f>IF(DG$6&gt;$L9,0,DF9*(1-'Interest Rate'!$B$17))</f>
        <v>0</v>
      </c>
      <c r="DH9" s="658">
        <f>IF(DH$6&gt;$L9,0,DG9*(1-'Interest Rate'!$B$17))</f>
        <v>0</v>
      </c>
      <c r="DI9" s="658">
        <f>IF(DI$6&gt;$L9,0,DH9*(1-'Interest Rate'!$B$17))</f>
        <v>0</v>
      </c>
      <c r="DJ9" s="658">
        <f>IF(DJ$6&gt;$L9,0,DI9*(1-'Interest Rate'!$B$17))</f>
        <v>0</v>
      </c>
      <c r="DK9" s="658">
        <f>IF(DK$6&gt;$L9,0,DJ9*(1-'Interest Rate'!$B$17))</f>
        <v>0</v>
      </c>
      <c r="DL9" s="658">
        <f>IF(DL$6&gt;$L9,0,DK9*(1-'Interest Rate'!$B$17))</f>
        <v>0</v>
      </c>
      <c r="DM9" s="658">
        <f>IF(DM$6&gt;$L9,0,DL9*(1-'Interest Rate'!$B$17))</f>
        <v>0</v>
      </c>
      <c r="DN9" s="658">
        <f>IF(DN$6&gt;$L9,0,DM9*(1-'Interest Rate'!$B$17))</f>
        <v>0</v>
      </c>
      <c r="DO9" s="658">
        <f>IF(DO$6&gt;$L9,0,DN9*(1-'Interest Rate'!$B$17))</f>
        <v>0</v>
      </c>
      <c r="DP9" s="658">
        <f>IF(DP$6&gt;$L9,0,DO9*(1-'Interest Rate'!$B$17))</f>
        <v>0</v>
      </c>
      <c r="DQ9" s="658">
        <f>IF(DQ$6&gt;$L9,0,DP9*(1-'Interest Rate'!$B$17))</f>
        <v>0</v>
      </c>
      <c r="DR9" s="658">
        <f>IF(DR$6&gt;$L9,0,DQ9*(1-'Interest Rate'!$B$17))</f>
        <v>0</v>
      </c>
    </row>
    <row r="10" spans="1:122" ht="33" customHeight="1" x14ac:dyDescent="0.3">
      <c r="A10" s="675" t="str">
        <f>'EEM Data Entry'!A88</f>
        <v/>
      </c>
      <c r="B10" s="660" t="str">
        <f>'EEM Data Entry'!B88</f>
        <v/>
      </c>
      <c r="C10" s="661" t="str">
        <f>'EEM Data Entry'!F88</f>
        <v/>
      </c>
      <c r="D10" s="661">
        <v>0</v>
      </c>
      <c r="E10" s="661" t="e">
        <f t="shared" si="3"/>
        <v>#VALUE!</v>
      </c>
      <c r="F10" s="662">
        <f>('Cascading Savings'!D9*'Cascading Savings'!D$4)+('Cascading Savings'!F9*'Cascading Savings'!F$4)+('Cascading Savings'!H9*'Cascading Savings'!H$4)+('Cascading Savings'!J9*'Cascading Savings'!J$4)+('Cascading Savings'!L9*'Cascading Savings'!L$4)+('Cascading Savings'!N9*'Cascading Savings'!N$4)+('Cascading Savings'!P9*'Cascading Savings'!P$4)+('Cascading Savings'!R9*'Cascading Savings'!R$4)</f>
        <v>0</v>
      </c>
      <c r="G10" s="663">
        <f>'Cascading Savings'!T9</f>
        <v>0</v>
      </c>
      <c r="H10" s="664" t="e">
        <f t="shared" si="4"/>
        <v>#VALUE!</v>
      </c>
      <c r="I10" s="665" t="e">
        <f t="shared" si="5"/>
        <v>#VALUE!</v>
      </c>
      <c r="J10" s="666" t="e">
        <f t="shared" si="0"/>
        <v>#NUM!</v>
      </c>
      <c r="K10" s="667" t="e">
        <f>PV('Interest Rate'!$B$17,Table112[[#This Row],[Lifetime]],-Table112[[#This Row],[ANNUAL ENERGY COST SAVINGS]],Table112[[#This Row],[END-OF-LIFE]],0)-Table112[[#This Row],[CAPITAL INVESTMENT]]</f>
        <v>#VALUE!</v>
      </c>
      <c r="L10" s="665" t="str">
        <f>'EEM Data Entry'!C88</f>
        <v/>
      </c>
      <c r="M10" s="676" t="e">
        <f>Table112[[#This Row],[ANNUAL ENERGY COST SAVINGS]]/Table112[[#This Row],[CAPITAL INVESTMENT]]</f>
        <v>#VALUE!</v>
      </c>
      <c r="N10" s="794">
        <f>IF(ISNUMBER(Table112[[#This Row],[NPV]])=TRUE,Table112[[#This Row],[NPV]],0)</f>
        <v>0</v>
      </c>
      <c r="O10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10" s="568" t="str">
        <f>Table112[[#This Row],[Lifetime]]</f>
        <v/>
      </c>
      <c r="V10" s="657" t="str">
        <f t="shared" si="2"/>
        <v/>
      </c>
      <c r="W10" s="658">
        <f t="shared" si="1"/>
        <v>0</v>
      </c>
      <c r="X10" s="658">
        <f>IF(X$6&gt;$L10,0,W10*(1-'Interest Rate'!$B$17))</f>
        <v>0</v>
      </c>
      <c r="Y10" s="658">
        <f>IF(Y$6&gt;$L10,0,X10*(1-'Interest Rate'!$B$17))</f>
        <v>0</v>
      </c>
      <c r="Z10" s="658">
        <f>IF(Z$6&gt;$L10,0,Y10*(1-'Interest Rate'!$B$17))</f>
        <v>0</v>
      </c>
      <c r="AA10" s="658">
        <f>IF(AA$6&gt;$L10,0,Z10*(1-'Interest Rate'!$B$17))</f>
        <v>0</v>
      </c>
      <c r="AB10" s="658">
        <f>IF(AB$6&gt;$L10,0,AA10*(1-'Interest Rate'!$B$17))</f>
        <v>0</v>
      </c>
      <c r="AC10" s="658">
        <f>IF(AC$6&gt;$L10,0,AB10*(1-'Interest Rate'!$B$17))</f>
        <v>0</v>
      </c>
      <c r="AD10" s="658">
        <f>IF(AD$6&gt;$L10,0,AC10*(1-'Interest Rate'!$B$17))</f>
        <v>0</v>
      </c>
      <c r="AE10" s="658">
        <f>IF(AE$6&gt;$L10,0,AD10*(1-'Interest Rate'!$B$17))</f>
        <v>0</v>
      </c>
      <c r="AF10" s="658">
        <f>IF(AF$6&gt;$L10,0,AE10*(1-'Interest Rate'!$B$17))</f>
        <v>0</v>
      </c>
      <c r="AG10" s="658">
        <f>IF(AG$6&gt;$L10,0,AF10*(1-'Interest Rate'!$B$17))</f>
        <v>0</v>
      </c>
      <c r="AH10" s="658">
        <f>IF(AH$6&gt;$L10,0,AG10*(1-'Interest Rate'!$B$17))</f>
        <v>0</v>
      </c>
      <c r="AI10" s="658">
        <f>IF(AI$6&gt;$L10,0,AH10*(1-'Interest Rate'!$B$17))</f>
        <v>0</v>
      </c>
      <c r="AJ10" s="658">
        <f>IF(AJ$6&gt;$L10,0,AI10*(1-'Interest Rate'!$B$17))</f>
        <v>0</v>
      </c>
      <c r="AK10" s="658">
        <f>IF(AK$6&gt;$L10,0,AJ10*(1-'Interest Rate'!$B$17))</f>
        <v>0</v>
      </c>
      <c r="AL10" s="658">
        <f>IF(AL$6&gt;$L10,0,AK10*(1-'Interest Rate'!$B$17))</f>
        <v>0</v>
      </c>
      <c r="AM10" s="658">
        <f>IF(AM$6&gt;$L10,0,AL10*(1-'Interest Rate'!$B$17))</f>
        <v>0</v>
      </c>
      <c r="AN10" s="658">
        <f>IF(AN$6&gt;$L10,0,AM10*(1-'Interest Rate'!$B$17))</f>
        <v>0</v>
      </c>
      <c r="AO10" s="658">
        <f>IF(AO$6&gt;$L10,0,AN10*(1-'Interest Rate'!$B$17))</f>
        <v>0</v>
      </c>
      <c r="AP10" s="658">
        <f>IF(AP$6&gt;$L10,0,AO10*(1-'Interest Rate'!$B$17))</f>
        <v>0</v>
      </c>
      <c r="AQ10" s="658">
        <f>IF(AQ$6&gt;$L10,0,AP10*(1-'Interest Rate'!$B$17))</f>
        <v>0</v>
      </c>
      <c r="AR10" s="658">
        <f>IF(AR$6&gt;$L10,0,AQ10*(1-'Interest Rate'!$B$17))</f>
        <v>0</v>
      </c>
      <c r="AS10" s="658">
        <f>IF(AS$6&gt;$L10,0,AR10*(1-'Interest Rate'!$B$17))</f>
        <v>0</v>
      </c>
      <c r="AT10" s="658">
        <f>IF(AT$6&gt;$L10,0,AS10*(1-'Interest Rate'!$B$17))</f>
        <v>0</v>
      </c>
      <c r="AU10" s="658">
        <f>IF(AU$6&gt;$L10,0,AT10*(1-'Interest Rate'!$B$17))</f>
        <v>0</v>
      </c>
      <c r="AV10" s="658">
        <f>IF(AV$6&gt;$L10,0,AU10*(1-'Interest Rate'!$B$17))</f>
        <v>0</v>
      </c>
      <c r="AW10" s="658">
        <f>IF(AW$6&gt;$L10,0,AV10*(1-'Interest Rate'!$B$17))</f>
        <v>0</v>
      </c>
      <c r="AX10" s="658">
        <f>IF(AX$6&gt;$L10,0,AW10*(1-'Interest Rate'!$B$17))</f>
        <v>0</v>
      </c>
      <c r="AY10" s="658">
        <f>IF(AY$6&gt;$L10,0,AX10*(1-'Interest Rate'!$B$17))</f>
        <v>0</v>
      </c>
      <c r="AZ10" s="658">
        <f>IF(AZ$6&gt;$L10,0,AY10*(1-'Interest Rate'!$B$17))</f>
        <v>0</v>
      </c>
      <c r="BA10" s="658">
        <f>IF(BA$6&gt;$L10,0,AZ10*(1-'Interest Rate'!$B$17))</f>
        <v>0</v>
      </c>
      <c r="BB10" s="658">
        <f>IF(BB$6&gt;$L10,0,BA10*(1-'Interest Rate'!$B$17))</f>
        <v>0</v>
      </c>
      <c r="BC10" s="658">
        <f>IF(BC$6&gt;$L10,0,BB10*(1-'Interest Rate'!$B$17))</f>
        <v>0</v>
      </c>
      <c r="BD10" s="658">
        <f>IF(BD$6&gt;$L10,0,BC10*(1-'Interest Rate'!$B$17))</f>
        <v>0</v>
      </c>
      <c r="BE10" s="658">
        <f>IF(BE$6&gt;$L10,0,BD10*(1-'Interest Rate'!$B$17))</f>
        <v>0</v>
      </c>
      <c r="BF10" s="658">
        <f>IF(BF$6&gt;$L10,0,BE10*(1-'Interest Rate'!$B$17))</f>
        <v>0</v>
      </c>
      <c r="BG10" s="658">
        <f>IF(BG$6&gt;$L10,0,BF10*(1-'Interest Rate'!$B$17))</f>
        <v>0</v>
      </c>
      <c r="BH10" s="658">
        <f>IF(BH$6&gt;$L10,0,BG10*(1-'Interest Rate'!$B$17))</f>
        <v>0</v>
      </c>
      <c r="BI10" s="658">
        <f>IF(BI$6&gt;$L10,0,BH10*(1-'Interest Rate'!$B$17))</f>
        <v>0</v>
      </c>
      <c r="BJ10" s="658">
        <f>IF(BJ$6&gt;$L10,0,BI10*(1-'Interest Rate'!$B$17))</f>
        <v>0</v>
      </c>
      <c r="BK10" s="658">
        <f>IF(BK$6&gt;$L10,0,BJ10*(1-'Interest Rate'!$B$17))</f>
        <v>0</v>
      </c>
      <c r="BL10" s="658">
        <f>IF(BL$6&gt;$L10,0,BK10*(1-'Interest Rate'!$B$17))</f>
        <v>0</v>
      </c>
      <c r="BM10" s="658">
        <f>IF(BM$6&gt;$L10,0,BL10*(1-'Interest Rate'!$B$17))</f>
        <v>0</v>
      </c>
      <c r="BN10" s="658">
        <f>IF(BN$6&gt;$L10,0,BM10*(1-'Interest Rate'!$B$17))</f>
        <v>0</v>
      </c>
      <c r="BO10" s="658">
        <f>IF(BO$6&gt;$L10,0,BN10*(1-'Interest Rate'!$B$17))</f>
        <v>0</v>
      </c>
      <c r="BP10" s="658">
        <f>IF(BP$6&gt;$L10,0,BO10*(1-'Interest Rate'!$B$17))</f>
        <v>0</v>
      </c>
      <c r="BQ10" s="658">
        <f>IF(BQ$6&gt;$L10,0,BP10*(1-'Interest Rate'!$B$17))</f>
        <v>0</v>
      </c>
      <c r="BR10" s="658">
        <f>IF(BR$6&gt;$L10,0,BQ10*(1-'Interest Rate'!$B$17))</f>
        <v>0</v>
      </c>
      <c r="BS10" s="658">
        <f>IF(BS$6&gt;$L10,0,BR10*(1-'Interest Rate'!$B$17))</f>
        <v>0</v>
      </c>
      <c r="BT10" s="658">
        <f>IF(BT$6&gt;$L10,0,BS10*(1-'Interest Rate'!$B$17))</f>
        <v>0</v>
      </c>
      <c r="BU10" s="658">
        <f>IF(BU$6&gt;$L10,0,BT10*(1-'Interest Rate'!$B$17))</f>
        <v>0</v>
      </c>
      <c r="BV10" s="658">
        <f>IF(BV$6&gt;$L10,0,BU10*(1-'Interest Rate'!$B$17))</f>
        <v>0</v>
      </c>
      <c r="BW10" s="658">
        <f>IF(BW$6&gt;$L10,0,BV10*(1-'Interest Rate'!$B$17))</f>
        <v>0</v>
      </c>
      <c r="BX10" s="658">
        <f>IF(BX$6&gt;$L10,0,BW10*(1-'Interest Rate'!$B$17))</f>
        <v>0</v>
      </c>
      <c r="BY10" s="658">
        <f>IF(BY$6&gt;$L10,0,BX10*(1-'Interest Rate'!$B$17))</f>
        <v>0</v>
      </c>
      <c r="BZ10" s="658">
        <f>IF(BZ$6&gt;$L10,0,BY10*(1-'Interest Rate'!$B$17))</f>
        <v>0</v>
      </c>
      <c r="CA10" s="658">
        <f>IF(CA$6&gt;$L10,0,BZ10*(1-'Interest Rate'!$B$17))</f>
        <v>0</v>
      </c>
      <c r="CB10" s="658">
        <f>IF(CB$6&gt;$L10,0,CA10*(1-'Interest Rate'!$B$17))</f>
        <v>0</v>
      </c>
      <c r="CC10" s="658">
        <f>IF(CC$6&gt;$L10,0,CB10*(1-'Interest Rate'!$B$17))</f>
        <v>0</v>
      </c>
      <c r="CD10" s="658">
        <f>IF(CD$6&gt;$L10,0,CC10*(1-'Interest Rate'!$B$17))</f>
        <v>0</v>
      </c>
      <c r="CE10" s="658">
        <f>IF(CE$6&gt;$L10,0,CD10*(1-'Interest Rate'!$B$17))</f>
        <v>0</v>
      </c>
      <c r="CF10" s="658">
        <f>IF(CF$6&gt;$L10,0,CE10*(1-'Interest Rate'!$B$17))</f>
        <v>0</v>
      </c>
      <c r="CG10" s="658">
        <f>IF(CG$6&gt;$L10,0,CF10*(1-'Interest Rate'!$B$17))</f>
        <v>0</v>
      </c>
      <c r="CH10" s="658">
        <f>IF(CH$6&gt;$L10,0,CG10*(1-'Interest Rate'!$B$17))</f>
        <v>0</v>
      </c>
      <c r="CI10" s="658">
        <f>IF(CI$6&gt;$L10,0,CH10*(1-'Interest Rate'!$B$17))</f>
        <v>0</v>
      </c>
      <c r="CJ10" s="658">
        <f>IF(CJ$6&gt;$L10,0,CI10*(1-'Interest Rate'!$B$17))</f>
        <v>0</v>
      </c>
      <c r="CK10" s="658">
        <f>IF(CK$6&gt;$L10,0,CJ10*(1-'Interest Rate'!$B$17))</f>
        <v>0</v>
      </c>
      <c r="CL10" s="658">
        <f>IF(CL$6&gt;$L10,0,CK10*(1-'Interest Rate'!$B$17))</f>
        <v>0</v>
      </c>
      <c r="CM10" s="658">
        <f>IF(CM$6&gt;$L10,0,CL10*(1-'Interest Rate'!$B$17))</f>
        <v>0</v>
      </c>
      <c r="CN10" s="658">
        <f>IF(CN$6&gt;$L10,0,CM10*(1-'Interest Rate'!$B$17))</f>
        <v>0</v>
      </c>
      <c r="CO10" s="658">
        <f>IF(CO$6&gt;$L10,0,CN10*(1-'Interest Rate'!$B$17))</f>
        <v>0</v>
      </c>
      <c r="CP10" s="658">
        <f>IF(CP$6&gt;$L10,0,CO10*(1-'Interest Rate'!$B$17))</f>
        <v>0</v>
      </c>
      <c r="CQ10" s="658">
        <f>IF(CQ$6&gt;$L10,0,CP10*(1-'Interest Rate'!$B$17))</f>
        <v>0</v>
      </c>
      <c r="CR10" s="658">
        <f>IF(CR$6&gt;$L10,0,CQ10*(1-'Interest Rate'!$B$17))</f>
        <v>0</v>
      </c>
      <c r="CS10" s="658">
        <f>IF(CS$6&gt;$L10,0,CR10*(1-'Interest Rate'!$B$17))</f>
        <v>0</v>
      </c>
      <c r="CT10" s="658">
        <f>IF(CT$6&gt;$L10,0,CS10*(1-'Interest Rate'!$B$17))</f>
        <v>0</v>
      </c>
      <c r="CU10" s="658">
        <f>IF(CU$6&gt;$L10,0,CT10*(1-'Interest Rate'!$B$17))</f>
        <v>0</v>
      </c>
      <c r="CV10" s="658">
        <f>IF(CV$6&gt;$L10,0,CU10*(1-'Interest Rate'!$B$17))</f>
        <v>0</v>
      </c>
      <c r="CW10" s="658">
        <f>IF(CW$6&gt;$L10,0,CV10*(1-'Interest Rate'!$B$17))</f>
        <v>0</v>
      </c>
      <c r="CX10" s="658">
        <f>IF(CX$6&gt;$L10,0,CW10*(1-'Interest Rate'!$B$17))</f>
        <v>0</v>
      </c>
      <c r="CY10" s="658">
        <f>IF(CY$6&gt;$L10,0,CX10*(1-'Interest Rate'!$B$17))</f>
        <v>0</v>
      </c>
      <c r="CZ10" s="658">
        <f>IF(CZ$6&gt;$L10,0,CY10*(1-'Interest Rate'!$B$17))</f>
        <v>0</v>
      </c>
      <c r="DA10" s="658">
        <f>IF(DA$6&gt;$L10,0,CZ10*(1-'Interest Rate'!$B$17))</f>
        <v>0</v>
      </c>
      <c r="DB10" s="658">
        <f>IF(DB$6&gt;$L10,0,DA10*(1-'Interest Rate'!$B$17))</f>
        <v>0</v>
      </c>
      <c r="DC10" s="658">
        <f>IF(DC$6&gt;$L10,0,DB10*(1-'Interest Rate'!$B$17))</f>
        <v>0</v>
      </c>
      <c r="DD10" s="658">
        <f>IF(DD$6&gt;$L10,0,DC10*(1-'Interest Rate'!$B$17))</f>
        <v>0</v>
      </c>
      <c r="DE10" s="658">
        <f>IF(DE$6&gt;$L10,0,DD10*(1-'Interest Rate'!$B$17))</f>
        <v>0</v>
      </c>
      <c r="DF10" s="658">
        <f>IF(DF$6&gt;$L10,0,DE10*(1-'Interest Rate'!$B$17))</f>
        <v>0</v>
      </c>
      <c r="DG10" s="658">
        <f>IF(DG$6&gt;$L10,0,DF10*(1-'Interest Rate'!$B$17))</f>
        <v>0</v>
      </c>
      <c r="DH10" s="658">
        <f>IF(DH$6&gt;$L10,0,DG10*(1-'Interest Rate'!$B$17))</f>
        <v>0</v>
      </c>
      <c r="DI10" s="658">
        <f>IF(DI$6&gt;$L10,0,DH10*(1-'Interest Rate'!$B$17))</f>
        <v>0</v>
      </c>
      <c r="DJ10" s="658">
        <f>IF(DJ$6&gt;$L10,0,DI10*(1-'Interest Rate'!$B$17))</f>
        <v>0</v>
      </c>
      <c r="DK10" s="658">
        <f>IF(DK$6&gt;$L10,0,DJ10*(1-'Interest Rate'!$B$17))</f>
        <v>0</v>
      </c>
      <c r="DL10" s="658">
        <f>IF(DL$6&gt;$L10,0,DK10*(1-'Interest Rate'!$B$17))</f>
        <v>0</v>
      </c>
      <c r="DM10" s="658">
        <f>IF(DM$6&gt;$L10,0,DL10*(1-'Interest Rate'!$B$17))</f>
        <v>0</v>
      </c>
      <c r="DN10" s="658">
        <f>IF(DN$6&gt;$L10,0,DM10*(1-'Interest Rate'!$B$17))</f>
        <v>0</v>
      </c>
      <c r="DO10" s="658">
        <f>IF(DO$6&gt;$L10,0,DN10*(1-'Interest Rate'!$B$17))</f>
        <v>0</v>
      </c>
      <c r="DP10" s="658">
        <f>IF(DP$6&gt;$L10,0,DO10*(1-'Interest Rate'!$B$17))</f>
        <v>0</v>
      </c>
      <c r="DQ10" s="658">
        <f>IF(DQ$6&gt;$L10,0,DP10*(1-'Interest Rate'!$B$17))</f>
        <v>0</v>
      </c>
      <c r="DR10" s="658">
        <f>IF(DR$6&gt;$L10,0,DQ10*(1-'Interest Rate'!$B$17))</f>
        <v>0</v>
      </c>
    </row>
    <row r="11" spans="1:122" ht="33" customHeight="1" x14ac:dyDescent="0.3">
      <c r="A11" s="647" t="str">
        <f>'EEM Data Entry'!A89</f>
        <v/>
      </c>
      <c r="B11" s="670" t="str">
        <f>'EEM Data Entry'!B89</f>
        <v/>
      </c>
      <c r="C11" s="649" t="str">
        <f>'EEM Data Entry'!F89</f>
        <v/>
      </c>
      <c r="D11" s="649">
        <v>0</v>
      </c>
      <c r="E11" s="671" t="e">
        <f t="shared" si="3"/>
        <v>#VALUE!</v>
      </c>
      <c r="F11" s="650">
        <f>('Cascading Savings'!D10*'Cascading Savings'!D$4)+('Cascading Savings'!F10*'Cascading Savings'!F$4)+('Cascading Savings'!H10*'Cascading Savings'!H$4)+('Cascading Savings'!J10*'Cascading Savings'!J$4)+('Cascading Savings'!L10*'Cascading Savings'!L$4)+('Cascading Savings'!N10*'Cascading Savings'!N$4)+('Cascading Savings'!P10*'Cascading Savings'!P$4)+('Cascading Savings'!R10*'Cascading Savings'!R$4)</f>
        <v>0</v>
      </c>
      <c r="G11" s="651">
        <f>'Cascading Savings'!T10</f>
        <v>0</v>
      </c>
      <c r="H11" s="672" t="e">
        <f t="shared" si="4"/>
        <v>#VALUE!</v>
      </c>
      <c r="I11" s="668" t="e">
        <f t="shared" si="5"/>
        <v>#VALUE!</v>
      </c>
      <c r="J11" s="673" t="e">
        <f t="shared" si="0"/>
        <v>#NUM!</v>
      </c>
      <c r="K11" s="655" t="e">
        <f>PV('Interest Rate'!$B$17,Table112[[#This Row],[Lifetime]],-Table112[[#This Row],[ANNUAL ENERGY COST SAVINGS]],Table112[[#This Row],[END-OF-LIFE]],0)-Table112[[#This Row],[CAPITAL INVESTMENT]]</f>
        <v>#VALUE!</v>
      </c>
      <c r="L11" s="668" t="str">
        <f>'EEM Data Entry'!C89</f>
        <v/>
      </c>
      <c r="M11" s="669" t="e">
        <f>Table112[[#This Row],[ANNUAL ENERGY COST SAVINGS]]/Table112[[#This Row],[CAPITAL INVESTMENT]]</f>
        <v>#VALUE!</v>
      </c>
      <c r="N11" s="794">
        <f>IF(ISNUMBER(Table112[[#This Row],[NPV]])=TRUE,Table112[[#This Row],[NPV]],0)</f>
        <v>0</v>
      </c>
      <c r="O11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11" s="568" t="str">
        <f>Table112[[#This Row],[Lifetime]]</f>
        <v/>
      </c>
      <c r="V11" s="657" t="str">
        <f t="shared" si="2"/>
        <v/>
      </c>
      <c r="W11" s="658">
        <f t="shared" si="1"/>
        <v>0</v>
      </c>
      <c r="X11" s="658">
        <f>IF(X$6&gt;$L11,0,W11*(1-'Interest Rate'!$B$17))</f>
        <v>0</v>
      </c>
      <c r="Y11" s="658">
        <f>IF(Y$6&gt;$L11,0,X11*(1-'Interest Rate'!$B$17))</f>
        <v>0</v>
      </c>
      <c r="Z11" s="658">
        <f>IF(Z$6&gt;$L11,0,Y11*(1-'Interest Rate'!$B$17))</f>
        <v>0</v>
      </c>
      <c r="AA11" s="658">
        <f>IF(AA$6&gt;$L11,0,Z11*(1-'Interest Rate'!$B$17))</f>
        <v>0</v>
      </c>
      <c r="AB11" s="658">
        <f>IF(AB$6&gt;$L11,0,AA11*(1-'Interest Rate'!$B$17))</f>
        <v>0</v>
      </c>
      <c r="AC11" s="658">
        <f>IF(AC$6&gt;$L11,0,AB11*(1-'Interest Rate'!$B$17))</f>
        <v>0</v>
      </c>
      <c r="AD11" s="658">
        <f>IF(AD$6&gt;$L11,0,AC11*(1-'Interest Rate'!$B$17))</f>
        <v>0</v>
      </c>
      <c r="AE11" s="658">
        <f>IF(AE$6&gt;$L11,0,AD11*(1-'Interest Rate'!$B$17))</f>
        <v>0</v>
      </c>
      <c r="AF11" s="658">
        <f>IF(AF$6&gt;$L11,0,AE11*(1-'Interest Rate'!$B$17))</f>
        <v>0</v>
      </c>
      <c r="AG11" s="658">
        <f>IF(AG$6&gt;$L11,0,AF11*(1-'Interest Rate'!$B$17))</f>
        <v>0</v>
      </c>
      <c r="AH11" s="658">
        <f>IF(AH$6&gt;$L11,0,AG11*(1-'Interest Rate'!$B$17))</f>
        <v>0</v>
      </c>
      <c r="AI11" s="658">
        <f>IF(AI$6&gt;$L11,0,AH11*(1-'Interest Rate'!$B$17))</f>
        <v>0</v>
      </c>
      <c r="AJ11" s="658">
        <f>IF(AJ$6&gt;$L11,0,AI11*(1-'Interest Rate'!$B$17))</f>
        <v>0</v>
      </c>
      <c r="AK11" s="658">
        <f>IF(AK$6&gt;$L11,0,AJ11*(1-'Interest Rate'!$B$17))</f>
        <v>0</v>
      </c>
      <c r="AL11" s="658">
        <f>IF(AL$6&gt;$L11,0,AK11*(1-'Interest Rate'!$B$17))</f>
        <v>0</v>
      </c>
      <c r="AM11" s="658">
        <f>IF(AM$6&gt;$L11,0,AL11*(1-'Interest Rate'!$B$17))</f>
        <v>0</v>
      </c>
      <c r="AN11" s="658">
        <f>IF(AN$6&gt;$L11,0,AM11*(1-'Interest Rate'!$B$17))</f>
        <v>0</v>
      </c>
      <c r="AO11" s="658">
        <f>IF(AO$6&gt;$L11,0,AN11*(1-'Interest Rate'!$B$17))</f>
        <v>0</v>
      </c>
      <c r="AP11" s="658">
        <f>IF(AP$6&gt;$L11,0,AO11*(1-'Interest Rate'!$B$17))</f>
        <v>0</v>
      </c>
      <c r="AQ11" s="658">
        <f>IF(AQ$6&gt;$L11,0,AP11*(1-'Interest Rate'!$B$17))</f>
        <v>0</v>
      </c>
      <c r="AR11" s="658">
        <f>IF(AR$6&gt;$L11,0,AQ11*(1-'Interest Rate'!$B$17))</f>
        <v>0</v>
      </c>
      <c r="AS11" s="658">
        <f>IF(AS$6&gt;$L11,0,AR11*(1-'Interest Rate'!$B$17))</f>
        <v>0</v>
      </c>
      <c r="AT11" s="658">
        <f>IF(AT$6&gt;$L11,0,AS11*(1-'Interest Rate'!$B$17))</f>
        <v>0</v>
      </c>
      <c r="AU11" s="658">
        <f>IF(AU$6&gt;$L11,0,AT11*(1-'Interest Rate'!$B$17))</f>
        <v>0</v>
      </c>
      <c r="AV11" s="658">
        <f>IF(AV$6&gt;$L11,0,AU11*(1-'Interest Rate'!$B$17))</f>
        <v>0</v>
      </c>
      <c r="AW11" s="658">
        <f>IF(AW$6&gt;$L11,0,AV11*(1-'Interest Rate'!$B$17))</f>
        <v>0</v>
      </c>
      <c r="AX11" s="658">
        <f>IF(AX$6&gt;$L11,0,AW11*(1-'Interest Rate'!$B$17))</f>
        <v>0</v>
      </c>
      <c r="AY11" s="658">
        <f>IF(AY$6&gt;$L11,0,AX11*(1-'Interest Rate'!$B$17))</f>
        <v>0</v>
      </c>
      <c r="AZ11" s="658">
        <f>IF(AZ$6&gt;$L11,0,AY11*(1-'Interest Rate'!$B$17))</f>
        <v>0</v>
      </c>
      <c r="BA11" s="658">
        <f>IF(BA$6&gt;$L11,0,AZ11*(1-'Interest Rate'!$B$17))</f>
        <v>0</v>
      </c>
      <c r="BB11" s="658">
        <f>IF(BB$6&gt;$L11,0,BA11*(1-'Interest Rate'!$B$17))</f>
        <v>0</v>
      </c>
      <c r="BC11" s="658">
        <f>IF(BC$6&gt;$L11,0,BB11*(1-'Interest Rate'!$B$17))</f>
        <v>0</v>
      </c>
      <c r="BD11" s="658">
        <f>IF(BD$6&gt;$L11,0,BC11*(1-'Interest Rate'!$B$17))</f>
        <v>0</v>
      </c>
      <c r="BE11" s="658">
        <f>IF(BE$6&gt;$L11,0,BD11*(1-'Interest Rate'!$B$17))</f>
        <v>0</v>
      </c>
      <c r="BF11" s="658">
        <f>IF(BF$6&gt;$L11,0,BE11*(1-'Interest Rate'!$B$17))</f>
        <v>0</v>
      </c>
      <c r="BG11" s="658">
        <f>IF(BG$6&gt;$L11,0,BF11*(1-'Interest Rate'!$B$17))</f>
        <v>0</v>
      </c>
      <c r="BH11" s="658">
        <f>IF(BH$6&gt;$L11,0,BG11*(1-'Interest Rate'!$B$17))</f>
        <v>0</v>
      </c>
      <c r="BI11" s="658">
        <f>IF(BI$6&gt;$L11,0,BH11*(1-'Interest Rate'!$B$17))</f>
        <v>0</v>
      </c>
      <c r="BJ11" s="658">
        <f>IF(BJ$6&gt;$L11,0,BI11*(1-'Interest Rate'!$B$17))</f>
        <v>0</v>
      </c>
      <c r="BK11" s="658">
        <f>IF(BK$6&gt;$L11,0,BJ11*(1-'Interest Rate'!$B$17))</f>
        <v>0</v>
      </c>
      <c r="BL11" s="658">
        <f>IF(BL$6&gt;$L11,0,BK11*(1-'Interest Rate'!$B$17))</f>
        <v>0</v>
      </c>
      <c r="BM11" s="658">
        <f>IF(BM$6&gt;$L11,0,BL11*(1-'Interest Rate'!$B$17))</f>
        <v>0</v>
      </c>
      <c r="BN11" s="658">
        <f>IF(BN$6&gt;$L11,0,BM11*(1-'Interest Rate'!$B$17))</f>
        <v>0</v>
      </c>
      <c r="BO11" s="658">
        <f>IF(BO$6&gt;$L11,0,BN11*(1-'Interest Rate'!$B$17))</f>
        <v>0</v>
      </c>
      <c r="BP11" s="658">
        <f>IF(BP$6&gt;$L11,0,BO11*(1-'Interest Rate'!$B$17))</f>
        <v>0</v>
      </c>
      <c r="BQ11" s="658">
        <f>IF(BQ$6&gt;$L11,0,BP11*(1-'Interest Rate'!$B$17))</f>
        <v>0</v>
      </c>
      <c r="BR11" s="658">
        <f>IF(BR$6&gt;$L11,0,BQ11*(1-'Interest Rate'!$B$17))</f>
        <v>0</v>
      </c>
      <c r="BS11" s="658">
        <f>IF(BS$6&gt;$L11,0,BR11*(1-'Interest Rate'!$B$17))</f>
        <v>0</v>
      </c>
      <c r="BT11" s="658">
        <f>IF(BT$6&gt;$L11,0,BS11*(1-'Interest Rate'!$B$17))</f>
        <v>0</v>
      </c>
      <c r="BU11" s="658">
        <f>IF(BU$6&gt;$L11,0,BT11*(1-'Interest Rate'!$B$17))</f>
        <v>0</v>
      </c>
      <c r="BV11" s="658">
        <f>IF(BV$6&gt;$L11,0,BU11*(1-'Interest Rate'!$B$17))</f>
        <v>0</v>
      </c>
      <c r="BW11" s="658">
        <f>IF(BW$6&gt;$L11,0,BV11*(1-'Interest Rate'!$B$17))</f>
        <v>0</v>
      </c>
      <c r="BX11" s="658">
        <f>IF(BX$6&gt;$L11,0,BW11*(1-'Interest Rate'!$B$17))</f>
        <v>0</v>
      </c>
      <c r="BY11" s="658">
        <f>IF(BY$6&gt;$L11,0,BX11*(1-'Interest Rate'!$B$17))</f>
        <v>0</v>
      </c>
      <c r="BZ11" s="658">
        <f>IF(BZ$6&gt;$L11,0,BY11*(1-'Interest Rate'!$B$17))</f>
        <v>0</v>
      </c>
      <c r="CA11" s="658">
        <f>IF(CA$6&gt;$L11,0,BZ11*(1-'Interest Rate'!$B$17))</f>
        <v>0</v>
      </c>
      <c r="CB11" s="658">
        <f>IF(CB$6&gt;$L11,0,CA11*(1-'Interest Rate'!$B$17))</f>
        <v>0</v>
      </c>
      <c r="CC11" s="658">
        <f>IF(CC$6&gt;$L11,0,CB11*(1-'Interest Rate'!$B$17))</f>
        <v>0</v>
      </c>
      <c r="CD11" s="658">
        <f>IF(CD$6&gt;$L11,0,CC11*(1-'Interest Rate'!$B$17))</f>
        <v>0</v>
      </c>
      <c r="CE11" s="658">
        <f>IF(CE$6&gt;$L11,0,CD11*(1-'Interest Rate'!$B$17))</f>
        <v>0</v>
      </c>
      <c r="CF11" s="658">
        <f>IF(CF$6&gt;$L11,0,CE11*(1-'Interest Rate'!$B$17))</f>
        <v>0</v>
      </c>
      <c r="CG11" s="658">
        <f>IF(CG$6&gt;$L11,0,CF11*(1-'Interest Rate'!$B$17))</f>
        <v>0</v>
      </c>
      <c r="CH11" s="658">
        <f>IF(CH$6&gt;$L11,0,CG11*(1-'Interest Rate'!$B$17))</f>
        <v>0</v>
      </c>
      <c r="CI11" s="658">
        <f>IF(CI$6&gt;$L11,0,CH11*(1-'Interest Rate'!$B$17))</f>
        <v>0</v>
      </c>
      <c r="CJ11" s="658">
        <f>IF(CJ$6&gt;$L11,0,CI11*(1-'Interest Rate'!$B$17))</f>
        <v>0</v>
      </c>
      <c r="CK11" s="658">
        <f>IF(CK$6&gt;$L11,0,CJ11*(1-'Interest Rate'!$B$17))</f>
        <v>0</v>
      </c>
      <c r="CL11" s="658">
        <f>IF(CL$6&gt;$L11,0,CK11*(1-'Interest Rate'!$B$17))</f>
        <v>0</v>
      </c>
      <c r="CM11" s="658">
        <f>IF(CM$6&gt;$L11,0,CL11*(1-'Interest Rate'!$B$17))</f>
        <v>0</v>
      </c>
      <c r="CN11" s="658">
        <f>IF(CN$6&gt;$L11,0,CM11*(1-'Interest Rate'!$B$17))</f>
        <v>0</v>
      </c>
      <c r="CO11" s="658">
        <f>IF(CO$6&gt;$L11,0,CN11*(1-'Interest Rate'!$B$17))</f>
        <v>0</v>
      </c>
      <c r="CP11" s="658">
        <f>IF(CP$6&gt;$L11,0,CO11*(1-'Interest Rate'!$B$17))</f>
        <v>0</v>
      </c>
      <c r="CQ11" s="658">
        <f>IF(CQ$6&gt;$L11,0,CP11*(1-'Interest Rate'!$B$17))</f>
        <v>0</v>
      </c>
      <c r="CR11" s="658">
        <f>IF(CR$6&gt;$L11,0,CQ11*(1-'Interest Rate'!$B$17))</f>
        <v>0</v>
      </c>
      <c r="CS11" s="658">
        <f>IF(CS$6&gt;$L11,0,CR11*(1-'Interest Rate'!$B$17))</f>
        <v>0</v>
      </c>
      <c r="CT11" s="658">
        <f>IF(CT$6&gt;$L11,0,CS11*(1-'Interest Rate'!$B$17))</f>
        <v>0</v>
      </c>
      <c r="CU11" s="658">
        <f>IF(CU$6&gt;$L11,0,CT11*(1-'Interest Rate'!$B$17))</f>
        <v>0</v>
      </c>
      <c r="CV11" s="658">
        <f>IF(CV$6&gt;$L11,0,CU11*(1-'Interest Rate'!$B$17))</f>
        <v>0</v>
      </c>
      <c r="CW11" s="658">
        <f>IF(CW$6&gt;$L11,0,CV11*(1-'Interest Rate'!$B$17))</f>
        <v>0</v>
      </c>
      <c r="CX11" s="658">
        <f>IF(CX$6&gt;$L11,0,CW11*(1-'Interest Rate'!$B$17))</f>
        <v>0</v>
      </c>
      <c r="CY11" s="658">
        <f>IF(CY$6&gt;$L11,0,CX11*(1-'Interest Rate'!$B$17))</f>
        <v>0</v>
      </c>
      <c r="CZ11" s="658">
        <f>IF(CZ$6&gt;$L11,0,CY11*(1-'Interest Rate'!$B$17))</f>
        <v>0</v>
      </c>
      <c r="DA11" s="658">
        <f>IF(DA$6&gt;$L11,0,CZ11*(1-'Interest Rate'!$B$17))</f>
        <v>0</v>
      </c>
      <c r="DB11" s="658">
        <f>IF(DB$6&gt;$L11,0,DA11*(1-'Interest Rate'!$B$17))</f>
        <v>0</v>
      </c>
      <c r="DC11" s="658">
        <f>IF(DC$6&gt;$L11,0,DB11*(1-'Interest Rate'!$B$17))</f>
        <v>0</v>
      </c>
      <c r="DD11" s="658">
        <f>IF(DD$6&gt;$L11,0,DC11*(1-'Interest Rate'!$B$17))</f>
        <v>0</v>
      </c>
      <c r="DE11" s="658">
        <f>IF(DE$6&gt;$L11,0,DD11*(1-'Interest Rate'!$B$17))</f>
        <v>0</v>
      </c>
      <c r="DF11" s="658">
        <f>IF(DF$6&gt;$L11,0,DE11*(1-'Interest Rate'!$B$17))</f>
        <v>0</v>
      </c>
      <c r="DG11" s="658">
        <f>IF(DG$6&gt;$L11,0,DF11*(1-'Interest Rate'!$B$17))</f>
        <v>0</v>
      </c>
      <c r="DH11" s="658">
        <f>IF(DH$6&gt;$L11,0,DG11*(1-'Interest Rate'!$B$17))</f>
        <v>0</v>
      </c>
      <c r="DI11" s="658">
        <f>IF(DI$6&gt;$L11,0,DH11*(1-'Interest Rate'!$B$17))</f>
        <v>0</v>
      </c>
      <c r="DJ11" s="658">
        <f>IF(DJ$6&gt;$L11,0,DI11*(1-'Interest Rate'!$B$17))</f>
        <v>0</v>
      </c>
      <c r="DK11" s="658">
        <f>IF(DK$6&gt;$L11,0,DJ11*(1-'Interest Rate'!$B$17))</f>
        <v>0</v>
      </c>
      <c r="DL11" s="658">
        <f>IF(DL$6&gt;$L11,0,DK11*(1-'Interest Rate'!$B$17))</f>
        <v>0</v>
      </c>
      <c r="DM11" s="658">
        <f>IF(DM$6&gt;$L11,0,DL11*(1-'Interest Rate'!$B$17))</f>
        <v>0</v>
      </c>
      <c r="DN11" s="658">
        <f>IF(DN$6&gt;$L11,0,DM11*(1-'Interest Rate'!$B$17))</f>
        <v>0</v>
      </c>
      <c r="DO11" s="658">
        <f>IF(DO$6&gt;$L11,0,DN11*(1-'Interest Rate'!$B$17))</f>
        <v>0</v>
      </c>
      <c r="DP11" s="658">
        <f>IF(DP$6&gt;$L11,0,DO11*(1-'Interest Rate'!$B$17))</f>
        <v>0</v>
      </c>
      <c r="DQ11" s="658">
        <f>IF(DQ$6&gt;$L11,0,DP11*(1-'Interest Rate'!$B$17))</f>
        <v>0</v>
      </c>
      <c r="DR11" s="658">
        <f>IF(DR$6&gt;$L11,0,DQ11*(1-'Interest Rate'!$B$17))</f>
        <v>0</v>
      </c>
    </row>
    <row r="12" spans="1:122" ht="33" customHeight="1" x14ac:dyDescent="0.3">
      <c r="A12" s="675" t="str">
        <f>'EEM Data Entry'!A90</f>
        <v/>
      </c>
      <c r="B12" s="660" t="str">
        <f>'EEM Data Entry'!B90</f>
        <v/>
      </c>
      <c r="C12" s="661" t="str">
        <f>'EEM Data Entry'!F90</f>
        <v/>
      </c>
      <c r="D12" s="661">
        <v>0</v>
      </c>
      <c r="E12" s="661" t="e">
        <f t="shared" si="3"/>
        <v>#VALUE!</v>
      </c>
      <c r="F12" s="662">
        <f>('Cascading Savings'!D11*'Cascading Savings'!D$4)+('Cascading Savings'!F11*'Cascading Savings'!F$4)+('Cascading Savings'!H11*'Cascading Savings'!H$4)+('Cascading Savings'!J11*'Cascading Savings'!J$4)+('Cascading Savings'!L11*'Cascading Savings'!L$4)+('Cascading Savings'!N11*'Cascading Savings'!N$4)+('Cascading Savings'!P11*'Cascading Savings'!P$4)+('Cascading Savings'!R11*'Cascading Savings'!R$4)</f>
        <v>0</v>
      </c>
      <c r="G12" s="663">
        <f>'Cascading Savings'!T11</f>
        <v>0</v>
      </c>
      <c r="H12" s="664" t="e">
        <f t="shared" si="4"/>
        <v>#VALUE!</v>
      </c>
      <c r="I12" s="665" t="e">
        <f t="shared" si="5"/>
        <v>#VALUE!</v>
      </c>
      <c r="J12" s="666" t="e">
        <f t="shared" si="0"/>
        <v>#NUM!</v>
      </c>
      <c r="K12" s="667" t="e">
        <f>PV('Interest Rate'!$B$17,Table112[[#This Row],[Lifetime]],-Table112[[#This Row],[ANNUAL ENERGY COST SAVINGS]],Table112[[#This Row],[END-OF-LIFE]],0)-Table112[[#This Row],[CAPITAL INVESTMENT]]</f>
        <v>#VALUE!</v>
      </c>
      <c r="L12" s="665" t="str">
        <f>'EEM Data Entry'!C90</f>
        <v/>
      </c>
      <c r="M12" s="676" t="e">
        <f>Table112[[#This Row],[ANNUAL ENERGY COST SAVINGS]]/Table112[[#This Row],[CAPITAL INVESTMENT]]</f>
        <v>#VALUE!</v>
      </c>
      <c r="N12" s="794">
        <f>IF(ISNUMBER(Table112[[#This Row],[NPV]])=TRUE,Table112[[#This Row],[NPV]],0)</f>
        <v>0</v>
      </c>
      <c r="O12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12" s="568" t="str">
        <f>Table112[[#This Row],[Lifetime]]</f>
        <v/>
      </c>
      <c r="V12" s="657" t="str">
        <f t="shared" si="2"/>
        <v/>
      </c>
      <c r="W12" s="658">
        <f t="shared" si="1"/>
        <v>0</v>
      </c>
      <c r="X12" s="658">
        <f>IF(X$6&gt;$L12,0,W12*(1-'Interest Rate'!$B$17))</f>
        <v>0</v>
      </c>
      <c r="Y12" s="658">
        <f>IF(Y$6&gt;$L12,0,X12*(1-'Interest Rate'!$B$17))</f>
        <v>0</v>
      </c>
      <c r="Z12" s="658">
        <f>IF(Z$6&gt;$L12,0,Y12*(1-'Interest Rate'!$B$17))</f>
        <v>0</v>
      </c>
      <c r="AA12" s="658">
        <f>IF(AA$6&gt;$L12,0,Z12*(1-'Interest Rate'!$B$17))</f>
        <v>0</v>
      </c>
      <c r="AB12" s="658">
        <f>IF(AB$6&gt;$L12,0,AA12*(1-'Interest Rate'!$B$17))</f>
        <v>0</v>
      </c>
      <c r="AC12" s="658">
        <f>IF(AC$6&gt;$L12,0,AB12*(1-'Interest Rate'!$B$17))</f>
        <v>0</v>
      </c>
      <c r="AD12" s="658">
        <f>IF(AD$6&gt;$L12,0,AC12*(1-'Interest Rate'!$B$17))</f>
        <v>0</v>
      </c>
      <c r="AE12" s="658">
        <f>IF(AE$6&gt;$L12,0,AD12*(1-'Interest Rate'!$B$17))</f>
        <v>0</v>
      </c>
      <c r="AF12" s="658">
        <f>IF(AF$6&gt;$L12,0,AE12*(1-'Interest Rate'!$B$17))</f>
        <v>0</v>
      </c>
      <c r="AG12" s="658">
        <f>IF(AG$6&gt;$L12,0,AF12*(1-'Interest Rate'!$B$17))</f>
        <v>0</v>
      </c>
      <c r="AH12" s="658">
        <f>IF(AH$6&gt;$L12,0,AG12*(1-'Interest Rate'!$B$17))</f>
        <v>0</v>
      </c>
      <c r="AI12" s="658">
        <f>IF(AI$6&gt;$L12,0,AH12*(1-'Interest Rate'!$B$17))</f>
        <v>0</v>
      </c>
      <c r="AJ12" s="658">
        <f>IF(AJ$6&gt;$L12,0,AI12*(1-'Interest Rate'!$B$17))</f>
        <v>0</v>
      </c>
      <c r="AK12" s="658">
        <f>IF(AK$6&gt;$L12,0,AJ12*(1-'Interest Rate'!$B$17))</f>
        <v>0</v>
      </c>
      <c r="AL12" s="658">
        <f>IF(AL$6&gt;$L12,0,AK12*(1-'Interest Rate'!$B$17))</f>
        <v>0</v>
      </c>
      <c r="AM12" s="658">
        <f>IF(AM$6&gt;$L12,0,AL12*(1-'Interest Rate'!$B$17))</f>
        <v>0</v>
      </c>
      <c r="AN12" s="658">
        <f>IF(AN$6&gt;$L12,0,AM12*(1-'Interest Rate'!$B$17))</f>
        <v>0</v>
      </c>
      <c r="AO12" s="658">
        <f>IF(AO$6&gt;$L12,0,AN12*(1-'Interest Rate'!$B$17))</f>
        <v>0</v>
      </c>
      <c r="AP12" s="658">
        <f>IF(AP$6&gt;$L12,0,AO12*(1-'Interest Rate'!$B$17))</f>
        <v>0</v>
      </c>
      <c r="AQ12" s="658">
        <f>IF(AQ$6&gt;$L12,0,AP12*(1-'Interest Rate'!$B$17))</f>
        <v>0</v>
      </c>
      <c r="AR12" s="658">
        <f>IF(AR$6&gt;$L12,0,AQ12*(1-'Interest Rate'!$B$17))</f>
        <v>0</v>
      </c>
      <c r="AS12" s="658">
        <f>IF(AS$6&gt;$L12,0,AR12*(1-'Interest Rate'!$B$17))</f>
        <v>0</v>
      </c>
      <c r="AT12" s="658">
        <f>IF(AT$6&gt;$L12,0,AS12*(1-'Interest Rate'!$B$17))</f>
        <v>0</v>
      </c>
      <c r="AU12" s="658">
        <f>IF(AU$6&gt;$L12,0,AT12*(1-'Interest Rate'!$B$17))</f>
        <v>0</v>
      </c>
      <c r="AV12" s="658">
        <f>IF(AV$6&gt;$L12,0,AU12*(1-'Interest Rate'!$B$17))</f>
        <v>0</v>
      </c>
      <c r="AW12" s="658">
        <f>IF(AW$6&gt;$L12,0,AV12*(1-'Interest Rate'!$B$17))</f>
        <v>0</v>
      </c>
      <c r="AX12" s="658">
        <f>IF(AX$6&gt;$L12,0,AW12*(1-'Interest Rate'!$B$17))</f>
        <v>0</v>
      </c>
      <c r="AY12" s="658">
        <f>IF(AY$6&gt;$L12,0,AX12*(1-'Interest Rate'!$B$17))</f>
        <v>0</v>
      </c>
      <c r="AZ12" s="658">
        <f>IF(AZ$6&gt;$L12,0,AY12*(1-'Interest Rate'!$B$17))</f>
        <v>0</v>
      </c>
      <c r="BA12" s="658">
        <f>IF(BA$6&gt;$L12,0,AZ12*(1-'Interest Rate'!$B$17))</f>
        <v>0</v>
      </c>
      <c r="BB12" s="658">
        <f>IF(BB$6&gt;$L12,0,BA12*(1-'Interest Rate'!$B$17))</f>
        <v>0</v>
      </c>
      <c r="BC12" s="658">
        <f>IF(BC$6&gt;$L12,0,BB12*(1-'Interest Rate'!$B$17))</f>
        <v>0</v>
      </c>
      <c r="BD12" s="658">
        <f>IF(BD$6&gt;$L12,0,BC12*(1-'Interest Rate'!$B$17))</f>
        <v>0</v>
      </c>
      <c r="BE12" s="658">
        <f>IF(BE$6&gt;$L12,0,BD12*(1-'Interest Rate'!$B$17))</f>
        <v>0</v>
      </c>
      <c r="BF12" s="658">
        <f>IF(BF$6&gt;$L12,0,BE12*(1-'Interest Rate'!$B$17))</f>
        <v>0</v>
      </c>
      <c r="BG12" s="658">
        <f>IF(BG$6&gt;$L12,0,BF12*(1-'Interest Rate'!$B$17))</f>
        <v>0</v>
      </c>
      <c r="BH12" s="658">
        <f>IF(BH$6&gt;$L12,0,BG12*(1-'Interest Rate'!$B$17))</f>
        <v>0</v>
      </c>
      <c r="BI12" s="658">
        <f>IF(BI$6&gt;$L12,0,BH12*(1-'Interest Rate'!$B$17))</f>
        <v>0</v>
      </c>
      <c r="BJ12" s="658">
        <f>IF(BJ$6&gt;$L12,0,BI12*(1-'Interest Rate'!$B$17))</f>
        <v>0</v>
      </c>
      <c r="BK12" s="658">
        <f>IF(BK$6&gt;$L12,0,BJ12*(1-'Interest Rate'!$B$17))</f>
        <v>0</v>
      </c>
      <c r="BL12" s="658">
        <f>IF(BL$6&gt;$L12,0,BK12*(1-'Interest Rate'!$B$17))</f>
        <v>0</v>
      </c>
      <c r="BM12" s="658">
        <f>IF(BM$6&gt;$L12,0,BL12*(1-'Interest Rate'!$B$17))</f>
        <v>0</v>
      </c>
      <c r="BN12" s="658">
        <f>IF(BN$6&gt;$L12,0,BM12*(1-'Interest Rate'!$B$17))</f>
        <v>0</v>
      </c>
      <c r="BO12" s="658">
        <f>IF(BO$6&gt;$L12,0,BN12*(1-'Interest Rate'!$B$17))</f>
        <v>0</v>
      </c>
      <c r="BP12" s="658">
        <f>IF(BP$6&gt;$L12,0,BO12*(1-'Interest Rate'!$B$17))</f>
        <v>0</v>
      </c>
      <c r="BQ12" s="658">
        <f>IF(BQ$6&gt;$L12,0,BP12*(1-'Interest Rate'!$B$17))</f>
        <v>0</v>
      </c>
      <c r="BR12" s="658">
        <f>IF(BR$6&gt;$L12,0,BQ12*(1-'Interest Rate'!$B$17))</f>
        <v>0</v>
      </c>
      <c r="BS12" s="658">
        <f>IF(BS$6&gt;$L12,0,BR12*(1-'Interest Rate'!$B$17))</f>
        <v>0</v>
      </c>
      <c r="BT12" s="658">
        <f>IF(BT$6&gt;$L12,0,BS12*(1-'Interest Rate'!$B$17))</f>
        <v>0</v>
      </c>
      <c r="BU12" s="658">
        <f>IF(BU$6&gt;$L12,0,BT12*(1-'Interest Rate'!$B$17))</f>
        <v>0</v>
      </c>
      <c r="BV12" s="658">
        <f>IF(BV$6&gt;$L12,0,BU12*(1-'Interest Rate'!$B$17))</f>
        <v>0</v>
      </c>
      <c r="BW12" s="658">
        <f>IF(BW$6&gt;$L12,0,BV12*(1-'Interest Rate'!$B$17))</f>
        <v>0</v>
      </c>
      <c r="BX12" s="658">
        <f>IF(BX$6&gt;$L12,0,BW12*(1-'Interest Rate'!$B$17))</f>
        <v>0</v>
      </c>
      <c r="BY12" s="658">
        <f>IF(BY$6&gt;$L12,0,BX12*(1-'Interest Rate'!$B$17))</f>
        <v>0</v>
      </c>
      <c r="BZ12" s="658">
        <f>IF(BZ$6&gt;$L12,0,BY12*(1-'Interest Rate'!$B$17))</f>
        <v>0</v>
      </c>
      <c r="CA12" s="658">
        <f>IF(CA$6&gt;$L12,0,BZ12*(1-'Interest Rate'!$B$17))</f>
        <v>0</v>
      </c>
      <c r="CB12" s="658">
        <f>IF(CB$6&gt;$L12,0,CA12*(1-'Interest Rate'!$B$17))</f>
        <v>0</v>
      </c>
      <c r="CC12" s="658">
        <f>IF(CC$6&gt;$L12,0,CB12*(1-'Interest Rate'!$B$17))</f>
        <v>0</v>
      </c>
      <c r="CD12" s="658">
        <f>IF(CD$6&gt;$L12,0,CC12*(1-'Interest Rate'!$B$17))</f>
        <v>0</v>
      </c>
      <c r="CE12" s="658">
        <f>IF(CE$6&gt;$L12,0,CD12*(1-'Interest Rate'!$B$17))</f>
        <v>0</v>
      </c>
      <c r="CF12" s="658">
        <f>IF(CF$6&gt;$L12,0,CE12*(1-'Interest Rate'!$B$17))</f>
        <v>0</v>
      </c>
      <c r="CG12" s="658">
        <f>IF(CG$6&gt;$L12,0,CF12*(1-'Interest Rate'!$B$17))</f>
        <v>0</v>
      </c>
      <c r="CH12" s="658">
        <f>IF(CH$6&gt;$L12,0,CG12*(1-'Interest Rate'!$B$17))</f>
        <v>0</v>
      </c>
      <c r="CI12" s="658">
        <f>IF(CI$6&gt;$L12,0,CH12*(1-'Interest Rate'!$B$17))</f>
        <v>0</v>
      </c>
      <c r="CJ12" s="658">
        <f>IF(CJ$6&gt;$L12,0,CI12*(1-'Interest Rate'!$B$17))</f>
        <v>0</v>
      </c>
      <c r="CK12" s="658">
        <f>IF(CK$6&gt;$L12,0,CJ12*(1-'Interest Rate'!$B$17))</f>
        <v>0</v>
      </c>
      <c r="CL12" s="658">
        <f>IF(CL$6&gt;$L12,0,CK12*(1-'Interest Rate'!$B$17))</f>
        <v>0</v>
      </c>
      <c r="CM12" s="658">
        <f>IF(CM$6&gt;$L12,0,CL12*(1-'Interest Rate'!$B$17))</f>
        <v>0</v>
      </c>
      <c r="CN12" s="658">
        <f>IF(CN$6&gt;$L12,0,CM12*(1-'Interest Rate'!$B$17))</f>
        <v>0</v>
      </c>
      <c r="CO12" s="658">
        <f>IF(CO$6&gt;$L12,0,CN12*(1-'Interest Rate'!$B$17))</f>
        <v>0</v>
      </c>
      <c r="CP12" s="658">
        <f>IF(CP$6&gt;$L12,0,CO12*(1-'Interest Rate'!$B$17))</f>
        <v>0</v>
      </c>
      <c r="CQ12" s="658">
        <f>IF(CQ$6&gt;$L12,0,CP12*(1-'Interest Rate'!$B$17))</f>
        <v>0</v>
      </c>
      <c r="CR12" s="658">
        <f>IF(CR$6&gt;$L12,0,CQ12*(1-'Interest Rate'!$B$17))</f>
        <v>0</v>
      </c>
      <c r="CS12" s="658">
        <f>IF(CS$6&gt;$L12,0,CR12*(1-'Interest Rate'!$B$17))</f>
        <v>0</v>
      </c>
      <c r="CT12" s="658">
        <f>IF(CT$6&gt;$L12,0,CS12*(1-'Interest Rate'!$B$17))</f>
        <v>0</v>
      </c>
      <c r="CU12" s="658">
        <f>IF(CU$6&gt;$L12,0,CT12*(1-'Interest Rate'!$B$17))</f>
        <v>0</v>
      </c>
      <c r="CV12" s="658">
        <f>IF(CV$6&gt;$L12,0,CU12*(1-'Interest Rate'!$B$17))</f>
        <v>0</v>
      </c>
      <c r="CW12" s="658">
        <f>IF(CW$6&gt;$L12,0,CV12*(1-'Interest Rate'!$B$17))</f>
        <v>0</v>
      </c>
      <c r="CX12" s="658">
        <f>IF(CX$6&gt;$L12,0,CW12*(1-'Interest Rate'!$B$17))</f>
        <v>0</v>
      </c>
      <c r="CY12" s="658">
        <f>IF(CY$6&gt;$L12,0,CX12*(1-'Interest Rate'!$B$17))</f>
        <v>0</v>
      </c>
      <c r="CZ12" s="658">
        <f>IF(CZ$6&gt;$L12,0,CY12*(1-'Interest Rate'!$B$17))</f>
        <v>0</v>
      </c>
      <c r="DA12" s="658">
        <f>IF(DA$6&gt;$L12,0,CZ12*(1-'Interest Rate'!$B$17))</f>
        <v>0</v>
      </c>
      <c r="DB12" s="658">
        <f>IF(DB$6&gt;$L12,0,DA12*(1-'Interest Rate'!$B$17))</f>
        <v>0</v>
      </c>
      <c r="DC12" s="658">
        <f>IF(DC$6&gt;$L12,0,DB12*(1-'Interest Rate'!$B$17))</f>
        <v>0</v>
      </c>
      <c r="DD12" s="658">
        <f>IF(DD$6&gt;$L12,0,DC12*(1-'Interest Rate'!$B$17))</f>
        <v>0</v>
      </c>
      <c r="DE12" s="658">
        <f>IF(DE$6&gt;$L12,0,DD12*(1-'Interest Rate'!$B$17))</f>
        <v>0</v>
      </c>
      <c r="DF12" s="658">
        <f>IF(DF$6&gt;$L12,0,DE12*(1-'Interest Rate'!$B$17))</f>
        <v>0</v>
      </c>
      <c r="DG12" s="658">
        <f>IF(DG$6&gt;$L12,0,DF12*(1-'Interest Rate'!$B$17))</f>
        <v>0</v>
      </c>
      <c r="DH12" s="658">
        <f>IF(DH$6&gt;$L12,0,DG12*(1-'Interest Rate'!$B$17))</f>
        <v>0</v>
      </c>
      <c r="DI12" s="658">
        <f>IF(DI$6&gt;$L12,0,DH12*(1-'Interest Rate'!$B$17))</f>
        <v>0</v>
      </c>
      <c r="DJ12" s="658">
        <f>IF(DJ$6&gt;$L12,0,DI12*(1-'Interest Rate'!$B$17))</f>
        <v>0</v>
      </c>
      <c r="DK12" s="658">
        <f>IF(DK$6&gt;$L12,0,DJ12*(1-'Interest Rate'!$B$17))</f>
        <v>0</v>
      </c>
      <c r="DL12" s="658">
        <f>IF(DL$6&gt;$L12,0,DK12*(1-'Interest Rate'!$B$17))</f>
        <v>0</v>
      </c>
      <c r="DM12" s="658">
        <f>IF(DM$6&gt;$L12,0,DL12*(1-'Interest Rate'!$B$17))</f>
        <v>0</v>
      </c>
      <c r="DN12" s="658">
        <f>IF(DN$6&gt;$L12,0,DM12*(1-'Interest Rate'!$B$17))</f>
        <v>0</v>
      </c>
      <c r="DO12" s="658">
        <f>IF(DO$6&gt;$L12,0,DN12*(1-'Interest Rate'!$B$17))</f>
        <v>0</v>
      </c>
      <c r="DP12" s="658">
        <f>IF(DP$6&gt;$L12,0,DO12*(1-'Interest Rate'!$B$17))</f>
        <v>0</v>
      </c>
      <c r="DQ12" s="658">
        <f>IF(DQ$6&gt;$L12,0,DP12*(1-'Interest Rate'!$B$17))</f>
        <v>0</v>
      </c>
      <c r="DR12" s="658">
        <f>IF(DR$6&gt;$L12,0,DQ12*(1-'Interest Rate'!$B$17))</f>
        <v>0</v>
      </c>
    </row>
    <row r="13" spans="1:122" ht="33" customHeight="1" x14ac:dyDescent="0.3">
      <c r="A13" s="647" t="str">
        <f>'EEM Data Entry'!A91</f>
        <v/>
      </c>
      <c r="B13" s="670" t="str">
        <f>'EEM Data Entry'!B91</f>
        <v/>
      </c>
      <c r="C13" s="649" t="str">
        <f>'EEM Data Entry'!F91</f>
        <v/>
      </c>
      <c r="D13" s="649">
        <v>0</v>
      </c>
      <c r="E13" s="649" t="e">
        <f t="shared" si="3"/>
        <v>#VALUE!</v>
      </c>
      <c r="F13" s="650">
        <f>('Cascading Savings'!D12*'Cascading Savings'!D$4)+('Cascading Savings'!F12*'Cascading Savings'!F$4)+('Cascading Savings'!H12*'Cascading Savings'!H$4)+('Cascading Savings'!J12*'Cascading Savings'!J$4)+('Cascading Savings'!L12*'Cascading Savings'!L$4)+('Cascading Savings'!N12*'Cascading Savings'!N$4)+('Cascading Savings'!P12*'Cascading Savings'!P$4)+('Cascading Savings'!R12*'Cascading Savings'!R$4)</f>
        <v>0</v>
      </c>
      <c r="G13" s="651">
        <f>'Cascading Savings'!T12</f>
        <v>0</v>
      </c>
      <c r="H13" s="652" t="e">
        <f t="shared" si="4"/>
        <v>#VALUE!</v>
      </c>
      <c r="I13" s="653" t="e">
        <f t="shared" si="5"/>
        <v>#VALUE!</v>
      </c>
      <c r="J13" s="654" t="e">
        <f t="shared" si="0"/>
        <v>#NUM!</v>
      </c>
      <c r="K13" s="655" t="e">
        <f>PV('Interest Rate'!$B$17,Table112[[#This Row],[Lifetime]],-Table112[[#This Row],[ANNUAL ENERGY COST SAVINGS]],Table112[[#This Row],[END-OF-LIFE]],0)-Table112[[#This Row],[CAPITAL INVESTMENT]]</f>
        <v>#VALUE!</v>
      </c>
      <c r="L13" s="653" t="str">
        <f>'EEM Data Entry'!C91</f>
        <v/>
      </c>
      <c r="M13" s="656" t="e">
        <f>Table112[[#This Row],[ANNUAL ENERGY COST SAVINGS]]/Table112[[#This Row],[CAPITAL INVESTMENT]]</f>
        <v>#VALUE!</v>
      </c>
      <c r="N13" s="794">
        <f>IF(ISNUMBER(Table112[[#This Row],[NPV]])=TRUE,Table112[[#This Row],[NPV]],0)</f>
        <v>0</v>
      </c>
      <c r="O13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13" s="568" t="str">
        <f>Table112[[#This Row],[Lifetime]]</f>
        <v/>
      </c>
      <c r="V13" s="657" t="str">
        <f t="shared" si="2"/>
        <v/>
      </c>
      <c r="W13" s="658">
        <f t="shared" si="1"/>
        <v>0</v>
      </c>
      <c r="X13" s="658">
        <f>IF(X$6&gt;$L13,0,W13*(1-'Interest Rate'!$B$17))</f>
        <v>0</v>
      </c>
      <c r="Y13" s="658">
        <f>IF(Y$6&gt;$L13,0,X13*(1-'Interest Rate'!$B$17))</f>
        <v>0</v>
      </c>
      <c r="Z13" s="658">
        <f>IF(Z$6&gt;$L13,0,Y13*(1-'Interest Rate'!$B$17))</f>
        <v>0</v>
      </c>
      <c r="AA13" s="658">
        <f>IF(AA$6&gt;$L13,0,Z13*(1-'Interest Rate'!$B$17))</f>
        <v>0</v>
      </c>
      <c r="AB13" s="658">
        <f>IF(AB$6&gt;$L13,0,AA13*(1-'Interest Rate'!$B$17))</f>
        <v>0</v>
      </c>
      <c r="AC13" s="658">
        <f>IF(AC$6&gt;$L13,0,AB13*(1-'Interest Rate'!$B$17))</f>
        <v>0</v>
      </c>
      <c r="AD13" s="658">
        <f>IF(AD$6&gt;$L13,0,AC13*(1-'Interest Rate'!$B$17))</f>
        <v>0</v>
      </c>
      <c r="AE13" s="658">
        <f>IF(AE$6&gt;$L13,0,AD13*(1-'Interest Rate'!$B$17))</f>
        <v>0</v>
      </c>
      <c r="AF13" s="658">
        <f>IF(AF$6&gt;$L13,0,AE13*(1-'Interest Rate'!$B$17))</f>
        <v>0</v>
      </c>
      <c r="AG13" s="658">
        <f>IF(AG$6&gt;$L13,0,AF13*(1-'Interest Rate'!$B$17))</f>
        <v>0</v>
      </c>
      <c r="AH13" s="658">
        <f>IF(AH$6&gt;$L13,0,AG13*(1-'Interest Rate'!$B$17))</f>
        <v>0</v>
      </c>
      <c r="AI13" s="658">
        <f>IF(AI$6&gt;$L13,0,AH13*(1-'Interest Rate'!$B$17))</f>
        <v>0</v>
      </c>
      <c r="AJ13" s="658">
        <f>IF(AJ$6&gt;$L13,0,AI13*(1-'Interest Rate'!$B$17))</f>
        <v>0</v>
      </c>
      <c r="AK13" s="658">
        <f>IF(AK$6&gt;$L13,0,AJ13*(1-'Interest Rate'!$B$17))</f>
        <v>0</v>
      </c>
      <c r="AL13" s="658">
        <f>IF(AL$6&gt;$L13,0,AK13*(1-'Interest Rate'!$B$17))</f>
        <v>0</v>
      </c>
      <c r="AM13" s="658">
        <f>IF(AM$6&gt;$L13,0,AL13*(1-'Interest Rate'!$B$17))</f>
        <v>0</v>
      </c>
      <c r="AN13" s="658">
        <f>IF(AN$6&gt;$L13,0,AM13*(1-'Interest Rate'!$B$17))</f>
        <v>0</v>
      </c>
      <c r="AO13" s="658">
        <f>IF(AO$6&gt;$L13,0,AN13*(1-'Interest Rate'!$B$17))</f>
        <v>0</v>
      </c>
      <c r="AP13" s="658">
        <f>IF(AP$6&gt;$L13,0,AO13*(1-'Interest Rate'!$B$17))</f>
        <v>0</v>
      </c>
      <c r="AQ13" s="658">
        <f>IF(AQ$6&gt;$L13,0,AP13*(1-'Interest Rate'!$B$17))</f>
        <v>0</v>
      </c>
      <c r="AR13" s="658">
        <f>IF(AR$6&gt;$L13,0,AQ13*(1-'Interest Rate'!$B$17))</f>
        <v>0</v>
      </c>
      <c r="AS13" s="658">
        <f>IF(AS$6&gt;$L13,0,AR13*(1-'Interest Rate'!$B$17))</f>
        <v>0</v>
      </c>
      <c r="AT13" s="658">
        <f>IF(AT$6&gt;$L13,0,AS13*(1-'Interest Rate'!$B$17))</f>
        <v>0</v>
      </c>
      <c r="AU13" s="658">
        <f>IF(AU$6&gt;$L13,0,AT13*(1-'Interest Rate'!$B$17))</f>
        <v>0</v>
      </c>
      <c r="AV13" s="658">
        <f>IF(AV$6&gt;$L13,0,AU13*(1-'Interest Rate'!$B$17))</f>
        <v>0</v>
      </c>
      <c r="AW13" s="658">
        <f>IF(AW$6&gt;$L13,0,AV13*(1-'Interest Rate'!$B$17))</f>
        <v>0</v>
      </c>
      <c r="AX13" s="658">
        <f>IF(AX$6&gt;$L13,0,AW13*(1-'Interest Rate'!$B$17))</f>
        <v>0</v>
      </c>
      <c r="AY13" s="658">
        <f>IF(AY$6&gt;$L13,0,AX13*(1-'Interest Rate'!$B$17))</f>
        <v>0</v>
      </c>
      <c r="AZ13" s="658">
        <f>IF(AZ$6&gt;$L13,0,AY13*(1-'Interest Rate'!$B$17))</f>
        <v>0</v>
      </c>
      <c r="BA13" s="658">
        <f>IF(BA$6&gt;$L13,0,AZ13*(1-'Interest Rate'!$B$17))</f>
        <v>0</v>
      </c>
      <c r="BB13" s="658">
        <f>IF(BB$6&gt;$L13,0,BA13*(1-'Interest Rate'!$B$17))</f>
        <v>0</v>
      </c>
      <c r="BC13" s="658">
        <f>IF(BC$6&gt;$L13,0,BB13*(1-'Interest Rate'!$B$17))</f>
        <v>0</v>
      </c>
      <c r="BD13" s="658">
        <f>IF(BD$6&gt;$L13,0,BC13*(1-'Interest Rate'!$B$17))</f>
        <v>0</v>
      </c>
      <c r="BE13" s="658">
        <f>IF(BE$6&gt;$L13,0,BD13*(1-'Interest Rate'!$B$17))</f>
        <v>0</v>
      </c>
      <c r="BF13" s="658">
        <f>IF(BF$6&gt;$L13,0,BE13*(1-'Interest Rate'!$B$17))</f>
        <v>0</v>
      </c>
      <c r="BG13" s="658">
        <f>IF(BG$6&gt;$L13,0,BF13*(1-'Interest Rate'!$B$17))</f>
        <v>0</v>
      </c>
      <c r="BH13" s="658">
        <f>IF(BH$6&gt;$L13,0,BG13*(1-'Interest Rate'!$B$17))</f>
        <v>0</v>
      </c>
      <c r="BI13" s="658">
        <f>IF(BI$6&gt;$L13,0,BH13*(1-'Interest Rate'!$B$17))</f>
        <v>0</v>
      </c>
      <c r="BJ13" s="658">
        <f>IF(BJ$6&gt;$L13,0,BI13*(1-'Interest Rate'!$B$17))</f>
        <v>0</v>
      </c>
      <c r="BK13" s="658">
        <f>IF(BK$6&gt;$L13,0,BJ13*(1-'Interest Rate'!$B$17))</f>
        <v>0</v>
      </c>
      <c r="BL13" s="658">
        <f>IF(BL$6&gt;$L13,0,BK13*(1-'Interest Rate'!$B$17))</f>
        <v>0</v>
      </c>
      <c r="BM13" s="658">
        <f>IF(BM$6&gt;$L13,0,BL13*(1-'Interest Rate'!$B$17))</f>
        <v>0</v>
      </c>
      <c r="BN13" s="658">
        <f>IF(BN$6&gt;$L13,0,BM13*(1-'Interest Rate'!$B$17))</f>
        <v>0</v>
      </c>
      <c r="BO13" s="658">
        <f>IF(BO$6&gt;$L13,0,BN13*(1-'Interest Rate'!$B$17))</f>
        <v>0</v>
      </c>
      <c r="BP13" s="658">
        <f>IF(BP$6&gt;$L13,0,BO13*(1-'Interest Rate'!$B$17))</f>
        <v>0</v>
      </c>
      <c r="BQ13" s="658">
        <f>IF(BQ$6&gt;$L13,0,BP13*(1-'Interest Rate'!$B$17))</f>
        <v>0</v>
      </c>
      <c r="BR13" s="658">
        <f>IF(BR$6&gt;$L13,0,BQ13*(1-'Interest Rate'!$B$17))</f>
        <v>0</v>
      </c>
      <c r="BS13" s="658">
        <f>IF(BS$6&gt;$L13,0,BR13*(1-'Interest Rate'!$B$17))</f>
        <v>0</v>
      </c>
      <c r="BT13" s="658">
        <f>IF(BT$6&gt;$L13,0,BS13*(1-'Interest Rate'!$B$17))</f>
        <v>0</v>
      </c>
      <c r="BU13" s="658">
        <f>IF(BU$6&gt;$L13,0,BT13*(1-'Interest Rate'!$B$17))</f>
        <v>0</v>
      </c>
      <c r="BV13" s="658">
        <f>IF(BV$6&gt;$L13,0,BU13*(1-'Interest Rate'!$B$17))</f>
        <v>0</v>
      </c>
      <c r="BW13" s="658">
        <f>IF(BW$6&gt;$L13,0,BV13*(1-'Interest Rate'!$B$17))</f>
        <v>0</v>
      </c>
      <c r="BX13" s="658">
        <f>IF(BX$6&gt;$L13,0,BW13*(1-'Interest Rate'!$B$17))</f>
        <v>0</v>
      </c>
      <c r="BY13" s="658">
        <f>IF(BY$6&gt;$L13,0,BX13*(1-'Interest Rate'!$B$17))</f>
        <v>0</v>
      </c>
      <c r="BZ13" s="658">
        <f>IF(BZ$6&gt;$L13,0,BY13*(1-'Interest Rate'!$B$17))</f>
        <v>0</v>
      </c>
      <c r="CA13" s="658">
        <f>IF(CA$6&gt;$L13,0,BZ13*(1-'Interest Rate'!$B$17))</f>
        <v>0</v>
      </c>
      <c r="CB13" s="658">
        <f>IF(CB$6&gt;$L13,0,CA13*(1-'Interest Rate'!$B$17))</f>
        <v>0</v>
      </c>
      <c r="CC13" s="658">
        <f>IF(CC$6&gt;$L13,0,CB13*(1-'Interest Rate'!$B$17))</f>
        <v>0</v>
      </c>
      <c r="CD13" s="658">
        <f>IF(CD$6&gt;$L13,0,CC13*(1-'Interest Rate'!$B$17))</f>
        <v>0</v>
      </c>
      <c r="CE13" s="658">
        <f>IF(CE$6&gt;$L13,0,CD13*(1-'Interest Rate'!$B$17))</f>
        <v>0</v>
      </c>
      <c r="CF13" s="658">
        <f>IF(CF$6&gt;$L13,0,CE13*(1-'Interest Rate'!$B$17))</f>
        <v>0</v>
      </c>
      <c r="CG13" s="658">
        <f>IF(CG$6&gt;$L13,0,CF13*(1-'Interest Rate'!$B$17))</f>
        <v>0</v>
      </c>
      <c r="CH13" s="658">
        <f>IF(CH$6&gt;$L13,0,CG13*(1-'Interest Rate'!$B$17))</f>
        <v>0</v>
      </c>
      <c r="CI13" s="658">
        <f>IF(CI$6&gt;$L13,0,CH13*(1-'Interest Rate'!$B$17))</f>
        <v>0</v>
      </c>
      <c r="CJ13" s="658">
        <f>IF(CJ$6&gt;$L13,0,CI13*(1-'Interest Rate'!$B$17))</f>
        <v>0</v>
      </c>
      <c r="CK13" s="658">
        <f>IF(CK$6&gt;$L13,0,CJ13*(1-'Interest Rate'!$B$17))</f>
        <v>0</v>
      </c>
      <c r="CL13" s="658">
        <f>IF(CL$6&gt;$L13,0,CK13*(1-'Interest Rate'!$B$17))</f>
        <v>0</v>
      </c>
      <c r="CM13" s="658">
        <f>IF(CM$6&gt;$L13,0,CL13*(1-'Interest Rate'!$B$17))</f>
        <v>0</v>
      </c>
      <c r="CN13" s="658">
        <f>IF(CN$6&gt;$L13,0,CM13*(1-'Interest Rate'!$B$17))</f>
        <v>0</v>
      </c>
      <c r="CO13" s="658">
        <f>IF(CO$6&gt;$L13,0,CN13*(1-'Interest Rate'!$B$17))</f>
        <v>0</v>
      </c>
      <c r="CP13" s="658">
        <f>IF(CP$6&gt;$L13,0,CO13*(1-'Interest Rate'!$B$17))</f>
        <v>0</v>
      </c>
      <c r="CQ13" s="658">
        <f>IF(CQ$6&gt;$L13,0,CP13*(1-'Interest Rate'!$B$17))</f>
        <v>0</v>
      </c>
      <c r="CR13" s="658">
        <f>IF(CR$6&gt;$L13,0,CQ13*(1-'Interest Rate'!$B$17))</f>
        <v>0</v>
      </c>
      <c r="CS13" s="658">
        <f>IF(CS$6&gt;$L13,0,CR13*(1-'Interest Rate'!$B$17))</f>
        <v>0</v>
      </c>
      <c r="CT13" s="658">
        <f>IF(CT$6&gt;$L13,0,CS13*(1-'Interest Rate'!$B$17))</f>
        <v>0</v>
      </c>
      <c r="CU13" s="658">
        <f>IF(CU$6&gt;$L13,0,CT13*(1-'Interest Rate'!$B$17))</f>
        <v>0</v>
      </c>
      <c r="CV13" s="658">
        <f>IF(CV$6&gt;$L13,0,CU13*(1-'Interest Rate'!$B$17))</f>
        <v>0</v>
      </c>
      <c r="CW13" s="658">
        <f>IF(CW$6&gt;$L13,0,CV13*(1-'Interest Rate'!$B$17))</f>
        <v>0</v>
      </c>
      <c r="CX13" s="658">
        <f>IF(CX$6&gt;$L13,0,CW13*(1-'Interest Rate'!$B$17))</f>
        <v>0</v>
      </c>
      <c r="CY13" s="658">
        <f>IF(CY$6&gt;$L13,0,CX13*(1-'Interest Rate'!$B$17))</f>
        <v>0</v>
      </c>
      <c r="CZ13" s="658">
        <f>IF(CZ$6&gt;$L13,0,CY13*(1-'Interest Rate'!$B$17))</f>
        <v>0</v>
      </c>
      <c r="DA13" s="658">
        <f>IF(DA$6&gt;$L13,0,CZ13*(1-'Interest Rate'!$B$17))</f>
        <v>0</v>
      </c>
      <c r="DB13" s="658">
        <f>IF(DB$6&gt;$L13,0,DA13*(1-'Interest Rate'!$B$17))</f>
        <v>0</v>
      </c>
      <c r="DC13" s="658">
        <f>IF(DC$6&gt;$L13,0,DB13*(1-'Interest Rate'!$B$17))</f>
        <v>0</v>
      </c>
      <c r="DD13" s="658">
        <f>IF(DD$6&gt;$L13,0,DC13*(1-'Interest Rate'!$B$17))</f>
        <v>0</v>
      </c>
      <c r="DE13" s="658">
        <f>IF(DE$6&gt;$L13,0,DD13*(1-'Interest Rate'!$B$17))</f>
        <v>0</v>
      </c>
      <c r="DF13" s="658">
        <f>IF(DF$6&gt;$L13,0,DE13*(1-'Interest Rate'!$B$17))</f>
        <v>0</v>
      </c>
      <c r="DG13" s="658">
        <f>IF(DG$6&gt;$L13,0,DF13*(1-'Interest Rate'!$B$17))</f>
        <v>0</v>
      </c>
      <c r="DH13" s="658">
        <f>IF(DH$6&gt;$L13,0,DG13*(1-'Interest Rate'!$B$17))</f>
        <v>0</v>
      </c>
      <c r="DI13" s="658">
        <f>IF(DI$6&gt;$L13,0,DH13*(1-'Interest Rate'!$B$17))</f>
        <v>0</v>
      </c>
      <c r="DJ13" s="658">
        <f>IF(DJ$6&gt;$L13,0,DI13*(1-'Interest Rate'!$B$17))</f>
        <v>0</v>
      </c>
      <c r="DK13" s="658">
        <f>IF(DK$6&gt;$L13,0,DJ13*(1-'Interest Rate'!$B$17))</f>
        <v>0</v>
      </c>
      <c r="DL13" s="658">
        <f>IF(DL$6&gt;$L13,0,DK13*(1-'Interest Rate'!$B$17))</f>
        <v>0</v>
      </c>
      <c r="DM13" s="658">
        <f>IF(DM$6&gt;$L13,0,DL13*(1-'Interest Rate'!$B$17))</f>
        <v>0</v>
      </c>
      <c r="DN13" s="658">
        <f>IF(DN$6&gt;$L13,0,DM13*(1-'Interest Rate'!$B$17))</f>
        <v>0</v>
      </c>
      <c r="DO13" s="658">
        <f>IF(DO$6&gt;$L13,0,DN13*(1-'Interest Rate'!$B$17))</f>
        <v>0</v>
      </c>
      <c r="DP13" s="658">
        <f>IF(DP$6&gt;$L13,0,DO13*(1-'Interest Rate'!$B$17))</f>
        <v>0</v>
      </c>
      <c r="DQ13" s="658">
        <f>IF(DQ$6&gt;$L13,0,DP13*(1-'Interest Rate'!$B$17))</f>
        <v>0</v>
      </c>
      <c r="DR13" s="658">
        <f>IF(DR$6&gt;$L13,0,DQ13*(1-'Interest Rate'!$B$17))</f>
        <v>0</v>
      </c>
    </row>
    <row r="14" spans="1:122" ht="33" customHeight="1" x14ac:dyDescent="0.3">
      <c r="A14" s="675" t="str">
        <f>'EEM Data Entry'!A92</f>
        <v/>
      </c>
      <c r="B14" s="660" t="str">
        <f>'EEM Data Entry'!B92</f>
        <v/>
      </c>
      <c r="C14" s="661" t="str">
        <f>'EEM Data Entry'!F92</f>
        <v/>
      </c>
      <c r="D14" s="661">
        <v>0</v>
      </c>
      <c r="E14" s="661" t="e">
        <f t="shared" si="3"/>
        <v>#VALUE!</v>
      </c>
      <c r="F14" s="662">
        <f>('Cascading Savings'!D13*'Cascading Savings'!D$4)+('Cascading Savings'!F13*'Cascading Savings'!F$4)+('Cascading Savings'!H13*'Cascading Savings'!H$4)+('Cascading Savings'!J13*'Cascading Savings'!J$4)+('Cascading Savings'!L13*'Cascading Savings'!L$4)+('Cascading Savings'!N13*'Cascading Savings'!N$4)+('Cascading Savings'!P13*'Cascading Savings'!P$4)+('Cascading Savings'!R13*'Cascading Savings'!R$4)</f>
        <v>0</v>
      </c>
      <c r="G14" s="663">
        <f>'Cascading Savings'!T13</f>
        <v>0</v>
      </c>
      <c r="H14" s="664" t="e">
        <f t="shared" si="4"/>
        <v>#VALUE!</v>
      </c>
      <c r="I14" s="665" t="e">
        <f t="shared" si="5"/>
        <v>#VALUE!</v>
      </c>
      <c r="J14" s="666" t="e">
        <f t="shared" si="0"/>
        <v>#NUM!</v>
      </c>
      <c r="K14" s="667" t="e">
        <f>PV('Interest Rate'!$B$17,Table112[[#This Row],[Lifetime]],-Table112[[#This Row],[ANNUAL ENERGY COST SAVINGS]],Table112[[#This Row],[END-OF-LIFE]],0)-Table112[[#This Row],[CAPITAL INVESTMENT]]</f>
        <v>#VALUE!</v>
      </c>
      <c r="L14" s="665" t="str">
        <f>'EEM Data Entry'!C92</f>
        <v/>
      </c>
      <c r="M14" s="676" t="e">
        <f>Table112[[#This Row],[ANNUAL ENERGY COST SAVINGS]]/Table112[[#This Row],[CAPITAL INVESTMENT]]</f>
        <v>#VALUE!</v>
      </c>
      <c r="N14" s="794">
        <f>IF(ISNUMBER(Table112[[#This Row],[NPV]])=TRUE,Table112[[#This Row],[NPV]],0)</f>
        <v>0</v>
      </c>
      <c r="O14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14" s="568" t="str">
        <f>Table112[[#This Row],[Lifetime]]</f>
        <v/>
      </c>
      <c r="V14" s="657" t="str">
        <f t="shared" si="2"/>
        <v/>
      </c>
      <c r="W14" s="658">
        <f t="shared" si="1"/>
        <v>0</v>
      </c>
      <c r="X14" s="658">
        <f>IF(X$6&gt;$L14,0,W14*(1-'Interest Rate'!$B$17))</f>
        <v>0</v>
      </c>
      <c r="Y14" s="658">
        <f>IF(Y$6&gt;$L14,0,X14*(1-'Interest Rate'!$B$17))</f>
        <v>0</v>
      </c>
      <c r="Z14" s="658">
        <f>IF(Z$6&gt;$L14,0,Y14*(1-'Interest Rate'!$B$17))</f>
        <v>0</v>
      </c>
      <c r="AA14" s="658">
        <f>IF(AA$6&gt;$L14,0,Z14*(1-'Interest Rate'!$B$17))</f>
        <v>0</v>
      </c>
      <c r="AB14" s="658">
        <f>IF(AB$6&gt;$L14,0,AA14*(1-'Interest Rate'!$B$17))</f>
        <v>0</v>
      </c>
      <c r="AC14" s="658">
        <f>IF(AC$6&gt;$L14,0,AB14*(1-'Interest Rate'!$B$17))</f>
        <v>0</v>
      </c>
      <c r="AD14" s="658">
        <f>IF(AD$6&gt;$L14,0,AC14*(1-'Interest Rate'!$B$17))</f>
        <v>0</v>
      </c>
      <c r="AE14" s="658">
        <f>IF(AE$6&gt;$L14,0,AD14*(1-'Interest Rate'!$B$17))</f>
        <v>0</v>
      </c>
      <c r="AF14" s="658">
        <f>IF(AF$6&gt;$L14,0,AE14*(1-'Interest Rate'!$B$17))</f>
        <v>0</v>
      </c>
      <c r="AG14" s="658">
        <f>IF(AG$6&gt;$L14,0,AF14*(1-'Interest Rate'!$B$17))</f>
        <v>0</v>
      </c>
      <c r="AH14" s="658">
        <f>IF(AH$6&gt;$L14,0,AG14*(1-'Interest Rate'!$B$17))</f>
        <v>0</v>
      </c>
      <c r="AI14" s="658">
        <f>IF(AI$6&gt;$L14,0,AH14*(1-'Interest Rate'!$B$17))</f>
        <v>0</v>
      </c>
      <c r="AJ14" s="658">
        <f>IF(AJ$6&gt;$L14,0,AI14*(1-'Interest Rate'!$B$17))</f>
        <v>0</v>
      </c>
      <c r="AK14" s="658">
        <f>IF(AK$6&gt;$L14,0,AJ14*(1-'Interest Rate'!$B$17))</f>
        <v>0</v>
      </c>
      <c r="AL14" s="658">
        <f>IF(AL$6&gt;$L14,0,AK14*(1-'Interest Rate'!$B$17))</f>
        <v>0</v>
      </c>
      <c r="AM14" s="658">
        <f>IF(AM$6&gt;$L14,0,AL14*(1-'Interest Rate'!$B$17))</f>
        <v>0</v>
      </c>
      <c r="AN14" s="658">
        <f>IF(AN$6&gt;$L14,0,AM14*(1-'Interest Rate'!$B$17))</f>
        <v>0</v>
      </c>
      <c r="AO14" s="658">
        <f>IF(AO$6&gt;$L14,0,AN14*(1-'Interest Rate'!$B$17))</f>
        <v>0</v>
      </c>
      <c r="AP14" s="658">
        <f>IF(AP$6&gt;$L14,0,AO14*(1-'Interest Rate'!$B$17))</f>
        <v>0</v>
      </c>
      <c r="AQ14" s="658">
        <f>IF(AQ$6&gt;$L14,0,AP14*(1-'Interest Rate'!$B$17))</f>
        <v>0</v>
      </c>
      <c r="AR14" s="658">
        <f>IF(AR$6&gt;$L14,0,AQ14*(1-'Interest Rate'!$B$17))</f>
        <v>0</v>
      </c>
      <c r="AS14" s="658">
        <f>IF(AS$6&gt;$L14,0,AR14*(1-'Interest Rate'!$B$17))</f>
        <v>0</v>
      </c>
      <c r="AT14" s="658">
        <f>IF(AT$6&gt;$L14,0,AS14*(1-'Interest Rate'!$B$17))</f>
        <v>0</v>
      </c>
      <c r="AU14" s="658">
        <f>IF(AU$6&gt;$L14,0,AT14*(1-'Interest Rate'!$B$17))</f>
        <v>0</v>
      </c>
      <c r="AV14" s="658">
        <f>IF(AV$6&gt;$L14,0,AU14*(1-'Interest Rate'!$B$17))</f>
        <v>0</v>
      </c>
      <c r="AW14" s="658">
        <f>IF(AW$6&gt;$L14,0,AV14*(1-'Interest Rate'!$B$17))</f>
        <v>0</v>
      </c>
      <c r="AX14" s="658">
        <f>IF(AX$6&gt;$L14,0,AW14*(1-'Interest Rate'!$B$17))</f>
        <v>0</v>
      </c>
      <c r="AY14" s="658">
        <f>IF(AY$6&gt;$L14,0,AX14*(1-'Interest Rate'!$B$17))</f>
        <v>0</v>
      </c>
      <c r="AZ14" s="658">
        <f>IF(AZ$6&gt;$L14,0,AY14*(1-'Interest Rate'!$B$17))</f>
        <v>0</v>
      </c>
      <c r="BA14" s="658">
        <f>IF(BA$6&gt;$L14,0,AZ14*(1-'Interest Rate'!$B$17))</f>
        <v>0</v>
      </c>
      <c r="BB14" s="658">
        <f>IF(BB$6&gt;$L14,0,BA14*(1-'Interest Rate'!$B$17))</f>
        <v>0</v>
      </c>
      <c r="BC14" s="658">
        <f>IF(BC$6&gt;$L14,0,BB14*(1-'Interest Rate'!$B$17))</f>
        <v>0</v>
      </c>
      <c r="BD14" s="658">
        <f>IF(BD$6&gt;$L14,0,BC14*(1-'Interest Rate'!$B$17))</f>
        <v>0</v>
      </c>
      <c r="BE14" s="658">
        <f>IF(BE$6&gt;$L14,0,BD14*(1-'Interest Rate'!$B$17))</f>
        <v>0</v>
      </c>
      <c r="BF14" s="658">
        <f>IF(BF$6&gt;$L14,0,BE14*(1-'Interest Rate'!$B$17))</f>
        <v>0</v>
      </c>
      <c r="BG14" s="658">
        <f>IF(BG$6&gt;$L14,0,BF14*(1-'Interest Rate'!$B$17))</f>
        <v>0</v>
      </c>
      <c r="BH14" s="658">
        <f>IF(BH$6&gt;$L14,0,BG14*(1-'Interest Rate'!$B$17))</f>
        <v>0</v>
      </c>
      <c r="BI14" s="658">
        <f>IF(BI$6&gt;$L14,0,BH14*(1-'Interest Rate'!$B$17))</f>
        <v>0</v>
      </c>
      <c r="BJ14" s="658">
        <f>IF(BJ$6&gt;$L14,0,BI14*(1-'Interest Rate'!$B$17))</f>
        <v>0</v>
      </c>
      <c r="BK14" s="658">
        <f>IF(BK$6&gt;$L14,0,BJ14*(1-'Interest Rate'!$B$17))</f>
        <v>0</v>
      </c>
      <c r="BL14" s="658">
        <f>IF(BL$6&gt;$L14,0,BK14*(1-'Interest Rate'!$B$17))</f>
        <v>0</v>
      </c>
      <c r="BM14" s="658">
        <f>IF(BM$6&gt;$L14,0,BL14*(1-'Interest Rate'!$B$17))</f>
        <v>0</v>
      </c>
      <c r="BN14" s="658">
        <f>IF(BN$6&gt;$L14,0,BM14*(1-'Interest Rate'!$B$17))</f>
        <v>0</v>
      </c>
      <c r="BO14" s="658">
        <f>IF(BO$6&gt;$L14,0,BN14*(1-'Interest Rate'!$B$17))</f>
        <v>0</v>
      </c>
      <c r="BP14" s="658">
        <f>IF(BP$6&gt;$L14,0,BO14*(1-'Interest Rate'!$B$17))</f>
        <v>0</v>
      </c>
      <c r="BQ14" s="658">
        <f>IF(BQ$6&gt;$L14,0,BP14*(1-'Interest Rate'!$B$17))</f>
        <v>0</v>
      </c>
      <c r="BR14" s="658">
        <f>IF(BR$6&gt;$L14,0,BQ14*(1-'Interest Rate'!$B$17))</f>
        <v>0</v>
      </c>
      <c r="BS14" s="658">
        <f>IF(BS$6&gt;$L14,0,BR14*(1-'Interest Rate'!$B$17))</f>
        <v>0</v>
      </c>
      <c r="BT14" s="658">
        <f>IF(BT$6&gt;$L14,0,BS14*(1-'Interest Rate'!$B$17))</f>
        <v>0</v>
      </c>
      <c r="BU14" s="658">
        <f>IF(BU$6&gt;$L14,0,BT14*(1-'Interest Rate'!$B$17))</f>
        <v>0</v>
      </c>
      <c r="BV14" s="658">
        <f>IF(BV$6&gt;$L14,0,BU14*(1-'Interest Rate'!$B$17))</f>
        <v>0</v>
      </c>
      <c r="BW14" s="658">
        <f>IF(BW$6&gt;$L14,0,BV14*(1-'Interest Rate'!$B$17))</f>
        <v>0</v>
      </c>
      <c r="BX14" s="658">
        <f>IF(BX$6&gt;$L14,0,BW14*(1-'Interest Rate'!$B$17))</f>
        <v>0</v>
      </c>
      <c r="BY14" s="658">
        <f>IF(BY$6&gt;$L14,0,BX14*(1-'Interest Rate'!$B$17))</f>
        <v>0</v>
      </c>
      <c r="BZ14" s="658">
        <f>IF(BZ$6&gt;$L14,0,BY14*(1-'Interest Rate'!$B$17))</f>
        <v>0</v>
      </c>
      <c r="CA14" s="658">
        <f>IF(CA$6&gt;$L14,0,BZ14*(1-'Interest Rate'!$B$17))</f>
        <v>0</v>
      </c>
      <c r="CB14" s="658">
        <f>IF(CB$6&gt;$L14,0,CA14*(1-'Interest Rate'!$B$17))</f>
        <v>0</v>
      </c>
      <c r="CC14" s="658">
        <f>IF(CC$6&gt;$L14,0,CB14*(1-'Interest Rate'!$B$17))</f>
        <v>0</v>
      </c>
      <c r="CD14" s="658">
        <f>IF(CD$6&gt;$L14,0,CC14*(1-'Interest Rate'!$B$17))</f>
        <v>0</v>
      </c>
      <c r="CE14" s="658">
        <f>IF(CE$6&gt;$L14,0,CD14*(1-'Interest Rate'!$B$17))</f>
        <v>0</v>
      </c>
      <c r="CF14" s="658">
        <f>IF(CF$6&gt;$L14,0,CE14*(1-'Interest Rate'!$B$17))</f>
        <v>0</v>
      </c>
      <c r="CG14" s="658">
        <f>IF(CG$6&gt;$L14,0,CF14*(1-'Interest Rate'!$B$17))</f>
        <v>0</v>
      </c>
      <c r="CH14" s="658">
        <f>IF(CH$6&gt;$L14,0,CG14*(1-'Interest Rate'!$B$17))</f>
        <v>0</v>
      </c>
      <c r="CI14" s="658">
        <f>IF(CI$6&gt;$L14,0,CH14*(1-'Interest Rate'!$B$17))</f>
        <v>0</v>
      </c>
      <c r="CJ14" s="658">
        <f>IF(CJ$6&gt;$L14,0,CI14*(1-'Interest Rate'!$B$17))</f>
        <v>0</v>
      </c>
      <c r="CK14" s="658">
        <f>IF(CK$6&gt;$L14,0,CJ14*(1-'Interest Rate'!$B$17))</f>
        <v>0</v>
      </c>
      <c r="CL14" s="658">
        <f>IF(CL$6&gt;$L14,0,CK14*(1-'Interest Rate'!$B$17))</f>
        <v>0</v>
      </c>
      <c r="CM14" s="658">
        <f>IF(CM$6&gt;$L14,0,CL14*(1-'Interest Rate'!$B$17))</f>
        <v>0</v>
      </c>
      <c r="CN14" s="658">
        <f>IF(CN$6&gt;$L14,0,CM14*(1-'Interest Rate'!$B$17))</f>
        <v>0</v>
      </c>
      <c r="CO14" s="658">
        <f>IF(CO$6&gt;$L14,0,CN14*(1-'Interest Rate'!$B$17))</f>
        <v>0</v>
      </c>
      <c r="CP14" s="658">
        <f>IF(CP$6&gt;$L14,0,CO14*(1-'Interest Rate'!$B$17))</f>
        <v>0</v>
      </c>
      <c r="CQ14" s="658">
        <f>IF(CQ$6&gt;$L14,0,CP14*(1-'Interest Rate'!$B$17))</f>
        <v>0</v>
      </c>
      <c r="CR14" s="658">
        <f>IF(CR$6&gt;$L14,0,CQ14*(1-'Interest Rate'!$B$17))</f>
        <v>0</v>
      </c>
      <c r="CS14" s="658">
        <f>IF(CS$6&gt;$L14,0,CR14*(1-'Interest Rate'!$B$17))</f>
        <v>0</v>
      </c>
      <c r="CT14" s="658">
        <f>IF(CT$6&gt;$L14,0,CS14*(1-'Interest Rate'!$B$17))</f>
        <v>0</v>
      </c>
      <c r="CU14" s="658">
        <f>IF(CU$6&gt;$L14,0,CT14*(1-'Interest Rate'!$B$17))</f>
        <v>0</v>
      </c>
      <c r="CV14" s="658">
        <f>IF(CV$6&gt;$L14,0,CU14*(1-'Interest Rate'!$B$17))</f>
        <v>0</v>
      </c>
      <c r="CW14" s="658">
        <f>IF(CW$6&gt;$L14,0,CV14*(1-'Interest Rate'!$B$17))</f>
        <v>0</v>
      </c>
      <c r="CX14" s="658">
        <f>IF(CX$6&gt;$L14,0,CW14*(1-'Interest Rate'!$B$17))</f>
        <v>0</v>
      </c>
      <c r="CY14" s="658">
        <f>IF(CY$6&gt;$L14,0,CX14*(1-'Interest Rate'!$B$17))</f>
        <v>0</v>
      </c>
      <c r="CZ14" s="658">
        <f>IF(CZ$6&gt;$L14,0,CY14*(1-'Interest Rate'!$B$17))</f>
        <v>0</v>
      </c>
      <c r="DA14" s="658">
        <f>IF(DA$6&gt;$L14,0,CZ14*(1-'Interest Rate'!$B$17))</f>
        <v>0</v>
      </c>
      <c r="DB14" s="658">
        <f>IF(DB$6&gt;$L14,0,DA14*(1-'Interest Rate'!$B$17))</f>
        <v>0</v>
      </c>
      <c r="DC14" s="658">
        <f>IF(DC$6&gt;$L14,0,DB14*(1-'Interest Rate'!$B$17))</f>
        <v>0</v>
      </c>
      <c r="DD14" s="658">
        <f>IF(DD$6&gt;$L14,0,DC14*(1-'Interest Rate'!$B$17))</f>
        <v>0</v>
      </c>
      <c r="DE14" s="658">
        <f>IF(DE$6&gt;$L14,0,DD14*(1-'Interest Rate'!$B$17))</f>
        <v>0</v>
      </c>
      <c r="DF14" s="658">
        <f>IF(DF$6&gt;$L14,0,DE14*(1-'Interest Rate'!$B$17))</f>
        <v>0</v>
      </c>
      <c r="DG14" s="658">
        <f>IF(DG$6&gt;$L14,0,DF14*(1-'Interest Rate'!$B$17))</f>
        <v>0</v>
      </c>
      <c r="DH14" s="658">
        <f>IF(DH$6&gt;$L14,0,DG14*(1-'Interest Rate'!$B$17))</f>
        <v>0</v>
      </c>
      <c r="DI14" s="658">
        <f>IF(DI$6&gt;$L14,0,DH14*(1-'Interest Rate'!$B$17))</f>
        <v>0</v>
      </c>
      <c r="DJ14" s="658">
        <f>IF(DJ$6&gt;$L14,0,DI14*(1-'Interest Rate'!$B$17))</f>
        <v>0</v>
      </c>
      <c r="DK14" s="658">
        <f>IF(DK$6&gt;$L14,0,DJ14*(1-'Interest Rate'!$B$17))</f>
        <v>0</v>
      </c>
      <c r="DL14" s="658">
        <f>IF(DL$6&gt;$L14,0,DK14*(1-'Interest Rate'!$B$17))</f>
        <v>0</v>
      </c>
      <c r="DM14" s="658">
        <f>IF(DM$6&gt;$L14,0,DL14*(1-'Interest Rate'!$B$17))</f>
        <v>0</v>
      </c>
      <c r="DN14" s="658">
        <f>IF(DN$6&gt;$L14,0,DM14*(1-'Interest Rate'!$B$17))</f>
        <v>0</v>
      </c>
      <c r="DO14" s="658">
        <f>IF(DO$6&gt;$L14,0,DN14*(1-'Interest Rate'!$B$17))</f>
        <v>0</v>
      </c>
      <c r="DP14" s="658">
        <f>IF(DP$6&gt;$L14,0,DO14*(1-'Interest Rate'!$B$17))</f>
        <v>0</v>
      </c>
      <c r="DQ14" s="658">
        <f>IF(DQ$6&gt;$L14,0,DP14*(1-'Interest Rate'!$B$17))</f>
        <v>0</v>
      </c>
      <c r="DR14" s="658">
        <f>IF(DR$6&gt;$L14,0,DQ14*(1-'Interest Rate'!$B$17))</f>
        <v>0</v>
      </c>
    </row>
    <row r="15" spans="1:122" ht="33" customHeight="1" x14ac:dyDescent="0.3">
      <c r="A15" s="647" t="str">
        <f>'EEM Data Entry'!A93</f>
        <v/>
      </c>
      <c r="B15" s="670" t="str">
        <f>'EEM Data Entry'!B93</f>
        <v/>
      </c>
      <c r="C15" s="649" t="str">
        <f>'EEM Data Entry'!F93</f>
        <v/>
      </c>
      <c r="D15" s="649">
        <v>0</v>
      </c>
      <c r="E15" s="649" t="e">
        <f t="shared" ref="E15:E29" si="6">C15-D15</f>
        <v>#VALUE!</v>
      </c>
      <c r="F15" s="650">
        <f>('Cascading Savings'!D14*'Cascading Savings'!D$4)+('Cascading Savings'!F14*'Cascading Savings'!F$4)+('Cascading Savings'!H14*'Cascading Savings'!H$4)+('Cascading Savings'!J14*'Cascading Savings'!J$4)+('Cascading Savings'!L14*'Cascading Savings'!L$4)+('Cascading Savings'!N14*'Cascading Savings'!N$4)+('Cascading Savings'!P14*'Cascading Savings'!P$4)+('Cascading Savings'!R14*'Cascading Savings'!R$4)</f>
        <v>0</v>
      </c>
      <c r="G15" s="651">
        <f>'Cascading Savings'!T14</f>
        <v>0</v>
      </c>
      <c r="H15" s="652" t="e">
        <f t="shared" si="4"/>
        <v>#VALUE!</v>
      </c>
      <c r="I15" s="653" t="e">
        <f t="shared" ref="I15:I24" si="7">IF(H15=0, "n/a", IF(H15&gt;100, "no",IF(H15&lt;0, "no", "yes")))</f>
        <v>#VALUE!</v>
      </c>
      <c r="J15" s="654" t="e">
        <f t="shared" si="0"/>
        <v>#NUM!</v>
      </c>
      <c r="K15" s="655" t="e">
        <f>PV('Interest Rate'!$B$17,Table112[[#This Row],[Lifetime]],-Table112[[#This Row],[ANNUAL ENERGY COST SAVINGS]],Table112[[#This Row],[END-OF-LIFE]],0)-Table112[[#This Row],[CAPITAL INVESTMENT]]</f>
        <v>#VALUE!</v>
      </c>
      <c r="L15" s="653" t="str">
        <f>'EEM Data Entry'!C93</f>
        <v/>
      </c>
      <c r="M15" s="656" t="e">
        <f>Table112[[#This Row],[ANNUAL ENERGY COST SAVINGS]]/Table112[[#This Row],[CAPITAL INVESTMENT]]</f>
        <v>#VALUE!</v>
      </c>
      <c r="N15" s="794">
        <f>IF(ISNUMBER(Table112[[#This Row],[NPV]])=TRUE,Table112[[#This Row],[NPV]],0)</f>
        <v>0</v>
      </c>
      <c r="O15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15" s="568" t="str">
        <f>Table112[[#This Row],[Lifetime]]</f>
        <v/>
      </c>
      <c r="V15" s="657" t="str">
        <f t="shared" si="2"/>
        <v/>
      </c>
      <c r="W15" s="658">
        <f t="shared" si="1"/>
        <v>0</v>
      </c>
      <c r="X15" s="658">
        <f>IF(X$6&gt;$L15,0,W15*(1-'Interest Rate'!$B$17))</f>
        <v>0</v>
      </c>
      <c r="Y15" s="658">
        <f>IF(Y$6&gt;$L15,0,X15*(1-'Interest Rate'!$B$17))</f>
        <v>0</v>
      </c>
      <c r="Z15" s="658">
        <f>IF(Z$6&gt;$L15,0,Y15*(1-'Interest Rate'!$B$17))</f>
        <v>0</v>
      </c>
      <c r="AA15" s="658">
        <f>IF(AA$6&gt;$L15,0,Z15*(1-'Interest Rate'!$B$17))</f>
        <v>0</v>
      </c>
      <c r="AB15" s="658">
        <f>IF(AB$6&gt;$L15,0,AA15*(1-'Interest Rate'!$B$17))</f>
        <v>0</v>
      </c>
      <c r="AC15" s="658">
        <f>IF(AC$6&gt;$L15,0,AB15*(1-'Interest Rate'!$B$17))</f>
        <v>0</v>
      </c>
      <c r="AD15" s="658">
        <f>IF(AD$6&gt;$L15,0,AC15*(1-'Interest Rate'!$B$17))</f>
        <v>0</v>
      </c>
      <c r="AE15" s="658">
        <f>IF(AE$6&gt;$L15,0,AD15*(1-'Interest Rate'!$B$17))</f>
        <v>0</v>
      </c>
      <c r="AF15" s="658">
        <f>IF(AF$6&gt;$L15,0,AE15*(1-'Interest Rate'!$B$17))</f>
        <v>0</v>
      </c>
      <c r="AG15" s="658">
        <f>IF(AG$6&gt;$L15,0,AF15*(1-'Interest Rate'!$B$17))</f>
        <v>0</v>
      </c>
      <c r="AH15" s="658">
        <f>IF(AH$6&gt;$L15,0,AG15*(1-'Interest Rate'!$B$17))</f>
        <v>0</v>
      </c>
      <c r="AI15" s="658">
        <f>IF(AI$6&gt;$L15,0,AH15*(1-'Interest Rate'!$B$17))</f>
        <v>0</v>
      </c>
      <c r="AJ15" s="658">
        <f>IF(AJ$6&gt;$L15,0,AI15*(1-'Interest Rate'!$B$17))</f>
        <v>0</v>
      </c>
      <c r="AK15" s="658">
        <f>IF(AK$6&gt;$L15,0,AJ15*(1-'Interest Rate'!$B$17))</f>
        <v>0</v>
      </c>
      <c r="AL15" s="658">
        <f>IF(AL$6&gt;$L15,0,AK15*(1-'Interest Rate'!$B$17))</f>
        <v>0</v>
      </c>
      <c r="AM15" s="658">
        <f>IF(AM$6&gt;$L15,0,AL15*(1-'Interest Rate'!$B$17))</f>
        <v>0</v>
      </c>
      <c r="AN15" s="658">
        <f>IF(AN$6&gt;$L15,0,AM15*(1-'Interest Rate'!$B$17))</f>
        <v>0</v>
      </c>
      <c r="AO15" s="658">
        <f>IF(AO$6&gt;$L15,0,AN15*(1-'Interest Rate'!$B$17))</f>
        <v>0</v>
      </c>
      <c r="AP15" s="658">
        <f>IF(AP$6&gt;$L15,0,AO15*(1-'Interest Rate'!$B$17))</f>
        <v>0</v>
      </c>
      <c r="AQ15" s="658">
        <f>IF(AQ$6&gt;$L15,0,AP15*(1-'Interest Rate'!$B$17))</f>
        <v>0</v>
      </c>
      <c r="AR15" s="658">
        <f>IF(AR$6&gt;$L15,0,AQ15*(1-'Interest Rate'!$B$17))</f>
        <v>0</v>
      </c>
      <c r="AS15" s="658">
        <f>IF(AS$6&gt;$L15,0,AR15*(1-'Interest Rate'!$B$17))</f>
        <v>0</v>
      </c>
      <c r="AT15" s="658">
        <f>IF(AT$6&gt;$L15,0,AS15*(1-'Interest Rate'!$B$17))</f>
        <v>0</v>
      </c>
      <c r="AU15" s="658">
        <f>IF(AU$6&gt;$L15,0,AT15*(1-'Interest Rate'!$B$17))</f>
        <v>0</v>
      </c>
      <c r="AV15" s="658">
        <f>IF(AV$6&gt;$L15,0,AU15*(1-'Interest Rate'!$B$17))</f>
        <v>0</v>
      </c>
      <c r="AW15" s="658">
        <f>IF(AW$6&gt;$L15,0,AV15*(1-'Interest Rate'!$B$17))</f>
        <v>0</v>
      </c>
      <c r="AX15" s="658">
        <f>IF(AX$6&gt;$L15,0,AW15*(1-'Interest Rate'!$B$17))</f>
        <v>0</v>
      </c>
      <c r="AY15" s="658">
        <f>IF(AY$6&gt;$L15,0,AX15*(1-'Interest Rate'!$B$17))</f>
        <v>0</v>
      </c>
      <c r="AZ15" s="658">
        <f>IF(AZ$6&gt;$L15,0,AY15*(1-'Interest Rate'!$B$17))</f>
        <v>0</v>
      </c>
      <c r="BA15" s="658">
        <f>IF(BA$6&gt;$L15,0,AZ15*(1-'Interest Rate'!$B$17))</f>
        <v>0</v>
      </c>
      <c r="BB15" s="658">
        <f>IF(BB$6&gt;$L15,0,BA15*(1-'Interest Rate'!$B$17))</f>
        <v>0</v>
      </c>
      <c r="BC15" s="658">
        <f>IF(BC$6&gt;$L15,0,BB15*(1-'Interest Rate'!$B$17))</f>
        <v>0</v>
      </c>
      <c r="BD15" s="658">
        <f>IF(BD$6&gt;$L15,0,BC15*(1-'Interest Rate'!$B$17))</f>
        <v>0</v>
      </c>
      <c r="BE15" s="658">
        <f>IF(BE$6&gt;$L15,0,BD15*(1-'Interest Rate'!$B$17))</f>
        <v>0</v>
      </c>
      <c r="BF15" s="658">
        <f>IF(BF$6&gt;$L15,0,BE15*(1-'Interest Rate'!$B$17))</f>
        <v>0</v>
      </c>
      <c r="BG15" s="658">
        <f>IF(BG$6&gt;$L15,0,BF15*(1-'Interest Rate'!$B$17))</f>
        <v>0</v>
      </c>
      <c r="BH15" s="658">
        <f>IF(BH$6&gt;$L15,0,BG15*(1-'Interest Rate'!$B$17))</f>
        <v>0</v>
      </c>
      <c r="BI15" s="658">
        <f>IF(BI$6&gt;$L15,0,BH15*(1-'Interest Rate'!$B$17))</f>
        <v>0</v>
      </c>
      <c r="BJ15" s="658">
        <f>IF(BJ$6&gt;$L15,0,BI15*(1-'Interest Rate'!$B$17))</f>
        <v>0</v>
      </c>
      <c r="BK15" s="658">
        <f>IF(BK$6&gt;$L15,0,BJ15*(1-'Interest Rate'!$B$17))</f>
        <v>0</v>
      </c>
      <c r="BL15" s="658">
        <f>IF(BL$6&gt;$L15,0,BK15*(1-'Interest Rate'!$B$17))</f>
        <v>0</v>
      </c>
      <c r="BM15" s="658">
        <f>IF(BM$6&gt;$L15,0,BL15*(1-'Interest Rate'!$B$17))</f>
        <v>0</v>
      </c>
      <c r="BN15" s="658">
        <f>IF(BN$6&gt;$L15,0,BM15*(1-'Interest Rate'!$B$17))</f>
        <v>0</v>
      </c>
      <c r="BO15" s="658">
        <f>IF(BO$6&gt;$L15,0,BN15*(1-'Interest Rate'!$B$17))</f>
        <v>0</v>
      </c>
      <c r="BP15" s="658">
        <f>IF(BP$6&gt;$L15,0,BO15*(1-'Interest Rate'!$B$17))</f>
        <v>0</v>
      </c>
      <c r="BQ15" s="658">
        <f>IF(BQ$6&gt;$L15,0,BP15*(1-'Interest Rate'!$B$17))</f>
        <v>0</v>
      </c>
      <c r="BR15" s="658">
        <f>IF(BR$6&gt;$L15,0,BQ15*(1-'Interest Rate'!$B$17))</f>
        <v>0</v>
      </c>
      <c r="BS15" s="658">
        <f>IF(BS$6&gt;$L15,0,BR15*(1-'Interest Rate'!$B$17))</f>
        <v>0</v>
      </c>
      <c r="BT15" s="658">
        <f>IF(BT$6&gt;$L15,0,BS15*(1-'Interest Rate'!$B$17))</f>
        <v>0</v>
      </c>
      <c r="BU15" s="658">
        <f>IF(BU$6&gt;$L15,0,BT15*(1-'Interest Rate'!$B$17))</f>
        <v>0</v>
      </c>
      <c r="BV15" s="658">
        <f>IF(BV$6&gt;$L15,0,BU15*(1-'Interest Rate'!$B$17))</f>
        <v>0</v>
      </c>
      <c r="BW15" s="658">
        <f>IF(BW$6&gt;$L15,0,BV15*(1-'Interest Rate'!$B$17))</f>
        <v>0</v>
      </c>
      <c r="BX15" s="658">
        <f>IF(BX$6&gt;$L15,0,BW15*(1-'Interest Rate'!$B$17))</f>
        <v>0</v>
      </c>
      <c r="BY15" s="658">
        <f>IF(BY$6&gt;$L15,0,BX15*(1-'Interest Rate'!$B$17))</f>
        <v>0</v>
      </c>
      <c r="BZ15" s="658">
        <f>IF(BZ$6&gt;$L15,0,BY15*(1-'Interest Rate'!$B$17))</f>
        <v>0</v>
      </c>
      <c r="CA15" s="658">
        <f>IF(CA$6&gt;$L15,0,BZ15*(1-'Interest Rate'!$B$17))</f>
        <v>0</v>
      </c>
      <c r="CB15" s="658">
        <f>IF(CB$6&gt;$L15,0,CA15*(1-'Interest Rate'!$B$17))</f>
        <v>0</v>
      </c>
      <c r="CC15" s="658">
        <f>IF(CC$6&gt;$L15,0,CB15*(1-'Interest Rate'!$B$17))</f>
        <v>0</v>
      </c>
      <c r="CD15" s="658">
        <f>IF(CD$6&gt;$L15,0,CC15*(1-'Interest Rate'!$B$17))</f>
        <v>0</v>
      </c>
      <c r="CE15" s="658">
        <f>IF(CE$6&gt;$L15,0,CD15*(1-'Interest Rate'!$B$17))</f>
        <v>0</v>
      </c>
      <c r="CF15" s="658">
        <f>IF(CF$6&gt;$L15,0,CE15*(1-'Interest Rate'!$B$17))</f>
        <v>0</v>
      </c>
      <c r="CG15" s="658">
        <f>IF(CG$6&gt;$L15,0,CF15*(1-'Interest Rate'!$B$17))</f>
        <v>0</v>
      </c>
      <c r="CH15" s="658">
        <f>IF(CH$6&gt;$L15,0,CG15*(1-'Interest Rate'!$B$17))</f>
        <v>0</v>
      </c>
      <c r="CI15" s="658">
        <f>IF(CI$6&gt;$L15,0,CH15*(1-'Interest Rate'!$B$17))</f>
        <v>0</v>
      </c>
      <c r="CJ15" s="658">
        <f>IF(CJ$6&gt;$L15,0,CI15*(1-'Interest Rate'!$B$17))</f>
        <v>0</v>
      </c>
      <c r="CK15" s="658">
        <f>IF(CK$6&gt;$L15,0,CJ15*(1-'Interest Rate'!$B$17))</f>
        <v>0</v>
      </c>
      <c r="CL15" s="658">
        <f>IF(CL$6&gt;$L15,0,CK15*(1-'Interest Rate'!$B$17))</f>
        <v>0</v>
      </c>
      <c r="CM15" s="658">
        <f>IF(CM$6&gt;$L15,0,CL15*(1-'Interest Rate'!$B$17))</f>
        <v>0</v>
      </c>
      <c r="CN15" s="658">
        <f>IF(CN$6&gt;$L15,0,CM15*(1-'Interest Rate'!$B$17))</f>
        <v>0</v>
      </c>
      <c r="CO15" s="658">
        <f>IF(CO$6&gt;$L15,0,CN15*(1-'Interest Rate'!$B$17))</f>
        <v>0</v>
      </c>
      <c r="CP15" s="658">
        <f>IF(CP$6&gt;$L15,0,CO15*(1-'Interest Rate'!$B$17))</f>
        <v>0</v>
      </c>
      <c r="CQ15" s="658">
        <f>IF(CQ$6&gt;$L15,0,CP15*(1-'Interest Rate'!$B$17))</f>
        <v>0</v>
      </c>
      <c r="CR15" s="658">
        <f>IF(CR$6&gt;$L15,0,CQ15*(1-'Interest Rate'!$B$17))</f>
        <v>0</v>
      </c>
      <c r="CS15" s="658">
        <f>IF(CS$6&gt;$L15,0,CR15*(1-'Interest Rate'!$B$17))</f>
        <v>0</v>
      </c>
      <c r="CT15" s="658">
        <f>IF(CT$6&gt;$L15,0,CS15*(1-'Interest Rate'!$B$17))</f>
        <v>0</v>
      </c>
      <c r="CU15" s="658">
        <f>IF(CU$6&gt;$L15,0,CT15*(1-'Interest Rate'!$B$17))</f>
        <v>0</v>
      </c>
      <c r="CV15" s="658">
        <f>IF(CV$6&gt;$L15,0,CU15*(1-'Interest Rate'!$B$17))</f>
        <v>0</v>
      </c>
      <c r="CW15" s="658">
        <f>IF(CW$6&gt;$L15,0,CV15*(1-'Interest Rate'!$B$17))</f>
        <v>0</v>
      </c>
      <c r="CX15" s="658">
        <f>IF(CX$6&gt;$L15,0,CW15*(1-'Interest Rate'!$B$17))</f>
        <v>0</v>
      </c>
      <c r="CY15" s="658">
        <f>IF(CY$6&gt;$L15,0,CX15*(1-'Interest Rate'!$B$17))</f>
        <v>0</v>
      </c>
      <c r="CZ15" s="658">
        <f>IF(CZ$6&gt;$L15,0,CY15*(1-'Interest Rate'!$B$17))</f>
        <v>0</v>
      </c>
      <c r="DA15" s="658">
        <f>IF(DA$6&gt;$L15,0,CZ15*(1-'Interest Rate'!$B$17))</f>
        <v>0</v>
      </c>
      <c r="DB15" s="658">
        <f>IF(DB$6&gt;$L15,0,DA15*(1-'Interest Rate'!$B$17))</f>
        <v>0</v>
      </c>
      <c r="DC15" s="658">
        <f>IF(DC$6&gt;$L15,0,DB15*(1-'Interest Rate'!$B$17))</f>
        <v>0</v>
      </c>
      <c r="DD15" s="658">
        <f>IF(DD$6&gt;$L15,0,DC15*(1-'Interest Rate'!$B$17))</f>
        <v>0</v>
      </c>
      <c r="DE15" s="658">
        <f>IF(DE$6&gt;$L15,0,DD15*(1-'Interest Rate'!$B$17))</f>
        <v>0</v>
      </c>
      <c r="DF15" s="658">
        <f>IF(DF$6&gt;$L15,0,DE15*(1-'Interest Rate'!$B$17))</f>
        <v>0</v>
      </c>
      <c r="DG15" s="658">
        <f>IF(DG$6&gt;$L15,0,DF15*(1-'Interest Rate'!$B$17))</f>
        <v>0</v>
      </c>
      <c r="DH15" s="658">
        <f>IF(DH$6&gt;$L15,0,DG15*(1-'Interest Rate'!$B$17))</f>
        <v>0</v>
      </c>
      <c r="DI15" s="658">
        <f>IF(DI$6&gt;$L15,0,DH15*(1-'Interest Rate'!$B$17))</f>
        <v>0</v>
      </c>
      <c r="DJ15" s="658">
        <f>IF(DJ$6&gt;$L15,0,DI15*(1-'Interest Rate'!$B$17))</f>
        <v>0</v>
      </c>
      <c r="DK15" s="658">
        <f>IF(DK$6&gt;$L15,0,DJ15*(1-'Interest Rate'!$B$17))</f>
        <v>0</v>
      </c>
      <c r="DL15" s="658">
        <f>IF(DL$6&gt;$L15,0,DK15*(1-'Interest Rate'!$B$17))</f>
        <v>0</v>
      </c>
      <c r="DM15" s="658">
        <f>IF(DM$6&gt;$L15,0,DL15*(1-'Interest Rate'!$B$17))</f>
        <v>0</v>
      </c>
      <c r="DN15" s="658">
        <f>IF(DN$6&gt;$L15,0,DM15*(1-'Interest Rate'!$B$17))</f>
        <v>0</v>
      </c>
      <c r="DO15" s="658">
        <f>IF(DO$6&gt;$L15,0,DN15*(1-'Interest Rate'!$B$17))</f>
        <v>0</v>
      </c>
      <c r="DP15" s="658">
        <f>IF(DP$6&gt;$L15,0,DO15*(1-'Interest Rate'!$B$17))</f>
        <v>0</v>
      </c>
      <c r="DQ15" s="658">
        <f>IF(DQ$6&gt;$L15,0,DP15*(1-'Interest Rate'!$B$17))</f>
        <v>0</v>
      </c>
      <c r="DR15" s="658">
        <f>IF(DR$6&gt;$L15,0,DQ15*(1-'Interest Rate'!$B$17))</f>
        <v>0</v>
      </c>
    </row>
    <row r="16" spans="1:122" ht="33" customHeight="1" x14ac:dyDescent="0.3">
      <c r="A16" s="675" t="str">
        <f>'EEM Data Entry'!A94</f>
        <v/>
      </c>
      <c r="B16" s="660" t="str">
        <f>'EEM Data Entry'!B94</f>
        <v/>
      </c>
      <c r="C16" s="661" t="str">
        <f>'EEM Data Entry'!F94</f>
        <v/>
      </c>
      <c r="D16" s="661">
        <v>0</v>
      </c>
      <c r="E16" s="661" t="e">
        <f t="shared" si="6"/>
        <v>#VALUE!</v>
      </c>
      <c r="F16" s="662">
        <f>('Cascading Savings'!D15*'Cascading Savings'!D$4)+('Cascading Savings'!F15*'Cascading Savings'!F$4)+('Cascading Savings'!H15*'Cascading Savings'!H$4)+('Cascading Savings'!J15*'Cascading Savings'!J$4)+('Cascading Savings'!L15*'Cascading Savings'!L$4)+('Cascading Savings'!N15*'Cascading Savings'!N$4)+('Cascading Savings'!P15*'Cascading Savings'!P$4)+('Cascading Savings'!R15*'Cascading Savings'!R$4)</f>
        <v>0</v>
      </c>
      <c r="G16" s="663">
        <f>'Cascading Savings'!T15</f>
        <v>0</v>
      </c>
      <c r="H16" s="664" t="e">
        <f t="shared" si="4"/>
        <v>#VALUE!</v>
      </c>
      <c r="I16" s="665" t="e">
        <f t="shared" si="7"/>
        <v>#VALUE!</v>
      </c>
      <c r="J16" s="666" t="e">
        <f t="shared" si="0"/>
        <v>#NUM!</v>
      </c>
      <c r="K16" s="667" t="e">
        <f>PV('Interest Rate'!$B$17,Table112[[#This Row],[Lifetime]],-Table112[[#This Row],[ANNUAL ENERGY COST SAVINGS]],Table112[[#This Row],[END-OF-LIFE]],0)-Table112[[#This Row],[CAPITAL INVESTMENT]]</f>
        <v>#VALUE!</v>
      </c>
      <c r="L16" s="665" t="str">
        <f>'EEM Data Entry'!C94</f>
        <v/>
      </c>
      <c r="M16" s="676" t="e">
        <f>Table112[[#This Row],[ANNUAL ENERGY COST SAVINGS]]/Table112[[#This Row],[CAPITAL INVESTMENT]]</f>
        <v>#VALUE!</v>
      </c>
      <c r="N16" s="794">
        <f>IF(ISNUMBER(Table112[[#This Row],[NPV]])=TRUE,Table112[[#This Row],[NPV]],0)</f>
        <v>0</v>
      </c>
      <c r="O16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16" s="568" t="str">
        <f>Table112[[#This Row],[Lifetime]]</f>
        <v/>
      </c>
      <c r="V16" s="657" t="str">
        <f t="shared" si="2"/>
        <v/>
      </c>
      <c r="W16" s="658">
        <f t="shared" si="1"/>
        <v>0</v>
      </c>
      <c r="X16" s="658">
        <f>IF(X$6&gt;$L16,0,W16*(1-'Interest Rate'!$B$17))</f>
        <v>0</v>
      </c>
      <c r="Y16" s="658">
        <f>IF(Y$6&gt;$L16,0,X16*(1-'Interest Rate'!$B$17))</f>
        <v>0</v>
      </c>
      <c r="Z16" s="658">
        <f>IF(Z$6&gt;$L16,0,Y16*(1-'Interest Rate'!$B$17))</f>
        <v>0</v>
      </c>
      <c r="AA16" s="658">
        <f>IF(AA$6&gt;$L16,0,Z16*(1-'Interest Rate'!$B$17))</f>
        <v>0</v>
      </c>
      <c r="AB16" s="658">
        <f>IF(AB$6&gt;$L16,0,AA16*(1-'Interest Rate'!$B$17))</f>
        <v>0</v>
      </c>
      <c r="AC16" s="658">
        <f>IF(AC$6&gt;$L16,0,AB16*(1-'Interest Rate'!$B$17))</f>
        <v>0</v>
      </c>
      <c r="AD16" s="658">
        <f>IF(AD$6&gt;$L16,0,AC16*(1-'Interest Rate'!$B$17))</f>
        <v>0</v>
      </c>
      <c r="AE16" s="658">
        <f>IF(AE$6&gt;$L16,0,AD16*(1-'Interest Rate'!$B$17))</f>
        <v>0</v>
      </c>
      <c r="AF16" s="658">
        <f>IF(AF$6&gt;$L16,0,AE16*(1-'Interest Rate'!$B$17))</f>
        <v>0</v>
      </c>
      <c r="AG16" s="658">
        <f>IF(AG$6&gt;$L16,0,AF16*(1-'Interest Rate'!$B$17))</f>
        <v>0</v>
      </c>
      <c r="AH16" s="658">
        <f>IF(AH$6&gt;$L16,0,AG16*(1-'Interest Rate'!$B$17))</f>
        <v>0</v>
      </c>
      <c r="AI16" s="658">
        <f>IF(AI$6&gt;$L16,0,AH16*(1-'Interest Rate'!$B$17))</f>
        <v>0</v>
      </c>
      <c r="AJ16" s="658">
        <f>IF(AJ$6&gt;$L16,0,AI16*(1-'Interest Rate'!$B$17))</f>
        <v>0</v>
      </c>
      <c r="AK16" s="658">
        <f>IF(AK$6&gt;$L16,0,AJ16*(1-'Interest Rate'!$B$17))</f>
        <v>0</v>
      </c>
      <c r="AL16" s="658">
        <f>IF(AL$6&gt;$L16,0,AK16*(1-'Interest Rate'!$B$17))</f>
        <v>0</v>
      </c>
      <c r="AM16" s="658">
        <f>IF(AM$6&gt;$L16,0,AL16*(1-'Interest Rate'!$B$17))</f>
        <v>0</v>
      </c>
      <c r="AN16" s="658">
        <f>IF(AN$6&gt;$L16,0,AM16*(1-'Interest Rate'!$B$17))</f>
        <v>0</v>
      </c>
      <c r="AO16" s="658">
        <f>IF(AO$6&gt;$L16,0,AN16*(1-'Interest Rate'!$B$17))</f>
        <v>0</v>
      </c>
      <c r="AP16" s="658">
        <f>IF(AP$6&gt;$L16,0,AO16*(1-'Interest Rate'!$B$17))</f>
        <v>0</v>
      </c>
      <c r="AQ16" s="658">
        <f>IF(AQ$6&gt;$L16,0,AP16*(1-'Interest Rate'!$B$17))</f>
        <v>0</v>
      </c>
      <c r="AR16" s="658">
        <f>IF(AR$6&gt;$L16,0,AQ16*(1-'Interest Rate'!$B$17))</f>
        <v>0</v>
      </c>
      <c r="AS16" s="658">
        <f>IF(AS$6&gt;$L16,0,AR16*(1-'Interest Rate'!$B$17))</f>
        <v>0</v>
      </c>
      <c r="AT16" s="658">
        <f>IF(AT$6&gt;$L16,0,AS16*(1-'Interest Rate'!$B$17))</f>
        <v>0</v>
      </c>
      <c r="AU16" s="658">
        <f>IF(AU$6&gt;$L16,0,AT16*(1-'Interest Rate'!$B$17))</f>
        <v>0</v>
      </c>
      <c r="AV16" s="658">
        <f>IF(AV$6&gt;$L16,0,AU16*(1-'Interest Rate'!$B$17))</f>
        <v>0</v>
      </c>
      <c r="AW16" s="658">
        <f>IF(AW$6&gt;$L16,0,AV16*(1-'Interest Rate'!$B$17))</f>
        <v>0</v>
      </c>
      <c r="AX16" s="658">
        <f>IF(AX$6&gt;$L16,0,AW16*(1-'Interest Rate'!$B$17))</f>
        <v>0</v>
      </c>
      <c r="AY16" s="658">
        <f>IF(AY$6&gt;$L16,0,AX16*(1-'Interest Rate'!$B$17))</f>
        <v>0</v>
      </c>
      <c r="AZ16" s="658">
        <f>IF(AZ$6&gt;$L16,0,AY16*(1-'Interest Rate'!$B$17))</f>
        <v>0</v>
      </c>
      <c r="BA16" s="658">
        <f>IF(BA$6&gt;$L16,0,AZ16*(1-'Interest Rate'!$B$17))</f>
        <v>0</v>
      </c>
      <c r="BB16" s="658">
        <f>IF(BB$6&gt;$L16,0,BA16*(1-'Interest Rate'!$B$17))</f>
        <v>0</v>
      </c>
      <c r="BC16" s="658">
        <f>IF(BC$6&gt;$L16,0,BB16*(1-'Interest Rate'!$B$17))</f>
        <v>0</v>
      </c>
      <c r="BD16" s="658">
        <f>IF(BD$6&gt;$L16,0,BC16*(1-'Interest Rate'!$B$17))</f>
        <v>0</v>
      </c>
      <c r="BE16" s="658">
        <f>IF(BE$6&gt;$L16,0,BD16*(1-'Interest Rate'!$B$17))</f>
        <v>0</v>
      </c>
      <c r="BF16" s="658">
        <f>IF(BF$6&gt;$L16,0,BE16*(1-'Interest Rate'!$B$17))</f>
        <v>0</v>
      </c>
      <c r="BG16" s="658">
        <f>IF(BG$6&gt;$L16,0,BF16*(1-'Interest Rate'!$B$17))</f>
        <v>0</v>
      </c>
      <c r="BH16" s="658">
        <f>IF(BH$6&gt;$L16,0,BG16*(1-'Interest Rate'!$B$17))</f>
        <v>0</v>
      </c>
      <c r="BI16" s="658">
        <f>IF(BI$6&gt;$L16,0,BH16*(1-'Interest Rate'!$B$17))</f>
        <v>0</v>
      </c>
      <c r="BJ16" s="658">
        <f>IF(BJ$6&gt;$L16,0,BI16*(1-'Interest Rate'!$B$17))</f>
        <v>0</v>
      </c>
      <c r="BK16" s="658">
        <f>IF(BK$6&gt;$L16,0,BJ16*(1-'Interest Rate'!$B$17))</f>
        <v>0</v>
      </c>
      <c r="BL16" s="658">
        <f>IF(BL$6&gt;$L16,0,BK16*(1-'Interest Rate'!$B$17))</f>
        <v>0</v>
      </c>
      <c r="BM16" s="658">
        <f>IF(BM$6&gt;$L16,0,BL16*(1-'Interest Rate'!$B$17))</f>
        <v>0</v>
      </c>
      <c r="BN16" s="658">
        <f>IF(BN$6&gt;$L16,0,BM16*(1-'Interest Rate'!$B$17))</f>
        <v>0</v>
      </c>
      <c r="BO16" s="658">
        <f>IF(BO$6&gt;$L16,0,BN16*(1-'Interest Rate'!$B$17))</f>
        <v>0</v>
      </c>
      <c r="BP16" s="658">
        <f>IF(BP$6&gt;$L16,0,BO16*(1-'Interest Rate'!$B$17))</f>
        <v>0</v>
      </c>
      <c r="BQ16" s="658">
        <f>IF(BQ$6&gt;$L16,0,BP16*(1-'Interest Rate'!$B$17))</f>
        <v>0</v>
      </c>
      <c r="BR16" s="658">
        <f>IF(BR$6&gt;$L16,0,BQ16*(1-'Interest Rate'!$B$17))</f>
        <v>0</v>
      </c>
      <c r="BS16" s="658">
        <f>IF(BS$6&gt;$L16,0,BR16*(1-'Interest Rate'!$B$17))</f>
        <v>0</v>
      </c>
      <c r="BT16" s="658">
        <f>IF(BT$6&gt;$L16,0,BS16*(1-'Interest Rate'!$B$17))</f>
        <v>0</v>
      </c>
      <c r="BU16" s="658">
        <f>IF(BU$6&gt;$L16,0,BT16*(1-'Interest Rate'!$B$17))</f>
        <v>0</v>
      </c>
      <c r="BV16" s="658">
        <f>IF(BV$6&gt;$L16,0,BU16*(1-'Interest Rate'!$B$17))</f>
        <v>0</v>
      </c>
      <c r="BW16" s="658">
        <f>IF(BW$6&gt;$L16,0,BV16*(1-'Interest Rate'!$B$17))</f>
        <v>0</v>
      </c>
      <c r="BX16" s="658">
        <f>IF(BX$6&gt;$L16,0,BW16*(1-'Interest Rate'!$B$17))</f>
        <v>0</v>
      </c>
      <c r="BY16" s="658">
        <f>IF(BY$6&gt;$L16,0,BX16*(1-'Interest Rate'!$B$17))</f>
        <v>0</v>
      </c>
      <c r="BZ16" s="658">
        <f>IF(BZ$6&gt;$L16,0,BY16*(1-'Interest Rate'!$B$17))</f>
        <v>0</v>
      </c>
      <c r="CA16" s="658">
        <f>IF(CA$6&gt;$L16,0,BZ16*(1-'Interest Rate'!$B$17))</f>
        <v>0</v>
      </c>
      <c r="CB16" s="658">
        <f>IF(CB$6&gt;$L16,0,CA16*(1-'Interest Rate'!$B$17))</f>
        <v>0</v>
      </c>
      <c r="CC16" s="658">
        <f>IF(CC$6&gt;$L16,0,CB16*(1-'Interest Rate'!$B$17))</f>
        <v>0</v>
      </c>
      <c r="CD16" s="658">
        <f>IF(CD$6&gt;$L16,0,CC16*(1-'Interest Rate'!$B$17))</f>
        <v>0</v>
      </c>
      <c r="CE16" s="658">
        <f>IF(CE$6&gt;$L16,0,CD16*(1-'Interest Rate'!$B$17))</f>
        <v>0</v>
      </c>
      <c r="CF16" s="658">
        <f>IF(CF$6&gt;$L16,0,CE16*(1-'Interest Rate'!$B$17))</f>
        <v>0</v>
      </c>
      <c r="CG16" s="658">
        <f>IF(CG$6&gt;$L16,0,CF16*(1-'Interest Rate'!$B$17))</f>
        <v>0</v>
      </c>
      <c r="CH16" s="658">
        <f>IF(CH$6&gt;$L16,0,CG16*(1-'Interest Rate'!$B$17))</f>
        <v>0</v>
      </c>
      <c r="CI16" s="658">
        <f>IF(CI$6&gt;$L16,0,CH16*(1-'Interest Rate'!$B$17))</f>
        <v>0</v>
      </c>
      <c r="CJ16" s="658">
        <f>IF(CJ$6&gt;$L16,0,CI16*(1-'Interest Rate'!$B$17))</f>
        <v>0</v>
      </c>
      <c r="CK16" s="658">
        <f>IF(CK$6&gt;$L16,0,CJ16*(1-'Interest Rate'!$B$17))</f>
        <v>0</v>
      </c>
      <c r="CL16" s="658">
        <f>IF(CL$6&gt;$L16,0,CK16*(1-'Interest Rate'!$B$17))</f>
        <v>0</v>
      </c>
      <c r="CM16" s="658">
        <f>IF(CM$6&gt;$L16,0,CL16*(1-'Interest Rate'!$B$17))</f>
        <v>0</v>
      </c>
      <c r="CN16" s="658">
        <f>IF(CN$6&gt;$L16,0,CM16*(1-'Interest Rate'!$B$17))</f>
        <v>0</v>
      </c>
      <c r="CO16" s="658">
        <f>IF(CO$6&gt;$L16,0,CN16*(1-'Interest Rate'!$B$17))</f>
        <v>0</v>
      </c>
      <c r="CP16" s="658">
        <f>IF(CP$6&gt;$L16,0,CO16*(1-'Interest Rate'!$B$17))</f>
        <v>0</v>
      </c>
      <c r="CQ16" s="658">
        <f>IF(CQ$6&gt;$L16,0,CP16*(1-'Interest Rate'!$B$17))</f>
        <v>0</v>
      </c>
      <c r="CR16" s="658">
        <f>IF(CR$6&gt;$L16,0,CQ16*(1-'Interest Rate'!$B$17))</f>
        <v>0</v>
      </c>
      <c r="CS16" s="658">
        <f>IF(CS$6&gt;$L16,0,CR16*(1-'Interest Rate'!$B$17))</f>
        <v>0</v>
      </c>
      <c r="CT16" s="658">
        <f>IF(CT$6&gt;$L16,0,CS16*(1-'Interest Rate'!$B$17))</f>
        <v>0</v>
      </c>
      <c r="CU16" s="658">
        <f>IF(CU$6&gt;$L16,0,CT16*(1-'Interest Rate'!$B$17))</f>
        <v>0</v>
      </c>
      <c r="CV16" s="658">
        <f>IF(CV$6&gt;$L16,0,CU16*(1-'Interest Rate'!$B$17))</f>
        <v>0</v>
      </c>
      <c r="CW16" s="658">
        <f>IF(CW$6&gt;$L16,0,CV16*(1-'Interest Rate'!$B$17))</f>
        <v>0</v>
      </c>
      <c r="CX16" s="658">
        <f>IF(CX$6&gt;$L16,0,CW16*(1-'Interest Rate'!$B$17))</f>
        <v>0</v>
      </c>
      <c r="CY16" s="658">
        <f>IF(CY$6&gt;$L16,0,CX16*(1-'Interest Rate'!$B$17))</f>
        <v>0</v>
      </c>
      <c r="CZ16" s="658">
        <f>IF(CZ$6&gt;$L16,0,CY16*(1-'Interest Rate'!$B$17))</f>
        <v>0</v>
      </c>
      <c r="DA16" s="658">
        <f>IF(DA$6&gt;$L16,0,CZ16*(1-'Interest Rate'!$B$17))</f>
        <v>0</v>
      </c>
      <c r="DB16" s="658">
        <f>IF(DB$6&gt;$L16,0,DA16*(1-'Interest Rate'!$B$17))</f>
        <v>0</v>
      </c>
      <c r="DC16" s="658">
        <f>IF(DC$6&gt;$L16,0,DB16*(1-'Interest Rate'!$B$17))</f>
        <v>0</v>
      </c>
      <c r="DD16" s="658">
        <f>IF(DD$6&gt;$L16,0,DC16*(1-'Interest Rate'!$B$17))</f>
        <v>0</v>
      </c>
      <c r="DE16" s="658">
        <f>IF(DE$6&gt;$L16,0,DD16*(1-'Interest Rate'!$B$17))</f>
        <v>0</v>
      </c>
      <c r="DF16" s="658">
        <f>IF(DF$6&gt;$L16,0,DE16*(1-'Interest Rate'!$B$17))</f>
        <v>0</v>
      </c>
      <c r="DG16" s="658">
        <f>IF(DG$6&gt;$L16,0,DF16*(1-'Interest Rate'!$B$17))</f>
        <v>0</v>
      </c>
      <c r="DH16" s="658">
        <f>IF(DH$6&gt;$L16,0,DG16*(1-'Interest Rate'!$B$17))</f>
        <v>0</v>
      </c>
      <c r="DI16" s="658">
        <f>IF(DI$6&gt;$L16,0,DH16*(1-'Interest Rate'!$B$17))</f>
        <v>0</v>
      </c>
      <c r="DJ16" s="658">
        <f>IF(DJ$6&gt;$L16,0,DI16*(1-'Interest Rate'!$B$17))</f>
        <v>0</v>
      </c>
      <c r="DK16" s="658">
        <f>IF(DK$6&gt;$L16,0,DJ16*(1-'Interest Rate'!$B$17))</f>
        <v>0</v>
      </c>
      <c r="DL16" s="658">
        <f>IF(DL$6&gt;$L16,0,DK16*(1-'Interest Rate'!$B$17))</f>
        <v>0</v>
      </c>
      <c r="DM16" s="658">
        <f>IF(DM$6&gt;$L16,0,DL16*(1-'Interest Rate'!$B$17))</f>
        <v>0</v>
      </c>
      <c r="DN16" s="658">
        <f>IF(DN$6&gt;$L16,0,DM16*(1-'Interest Rate'!$B$17))</f>
        <v>0</v>
      </c>
      <c r="DO16" s="658">
        <f>IF(DO$6&gt;$L16,0,DN16*(1-'Interest Rate'!$B$17))</f>
        <v>0</v>
      </c>
      <c r="DP16" s="658">
        <f>IF(DP$6&gt;$L16,0,DO16*(1-'Interest Rate'!$B$17))</f>
        <v>0</v>
      </c>
      <c r="DQ16" s="658">
        <f>IF(DQ$6&gt;$L16,0,DP16*(1-'Interest Rate'!$B$17))</f>
        <v>0</v>
      </c>
      <c r="DR16" s="658">
        <f>IF(DR$6&gt;$L16,0,DQ16*(1-'Interest Rate'!$B$17))</f>
        <v>0</v>
      </c>
    </row>
    <row r="17" spans="1:122" ht="33" customHeight="1" x14ac:dyDescent="0.3">
      <c r="A17" s="647" t="str">
        <f>'EEM Data Entry'!A95</f>
        <v/>
      </c>
      <c r="B17" s="670" t="str">
        <f>'EEM Data Entry'!B95</f>
        <v/>
      </c>
      <c r="C17" s="649" t="str">
        <f>'EEM Data Entry'!F95</f>
        <v/>
      </c>
      <c r="D17" s="649">
        <v>0</v>
      </c>
      <c r="E17" s="649" t="e">
        <f t="shared" si="6"/>
        <v>#VALUE!</v>
      </c>
      <c r="F17" s="650">
        <f>('Cascading Savings'!D16*'Cascading Savings'!D$4)+('Cascading Savings'!F16*'Cascading Savings'!F$4)+('Cascading Savings'!H16*'Cascading Savings'!H$4)+('Cascading Savings'!J16*'Cascading Savings'!J$4)+('Cascading Savings'!L16*'Cascading Savings'!L$4)+('Cascading Savings'!N16*'Cascading Savings'!N$4)+('Cascading Savings'!P16*'Cascading Savings'!P$4)+('Cascading Savings'!R16*'Cascading Savings'!R$4)</f>
        <v>0</v>
      </c>
      <c r="G17" s="651">
        <f>'Cascading Savings'!T16</f>
        <v>0</v>
      </c>
      <c r="H17" s="652" t="e">
        <f t="shared" si="4"/>
        <v>#VALUE!</v>
      </c>
      <c r="I17" s="653" t="e">
        <f t="shared" si="7"/>
        <v>#VALUE!</v>
      </c>
      <c r="J17" s="654" t="e">
        <f t="shared" si="0"/>
        <v>#NUM!</v>
      </c>
      <c r="K17" s="655" t="e">
        <f>PV('Interest Rate'!$B$17,Table112[[#This Row],[Lifetime]],-Table112[[#This Row],[ANNUAL ENERGY COST SAVINGS]],Table112[[#This Row],[END-OF-LIFE]],0)-Table112[[#This Row],[CAPITAL INVESTMENT]]</f>
        <v>#VALUE!</v>
      </c>
      <c r="L17" s="653" t="str">
        <f>'EEM Data Entry'!C95</f>
        <v/>
      </c>
      <c r="M17" s="656" t="e">
        <f>Table112[[#This Row],[ANNUAL ENERGY COST SAVINGS]]/Table112[[#This Row],[CAPITAL INVESTMENT]]</f>
        <v>#VALUE!</v>
      </c>
      <c r="N17" s="794">
        <f>IF(ISNUMBER(Table112[[#This Row],[NPV]])=TRUE,Table112[[#This Row],[NPV]],0)</f>
        <v>0</v>
      </c>
      <c r="O17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17" s="568" t="str">
        <f>Table112[[#This Row],[Lifetime]]</f>
        <v/>
      </c>
      <c r="V17" s="657" t="str">
        <f t="shared" si="2"/>
        <v/>
      </c>
      <c r="W17" s="658">
        <f t="shared" si="1"/>
        <v>0</v>
      </c>
      <c r="X17" s="658">
        <f>IF(X$6&gt;$L17,0,W17*(1-'Interest Rate'!$B$17))</f>
        <v>0</v>
      </c>
      <c r="Y17" s="658">
        <f>IF(Y$6&gt;$L17,0,X17*(1-'Interest Rate'!$B$17))</f>
        <v>0</v>
      </c>
      <c r="Z17" s="658">
        <f>IF(Z$6&gt;$L17,0,Y17*(1-'Interest Rate'!$B$17))</f>
        <v>0</v>
      </c>
      <c r="AA17" s="658">
        <f>IF(AA$6&gt;$L17,0,Z17*(1-'Interest Rate'!$B$17))</f>
        <v>0</v>
      </c>
      <c r="AB17" s="658">
        <f>IF(AB$6&gt;$L17,0,AA17*(1-'Interest Rate'!$B$17))</f>
        <v>0</v>
      </c>
      <c r="AC17" s="658">
        <f>IF(AC$6&gt;$L17,0,AB17*(1-'Interest Rate'!$B$17))</f>
        <v>0</v>
      </c>
      <c r="AD17" s="658">
        <f>IF(AD$6&gt;$L17,0,AC17*(1-'Interest Rate'!$B$17))</f>
        <v>0</v>
      </c>
      <c r="AE17" s="658">
        <f>IF(AE$6&gt;$L17,0,AD17*(1-'Interest Rate'!$B$17))</f>
        <v>0</v>
      </c>
      <c r="AF17" s="658">
        <f>IF(AF$6&gt;$L17,0,AE17*(1-'Interest Rate'!$B$17))</f>
        <v>0</v>
      </c>
      <c r="AG17" s="658">
        <f>IF(AG$6&gt;$L17,0,AF17*(1-'Interest Rate'!$B$17))</f>
        <v>0</v>
      </c>
      <c r="AH17" s="658">
        <f>IF(AH$6&gt;$L17,0,AG17*(1-'Interest Rate'!$B$17))</f>
        <v>0</v>
      </c>
      <c r="AI17" s="658">
        <f>IF(AI$6&gt;$L17,0,AH17*(1-'Interest Rate'!$B$17))</f>
        <v>0</v>
      </c>
      <c r="AJ17" s="658">
        <f>IF(AJ$6&gt;$L17,0,AI17*(1-'Interest Rate'!$B$17))</f>
        <v>0</v>
      </c>
      <c r="AK17" s="658">
        <f>IF(AK$6&gt;$L17,0,AJ17*(1-'Interest Rate'!$B$17))</f>
        <v>0</v>
      </c>
      <c r="AL17" s="658">
        <f>IF(AL$6&gt;$L17,0,AK17*(1-'Interest Rate'!$B$17))</f>
        <v>0</v>
      </c>
      <c r="AM17" s="658">
        <f>IF(AM$6&gt;$L17,0,AL17*(1-'Interest Rate'!$B$17))</f>
        <v>0</v>
      </c>
      <c r="AN17" s="658">
        <f>IF(AN$6&gt;$L17,0,AM17*(1-'Interest Rate'!$B$17))</f>
        <v>0</v>
      </c>
      <c r="AO17" s="658">
        <f>IF(AO$6&gt;$L17,0,AN17*(1-'Interest Rate'!$B$17))</f>
        <v>0</v>
      </c>
      <c r="AP17" s="658">
        <f>IF(AP$6&gt;$L17,0,AO17*(1-'Interest Rate'!$B$17))</f>
        <v>0</v>
      </c>
      <c r="AQ17" s="658">
        <f>IF(AQ$6&gt;$L17,0,AP17*(1-'Interest Rate'!$B$17))</f>
        <v>0</v>
      </c>
      <c r="AR17" s="658">
        <f>IF(AR$6&gt;$L17,0,AQ17*(1-'Interest Rate'!$B$17))</f>
        <v>0</v>
      </c>
      <c r="AS17" s="658">
        <f>IF(AS$6&gt;$L17,0,AR17*(1-'Interest Rate'!$B$17))</f>
        <v>0</v>
      </c>
      <c r="AT17" s="658">
        <f>IF(AT$6&gt;$L17,0,AS17*(1-'Interest Rate'!$B$17))</f>
        <v>0</v>
      </c>
      <c r="AU17" s="658">
        <f>IF(AU$6&gt;$L17,0,AT17*(1-'Interest Rate'!$B$17))</f>
        <v>0</v>
      </c>
      <c r="AV17" s="658">
        <f>IF(AV$6&gt;$L17,0,AU17*(1-'Interest Rate'!$B$17))</f>
        <v>0</v>
      </c>
      <c r="AW17" s="658">
        <f>IF(AW$6&gt;$L17,0,AV17*(1-'Interest Rate'!$B$17))</f>
        <v>0</v>
      </c>
      <c r="AX17" s="658">
        <f>IF(AX$6&gt;$L17,0,AW17*(1-'Interest Rate'!$B$17))</f>
        <v>0</v>
      </c>
      <c r="AY17" s="658">
        <f>IF(AY$6&gt;$L17,0,AX17*(1-'Interest Rate'!$B$17))</f>
        <v>0</v>
      </c>
      <c r="AZ17" s="658">
        <f>IF(AZ$6&gt;$L17,0,AY17*(1-'Interest Rate'!$B$17))</f>
        <v>0</v>
      </c>
      <c r="BA17" s="658">
        <f>IF(BA$6&gt;$L17,0,AZ17*(1-'Interest Rate'!$B$17))</f>
        <v>0</v>
      </c>
      <c r="BB17" s="658">
        <f>IF(BB$6&gt;$L17,0,BA17*(1-'Interest Rate'!$B$17))</f>
        <v>0</v>
      </c>
      <c r="BC17" s="658">
        <f>IF(BC$6&gt;$L17,0,BB17*(1-'Interest Rate'!$B$17))</f>
        <v>0</v>
      </c>
      <c r="BD17" s="658">
        <f>IF(BD$6&gt;$L17,0,BC17*(1-'Interest Rate'!$B$17))</f>
        <v>0</v>
      </c>
      <c r="BE17" s="658">
        <f>IF(BE$6&gt;$L17,0,BD17*(1-'Interest Rate'!$B$17))</f>
        <v>0</v>
      </c>
      <c r="BF17" s="658">
        <f>IF(BF$6&gt;$L17,0,BE17*(1-'Interest Rate'!$B$17))</f>
        <v>0</v>
      </c>
      <c r="BG17" s="658">
        <f>IF(BG$6&gt;$L17,0,BF17*(1-'Interest Rate'!$B$17))</f>
        <v>0</v>
      </c>
      <c r="BH17" s="658">
        <f>IF(BH$6&gt;$L17,0,BG17*(1-'Interest Rate'!$B$17))</f>
        <v>0</v>
      </c>
      <c r="BI17" s="658">
        <f>IF(BI$6&gt;$L17,0,BH17*(1-'Interest Rate'!$B$17))</f>
        <v>0</v>
      </c>
      <c r="BJ17" s="658">
        <f>IF(BJ$6&gt;$L17,0,BI17*(1-'Interest Rate'!$B$17))</f>
        <v>0</v>
      </c>
      <c r="BK17" s="658">
        <f>IF(BK$6&gt;$L17,0,BJ17*(1-'Interest Rate'!$B$17))</f>
        <v>0</v>
      </c>
      <c r="BL17" s="658">
        <f>IF(BL$6&gt;$L17,0,BK17*(1-'Interest Rate'!$B$17))</f>
        <v>0</v>
      </c>
      <c r="BM17" s="658">
        <f>IF(BM$6&gt;$L17,0,BL17*(1-'Interest Rate'!$B$17))</f>
        <v>0</v>
      </c>
      <c r="BN17" s="658">
        <f>IF(BN$6&gt;$L17,0,BM17*(1-'Interest Rate'!$B$17))</f>
        <v>0</v>
      </c>
      <c r="BO17" s="658">
        <f>IF(BO$6&gt;$L17,0,BN17*(1-'Interest Rate'!$B$17))</f>
        <v>0</v>
      </c>
      <c r="BP17" s="658">
        <f>IF(BP$6&gt;$L17,0,BO17*(1-'Interest Rate'!$B$17))</f>
        <v>0</v>
      </c>
      <c r="BQ17" s="658">
        <f>IF(BQ$6&gt;$L17,0,BP17*(1-'Interest Rate'!$B$17))</f>
        <v>0</v>
      </c>
      <c r="BR17" s="658">
        <f>IF(BR$6&gt;$L17,0,BQ17*(1-'Interest Rate'!$B$17))</f>
        <v>0</v>
      </c>
      <c r="BS17" s="658">
        <f>IF(BS$6&gt;$L17,0,BR17*(1-'Interest Rate'!$B$17))</f>
        <v>0</v>
      </c>
      <c r="BT17" s="658">
        <f>IF(BT$6&gt;$L17,0,BS17*(1-'Interest Rate'!$B$17))</f>
        <v>0</v>
      </c>
      <c r="BU17" s="658">
        <f>IF(BU$6&gt;$L17,0,BT17*(1-'Interest Rate'!$B$17))</f>
        <v>0</v>
      </c>
      <c r="BV17" s="658">
        <f>IF(BV$6&gt;$L17,0,BU17*(1-'Interest Rate'!$B$17))</f>
        <v>0</v>
      </c>
      <c r="BW17" s="658">
        <f>IF(BW$6&gt;$L17,0,BV17*(1-'Interest Rate'!$B$17))</f>
        <v>0</v>
      </c>
      <c r="BX17" s="658">
        <f>IF(BX$6&gt;$L17,0,BW17*(1-'Interest Rate'!$B$17))</f>
        <v>0</v>
      </c>
      <c r="BY17" s="658">
        <f>IF(BY$6&gt;$L17,0,BX17*(1-'Interest Rate'!$B$17))</f>
        <v>0</v>
      </c>
      <c r="BZ17" s="658">
        <f>IF(BZ$6&gt;$L17,0,BY17*(1-'Interest Rate'!$B$17))</f>
        <v>0</v>
      </c>
      <c r="CA17" s="658">
        <f>IF(CA$6&gt;$L17,0,BZ17*(1-'Interest Rate'!$B$17))</f>
        <v>0</v>
      </c>
      <c r="CB17" s="658">
        <f>IF(CB$6&gt;$L17,0,CA17*(1-'Interest Rate'!$B$17))</f>
        <v>0</v>
      </c>
      <c r="CC17" s="658">
        <f>IF(CC$6&gt;$L17,0,CB17*(1-'Interest Rate'!$B$17))</f>
        <v>0</v>
      </c>
      <c r="CD17" s="658">
        <f>IF(CD$6&gt;$L17,0,CC17*(1-'Interest Rate'!$B$17))</f>
        <v>0</v>
      </c>
      <c r="CE17" s="658">
        <f>IF(CE$6&gt;$L17,0,CD17*(1-'Interest Rate'!$B$17))</f>
        <v>0</v>
      </c>
      <c r="CF17" s="658">
        <f>IF(CF$6&gt;$L17,0,CE17*(1-'Interest Rate'!$B$17))</f>
        <v>0</v>
      </c>
      <c r="CG17" s="658">
        <f>IF(CG$6&gt;$L17,0,CF17*(1-'Interest Rate'!$B$17))</f>
        <v>0</v>
      </c>
      <c r="CH17" s="658">
        <f>IF(CH$6&gt;$L17,0,CG17*(1-'Interest Rate'!$B$17))</f>
        <v>0</v>
      </c>
      <c r="CI17" s="658">
        <f>IF(CI$6&gt;$L17,0,CH17*(1-'Interest Rate'!$B$17))</f>
        <v>0</v>
      </c>
      <c r="CJ17" s="658">
        <f>IF(CJ$6&gt;$L17,0,CI17*(1-'Interest Rate'!$B$17))</f>
        <v>0</v>
      </c>
      <c r="CK17" s="658">
        <f>IF(CK$6&gt;$L17,0,CJ17*(1-'Interest Rate'!$B$17))</f>
        <v>0</v>
      </c>
      <c r="CL17" s="658">
        <f>IF(CL$6&gt;$L17,0,CK17*(1-'Interest Rate'!$B$17))</f>
        <v>0</v>
      </c>
      <c r="CM17" s="658">
        <f>IF(CM$6&gt;$L17,0,CL17*(1-'Interest Rate'!$B$17))</f>
        <v>0</v>
      </c>
      <c r="CN17" s="658">
        <f>IF(CN$6&gt;$L17,0,CM17*(1-'Interest Rate'!$B$17))</f>
        <v>0</v>
      </c>
      <c r="CO17" s="658">
        <f>IF(CO$6&gt;$L17,0,CN17*(1-'Interest Rate'!$B$17))</f>
        <v>0</v>
      </c>
      <c r="CP17" s="658">
        <f>IF(CP$6&gt;$L17,0,CO17*(1-'Interest Rate'!$B$17))</f>
        <v>0</v>
      </c>
      <c r="CQ17" s="658">
        <f>IF(CQ$6&gt;$L17,0,CP17*(1-'Interest Rate'!$B$17))</f>
        <v>0</v>
      </c>
      <c r="CR17" s="658">
        <f>IF(CR$6&gt;$L17,0,CQ17*(1-'Interest Rate'!$B$17))</f>
        <v>0</v>
      </c>
      <c r="CS17" s="658">
        <f>IF(CS$6&gt;$L17,0,CR17*(1-'Interest Rate'!$B$17))</f>
        <v>0</v>
      </c>
      <c r="CT17" s="658">
        <f>IF(CT$6&gt;$L17,0,CS17*(1-'Interest Rate'!$B$17))</f>
        <v>0</v>
      </c>
      <c r="CU17" s="658">
        <f>IF(CU$6&gt;$L17,0,CT17*(1-'Interest Rate'!$B$17))</f>
        <v>0</v>
      </c>
      <c r="CV17" s="658">
        <f>IF(CV$6&gt;$L17,0,CU17*(1-'Interest Rate'!$B$17))</f>
        <v>0</v>
      </c>
      <c r="CW17" s="658">
        <f>IF(CW$6&gt;$L17,0,CV17*(1-'Interest Rate'!$B$17))</f>
        <v>0</v>
      </c>
      <c r="CX17" s="658">
        <f>IF(CX$6&gt;$L17,0,CW17*(1-'Interest Rate'!$B$17))</f>
        <v>0</v>
      </c>
      <c r="CY17" s="658">
        <f>IF(CY$6&gt;$L17,0,CX17*(1-'Interest Rate'!$B$17))</f>
        <v>0</v>
      </c>
      <c r="CZ17" s="658">
        <f>IF(CZ$6&gt;$L17,0,CY17*(1-'Interest Rate'!$B$17))</f>
        <v>0</v>
      </c>
      <c r="DA17" s="658">
        <f>IF(DA$6&gt;$L17,0,CZ17*(1-'Interest Rate'!$B$17))</f>
        <v>0</v>
      </c>
      <c r="DB17" s="658">
        <f>IF(DB$6&gt;$L17,0,DA17*(1-'Interest Rate'!$B$17))</f>
        <v>0</v>
      </c>
      <c r="DC17" s="658">
        <f>IF(DC$6&gt;$L17,0,DB17*(1-'Interest Rate'!$B$17))</f>
        <v>0</v>
      </c>
      <c r="DD17" s="658">
        <f>IF(DD$6&gt;$L17,0,DC17*(1-'Interest Rate'!$B$17))</f>
        <v>0</v>
      </c>
      <c r="DE17" s="658">
        <f>IF(DE$6&gt;$L17,0,DD17*(1-'Interest Rate'!$B$17))</f>
        <v>0</v>
      </c>
      <c r="DF17" s="658">
        <f>IF(DF$6&gt;$L17,0,DE17*(1-'Interest Rate'!$B$17))</f>
        <v>0</v>
      </c>
      <c r="DG17" s="658">
        <f>IF(DG$6&gt;$L17,0,DF17*(1-'Interest Rate'!$B$17))</f>
        <v>0</v>
      </c>
      <c r="DH17" s="658">
        <f>IF(DH$6&gt;$L17,0,DG17*(1-'Interest Rate'!$B$17))</f>
        <v>0</v>
      </c>
      <c r="DI17" s="658">
        <f>IF(DI$6&gt;$L17,0,DH17*(1-'Interest Rate'!$B$17))</f>
        <v>0</v>
      </c>
      <c r="DJ17" s="658">
        <f>IF(DJ$6&gt;$L17,0,DI17*(1-'Interest Rate'!$B$17))</f>
        <v>0</v>
      </c>
      <c r="DK17" s="658">
        <f>IF(DK$6&gt;$L17,0,DJ17*(1-'Interest Rate'!$B$17))</f>
        <v>0</v>
      </c>
      <c r="DL17" s="658">
        <f>IF(DL$6&gt;$L17,0,DK17*(1-'Interest Rate'!$B$17))</f>
        <v>0</v>
      </c>
      <c r="DM17" s="658">
        <f>IF(DM$6&gt;$L17,0,DL17*(1-'Interest Rate'!$B$17))</f>
        <v>0</v>
      </c>
      <c r="DN17" s="658">
        <f>IF(DN$6&gt;$L17,0,DM17*(1-'Interest Rate'!$B$17))</f>
        <v>0</v>
      </c>
      <c r="DO17" s="658">
        <f>IF(DO$6&gt;$L17,0,DN17*(1-'Interest Rate'!$B$17))</f>
        <v>0</v>
      </c>
      <c r="DP17" s="658">
        <f>IF(DP$6&gt;$L17,0,DO17*(1-'Interest Rate'!$B$17))</f>
        <v>0</v>
      </c>
      <c r="DQ17" s="658">
        <f>IF(DQ$6&gt;$L17,0,DP17*(1-'Interest Rate'!$B$17))</f>
        <v>0</v>
      </c>
      <c r="DR17" s="658">
        <f>IF(DR$6&gt;$L17,0,DQ17*(1-'Interest Rate'!$B$17))</f>
        <v>0</v>
      </c>
    </row>
    <row r="18" spans="1:122" ht="33" customHeight="1" x14ac:dyDescent="0.3">
      <c r="A18" s="675" t="str">
        <f>'EEM Data Entry'!A96</f>
        <v/>
      </c>
      <c r="B18" s="660" t="str">
        <f>'EEM Data Entry'!B96</f>
        <v/>
      </c>
      <c r="C18" s="661" t="str">
        <f>'EEM Data Entry'!F96</f>
        <v/>
      </c>
      <c r="D18" s="661">
        <v>0</v>
      </c>
      <c r="E18" s="661" t="e">
        <f t="shared" si="6"/>
        <v>#VALUE!</v>
      </c>
      <c r="F18" s="662">
        <f>('Cascading Savings'!D17*'Cascading Savings'!D$4)+('Cascading Savings'!F17*'Cascading Savings'!F$4)+('Cascading Savings'!H17*'Cascading Savings'!H$4)+('Cascading Savings'!J17*'Cascading Savings'!J$4)+('Cascading Savings'!L17*'Cascading Savings'!L$4)+('Cascading Savings'!N17*'Cascading Savings'!N$4)+('Cascading Savings'!P17*'Cascading Savings'!P$4)+('Cascading Savings'!R17*'Cascading Savings'!R$4)</f>
        <v>0</v>
      </c>
      <c r="G18" s="663">
        <f>'Cascading Savings'!T17</f>
        <v>0</v>
      </c>
      <c r="H18" s="664" t="e">
        <f t="shared" si="4"/>
        <v>#VALUE!</v>
      </c>
      <c r="I18" s="665" t="e">
        <f t="shared" si="7"/>
        <v>#VALUE!</v>
      </c>
      <c r="J18" s="666" t="e">
        <f t="shared" si="0"/>
        <v>#NUM!</v>
      </c>
      <c r="K18" s="667" t="e">
        <f>PV('Interest Rate'!$B$17,Table112[[#This Row],[Lifetime]],-Table112[[#This Row],[ANNUAL ENERGY COST SAVINGS]],Table112[[#This Row],[END-OF-LIFE]],0)-Table112[[#This Row],[CAPITAL INVESTMENT]]</f>
        <v>#VALUE!</v>
      </c>
      <c r="L18" s="665" t="str">
        <f>'EEM Data Entry'!C96</f>
        <v/>
      </c>
      <c r="M18" s="676" t="e">
        <f>Table112[[#This Row],[ANNUAL ENERGY COST SAVINGS]]/Table112[[#This Row],[CAPITAL INVESTMENT]]</f>
        <v>#VALUE!</v>
      </c>
      <c r="N18" s="794">
        <f>IF(ISNUMBER(Table112[[#This Row],[NPV]])=TRUE,Table112[[#This Row],[NPV]],0)</f>
        <v>0</v>
      </c>
      <c r="O18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18" s="568" t="str">
        <f>Table112[[#This Row],[Lifetime]]</f>
        <v/>
      </c>
      <c r="V18" s="657" t="str">
        <f t="shared" si="2"/>
        <v/>
      </c>
      <c r="W18" s="658">
        <f t="shared" si="1"/>
        <v>0</v>
      </c>
      <c r="X18" s="658">
        <f>IF(X$6&gt;$L18,0,W18*(1-'Interest Rate'!$B$17))</f>
        <v>0</v>
      </c>
      <c r="Y18" s="658">
        <f>IF(Y$6&gt;$L18,0,X18*(1-'Interest Rate'!$B$17))</f>
        <v>0</v>
      </c>
      <c r="Z18" s="658">
        <f>IF(Z$6&gt;$L18,0,Y18*(1-'Interest Rate'!$B$17))</f>
        <v>0</v>
      </c>
      <c r="AA18" s="658">
        <f>IF(AA$6&gt;$L18,0,Z18*(1-'Interest Rate'!$B$17))</f>
        <v>0</v>
      </c>
      <c r="AB18" s="658">
        <f>IF(AB$6&gt;$L18,0,AA18*(1-'Interest Rate'!$B$17))</f>
        <v>0</v>
      </c>
      <c r="AC18" s="658">
        <f>IF(AC$6&gt;$L18,0,AB18*(1-'Interest Rate'!$B$17))</f>
        <v>0</v>
      </c>
      <c r="AD18" s="658">
        <f>IF(AD$6&gt;$L18,0,AC18*(1-'Interest Rate'!$B$17))</f>
        <v>0</v>
      </c>
      <c r="AE18" s="658">
        <f>IF(AE$6&gt;$L18,0,AD18*(1-'Interest Rate'!$B$17))</f>
        <v>0</v>
      </c>
      <c r="AF18" s="658">
        <f>IF(AF$6&gt;$L18,0,AE18*(1-'Interest Rate'!$B$17))</f>
        <v>0</v>
      </c>
      <c r="AG18" s="658">
        <f>IF(AG$6&gt;$L18,0,AF18*(1-'Interest Rate'!$B$17))</f>
        <v>0</v>
      </c>
      <c r="AH18" s="658">
        <f>IF(AH$6&gt;$L18,0,AG18*(1-'Interest Rate'!$B$17))</f>
        <v>0</v>
      </c>
      <c r="AI18" s="658">
        <f>IF(AI$6&gt;$L18,0,AH18*(1-'Interest Rate'!$B$17))</f>
        <v>0</v>
      </c>
      <c r="AJ18" s="658">
        <f>IF(AJ$6&gt;$L18,0,AI18*(1-'Interest Rate'!$B$17))</f>
        <v>0</v>
      </c>
      <c r="AK18" s="658">
        <f>IF(AK$6&gt;$L18,0,AJ18*(1-'Interest Rate'!$B$17))</f>
        <v>0</v>
      </c>
      <c r="AL18" s="658">
        <f>IF(AL$6&gt;$L18,0,AK18*(1-'Interest Rate'!$B$17))</f>
        <v>0</v>
      </c>
      <c r="AM18" s="658">
        <f>IF(AM$6&gt;$L18,0,AL18*(1-'Interest Rate'!$B$17))</f>
        <v>0</v>
      </c>
      <c r="AN18" s="658">
        <f>IF(AN$6&gt;$L18,0,AM18*(1-'Interest Rate'!$B$17))</f>
        <v>0</v>
      </c>
      <c r="AO18" s="658">
        <f>IF(AO$6&gt;$L18,0,AN18*(1-'Interest Rate'!$B$17))</f>
        <v>0</v>
      </c>
      <c r="AP18" s="658">
        <f>IF(AP$6&gt;$L18,0,AO18*(1-'Interest Rate'!$B$17))</f>
        <v>0</v>
      </c>
      <c r="AQ18" s="658">
        <f>IF(AQ$6&gt;$L18,0,AP18*(1-'Interest Rate'!$B$17))</f>
        <v>0</v>
      </c>
      <c r="AR18" s="658">
        <f>IF(AR$6&gt;$L18,0,AQ18*(1-'Interest Rate'!$B$17))</f>
        <v>0</v>
      </c>
      <c r="AS18" s="658">
        <f>IF(AS$6&gt;$L18,0,AR18*(1-'Interest Rate'!$B$17))</f>
        <v>0</v>
      </c>
      <c r="AT18" s="658">
        <f>IF(AT$6&gt;$L18,0,AS18*(1-'Interest Rate'!$B$17))</f>
        <v>0</v>
      </c>
      <c r="AU18" s="658">
        <f>IF(AU$6&gt;$L18,0,AT18*(1-'Interest Rate'!$B$17))</f>
        <v>0</v>
      </c>
      <c r="AV18" s="658">
        <f>IF(AV$6&gt;$L18,0,AU18*(1-'Interest Rate'!$B$17))</f>
        <v>0</v>
      </c>
      <c r="AW18" s="658">
        <f>IF(AW$6&gt;$L18,0,AV18*(1-'Interest Rate'!$B$17))</f>
        <v>0</v>
      </c>
      <c r="AX18" s="658">
        <f>IF(AX$6&gt;$L18,0,AW18*(1-'Interest Rate'!$B$17))</f>
        <v>0</v>
      </c>
      <c r="AY18" s="658">
        <f>IF(AY$6&gt;$L18,0,AX18*(1-'Interest Rate'!$B$17))</f>
        <v>0</v>
      </c>
      <c r="AZ18" s="658">
        <f>IF(AZ$6&gt;$L18,0,AY18*(1-'Interest Rate'!$B$17))</f>
        <v>0</v>
      </c>
      <c r="BA18" s="658">
        <f>IF(BA$6&gt;$L18,0,AZ18*(1-'Interest Rate'!$B$17))</f>
        <v>0</v>
      </c>
      <c r="BB18" s="658">
        <f>IF(BB$6&gt;$L18,0,BA18*(1-'Interest Rate'!$B$17))</f>
        <v>0</v>
      </c>
      <c r="BC18" s="658">
        <f>IF(BC$6&gt;$L18,0,BB18*(1-'Interest Rate'!$B$17))</f>
        <v>0</v>
      </c>
      <c r="BD18" s="658">
        <f>IF(BD$6&gt;$L18,0,BC18*(1-'Interest Rate'!$B$17))</f>
        <v>0</v>
      </c>
      <c r="BE18" s="658">
        <f>IF(BE$6&gt;$L18,0,BD18*(1-'Interest Rate'!$B$17))</f>
        <v>0</v>
      </c>
      <c r="BF18" s="658">
        <f>IF(BF$6&gt;$L18,0,BE18*(1-'Interest Rate'!$B$17))</f>
        <v>0</v>
      </c>
      <c r="BG18" s="658">
        <f>IF(BG$6&gt;$L18,0,BF18*(1-'Interest Rate'!$B$17))</f>
        <v>0</v>
      </c>
      <c r="BH18" s="658">
        <f>IF(BH$6&gt;$L18,0,BG18*(1-'Interest Rate'!$B$17))</f>
        <v>0</v>
      </c>
      <c r="BI18" s="658">
        <f>IF(BI$6&gt;$L18,0,BH18*(1-'Interest Rate'!$B$17))</f>
        <v>0</v>
      </c>
      <c r="BJ18" s="658">
        <f>IF(BJ$6&gt;$L18,0,BI18*(1-'Interest Rate'!$B$17))</f>
        <v>0</v>
      </c>
      <c r="BK18" s="658">
        <f>IF(BK$6&gt;$L18,0,BJ18*(1-'Interest Rate'!$B$17))</f>
        <v>0</v>
      </c>
      <c r="BL18" s="658">
        <f>IF(BL$6&gt;$L18,0,BK18*(1-'Interest Rate'!$B$17))</f>
        <v>0</v>
      </c>
      <c r="BM18" s="658">
        <f>IF(BM$6&gt;$L18,0,BL18*(1-'Interest Rate'!$B$17))</f>
        <v>0</v>
      </c>
      <c r="BN18" s="658">
        <f>IF(BN$6&gt;$L18,0,BM18*(1-'Interest Rate'!$B$17))</f>
        <v>0</v>
      </c>
      <c r="BO18" s="658">
        <f>IF(BO$6&gt;$L18,0,BN18*(1-'Interest Rate'!$B$17))</f>
        <v>0</v>
      </c>
      <c r="BP18" s="658">
        <f>IF(BP$6&gt;$L18,0,BO18*(1-'Interest Rate'!$B$17))</f>
        <v>0</v>
      </c>
      <c r="BQ18" s="658">
        <f>IF(BQ$6&gt;$L18,0,BP18*(1-'Interest Rate'!$B$17))</f>
        <v>0</v>
      </c>
      <c r="BR18" s="658">
        <f>IF(BR$6&gt;$L18,0,BQ18*(1-'Interest Rate'!$B$17))</f>
        <v>0</v>
      </c>
      <c r="BS18" s="658">
        <f>IF(BS$6&gt;$L18,0,BR18*(1-'Interest Rate'!$B$17))</f>
        <v>0</v>
      </c>
      <c r="BT18" s="658">
        <f>IF(BT$6&gt;$L18,0,BS18*(1-'Interest Rate'!$B$17))</f>
        <v>0</v>
      </c>
      <c r="BU18" s="658">
        <f>IF(BU$6&gt;$L18,0,BT18*(1-'Interest Rate'!$B$17))</f>
        <v>0</v>
      </c>
      <c r="BV18" s="658">
        <f>IF(BV$6&gt;$L18,0,BU18*(1-'Interest Rate'!$B$17))</f>
        <v>0</v>
      </c>
      <c r="BW18" s="658">
        <f>IF(BW$6&gt;$L18,0,BV18*(1-'Interest Rate'!$B$17))</f>
        <v>0</v>
      </c>
      <c r="BX18" s="658">
        <f>IF(BX$6&gt;$L18,0,BW18*(1-'Interest Rate'!$B$17))</f>
        <v>0</v>
      </c>
      <c r="BY18" s="658">
        <f>IF(BY$6&gt;$L18,0,BX18*(1-'Interest Rate'!$B$17))</f>
        <v>0</v>
      </c>
      <c r="BZ18" s="658">
        <f>IF(BZ$6&gt;$L18,0,BY18*(1-'Interest Rate'!$B$17))</f>
        <v>0</v>
      </c>
      <c r="CA18" s="658">
        <f>IF(CA$6&gt;$L18,0,BZ18*(1-'Interest Rate'!$B$17))</f>
        <v>0</v>
      </c>
      <c r="CB18" s="658">
        <f>IF(CB$6&gt;$L18,0,CA18*(1-'Interest Rate'!$B$17))</f>
        <v>0</v>
      </c>
      <c r="CC18" s="658">
        <f>IF(CC$6&gt;$L18,0,CB18*(1-'Interest Rate'!$B$17))</f>
        <v>0</v>
      </c>
      <c r="CD18" s="658">
        <f>IF(CD$6&gt;$L18,0,CC18*(1-'Interest Rate'!$B$17))</f>
        <v>0</v>
      </c>
      <c r="CE18" s="658">
        <f>IF(CE$6&gt;$L18,0,CD18*(1-'Interest Rate'!$B$17))</f>
        <v>0</v>
      </c>
      <c r="CF18" s="658">
        <f>IF(CF$6&gt;$L18,0,CE18*(1-'Interest Rate'!$B$17))</f>
        <v>0</v>
      </c>
      <c r="CG18" s="658">
        <f>IF(CG$6&gt;$L18,0,CF18*(1-'Interest Rate'!$B$17))</f>
        <v>0</v>
      </c>
      <c r="CH18" s="658">
        <f>IF(CH$6&gt;$L18,0,CG18*(1-'Interest Rate'!$B$17))</f>
        <v>0</v>
      </c>
      <c r="CI18" s="658">
        <f>IF(CI$6&gt;$L18,0,CH18*(1-'Interest Rate'!$B$17))</f>
        <v>0</v>
      </c>
      <c r="CJ18" s="658">
        <f>IF(CJ$6&gt;$L18,0,CI18*(1-'Interest Rate'!$B$17))</f>
        <v>0</v>
      </c>
      <c r="CK18" s="658">
        <f>IF(CK$6&gt;$L18,0,CJ18*(1-'Interest Rate'!$B$17))</f>
        <v>0</v>
      </c>
      <c r="CL18" s="658">
        <f>IF(CL$6&gt;$L18,0,CK18*(1-'Interest Rate'!$B$17))</f>
        <v>0</v>
      </c>
      <c r="CM18" s="658">
        <f>IF(CM$6&gt;$L18,0,CL18*(1-'Interest Rate'!$B$17))</f>
        <v>0</v>
      </c>
      <c r="CN18" s="658">
        <f>IF(CN$6&gt;$L18,0,CM18*(1-'Interest Rate'!$B$17))</f>
        <v>0</v>
      </c>
      <c r="CO18" s="658">
        <f>IF(CO$6&gt;$L18,0,CN18*(1-'Interest Rate'!$B$17))</f>
        <v>0</v>
      </c>
      <c r="CP18" s="658">
        <f>IF(CP$6&gt;$L18,0,CO18*(1-'Interest Rate'!$B$17))</f>
        <v>0</v>
      </c>
      <c r="CQ18" s="658">
        <f>IF(CQ$6&gt;$L18,0,CP18*(1-'Interest Rate'!$B$17))</f>
        <v>0</v>
      </c>
      <c r="CR18" s="658">
        <f>IF(CR$6&gt;$L18,0,CQ18*(1-'Interest Rate'!$B$17))</f>
        <v>0</v>
      </c>
      <c r="CS18" s="658">
        <f>IF(CS$6&gt;$L18,0,CR18*(1-'Interest Rate'!$B$17))</f>
        <v>0</v>
      </c>
      <c r="CT18" s="658">
        <f>IF(CT$6&gt;$L18,0,CS18*(1-'Interest Rate'!$B$17))</f>
        <v>0</v>
      </c>
      <c r="CU18" s="658">
        <f>IF(CU$6&gt;$L18,0,CT18*(1-'Interest Rate'!$B$17))</f>
        <v>0</v>
      </c>
      <c r="CV18" s="658">
        <f>IF(CV$6&gt;$L18,0,CU18*(1-'Interest Rate'!$B$17))</f>
        <v>0</v>
      </c>
      <c r="CW18" s="658">
        <f>IF(CW$6&gt;$L18,0,CV18*(1-'Interest Rate'!$B$17))</f>
        <v>0</v>
      </c>
      <c r="CX18" s="658">
        <f>IF(CX$6&gt;$L18,0,CW18*(1-'Interest Rate'!$B$17))</f>
        <v>0</v>
      </c>
      <c r="CY18" s="658">
        <f>IF(CY$6&gt;$L18,0,CX18*(1-'Interest Rate'!$B$17))</f>
        <v>0</v>
      </c>
      <c r="CZ18" s="658">
        <f>IF(CZ$6&gt;$L18,0,CY18*(1-'Interest Rate'!$B$17))</f>
        <v>0</v>
      </c>
      <c r="DA18" s="658">
        <f>IF(DA$6&gt;$L18,0,CZ18*(1-'Interest Rate'!$B$17))</f>
        <v>0</v>
      </c>
      <c r="DB18" s="658">
        <f>IF(DB$6&gt;$L18,0,DA18*(1-'Interest Rate'!$B$17))</f>
        <v>0</v>
      </c>
      <c r="DC18" s="658">
        <f>IF(DC$6&gt;$L18,0,DB18*(1-'Interest Rate'!$B$17))</f>
        <v>0</v>
      </c>
      <c r="DD18" s="658">
        <f>IF(DD$6&gt;$L18,0,DC18*(1-'Interest Rate'!$B$17))</f>
        <v>0</v>
      </c>
      <c r="DE18" s="658">
        <f>IF(DE$6&gt;$L18,0,DD18*(1-'Interest Rate'!$B$17))</f>
        <v>0</v>
      </c>
      <c r="DF18" s="658">
        <f>IF(DF$6&gt;$L18,0,DE18*(1-'Interest Rate'!$B$17))</f>
        <v>0</v>
      </c>
      <c r="DG18" s="658">
        <f>IF(DG$6&gt;$L18,0,DF18*(1-'Interest Rate'!$B$17))</f>
        <v>0</v>
      </c>
      <c r="DH18" s="658">
        <f>IF(DH$6&gt;$L18,0,DG18*(1-'Interest Rate'!$B$17))</f>
        <v>0</v>
      </c>
      <c r="DI18" s="658">
        <f>IF(DI$6&gt;$L18,0,DH18*(1-'Interest Rate'!$B$17))</f>
        <v>0</v>
      </c>
      <c r="DJ18" s="658">
        <f>IF(DJ$6&gt;$L18,0,DI18*(1-'Interest Rate'!$B$17))</f>
        <v>0</v>
      </c>
      <c r="DK18" s="658">
        <f>IF(DK$6&gt;$L18,0,DJ18*(1-'Interest Rate'!$B$17))</f>
        <v>0</v>
      </c>
      <c r="DL18" s="658">
        <f>IF(DL$6&gt;$L18,0,DK18*(1-'Interest Rate'!$B$17))</f>
        <v>0</v>
      </c>
      <c r="DM18" s="658">
        <f>IF(DM$6&gt;$L18,0,DL18*(1-'Interest Rate'!$B$17))</f>
        <v>0</v>
      </c>
      <c r="DN18" s="658">
        <f>IF(DN$6&gt;$L18,0,DM18*(1-'Interest Rate'!$B$17))</f>
        <v>0</v>
      </c>
      <c r="DO18" s="658">
        <f>IF(DO$6&gt;$L18,0,DN18*(1-'Interest Rate'!$B$17))</f>
        <v>0</v>
      </c>
      <c r="DP18" s="658">
        <f>IF(DP$6&gt;$L18,0,DO18*(1-'Interest Rate'!$B$17))</f>
        <v>0</v>
      </c>
      <c r="DQ18" s="658">
        <f>IF(DQ$6&gt;$L18,0,DP18*(1-'Interest Rate'!$B$17))</f>
        <v>0</v>
      </c>
      <c r="DR18" s="658">
        <f>IF(DR$6&gt;$L18,0,DQ18*(1-'Interest Rate'!$B$17))</f>
        <v>0</v>
      </c>
    </row>
    <row r="19" spans="1:122" ht="33" customHeight="1" x14ac:dyDescent="0.3">
      <c r="A19" s="647" t="str">
        <f>'EEM Data Entry'!A97</f>
        <v/>
      </c>
      <c r="B19" s="670" t="str">
        <f>'EEM Data Entry'!B97</f>
        <v/>
      </c>
      <c r="C19" s="649" t="str">
        <f>'EEM Data Entry'!F97</f>
        <v/>
      </c>
      <c r="D19" s="649">
        <v>0</v>
      </c>
      <c r="E19" s="649" t="e">
        <f t="shared" si="6"/>
        <v>#VALUE!</v>
      </c>
      <c r="F19" s="650">
        <f>('Cascading Savings'!D18*'Cascading Savings'!D$4)+('Cascading Savings'!F18*'Cascading Savings'!F$4)+('Cascading Savings'!H18*'Cascading Savings'!H$4)+('Cascading Savings'!J18*'Cascading Savings'!J$4)+('Cascading Savings'!L18*'Cascading Savings'!L$4)+('Cascading Savings'!N18*'Cascading Savings'!N$4)+('Cascading Savings'!P18*'Cascading Savings'!P$4)+('Cascading Savings'!R18*'Cascading Savings'!R$4)</f>
        <v>0</v>
      </c>
      <c r="G19" s="651">
        <f>'Cascading Savings'!T18</f>
        <v>0</v>
      </c>
      <c r="H19" s="652" t="e">
        <f t="shared" si="4"/>
        <v>#VALUE!</v>
      </c>
      <c r="I19" s="653" t="e">
        <f t="shared" si="7"/>
        <v>#VALUE!</v>
      </c>
      <c r="J19" s="654" t="e">
        <f t="shared" si="0"/>
        <v>#NUM!</v>
      </c>
      <c r="K19" s="655" t="e">
        <f>PV('Interest Rate'!$B$17,Table112[[#This Row],[Lifetime]],-Table112[[#This Row],[ANNUAL ENERGY COST SAVINGS]],Table112[[#This Row],[END-OF-LIFE]],0)-Table112[[#This Row],[CAPITAL INVESTMENT]]</f>
        <v>#VALUE!</v>
      </c>
      <c r="L19" s="653" t="str">
        <f>'EEM Data Entry'!C97</f>
        <v/>
      </c>
      <c r="M19" s="656" t="e">
        <f>Table112[[#This Row],[ANNUAL ENERGY COST SAVINGS]]/Table112[[#This Row],[CAPITAL INVESTMENT]]</f>
        <v>#VALUE!</v>
      </c>
      <c r="N19" s="794">
        <f>IF(ISNUMBER(Table112[[#This Row],[NPV]])=TRUE,Table112[[#This Row],[NPV]],0)</f>
        <v>0</v>
      </c>
      <c r="O19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19" s="568" t="str">
        <f>Table112[[#This Row],[Lifetime]]</f>
        <v/>
      </c>
      <c r="V19" s="657" t="str">
        <f t="shared" si="2"/>
        <v/>
      </c>
      <c r="W19" s="658">
        <f t="shared" si="1"/>
        <v>0</v>
      </c>
      <c r="X19" s="658">
        <f>IF(X$6&gt;$L19,0,W19*(1-'Interest Rate'!$B$17))</f>
        <v>0</v>
      </c>
      <c r="Y19" s="658">
        <f>IF(Y$6&gt;$L19,0,X19*(1-'Interest Rate'!$B$17))</f>
        <v>0</v>
      </c>
      <c r="Z19" s="658">
        <f>IF(Z$6&gt;$L19,0,Y19*(1-'Interest Rate'!$B$17))</f>
        <v>0</v>
      </c>
      <c r="AA19" s="658">
        <f>IF(AA$6&gt;$L19,0,Z19*(1-'Interest Rate'!$B$17))</f>
        <v>0</v>
      </c>
      <c r="AB19" s="658">
        <f>IF(AB$6&gt;$L19,0,AA19*(1-'Interest Rate'!$B$17))</f>
        <v>0</v>
      </c>
      <c r="AC19" s="658">
        <f>IF(AC$6&gt;$L19,0,AB19*(1-'Interest Rate'!$B$17))</f>
        <v>0</v>
      </c>
      <c r="AD19" s="658">
        <f>IF(AD$6&gt;$L19,0,AC19*(1-'Interest Rate'!$B$17))</f>
        <v>0</v>
      </c>
      <c r="AE19" s="658">
        <f>IF(AE$6&gt;$L19,0,AD19*(1-'Interest Rate'!$B$17))</f>
        <v>0</v>
      </c>
      <c r="AF19" s="658">
        <f>IF(AF$6&gt;$L19,0,AE19*(1-'Interest Rate'!$B$17))</f>
        <v>0</v>
      </c>
      <c r="AG19" s="658">
        <f>IF(AG$6&gt;$L19,0,AF19*(1-'Interest Rate'!$B$17))</f>
        <v>0</v>
      </c>
      <c r="AH19" s="658">
        <f>IF(AH$6&gt;$L19,0,AG19*(1-'Interest Rate'!$B$17))</f>
        <v>0</v>
      </c>
      <c r="AI19" s="658">
        <f>IF(AI$6&gt;$L19,0,AH19*(1-'Interest Rate'!$B$17))</f>
        <v>0</v>
      </c>
      <c r="AJ19" s="658">
        <f>IF(AJ$6&gt;$L19,0,AI19*(1-'Interest Rate'!$B$17))</f>
        <v>0</v>
      </c>
      <c r="AK19" s="658">
        <f>IF(AK$6&gt;$L19,0,AJ19*(1-'Interest Rate'!$B$17))</f>
        <v>0</v>
      </c>
      <c r="AL19" s="658">
        <f>IF(AL$6&gt;$L19,0,AK19*(1-'Interest Rate'!$B$17))</f>
        <v>0</v>
      </c>
      <c r="AM19" s="658">
        <f>IF(AM$6&gt;$L19,0,AL19*(1-'Interest Rate'!$B$17))</f>
        <v>0</v>
      </c>
      <c r="AN19" s="658">
        <f>IF(AN$6&gt;$L19,0,AM19*(1-'Interest Rate'!$B$17))</f>
        <v>0</v>
      </c>
      <c r="AO19" s="658">
        <f>IF(AO$6&gt;$L19,0,AN19*(1-'Interest Rate'!$B$17))</f>
        <v>0</v>
      </c>
      <c r="AP19" s="658">
        <f>IF(AP$6&gt;$L19,0,AO19*(1-'Interest Rate'!$B$17))</f>
        <v>0</v>
      </c>
      <c r="AQ19" s="658">
        <f>IF(AQ$6&gt;$L19,0,AP19*(1-'Interest Rate'!$B$17))</f>
        <v>0</v>
      </c>
      <c r="AR19" s="658">
        <f>IF(AR$6&gt;$L19,0,AQ19*(1-'Interest Rate'!$B$17))</f>
        <v>0</v>
      </c>
      <c r="AS19" s="658">
        <f>IF(AS$6&gt;$L19,0,AR19*(1-'Interest Rate'!$B$17))</f>
        <v>0</v>
      </c>
      <c r="AT19" s="658">
        <f>IF(AT$6&gt;$L19,0,AS19*(1-'Interest Rate'!$B$17))</f>
        <v>0</v>
      </c>
      <c r="AU19" s="658">
        <f>IF(AU$6&gt;$L19,0,AT19*(1-'Interest Rate'!$B$17))</f>
        <v>0</v>
      </c>
      <c r="AV19" s="658">
        <f>IF(AV$6&gt;$L19,0,AU19*(1-'Interest Rate'!$B$17))</f>
        <v>0</v>
      </c>
      <c r="AW19" s="658">
        <f>IF(AW$6&gt;$L19,0,AV19*(1-'Interest Rate'!$B$17))</f>
        <v>0</v>
      </c>
      <c r="AX19" s="658">
        <f>IF(AX$6&gt;$L19,0,AW19*(1-'Interest Rate'!$B$17))</f>
        <v>0</v>
      </c>
      <c r="AY19" s="658">
        <f>IF(AY$6&gt;$L19,0,AX19*(1-'Interest Rate'!$B$17))</f>
        <v>0</v>
      </c>
      <c r="AZ19" s="658">
        <f>IF(AZ$6&gt;$L19,0,AY19*(1-'Interest Rate'!$B$17))</f>
        <v>0</v>
      </c>
      <c r="BA19" s="658">
        <f>IF(BA$6&gt;$L19,0,AZ19*(1-'Interest Rate'!$B$17))</f>
        <v>0</v>
      </c>
      <c r="BB19" s="658">
        <f>IF(BB$6&gt;$L19,0,BA19*(1-'Interest Rate'!$B$17))</f>
        <v>0</v>
      </c>
      <c r="BC19" s="658">
        <f>IF(BC$6&gt;$L19,0,BB19*(1-'Interest Rate'!$B$17))</f>
        <v>0</v>
      </c>
      <c r="BD19" s="658">
        <f>IF(BD$6&gt;$L19,0,BC19*(1-'Interest Rate'!$B$17))</f>
        <v>0</v>
      </c>
      <c r="BE19" s="658">
        <f>IF(BE$6&gt;$L19,0,BD19*(1-'Interest Rate'!$B$17))</f>
        <v>0</v>
      </c>
      <c r="BF19" s="658">
        <f>IF(BF$6&gt;$L19,0,BE19*(1-'Interest Rate'!$B$17))</f>
        <v>0</v>
      </c>
      <c r="BG19" s="658">
        <f>IF(BG$6&gt;$L19,0,BF19*(1-'Interest Rate'!$B$17))</f>
        <v>0</v>
      </c>
      <c r="BH19" s="658">
        <f>IF(BH$6&gt;$L19,0,BG19*(1-'Interest Rate'!$B$17))</f>
        <v>0</v>
      </c>
      <c r="BI19" s="658">
        <f>IF(BI$6&gt;$L19,0,BH19*(1-'Interest Rate'!$B$17))</f>
        <v>0</v>
      </c>
      <c r="BJ19" s="658">
        <f>IF(BJ$6&gt;$L19,0,BI19*(1-'Interest Rate'!$B$17))</f>
        <v>0</v>
      </c>
      <c r="BK19" s="658">
        <f>IF(BK$6&gt;$L19,0,BJ19*(1-'Interest Rate'!$B$17))</f>
        <v>0</v>
      </c>
      <c r="BL19" s="658">
        <f>IF(BL$6&gt;$L19,0,BK19*(1-'Interest Rate'!$B$17))</f>
        <v>0</v>
      </c>
      <c r="BM19" s="658">
        <f>IF(BM$6&gt;$L19,0,BL19*(1-'Interest Rate'!$B$17))</f>
        <v>0</v>
      </c>
      <c r="BN19" s="658">
        <f>IF(BN$6&gt;$L19,0,BM19*(1-'Interest Rate'!$B$17))</f>
        <v>0</v>
      </c>
      <c r="BO19" s="658">
        <f>IF(BO$6&gt;$L19,0,BN19*(1-'Interest Rate'!$B$17))</f>
        <v>0</v>
      </c>
      <c r="BP19" s="658">
        <f>IF(BP$6&gt;$L19,0,BO19*(1-'Interest Rate'!$B$17))</f>
        <v>0</v>
      </c>
      <c r="BQ19" s="658">
        <f>IF(BQ$6&gt;$L19,0,BP19*(1-'Interest Rate'!$B$17))</f>
        <v>0</v>
      </c>
      <c r="BR19" s="658">
        <f>IF(BR$6&gt;$L19,0,BQ19*(1-'Interest Rate'!$B$17))</f>
        <v>0</v>
      </c>
      <c r="BS19" s="658">
        <f>IF(BS$6&gt;$L19,0,BR19*(1-'Interest Rate'!$B$17))</f>
        <v>0</v>
      </c>
      <c r="BT19" s="658">
        <f>IF(BT$6&gt;$L19,0,BS19*(1-'Interest Rate'!$B$17))</f>
        <v>0</v>
      </c>
      <c r="BU19" s="658">
        <f>IF(BU$6&gt;$L19,0,BT19*(1-'Interest Rate'!$B$17))</f>
        <v>0</v>
      </c>
      <c r="BV19" s="658">
        <f>IF(BV$6&gt;$L19,0,BU19*(1-'Interest Rate'!$B$17))</f>
        <v>0</v>
      </c>
      <c r="BW19" s="658">
        <f>IF(BW$6&gt;$L19,0,BV19*(1-'Interest Rate'!$B$17))</f>
        <v>0</v>
      </c>
      <c r="BX19" s="658">
        <f>IF(BX$6&gt;$L19,0,BW19*(1-'Interest Rate'!$B$17))</f>
        <v>0</v>
      </c>
      <c r="BY19" s="658">
        <f>IF(BY$6&gt;$L19,0,BX19*(1-'Interest Rate'!$B$17))</f>
        <v>0</v>
      </c>
      <c r="BZ19" s="658">
        <f>IF(BZ$6&gt;$L19,0,BY19*(1-'Interest Rate'!$B$17))</f>
        <v>0</v>
      </c>
      <c r="CA19" s="658">
        <f>IF(CA$6&gt;$L19,0,BZ19*(1-'Interest Rate'!$B$17))</f>
        <v>0</v>
      </c>
      <c r="CB19" s="658">
        <f>IF(CB$6&gt;$L19,0,CA19*(1-'Interest Rate'!$B$17))</f>
        <v>0</v>
      </c>
      <c r="CC19" s="658">
        <f>IF(CC$6&gt;$L19,0,CB19*(1-'Interest Rate'!$B$17))</f>
        <v>0</v>
      </c>
      <c r="CD19" s="658">
        <f>IF(CD$6&gt;$L19,0,CC19*(1-'Interest Rate'!$B$17))</f>
        <v>0</v>
      </c>
      <c r="CE19" s="658">
        <f>IF(CE$6&gt;$L19,0,CD19*(1-'Interest Rate'!$B$17))</f>
        <v>0</v>
      </c>
      <c r="CF19" s="658">
        <f>IF(CF$6&gt;$L19,0,CE19*(1-'Interest Rate'!$B$17))</f>
        <v>0</v>
      </c>
      <c r="CG19" s="658">
        <f>IF(CG$6&gt;$L19,0,CF19*(1-'Interest Rate'!$B$17))</f>
        <v>0</v>
      </c>
      <c r="CH19" s="658">
        <f>IF(CH$6&gt;$L19,0,CG19*(1-'Interest Rate'!$B$17))</f>
        <v>0</v>
      </c>
      <c r="CI19" s="658">
        <f>IF(CI$6&gt;$L19,0,CH19*(1-'Interest Rate'!$B$17))</f>
        <v>0</v>
      </c>
      <c r="CJ19" s="658">
        <f>IF(CJ$6&gt;$L19,0,CI19*(1-'Interest Rate'!$B$17))</f>
        <v>0</v>
      </c>
      <c r="CK19" s="658">
        <f>IF(CK$6&gt;$L19,0,CJ19*(1-'Interest Rate'!$B$17))</f>
        <v>0</v>
      </c>
      <c r="CL19" s="658">
        <f>IF(CL$6&gt;$L19,0,CK19*(1-'Interest Rate'!$B$17))</f>
        <v>0</v>
      </c>
      <c r="CM19" s="658">
        <f>IF(CM$6&gt;$L19,0,CL19*(1-'Interest Rate'!$B$17))</f>
        <v>0</v>
      </c>
      <c r="CN19" s="658">
        <f>IF(CN$6&gt;$L19,0,CM19*(1-'Interest Rate'!$B$17))</f>
        <v>0</v>
      </c>
      <c r="CO19" s="658">
        <f>IF(CO$6&gt;$L19,0,CN19*(1-'Interest Rate'!$B$17))</f>
        <v>0</v>
      </c>
      <c r="CP19" s="658">
        <f>IF(CP$6&gt;$L19,0,CO19*(1-'Interest Rate'!$B$17))</f>
        <v>0</v>
      </c>
      <c r="CQ19" s="658">
        <f>IF(CQ$6&gt;$L19,0,CP19*(1-'Interest Rate'!$B$17))</f>
        <v>0</v>
      </c>
      <c r="CR19" s="658">
        <f>IF(CR$6&gt;$L19,0,CQ19*(1-'Interest Rate'!$B$17))</f>
        <v>0</v>
      </c>
      <c r="CS19" s="658">
        <f>IF(CS$6&gt;$L19,0,CR19*(1-'Interest Rate'!$B$17))</f>
        <v>0</v>
      </c>
      <c r="CT19" s="658">
        <f>IF(CT$6&gt;$L19,0,CS19*(1-'Interest Rate'!$B$17))</f>
        <v>0</v>
      </c>
      <c r="CU19" s="658">
        <f>IF(CU$6&gt;$L19,0,CT19*(1-'Interest Rate'!$B$17))</f>
        <v>0</v>
      </c>
      <c r="CV19" s="658">
        <f>IF(CV$6&gt;$L19,0,CU19*(1-'Interest Rate'!$B$17))</f>
        <v>0</v>
      </c>
      <c r="CW19" s="658">
        <f>IF(CW$6&gt;$L19,0,CV19*(1-'Interest Rate'!$B$17))</f>
        <v>0</v>
      </c>
      <c r="CX19" s="658">
        <f>IF(CX$6&gt;$L19,0,CW19*(1-'Interest Rate'!$B$17))</f>
        <v>0</v>
      </c>
      <c r="CY19" s="658">
        <f>IF(CY$6&gt;$L19,0,CX19*(1-'Interest Rate'!$B$17))</f>
        <v>0</v>
      </c>
      <c r="CZ19" s="658">
        <f>IF(CZ$6&gt;$L19,0,CY19*(1-'Interest Rate'!$B$17))</f>
        <v>0</v>
      </c>
      <c r="DA19" s="658">
        <f>IF(DA$6&gt;$L19,0,CZ19*(1-'Interest Rate'!$B$17))</f>
        <v>0</v>
      </c>
      <c r="DB19" s="658">
        <f>IF(DB$6&gt;$L19,0,DA19*(1-'Interest Rate'!$B$17))</f>
        <v>0</v>
      </c>
      <c r="DC19" s="658">
        <f>IF(DC$6&gt;$L19,0,DB19*(1-'Interest Rate'!$B$17))</f>
        <v>0</v>
      </c>
      <c r="DD19" s="658">
        <f>IF(DD$6&gt;$L19,0,DC19*(1-'Interest Rate'!$B$17))</f>
        <v>0</v>
      </c>
      <c r="DE19" s="658">
        <f>IF(DE$6&gt;$L19,0,DD19*(1-'Interest Rate'!$B$17))</f>
        <v>0</v>
      </c>
      <c r="DF19" s="658">
        <f>IF(DF$6&gt;$L19,0,DE19*(1-'Interest Rate'!$B$17))</f>
        <v>0</v>
      </c>
      <c r="DG19" s="658">
        <f>IF(DG$6&gt;$L19,0,DF19*(1-'Interest Rate'!$B$17))</f>
        <v>0</v>
      </c>
      <c r="DH19" s="658">
        <f>IF(DH$6&gt;$L19,0,DG19*(1-'Interest Rate'!$B$17))</f>
        <v>0</v>
      </c>
      <c r="DI19" s="658">
        <f>IF(DI$6&gt;$L19,0,DH19*(1-'Interest Rate'!$B$17))</f>
        <v>0</v>
      </c>
      <c r="DJ19" s="658">
        <f>IF(DJ$6&gt;$L19,0,DI19*(1-'Interest Rate'!$B$17))</f>
        <v>0</v>
      </c>
      <c r="DK19" s="658">
        <f>IF(DK$6&gt;$L19,0,DJ19*(1-'Interest Rate'!$B$17))</f>
        <v>0</v>
      </c>
      <c r="DL19" s="658">
        <f>IF(DL$6&gt;$L19,0,DK19*(1-'Interest Rate'!$B$17))</f>
        <v>0</v>
      </c>
      <c r="DM19" s="658">
        <f>IF(DM$6&gt;$L19,0,DL19*(1-'Interest Rate'!$B$17))</f>
        <v>0</v>
      </c>
      <c r="DN19" s="658">
        <f>IF(DN$6&gt;$L19,0,DM19*(1-'Interest Rate'!$B$17))</f>
        <v>0</v>
      </c>
      <c r="DO19" s="658">
        <f>IF(DO$6&gt;$L19,0,DN19*(1-'Interest Rate'!$B$17))</f>
        <v>0</v>
      </c>
      <c r="DP19" s="658">
        <f>IF(DP$6&gt;$L19,0,DO19*(1-'Interest Rate'!$B$17))</f>
        <v>0</v>
      </c>
      <c r="DQ19" s="658">
        <f>IF(DQ$6&gt;$L19,0,DP19*(1-'Interest Rate'!$B$17))</f>
        <v>0</v>
      </c>
      <c r="DR19" s="658">
        <f>IF(DR$6&gt;$L19,0,DQ19*(1-'Interest Rate'!$B$17))</f>
        <v>0</v>
      </c>
    </row>
    <row r="20" spans="1:122" ht="33" customHeight="1" x14ac:dyDescent="0.3">
      <c r="A20" s="675" t="str">
        <f>'EEM Data Entry'!A98</f>
        <v/>
      </c>
      <c r="B20" s="660" t="str">
        <f>'EEM Data Entry'!B98</f>
        <v/>
      </c>
      <c r="C20" s="661" t="str">
        <f>'EEM Data Entry'!F98</f>
        <v/>
      </c>
      <c r="D20" s="661">
        <v>0</v>
      </c>
      <c r="E20" s="661" t="e">
        <f t="shared" si="6"/>
        <v>#VALUE!</v>
      </c>
      <c r="F20" s="662">
        <f>('Cascading Savings'!D19*'Cascading Savings'!D$4)+('Cascading Savings'!F19*'Cascading Savings'!F$4)+('Cascading Savings'!H19*'Cascading Savings'!H$4)+('Cascading Savings'!J19*'Cascading Savings'!J$4)+('Cascading Savings'!L19*'Cascading Savings'!L$4)+('Cascading Savings'!N19*'Cascading Savings'!N$4)+('Cascading Savings'!P19*'Cascading Savings'!P$4)+('Cascading Savings'!R19*'Cascading Savings'!R$4)</f>
        <v>0</v>
      </c>
      <c r="G20" s="663">
        <f>'Cascading Savings'!T19</f>
        <v>0</v>
      </c>
      <c r="H20" s="664" t="e">
        <f t="shared" si="4"/>
        <v>#VALUE!</v>
      </c>
      <c r="I20" s="665" t="e">
        <f t="shared" si="7"/>
        <v>#VALUE!</v>
      </c>
      <c r="J20" s="666" t="e">
        <f t="shared" si="0"/>
        <v>#NUM!</v>
      </c>
      <c r="K20" s="667" t="e">
        <f>PV('Interest Rate'!$B$17,Table112[[#This Row],[Lifetime]],-Table112[[#This Row],[ANNUAL ENERGY COST SAVINGS]],Table112[[#This Row],[END-OF-LIFE]],0)-Table112[[#This Row],[CAPITAL INVESTMENT]]</f>
        <v>#VALUE!</v>
      </c>
      <c r="L20" s="665" t="str">
        <f>'EEM Data Entry'!C98</f>
        <v/>
      </c>
      <c r="M20" s="676" t="e">
        <f>Table112[[#This Row],[ANNUAL ENERGY COST SAVINGS]]/Table112[[#This Row],[CAPITAL INVESTMENT]]</f>
        <v>#VALUE!</v>
      </c>
      <c r="N20" s="794">
        <f>IF(ISNUMBER(Table112[[#This Row],[NPV]])=TRUE,Table112[[#This Row],[NPV]],0)</f>
        <v>0</v>
      </c>
      <c r="O20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20" s="568" t="str">
        <f>Table112[[#This Row],[Lifetime]]</f>
        <v/>
      </c>
      <c r="V20" s="657" t="str">
        <f t="shared" si="2"/>
        <v/>
      </c>
      <c r="W20" s="658">
        <f t="shared" si="1"/>
        <v>0</v>
      </c>
      <c r="X20" s="658">
        <f>IF(X$6&gt;$L20,0,W20*(1-'Interest Rate'!$B$17))</f>
        <v>0</v>
      </c>
      <c r="Y20" s="658">
        <f>IF(Y$6&gt;$L20,0,X20*(1-'Interest Rate'!$B$17))</f>
        <v>0</v>
      </c>
      <c r="Z20" s="658">
        <f>IF(Z$6&gt;$L20,0,Y20*(1-'Interest Rate'!$B$17))</f>
        <v>0</v>
      </c>
      <c r="AA20" s="658">
        <f>IF(AA$6&gt;$L20,0,Z20*(1-'Interest Rate'!$B$17))</f>
        <v>0</v>
      </c>
      <c r="AB20" s="658">
        <f>IF(AB$6&gt;$L20,0,AA20*(1-'Interest Rate'!$B$17))</f>
        <v>0</v>
      </c>
      <c r="AC20" s="658">
        <f>IF(AC$6&gt;$L20,0,AB20*(1-'Interest Rate'!$B$17))</f>
        <v>0</v>
      </c>
      <c r="AD20" s="658">
        <f>IF(AD$6&gt;$L20,0,AC20*(1-'Interest Rate'!$B$17))</f>
        <v>0</v>
      </c>
      <c r="AE20" s="658">
        <f>IF(AE$6&gt;$L20,0,AD20*(1-'Interest Rate'!$B$17))</f>
        <v>0</v>
      </c>
      <c r="AF20" s="658">
        <f>IF(AF$6&gt;$L20,0,AE20*(1-'Interest Rate'!$B$17))</f>
        <v>0</v>
      </c>
      <c r="AG20" s="658">
        <f>IF(AG$6&gt;$L20,0,AF20*(1-'Interest Rate'!$B$17))</f>
        <v>0</v>
      </c>
      <c r="AH20" s="658">
        <f>IF(AH$6&gt;$L20,0,AG20*(1-'Interest Rate'!$B$17))</f>
        <v>0</v>
      </c>
      <c r="AI20" s="658">
        <f>IF(AI$6&gt;$L20,0,AH20*(1-'Interest Rate'!$B$17))</f>
        <v>0</v>
      </c>
      <c r="AJ20" s="658">
        <f>IF(AJ$6&gt;$L20,0,AI20*(1-'Interest Rate'!$B$17))</f>
        <v>0</v>
      </c>
      <c r="AK20" s="658">
        <f>IF(AK$6&gt;$L20,0,AJ20*(1-'Interest Rate'!$B$17))</f>
        <v>0</v>
      </c>
      <c r="AL20" s="658">
        <f>IF(AL$6&gt;$L20,0,AK20*(1-'Interest Rate'!$B$17))</f>
        <v>0</v>
      </c>
      <c r="AM20" s="658">
        <f>IF(AM$6&gt;$L20,0,AL20*(1-'Interest Rate'!$B$17))</f>
        <v>0</v>
      </c>
      <c r="AN20" s="658">
        <f>IF(AN$6&gt;$L20,0,AM20*(1-'Interest Rate'!$B$17))</f>
        <v>0</v>
      </c>
      <c r="AO20" s="658">
        <f>IF(AO$6&gt;$L20,0,AN20*(1-'Interest Rate'!$B$17))</f>
        <v>0</v>
      </c>
      <c r="AP20" s="658">
        <f>IF(AP$6&gt;$L20,0,AO20*(1-'Interest Rate'!$B$17))</f>
        <v>0</v>
      </c>
      <c r="AQ20" s="658">
        <f>IF(AQ$6&gt;$L20,0,AP20*(1-'Interest Rate'!$B$17))</f>
        <v>0</v>
      </c>
      <c r="AR20" s="658">
        <f>IF(AR$6&gt;$L20,0,AQ20*(1-'Interest Rate'!$B$17))</f>
        <v>0</v>
      </c>
      <c r="AS20" s="658">
        <f>IF(AS$6&gt;$L20,0,AR20*(1-'Interest Rate'!$B$17))</f>
        <v>0</v>
      </c>
      <c r="AT20" s="658">
        <f>IF(AT$6&gt;$L20,0,AS20*(1-'Interest Rate'!$B$17))</f>
        <v>0</v>
      </c>
      <c r="AU20" s="658">
        <f>IF(AU$6&gt;$L20,0,AT20*(1-'Interest Rate'!$B$17))</f>
        <v>0</v>
      </c>
      <c r="AV20" s="658">
        <f>IF(AV$6&gt;$L20,0,AU20*(1-'Interest Rate'!$B$17))</f>
        <v>0</v>
      </c>
      <c r="AW20" s="658">
        <f>IF(AW$6&gt;$L20,0,AV20*(1-'Interest Rate'!$B$17))</f>
        <v>0</v>
      </c>
      <c r="AX20" s="658">
        <f>IF(AX$6&gt;$L20,0,AW20*(1-'Interest Rate'!$B$17))</f>
        <v>0</v>
      </c>
      <c r="AY20" s="658">
        <f>IF(AY$6&gt;$L20,0,AX20*(1-'Interest Rate'!$B$17))</f>
        <v>0</v>
      </c>
      <c r="AZ20" s="658">
        <f>IF(AZ$6&gt;$L20,0,AY20*(1-'Interest Rate'!$B$17))</f>
        <v>0</v>
      </c>
      <c r="BA20" s="658">
        <f>IF(BA$6&gt;$L20,0,AZ20*(1-'Interest Rate'!$B$17))</f>
        <v>0</v>
      </c>
      <c r="BB20" s="658">
        <f>IF(BB$6&gt;$L20,0,BA20*(1-'Interest Rate'!$B$17))</f>
        <v>0</v>
      </c>
      <c r="BC20" s="658">
        <f>IF(BC$6&gt;$L20,0,BB20*(1-'Interest Rate'!$B$17))</f>
        <v>0</v>
      </c>
      <c r="BD20" s="658">
        <f>IF(BD$6&gt;$L20,0,BC20*(1-'Interest Rate'!$B$17))</f>
        <v>0</v>
      </c>
      <c r="BE20" s="658">
        <f>IF(BE$6&gt;$L20,0,BD20*(1-'Interest Rate'!$B$17))</f>
        <v>0</v>
      </c>
      <c r="BF20" s="658">
        <f>IF(BF$6&gt;$L20,0,BE20*(1-'Interest Rate'!$B$17))</f>
        <v>0</v>
      </c>
      <c r="BG20" s="658">
        <f>IF(BG$6&gt;$L20,0,BF20*(1-'Interest Rate'!$B$17))</f>
        <v>0</v>
      </c>
      <c r="BH20" s="658">
        <f>IF(BH$6&gt;$L20,0,BG20*(1-'Interest Rate'!$B$17))</f>
        <v>0</v>
      </c>
      <c r="BI20" s="658">
        <f>IF(BI$6&gt;$L20,0,BH20*(1-'Interest Rate'!$B$17))</f>
        <v>0</v>
      </c>
      <c r="BJ20" s="658">
        <f>IF(BJ$6&gt;$L20,0,BI20*(1-'Interest Rate'!$B$17))</f>
        <v>0</v>
      </c>
      <c r="BK20" s="658">
        <f>IF(BK$6&gt;$L20,0,BJ20*(1-'Interest Rate'!$B$17))</f>
        <v>0</v>
      </c>
      <c r="BL20" s="658">
        <f>IF(BL$6&gt;$L20,0,BK20*(1-'Interest Rate'!$B$17))</f>
        <v>0</v>
      </c>
      <c r="BM20" s="658">
        <f>IF(BM$6&gt;$L20,0,BL20*(1-'Interest Rate'!$B$17))</f>
        <v>0</v>
      </c>
      <c r="BN20" s="658">
        <f>IF(BN$6&gt;$L20,0,BM20*(1-'Interest Rate'!$B$17))</f>
        <v>0</v>
      </c>
      <c r="BO20" s="658">
        <f>IF(BO$6&gt;$L20,0,BN20*(1-'Interest Rate'!$B$17))</f>
        <v>0</v>
      </c>
      <c r="BP20" s="658">
        <f>IF(BP$6&gt;$L20,0,BO20*(1-'Interest Rate'!$B$17))</f>
        <v>0</v>
      </c>
      <c r="BQ20" s="658">
        <f>IF(BQ$6&gt;$L20,0,BP20*(1-'Interest Rate'!$B$17))</f>
        <v>0</v>
      </c>
      <c r="BR20" s="658">
        <f>IF(BR$6&gt;$L20,0,BQ20*(1-'Interest Rate'!$B$17))</f>
        <v>0</v>
      </c>
      <c r="BS20" s="658">
        <f>IF(BS$6&gt;$L20,0,BR20*(1-'Interest Rate'!$B$17))</f>
        <v>0</v>
      </c>
      <c r="BT20" s="658">
        <f>IF(BT$6&gt;$L20,0,BS20*(1-'Interest Rate'!$B$17))</f>
        <v>0</v>
      </c>
      <c r="BU20" s="658">
        <f>IF(BU$6&gt;$L20,0,BT20*(1-'Interest Rate'!$B$17))</f>
        <v>0</v>
      </c>
      <c r="BV20" s="658">
        <f>IF(BV$6&gt;$L20,0,BU20*(1-'Interest Rate'!$B$17))</f>
        <v>0</v>
      </c>
      <c r="BW20" s="658">
        <f>IF(BW$6&gt;$L20,0,BV20*(1-'Interest Rate'!$B$17))</f>
        <v>0</v>
      </c>
      <c r="BX20" s="658">
        <f>IF(BX$6&gt;$L20,0,BW20*(1-'Interest Rate'!$B$17))</f>
        <v>0</v>
      </c>
      <c r="BY20" s="658">
        <f>IF(BY$6&gt;$L20,0,BX20*(1-'Interest Rate'!$B$17))</f>
        <v>0</v>
      </c>
      <c r="BZ20" s="658">
        <f>IF(BZ$6&gt;$L20,0,BY20*(1-'Interest Rate'!$B$17))</f>
        <v>0</v>
      </c>
      <c r="CA20" s="658">
        <f>IF(CA$6&gt;$L20,0,BZ20*(1-'Interest Rate'!$B$17))</f>
        <v>0</v>
      </c>
      <c r="CB20" s="658">
        <f>IF(CB$6&gt;$L20,0,CA20*(1-'Interest Rate'!$B$17))</f>
        <v>0</v>
      </c>
      <c r="CC20" s="658">
        <f>IF(CC$6&gt;$L20,0,CB20*(1-'Interest Rate'!$B$17))</f>
        <v>0</v>
      </c>
      <c r="CD20" s="658">
        <f>IF(CD$6&gt;$L20,0,CC20*(1-'Interest Rate'!$B$17))</f>
        <v>0</v>
      </c>
      <c r="CE20" s="658">
        <f>IF(CE$6&gt;$L20,0,CD20*(1-'Interest Rate'!$B$17))</f>
        <v>0</v>
      </c>
      <c r="CF20" s="658">
        <f>IF(CF$6&gt;$L20,0,CE20*(1-'Interest Rate'!$B$17))</f>
        <v>0</v>
      </c>
      <c r="CG20" s="658">
        <f>IF(CG$6&gt;$L20,0,CF20*(1-'Interest Rate'!$B$17))</f>
        <v>0</v>
      </c>
      <c r="CH20" s="658">
        <f>IF(CH$6&gt;$L20,0,CG20*(1-'Interest Rate'!$B$17))</f>
        <v>0</v>
      </c>
      <c r="CI20" s="658">
        <f>IF(CI$6&gt;$L20,0,CH20*(1-'Interest Rate'!$B$17))</f>
        <v>0</v>
      </c>
      <c r="CJ20" s="658">
        <f>IF(CJ$6&gt;$L20,0,CI20*(1-'Interest Rate'!$B$17))</f>
        <v>0</v>
      </c>
      <c r="CK20" s="658">
        <f>IF(CK$6&gt;$L20,0,CJ20*(1-'Interest Rate'!$B$17))</f>
        <v>0</v>
      </c>
      <c r="CL20" s="658">
        <f>IF(CL$6&gt;$L20,0,CK20*(1-'Interest Rate'!$B$17))</f>
        <v>0</v>
      </c>
      <c r="CM20" s="658">
        <f>IF(CM$6&gt;$L20,0,CL20*(1-'Interest Rate'!$B$17))</f>
        <v>0</v>
      </c>
      <c r="CN20" s="658">
        <f>IF(CN$6&gt;$L20,0,CM20*(1-'Interest Rate'!$B$17))</f>
        <v>0</v>
      </c>
      <c r="CO20" s="658">
        <f>IF(CO$6&gt;$L20,0,CN20*(1-'Interest Rate'!$B$17))</f>
        <v>0</v>
      </c>
      <c r="CP20" s="658">
        <f>IF(CP$6&gt;$L20,0,CO20*(1-'Interest Rate'!$B$17))</f>
        <v>0</v>
      </c>
      <c r="CQ20" s="658">
        <f>IF(CQ$6&gt;$L20,0,CP20*(1-'Interest Rate'!$B$17))</f>
        <v>0</v>
      </c>
      <c r="CR20" s="658">
        <f>IF(CR$6&gt;$L20,0,CQ20*(1-'Interest Rate'!$B$17))</f>
        <v>0</v>
      </c>
      <c r="CS20" s="658">
        <f>IF(CS$6&gt;$L20,0,CR20*(1-'Interest Rate'!$B$17))</f>
        <v>0</v>
      </c>
      <c r="CT20" s="658">
        <f>IF(CT$6&gt;$L20,0,CS20*(1-'Interest Rate'!$B$17))</f>
        <v>0</v>
      </c>
      <c r="CU20" s="658">
        <f>IF(CU$6&gt;$L20,0,CT20*(1-'Interest Rate'!$B$17))</f>
        <v>0</v>
      </c>
      <c r="CV20" s="658">
        <f>IF(CV$6&gt;$L20,0,CU20*(1-'Interest Rate'!$B$17))</f>
        <v>0</v>
      </c>
      <c r="CW20" s="658">
        <f>IF(CW$6&gt;$L20,0,CV20*(1-'Interest Rate'!$B$17))</f>
        <v>0</v>
      </c>
      <c r="CX20" s="658">
        <f>IF(CX$6&gt;$L20,0,CW20*(1-'Interest Rate'!$B$17))</f>
        <v>0</v>
      </c>
      <c r="CY20" s="658">
        <f>IF(CY$6&gt;$L20,0,CX20*(1-'Interest Rate'!$B$17))</f>
        <v>0</v>
      </c>
      <c r="CZ20" s="658">
        <f>IF(CZ$6&gt;$L20,0,CY20*(1-'Interest Rate'!$B$17))</f>
        <v>0</v>
      </c>
      <c r="DA20" s="658">
        <f>IF(DA$6&gt;$L20,0,CZ20*(1-'Interest Rate'!$B$17))</f>
        <v>0</v>
      </c>
      <c r="DB20" s="658">
        <f>IF(DB$6&gt;$L20,0,DA20*(1-'Interest Rate'!$B$17))</f>
        <v>0</v>
      </c>
      <c r="DC20" s="658">
        <f>IF(DC$6&gt;$L20,0,DB20*(1-'Interest Rate'!$B$17))</f>
        <v>0</v>
      </c>
      <c r="DD20" s="658">
        <f>IF(DD$6&gt;$L20,0,DC20*(1-'Interest Rate'!$B$17))</f>
        <v>0</v>
      </c>
      <c r="DE20" s="658">
        <f>IF(DE$6&gt;$L20,0,DD20*(1-'Interest Rate'!$B$17))</f>
        <v>0</v>
      </c>
      <c r="DF20" s="658">
        <f>IF(DF$6&gt;$L20,0,DE20*(1-'Interest Rate'!$B$17))</f>
        <v>0</v>
      </c>
      <c r="DG20" s="658">
        <f>IF(DG$6&gt;$L20,0,DF20*(1-'Interest Rate'!$B$17))</f>
        <v>0</v>
      </c>
      <c r="DH20" s="658">
        <f>IF(DH$6&gt;$L20,0,DG20*(1-'Interest Rate'!$B$17))</f>
        <v>0</v>
      </c>
      <c r="DI20" s="658">
        <f>IF(DI$6&gt;$L20,0,DH20*(1-'Interest Rate'!$B$17))</f>
        <v>0</v>
      </c>
      <c r="DJ20" s="658">
        <f>IF(DJ$6&gt;$L20,0,DI20*(1-'Interest Rate'!$B$17))</f>
        <v>0</v>
      </c>
      <c r="DK20" s="658">
        <f>IF(DK$6&gt;$L20,0,DJ20*(1-'Interest Rate'!$B$17))</f>
        <v>0</v>
      </c>
      <c r="DL20" s="658">
        <f>IF(DL$6&gt;$L20,0,DK20*(1-'Interest Rate'!$B$17))</f>
        <v>0</v>
      </c>
      <c r="DM20" s="658">
        <f>IF(DM$6&gt;$L20,0,DL20*(1-'Interest Rate'!$B$17))</f>
        <v>0</v>
      </c>
      <c r="DN20" s="658">
        <f>IF(DN$6&gt;$L20,0,DM20*(1-'Interest Rate'!$B$17))</f>
        <v>0</v>
      </c>
      <c r="DO20" s="658">
        <f>IF(DO$6&gt;$L20,0,DN20*(1-'Interest Rate'!$B$17))</f>
        <v>0</v>
      </c>
      <c r="DP20" s="658">
        <f>IF(DP$6&gt;$L20,0,DO20*(1-'Interest Rate'!$B$17))</f>
        <v>0</v>
      </c>
      <c r="DQ20" s="658">
        <f>IF(DQ$6&gt;$L20,0,DP20*(1-'Interest Rate'!$B$17))</f>
        <v>0</v>
      </c>
      <c r="DR20" s="658">
        <f>IF(DR$6&gt;$L20,0,DQ20*(1-'Interest Rate'!$B$17))</f>
        <v>0</v>
      </c>
    </row>
    <row r="21" spans="1:122" ht="33" customHeight="1" x14ac:dyDescent="0.3">
      <c r="A21" s="647" t="str">
        <f>'EEM Data Entry'!A99</f>
        <v/>
      </c>
      <c r="B21" s="670" t="str">
        <f>'EEM Data Entry'!B99</f>
        <v/>
      </c>
      <c r="C21" s="649" t="str">
        <f>'EEM Data Entry'!F99</f>
        <v/>
      </c>
      <c r="D21" s="649">
        <v>0</v>
      </c>
      <c r="E21" s="649" t="e">
        <f t="shared" si="6"/>
        <v>#VALUE!</v>
      </c>
      <c r="F21" s="650">
        <f>('Cascading Savings'!D20*'Cascading Savings'!D$4)+('Cascading Savings'!F20*'Cascading Savings'!F$4)+('Cascading Savings'!H20*'Cascading Savings'!H$4)+('Cascading Savings'!J20*'Cascading Savings'!J$4)+('Cascading Savings'!L20*'Cascading Savings'!L$4)+('Cascading Savings'!N20*'Cascading Savings'!N$4)+('Cascading Savings'!P20*'Cascading Savings'!P$4)+('Cascading Savings'!R20*'Cascading Savings'!R$4)</f>
        <v>0</v>
      </c>
      <c r="G21" s="651">
        <f>'Cascading Savings'!T20</f>
        <v>0</v>
      </c>
      <c r="H21" s="652" t="e">
        <f t="shared" si="4"/>
        <v>#VALUE!</v>
      </c>
      <c r="I21" s="653" t="e">
        <f t="shared" si="7"/>
        <v>#VALUE!</v>
      </c>
      <c r="J21" s="654" t="e">
        <f t="shared" si="0"/>
        <v>#NUM!</v>
      </c>
      <c r="K21" s="655" t="e">
        <f>PV('Interest Rate'!$B$17,Table112[[#This Row],[Lifetime]],-Table112[[#This Row],[ANNUAL ENERGY COST SAVINGS]],Table112[[#This Row],[END-OF-LIFE]],0)-Table112[[#This Row],[CAPITAL INVESTMENT]]</f>
        <v>#VALUE!</v>
      </c>
      <c r="L21" s="653" t="str">
        <f>'EEM Data Entry'!C99</f>
        <v/>
      </c>
      <c r="M21" s="656" t="e">
        <f>Table112[[#This Row],[ANNUAL ENERGY COST SAVINGS]]/Table112[[#This Row],[CAPITAL INVESTMENT]]</f>
        <v>#VALUE!</v>
      </c>
      <c r="N21" s="794">
        <f>IF(ISNUMBER(Table112[[#This Row],[NPV]])=TRUE,Table112[[#This Row],[NPV]],0)</f>
        <v>0</v>
      </c>
      <c r="O21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21" s="568" t="str">
        <f>Table112[[#This Row],[Lifetime]]</f>
        <v/>
      </c>
      <c r="V21" s="657" t="str">
        <f t="shared" si="2"/>
        <v/>
      </c>
      <c r="W21" s="658">
        <f t="shared" si="1"/>
        <v>0</v>
      </c>
      <c r="X21" s="658">
        <f>IF(X$6&gt;$L21,0,W21*(1-'Interest Rate'!$B$17))</f>
        <v>0</v>
      </c>
      <c r="Y21" s="658">
        <f>IF(Y$6&gt;$L21,0,X21*(1-'Interest Rate'!$B$17))</f>
        <v>0</v>
      </c>
      <c r="Z21" s="658">
        <f>IF(Z$6&gt;$L21,0,Y21*(1-'Interest Rate'!$B$17))</f>
        <v>0</v>
      </c>
      <c r="AA21" s="658">
        <f>IF(AA$6&gt;$L21,0,Z21*(1-'Interest Rate'!$B$17))</f>
        <v>0</v>
      </c>
      <c r="AB21" s="658">
        <f>IF(AB$6&gt;$L21,0,AA21*(1-'Interest Rate'!$B$17))</f>
        <v>0</v>
      </c>
      <c r="AC21" s="658">
        <f>IF(AC$6&gt;$L21,0,AB21*(1-'Interest Rate'!$B$17))</f>
        <v>0</v>
      </c>
      <c r="AD21" s="658">
        <f>IF(AD$6&gt;$L21,0,AC21*(1-'Interest Rate'!$B$17))</f>
        <v>0</v>
      </c>
      <c r="AE21" s="658">
        <f>IF(AE$6&gt;$L21,0,AD21*(1-'Interest Rate'!$B$17))</f>
        <v>0</v>
      </c>
      <c r="AF21" s="658">
        <f>IF(AF$6&gt;$L21,0,AE21*(1-'Interest Rate'!$B$17))</f>
        <v>0</v>
      </c>
      <c r="AG21" s="658">
        <f>IF(AG$6&gt;$L21,0,AF21*(1-'Interest Rate'!$B$17))</f>
        <v>0</v>
      </c>
      <c r="AH21" s="658">
        <f>IF(AH$6&gt;$L21,0,AG21*(1-'Interest Rate'!$B$17))</f>
        <v>0</v>
      </c>
      <c r="AI21" s="658">
        <f>IF(AI$6&gt;$L21,0,AH21*(1-'Interest Rate'!$B$17))</f>
        <v>0</v>
      </c>
      <c r="AJ21" s="658">
        <f>IF(AJ$6&gt;$L21,0,AI21*(1-'Interest Rate'!$B$17))</f>
        <v>0</v>
      </c>
      <c r="AK21" s="658">
        <f>IF(AK$6&gt;$L21,0,AJ21*(1-'Interest Rate'!$B$17))</f>
        <v>0</v>
      </c>
      <c r="AL21" s="658">
        <f>IF(AL$6&gt;$L21,0,AK21*(1-'Interest Rate'!$B$17))</f>
        <v>0</v>
      </c>
      <c r="AM21" s="658">
        <f>IF(AM$6&gt;$L21,0,AL21*(1-'Interest Rate'!$B$17))</f>
        <v>0</v>
      </c>
      <c r="AN21" s="658">
        <f>IF(AN$6&gt;$L21,0,AM21*(1-'Interest Rate'!$B$17))</f>
        <v>0</v>
      </c>
      <c r="AO21" s="658">
        <f>IF(AO$6&gt;$L21,0,AN21*(1-'Interest Rate'!$B$17))</f>
        <v>0</v>
      </c>
      <c r="AP21" s="658">
        <f>IF(AP$6&gt;$L21,0,AO21*(1-'Interest Rate'!$B$17))</f>
        <v>0</v>
      </c>
      <c r="AQ21" s="658">
        <f>IF(AQ$6&gt;$L21,0,AP21*(1-'Interest Rate'!$B$17))</f>
        <v>0</v>
      </c>
      <c r="AR21" s="658">
        <f>IF(AR$6&gt;$L21,0,AQ21*(1-'Interest Rate'!$B$17))</f>
        <v>0</v>
      </c>
      <c r="AS21" s="658">
        <f>IF(AS$6&gt;$L21,0,AR21*(1-'Interest Rate'!$B$17))</f>
        <v>0</v>
      </c>
      <c r="AT21" s="658">
        <f>IF(AT$6&gt;$L21,0,AS21*(1-'Interest Rate'!$B$17))</f>
        <v>0</v>
      </c>
      <c r="AU21" s="658">
        <f>IF(AU$6&gt;$L21,0,AT21*(1-'Interest Rate'!$B$17))</f>
        <v>0</v>
      </c>
      <c r="AV21" s="658">
        <f>IF(AV$6&gt;$L21,0,AU21*(1-'Interest Rate'!$B$17))</f>
        <v>0</v>
      </c>
      <c r="AW21" s="658">
        <f>IF(AW$6&gt;$L21,0,AV21*(1-'Interest Rate'!$B$17))</f>
        <v>0</v>
      </c>
      <c r="AX21" s="658">
        <f>IF(AX$6&gt;$L21,0,AW21*(1-'Interest Rate'!$B$17))</f>
        <v>0</v>
      </c>
      <c r="AY21" s="658">
        <f>IF(AY$6&gt;$L21,0,AX21*(1-'Interest Rate'!$B$17))</f>
        <v>0</v>
      </c>
      <c r="AZ21" s="658">
        <f>IF(AZ$6&gt;$L21,0,AY21*(1-'Interest Rate'!$B$17))</f>
        <v>0</v>
      </c>
      <c r="BA21" s="658">
        <f>IF(BA$6&gt;$L21,0,AZ21*(1-'Interest Rate'!$B$17))</f>
        <v>0</v>
      </c>
      <c r="BB21" s="658">
        <f>IF(BB$6&gt;$L21,0,BA21*(1-'Interest Rate'!$B$17))</f>
        <v>0</v>
      </c>
      <c r="BC21" s="658">
        <f>IF(BC$6&gt;$L21,0,BB21*(1-'Interest Rate'!$B$17))</f>
        <v>0</v>
      </c>
      <c r="BD21" s="658">
        <f>IF(BD$6&gt;$L21,0,BC21*(1-'Interest Rate'!$B$17))</f>
        <v>0</v>
      </c>
      <c r="BE21" s="658">
        <f>IF(BE$6&gt;$L21,0,BD21*(1-'Interest Rate'!$B$17))</f>
        <v>0</v>
      </c>
      <c r="BF21" s="658">
        <f>IF(BF$6&gt;$L21,0,BE21*(1-'Interest Rate'!$B$17))</f>
        <v>0</v>
      </c>
      <c r="BG21" s="658">
        <f>IF(BG$6&gt;$L21,0,BF21*(1-'Interest Rate'!$B$17))</f>
        <v>0</v>
      </c>
      <c r="BH21" s="658">
        <f>IF(BH$6&gt;$L21,0,BG21*(1-'Interest Rate'!$B$17))</f>
        <v>0</v>
      </c>
      <c r="BI21" s="658">
        <f>IF(BI$6&gt;$L21,0,BH21*(1-'Interest Rate'!$B$17))</f>
        <v>0</v>
      </c>
      <c r="BJ21" s="658">
        <f>IF(BJ$6&gt;$L21,0,BI21*(1-'Interest Rate'!$B$17))</f>
        <v>0</v>
      </c>
      <c r="BK21" s="658">
        <f>IF(BK$6&gt;$L21,0,BJ21*(1-'Interest Rate'!$B$17))</f>
        <v>0</v>
      </c>
      <c r="BL21" s="658">
        <f>IF(BL$6&gt;$L21,0,BK21*(1-'Interest Rate'!$B$17))</f>
        <v>0</v>
      </c>
      <c r="BM21" s="658">
        <f>IF(BM$6&gt;$L21,0,BL21*(1-'Interest Rate'!$B$17))</f>
        <v>0</v>
      </c>
      <c r="BN21" s="658">
        <f>IF(BN$6&gt;$L21,0,BM21*(1-'Interest Rate'!$B$17))</f>
        <v>0</v>
      </c>
      <c r="BO21" s="658">
        <f>IF(BO$6&gt;$L21,0,BN21*(1-'Interest Rate'!$B$17))</f>
        <v>0</v>
      </c>
      <c r="BP21" s="658">
        <f>IF(BP$6&gt;$L21,0,BO21*(1-'Interest Rate'!$B$17))</f>
        <v>0</v>
      </c>
      <c r="BQ21" s="658">
        <f>IF(BQ$6&gt;$L21,0,BP21*(1-'Interest Rate'!$B$17))</f>
        <v>0</v>
      </c>
      <c r="BR21" s="658">
        <f>IF(BR$6&gt;$L21,0,BQ21*(1-'Interest Rate'!$B$17))</f>
        <v>0</v>
      </c>
      <c r="BS21" s="658">
        <f>IF(BS$6&gt;$L21,0,BR21*(1-'Interest Rate'!$B$17))</f>
        <v>0</v>
      </c>
      <c r="BT21" s="658">
        <f>IF(BT$6&gt;$L21,0,BS21*(1-'Interest Rate'!$B$17))</f>
        <v>0</v>
      </c>
      <c r="BU21" s="658">
        <f>IF(BU$6&gt;$L21,0,BT21*(1-'Interest Rate'!$B$17))</f>
        <v>0</v>
      </c>
      <c r="BV21" s="658">
        <f>IF(BV$6&gt;$L21,0,BU21*(1-'Interest Rate'!$B$17))</f>
        <v>0</v>
      </c>
      <c r="BW21" s="658">
        <f>IF(BW$6&gt;$L21,0,BV21*(1-'Interest Rate'!$B$17))</f>
        <v>0</v>
      </c>
      <c r="BX21" s="658">
        <f>IF(BX$6&gt;$L21,0,BW21*(1-'Interest Rate'!$B$17))</f>
        <v>0</v>
      </c>
      <c r="BY21" s="658">
        <f>IF(BY$6&gt;$L21,0,BX21*(1-'Interest Rate'!$B$17))</f>
        <v>0</v>
      </c>
      <c r="BZ21" s="658">
        <f>IF(BZ$6&gt;$L21,0,BY21*(1-'Interest Rate'!$B$17))</f>
        <v>0</v>
      </c>
      <c r="CA21" s="658">
        <f>IF(CA$6&gt;$L21,0,BZ21*(1-'Interest Rate'!$B$17))</f>
        <v>0</v>
      </c>
      <c r="CB21" s="658">
        <f>IF(CB$6&gt;$L21,0,CA21*(1-'Interest Rate'!$B$17))</f>
        <v>0</v>
      </c>
      <c r="CC21" s="658">
        <f>IF(CC$6&gt;$L21,0,CB21*(1-'Interest Rate'!$B$17))</f>
        <v>0</v>
      </c>
      <c r="CD21" s="658">
        <f>IF(CD$6&gt;$L21,0,CC21*(1-'Interest Rate'!$B$17))</f>
        <v>0</v>
      </c>
      <c r="CE21" s="658">
        <f>IF(CE$6&gt;$L21,0,CD21*(1-'Interest Rate'!$B$17))</f>
        <v>0</v>
      </c>
      <c r="CF21" s="658">
        <f>IF(CF$6&gt;$L21,0,CE21*(1-'Interest Rate'!$B$17))</f>
        <v>0</v>
      </c>
      <c r="CG21" s="658">
        <f>IF(CG$6&gt;$L21,0,CF21*(1-'Interest Rate'!$B$17))</f>
        <v>0</v>
      </c>
      <c r="CH21" s="658">
        <f>IF(CH$6&gt;$L21,0,CG21*(1-'Interest Rate'!$B$17))</f>
        <v>0</v>
      </c>
      <c r="CI21" s="658">
        <f>IF(CI$6&gt;$L21,0,CH21*(1-'Interest Rate'!$B$17))</f>
        <v>0</v>
      </c>
      <c r="CJ21" s="658">
        <f>IF(CJ$6&gt;$L21,0,CI21*(1-'Interest Rate'!$B$17))</f>
        <v>0</v>
      </c>
      <c r="CK21" s="658">
        <f>IF(CK$6&gt;$L21,0,CJ21*(1-'Interest Rate'!$B$17))</f>
        <v>0</v>
      </c>
      <c r="CL21" s="658">
        <f>IF(CL$6&gt;$L21,0,CK21*(1-'Interest Rate'!$B$17))</f>
        <v>0</v>
      </c>
      <c r="CM21" s="658">
        <f>IF(CM$6&gt;$L21,0,CL21*(1-'Interest Rate'!$B$17))</f>
        <v>0</v>
      </c>
      <c r="CN21" s="658">
        <f>IF(CN$6&gt;$L21,0,CM21*(1-'Interest Rate'!$B$17))</f>
        <v>0</v>
      </c>
      <c r="CO21" s="658">
        <f>IF(CO$6&gt;$L21,0,CN21*(1-'Interest Rate'!$B$17))</f>
        <v>0</v>
      </c>
      <c r="CP21" s="658">
        <f>IF(CP$6&gt;$L21,0,CO21*(1-'Interest Rate'!$B$17))</f>
        <v>0</v>
      </c>
      <c r="CQ21" s="658">
        <f>IF(CQ$6&gt;$L21,0,CP21*(1-'Interest Rate'!$B$17))</f>
        <v>0</v>
      </c>
      <c r="CR21" s="658">
        <f>IF(CR$6&gt;$L21,0,CQ21*(1-'Interest Rate'!$B$17))</f>
        <v>0</v>
      </c>
      <c r="CS21" s="658">
        <f>IF(CS$6&gt;$L21,0,CR21*(1-'Interest Rate'!$B$17))</f>
        <v>0</v>
      </c>
      <c r="CT21" s="658">
        <f>IF(CT$6&gt;$L21,0,CS21*(1-'Interest Rate'!$B$17))</f>
        <v>0</v>
      </c>
      <c r="CU21" s="658">
        <f>IF(CU$6&gt;$L21,0,CT21*(1-'Interest Rate'!$B$17))</f>
        <v>0</v>
      </c>
      <c r="CV21" s="658">
        <f>IF(CV$6&gt;$L21,0,CU21*(1-'Interest Rate'!$B$17))</f>
        <v>0</v>
      </c>
      <c r="CW21" s="658">
        <f>IF(CW$6&gt;$L21,0,CV21*(1-'Interest Rate'!$B$17))</f>
        <v>0</v>
      </c>
      <c r="CX21" s="658">
        <f>IF(CX$6&gt;$L21,0,CW21*(1-'Interest Rate'!$B$17))</f>
        <v>0</v>
      </c>
      <c r="CY21" s="658">
        <f>IF(CY$6&gt;$L21,0,CX21*(1-'Interest Rate'!$B$17))</f>
        <v>0</v>
      </c>
      <c r="CZ21" s="658">
        <f>IF(CZ$6&gt;$L21,0,CY21*(1-'Interest Rate'!$B$17))</f>
        <v>0</v>
      </c>
      <c r="DA21" s="658">
        <f>IF(DA$6&gt;$L21,0,CZ21*(1-'Interest Rate'!$B$17))</f>
        <v>0</v>
      </c>
      <c r="DB21" s="658">
        <f>IF(DB$6&gt;$L21,0,DA21*(1-'Interest Rate'!$B$17))</f>
        <v>0</v>
      </c>
      <c r="DC21" s="658">
        <f>IF(DC$6&gt;$L21,0,DB21*(1-'Interest Rate'!$B$17))</f>
        <v>0</v>
      </c>
      <c r="DD21" s="658">
        <f>IF(DD$6&gt;$L21,0,DC21*(1-'Interest Rate'!$B$17))</f>
        <v>0</v>
      </c>
      <c r="DE21" s="658">
        <f>IF(DE$6&gt;$L21,0,DD21*(1-'Interest Rate'!$B$17))</f>
        <v>0</v>
      </c>
      <c r="DF21" s="658">
        <f>IF(DF$6&gt;$L21,0,DE21*(1-'Interest Rate'!$B$17))</f>
        <v>0</v>
      </c>
      <c r="DG21" s="658">
        <f>IF(DG$6&gt;$L21,0,DF21*(1-'Interest Rate'!$B$17))</f>
        <v>0</v>
      </c>
      <c r="DH21" s="658">
        <f>IF(DH$6&gt;$L21,0,DG21*(1-'Interest Rate'!$B$17))</f>
        <v>0</v>
      </c>
      <c r="DI21" s="658">
        <f>IF(DI$6&gt;$L21,0,DH21*(1-'Interest Rate'!$B$17))</f>
        <v>0</v>
      </c>
      <c r="DJ21" s="658">
        <f>IF(DJ$6&gt;$L21,0,DI21*(1-'Interest Rate'!$B$17))</f>
        <v>0</v>
      </c>
      <c r="DK21" s="658">
        <f>IF(DK$6&gt;$L21,0,DJ21*(1-'Interest Rate'!$B$17))</f>
        <v>0</v>
      </c>
      <c r="DL21" s="658">
        <f>IF(DL$6&gt;$L21,0,DK21*(1-'Interest Rate'!$B$17))</f>
        <v>0</v>
      </c>
      <c r="DM21" s="658">
        <f>IF(DM$6&gt;$L21,0,DL21*(1-'Interest Rate'!$B$17))</f>
        <v>0</v>
      </c>
      <c r="DN21" s="658">
        <f>IF(DN$6&gt;$L21,0,DM21*(1-'Interest Rate'!$B$17))</f>
        <v>0</v>
      </c>
      <c r="DO21" s="658">
        <f>IF(DO$6&gt;$L21,0,DN21*(1-'Interest Rate'!$B$17))</f>
        <v>0</v>
      </c>
      <c r="DP21" s="658">
        <f>IF(DP$6&gt;$L21,0,DO21*(1-'Interest Rate'!$B$17))</f>
        <v>0</v>
      </c>
      <c r="DQ21" s="658">
        <f>IF(DQ$6&gt;$L21,0,DP21*(1-'Interest Rate'!$B$17))</f>
        <v>0</v>
      </c>
      <c r="DR21" s="658">
        <f>IF(DR$6&gt;$L21,0,DQ21*(1-'Interest Rate'!$B$17))</f>
        <v>0</v>
      </c>
    </row>
    <row r="22" spans="1:122" ht="33" customHeight="1" x14ac:dyDescent="0.3">
      <c r="A22" s="675" t="str">
        <f>'EEM Data Entry'!A100</f>
        <v/>
      </c>
      <c r="B22" s="660" t="str">
        <f>'EEM Data Entry'!B100</f>
        <v/>
      </c>
      <c r="C22" s="661" t="str">
        <f>'EEM Data Entry'!F100</f>
        <v/>
      </c>
      <c r="D22" s="661">
        <v>0</v>
      </c>
      <c r="E22" s="661" t="e">
        <f t="shared" si="6"/>
        <v>#VALUE!</v>
      </c>
      <c r="F22" s="662">
        <f>('Cascading Savings'!D21*'Cascading Savings'!D$4)+('Cascading Savings'!F21*'Cascading Savings'!F$4)+('Cascading Savings'!H21*'Cascading Savings'!H$4)+('Cascading Savings'!J21*'Cascading Savings'!J$4)+('Cascading Savings'!L21*'Cascading Savings'!L$4)+('Cascading Savings'!N21*'Cascading Savings'!N$4)+('Cascading Savings'!P21*'Cascading Savings'!P$4)+('Cascading Savings'!R21*'Cascading Savings'!R$4)</f>
        <v>0</v>
      </c>
      <c r="G22" s="663">
        <f>'Cascading Savings'!T21</f>
        <v>0</v>
      </c>
      <c r="H22" s="664" t="e">
        <f t="shared" si="4"/>
        <v>#VALUE!</v>
      </c>
      <c r="I22" s="665" t="e">
        <f>IF(H22=0, "n/a", IF(H22&gt;100, "no",IF(H22&lt;0, "no", "yes")))</f>
        <v>#VALUE!</v>
      </c>
      <c r="J22" s="666" t="e">
        <f t="shared" si="0"/>
        <v>#NUM!</v>
      </c>
      <c r="K22" s="667" t="e">
        <f>PV('Interest Rate'!$B$17,Table112[[#This Row],[Lifetime]],-Table112[[#This Row],[ANNUAL ENERGY COST SAVINGS]],Table112[[#This Row],[END-OF-LIFE]],0)-Table112[[#This Row],[CAPITAL INVESTMENT]]</f>
        <v>#VALUE!</v>
      </c>
      <c r="L22" s="665" t="str">
        <f>'EEM Data Entry'!C100</f>
        <v/>
      </c>
      <c r="M22" s="676" t="e">
        <f>Table112[[#This Row],[ANNUAL ENERGY COST SAVINGS]]/Table112[[#This Row],[CAPITAL INVESTMENT]]</f>
        <v>#VALUE!</v>
      </c>
      <c r="N22" s="794">
        <f>IF(ISNUMBER(Table112[[#This Row],[NPV]])=TRUE,Table112[[#This Row],[NPV]],0)</f>
        <v>0</v>
      </c>
      <c r="O22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22" s="568" t="str">
        <f>Table112[[#This Row],[Lifetime]]</f>
        <v/>
      </c>
      <c r="V22" s="657" t="str">
        <f t="shared" si="2"/>
        <v/>
      </c>
      <c r="W22" s="658">
        <f t="shared" si="1"/>
        <v>0</v>
      </c>
      <c r="X22" s="658">
        <f>IF(X$6&gt;$L22,0,W22*(1-'Interest Rate'!$B$17))</f>
        <v>0</v>
      </c>
      <c r="Y22" s="658">
        <f>IF(Y$6&gt;$L22,0,X22*(1-'Interest Rate'!$B$17))</f>
        <v>0</v>
      </c>
      <c r="Z22" s="658">
        <f>IF(Z$6&gt;$L22,0,Y22*(1-'Interest Rate'!$B$17))</f>
        <v>0</v>
      </c>
      <c r="AA22" s="658">
        <f>IF(AA$6&gt;$L22,0,Z22*(1-'Interest Rate'!$B$17))</f>
        <v>0</v>
      </c>
      <c r="AB22" s="658">
        <f>IF(AB$6&gt;$L22,0,AA22*(1-'Interest Rate'!$B$17))</f>
        <v>0</v>
      </c>
      <c r="AC22" s="658">
        <f>IF(AC$6&gt;$L22,0,AB22*(1-'Interest Rate'!$B$17))</f>
        <v>0</v>
      </c>
      <c r="AD22" s="658">
        <f>IF(AD$6&gt;$L22,0,AC22*(1-'Interest Rate'!$B$17))</f>
        <v>0</v>
      </c>
      <c r="AE22" s="658">
        <f>IF(AE$6&gt;$L22,0,AD22*(1-'Interest Rate'!$B$17))</f>
        <v>0</v>
      </c>
      <c r="AF22" s="658">
        <f>IF(AF$6&gt;$L22,0,AE22*(1-'Interest Rate'!$B$17))</f>
        <v>0</v>
      </c>
      <c r="AG22" s="658">
        <f>IF(AG$6&gt;$L22,0,AF22*(1-'Interest Rate'!$B$17))</f>
        <v>0</v>
      </c>
      <c r="AH22" s="658">
        <f>IF(AH$6&gt;$L22,0,AG22*(1-'Interest Rate'!$B$17))</f>
        <v>0</v>
      </c>
      <c r="AI22" s="658">
        <f>IF(AI$6&gt;$L22,0,AH22*(1-'Interest Rate'!$B$17))</f>
        <v>0</v>
      </c>
      <c r="AJ22" s="658">
        <f>IF(AJ$6&gt;$L22,0,AI22*(1-'Interest Rate'!$B$17))</f>
        <v>0</v>
      </c>
      <c r="AK22" s="658">
        <f>IF(AK$6&gt;$L22,0,AJ22*(1-'Interest Rate'!$B$17))</f>
        <v>0</v>
      </c>
      <c r="AL22" s="658">
        <f>IF(AL$6&gt;$L22,0,AK22*(1-'Interest Rate'!$B$17))</f>
        <v>0</v>
      </c>
      <c r="AM22" s="658">
        <f>IF(AM$6&gt;$L22,0,AL22*(1-'Interest Rate'!$B$17))</f>
        <v>0</v>
      </c>
      <c r="AN22" s="658">
        <f>IF(AN$6&gt;$L22,0,AM22*(1-'Interest Rate'!$B$17))</f>
        <v>0</v>
      </c>
      <c r="AO22" s="658">
        <f>IF(AO$6&gt;$L22,0,AN22*(1-'Interest Rate'!$B$17))</f>
        <v>0</v>
      </c>
      <c r="AP22" s="658">
        <f>IF(AP$6&gt;$L22,0,AO22*(1-'Interest Rate'!$B$17))</f>
        <v>0</v>
      </c>
      <c r="AQ22" s="658">
        <f>IF(AQ$6&gt;$L22,0,AP22*(1-'Interest Rate'!$B$17))</f>
        <v>0</v>
      </c>
      <c r="AR22" s="658">
        <f>IF(AR$6&gt;$L22,0,AQ22*(1-'Interest Rate'!$B$17))</f>
        <v>0</v>
      </c>
      <c r="AS22" s="658">
        <f>IF(AS$6&gt;$L22,0,AR22*(1-'Interest Rate'!$B$17))</f>
        <v>0</v>
      </c>
      <c r="AT22" s="658">
        <f>IF(AT$6&gt;$L22,0,AS22*(1-'Interest Rate'!$B$17))</f>
        <v>0</v>
      </c>
      <c r="AU22" s="658">
        <f>IF(AU$6&gt;$L22,0,AT22*(1-'Interest Rate'!$B$17))</f>
        <v>0</v>
      </c>
      <c r="AV22" s="658">
        <f>IF(AV$6&gt;$L22,0,AU22*(1-'Interest Rate'!$B$17))</f>
        <v>0</v>
      </c>
      <c r="AW22" s="658">
        <f>IF(AW$6&gt;$L22,0,AV22*(1-'Interest Rate'!$B$17))</f>
        <v>0</v>
      </c>
      <c r="AX22" s="658">
        <f>IF(AX$6&gt;$L22,0,AW22*(1-'Interest Rate'!$B$17))</f>
        <v>0</v>
      </c>
      <c r="AY22" s="658">
        <f>IF(AY$6&gt;$L22,0,AX22*(1-'Interest Rate'!$B$17))</f>
        <v>0</v>
      </c>
      <c r="AZ22" s="658">
        <f>IF(AZ$6&gt;$L22,0,AY22*(1-'Interest Rate'!$B$17))</f>
        <v>0</v>
      </c>
      <c r="BA22" s="658">
        <f>IF(BA$6&gt;$L22,0,AZ22*(1-'Interest Rate'!$B$17))</f>
        <v>0</v>
      </c>
      <c r="BB22" s="658">
        <f>IF(BB$6&gt;$L22,0,BA22*(1-'Interest Rate'!$B$17))</f>
        <v>0</v>
      </c>
      <c r="BC22" s="658">
        <f>IF(BC$6&gt;$L22,0,BB22*(1-'Interest Rate'!$B$17))</f>
        <v>0</v>
      </c>
      <c r="BD22" s="658">
        <f>IF(BD$6&gt;$L22,0,BC22*(1-'Interest Rate'!$B$17))</f>
        <v>0</v>
      </c>
      <c r="BE22" s="658">
        <f>IF(BE$6&gt;$L22,0,BD22*(1-'Interest Rate'!$B$17))</f>
        <v>0</v>
      </c>
      <c r="BF22" s="658">
        <f>IF(BF$6&gt;$L22,0,BE22*(1-'Interest Rate'!$B$17))</f>
        <v>0</v>
      </c>
      <c r="BG22" s="658">
        <f>IF(BG$6&gt;$L22,0,BF22*(1-'Interest Rate'!$B$17))</f>
        <v>0</v>
      </c>
      <c r="BH22" s="658">
        <f>IF(BH$6&gt;$L22,0,BG22*(1-'Interest Rate'!$B$17))</f>
        <v>0</v>
      </c>
      <c r="BI22" s="658">
        <f>IF(BI$6&gt;$L22,0,BH22*(1-'Interest Rate'!$B$17))</f>
        <v>0</v>
      </c>
      <c r="BJ22" s="658">
        <f>IF(BJ$6&gt;$L22,0,BI22*(1-'Interest Rate'!$B$17))</f>
        <v>0</v>
      </c>
      <c r="BK22" s="658">
        <f>IF(BK$6&gt;$L22,0,BJ22*(1-'Interest Rate'!$B$17))</f>
        <v>0</v>
      </c>
      <c r="BL22" s="658">
        <f>IF(BL$6&gt;$L22,0,BK22*(1-'Interest Rate'!$B$17))</f>
        <v>0</v>
      </c>
      <c r="BM22" s="658">
        <f>IF(BM$6&gt;$L22,0,BL22*(1-'Interest Rate'!$B$17))</f>
        <v>0</v>
      </c>
      <c r="BN22" s="658">
        <f>IF(BN$6&gt;$L22,0,BM22*(1-'Interest Rate'!$B$17))</f>
        <v>0</v>
      </c>
      <c r="BO22" s="658">
        <f>IF(BO$6&gt;$L22,0,BN22*(1-'Interest Rate'!$B$17))</f>
        <v>0</v>
      </c>
      <c r="BP22" s="658">
        <f>IF(BP$6&gt;$L22,0,BO22*(1-'Interest Rate'!$B$17))</f>
        <v>0</v>
      </c>
      <c r="BQ22" s="658">
        <f>IF(BQ$6&gt;$L22,0,BP22*(1-'Interest Rate'!$B$17))</f>
        <v>0</v>
      </c>
      <c r="BR22" s="658">
        <f>IF(BR$6&gt;$L22,0,BQ22*(1-'Interest Rate'!$B$17))</f>
        <v>0</v>
      </c>
      <c r="BS22" s="658">
        <f>IF(BS$6&gt;$L22,0,BR22*(1-'Interest Rate'!$B$17))</f>
        <v>0</v>
      </c>
      <c r="BT22" s="658">
        <f>IF(BT$6&gt;$L22,0,BS22*(1-'Interest Rate'!$B$17))</f>
        <v>0</v>
      </c>
      <c r="BU22" s="658">
        <f>IF(BU$6&gt;$L22,0,BT22*(1-'Interest Rate'!$B$17))</f>
        <v>0</v>
      </c>
      <c r="BV22" s="658">
        <f>IF(BV$6&gt;$L22,0,BU22*(1-'Interest Rate'!$B$17))</f>
        <v>0</v>
      </c>
      <c r="BW22" s="658">
        <f>IF(BW$6&gt;$L22,0,BV22*(1-'Interest Rate'!$B$17))</f>
        <v>0</v>
      </c>
      <c r="BX22" s="658">
        <f>IF(BX$6&gt;$L22,0,BW22*(1-'Interest Rate'!$B$17))</f>
        <v>0</v>
      </c>
      <c r="BY22" s="658">
        <f>IF(BY$6&gt;$L22,0,BX22*(1-'Interest Rate'!$B$17))</f>
        <v>0</v>
      </c>
      <c r="BZ22" s="658">
        <f>IF(BZ$6&gt;$L22,0,BY22*(1-'Interest Rate'!$B$17))</f>
        <v>0</v>
      </c>
      <c r="CA22" s="658">
        <f>IF(CA$6&gt;$L22,0,BZ22*(1-'Interest Rate'!$B$17))</f>
        <v>0</v>
      </c>
      <c r="CB22" s="658">
        <f>IF(CB$6&gt;$L22,0,CA22*(1-'Interest Rate'!$B$17))</f>
        <v>0</v>
      </c>
      <c r="CC22" s="658">
        <f>IF(CC$6&gt;$L22,0,CB22*(1-'Interest Rate'!$B$17))</f>
        <v>0</v>
      </c>
      <c r="CD22" s="658">
        <f>IF(CD$6&gt;$L22,0,CC22*(1-'Interest Rate'!$B$17))</f>
        <v>0</v>
      </c>
      <c r="CE22" s="658">
        <f>IF(CE$6&gt;$L22,0,CD22*(1-'Interest Rate'!$B$17))</f>
        <v>0</v>
      </c>
      <c r="CF22" s="658">
        <f>IF(CF$6&gt;$L22,0,CE22*(1-'Interest Rate'!$B$17))</f>
        <v>0</v>
      </c>
      <c r="CG22" s="658">
        <f>IF(CG$6&gt;$L22,0,CF22*(1-'Interest Rate'!$B$17))</f>
        <v>0</v>
      </c>
      <c r="CH22" s="658">
        <f>IF(CH$6&gt;$L22,0,CG22*(1-'Interest Rate'!$B$17))</f>
        <v>0</v>
      </c>
      <c r="CI22" s="658">
        <f>IF(CI$6&gt;$L22,0,CH22*(1-'Interest Rate'!$B$17))</f>
        <v>0</v>
      </c>
      <c r="CJ22" s="658">
        <f>IF(CJ$6&gt;$L22,0,CI22*(1-'Interest Rate'!$B$17))</f>
        <v>0</v>
      </c>
      <c r="CK22" s="658">
        <f>IF(CK$6&gt;$L22,0,CJ22*(1-'Interest Rate'!$B$17))</f>
        <v>0</v>
      </c>
      <c r="CL22" s="658">
        <f>IF(CL$6&gt;$L22,0,CK22*(1-'Interest Rate'!$B$17))</f>
        <v>0</v>
      </c>
      <c r="CM22" s="658">
        <f>IF(CM$6&gt;$L22,0,CL22*(1-'Interest Rate'!$B$17))</f>
        <v>0</v>
      </c>
      <c r="CN22" s="658">
        <f>IF(CN$6&gt;$L22,0,CM22*(1-'Interest Rate'!$B$17))</f>
        <v>0</v>
      </c>
      <c r="CO22" s="658">
        <f>IF(CO$6&gt;$L22,0,CN22*(1-'Interest Rate'!$B$17))</f>
        <v>0</v>
      </c>
      <c r="CP22" s="658">
        <f>IF(CP$6&gt;$L22,0,CO22*(1-'Interest Rate'!$B$17))</f>
        <v>0</v>
      </c>
      <c r="CQ22" s="658">
        <f>IF(CQ$6&gt;$L22,0,CP22*(1-'Interest Rate'!$B$17))</f>
        <v>0</v>
      </c>
      <c r="CR22" s="658">
        <f>IF(CR$6&gt;$L22,0,CQ22*(1-'Interest Rate'!$B$17))</f>
        <v>0</v>
      </c>
      <c r="CS22" s="658">
        <f>IF(CS$6&gt;$L22,0,CR22*(1-'Interest Rate'!$B$17))</f>
        <v>0</v>
      </c>
      <c r="CT22" s="658">
        <f>IF(CT$6&gt;$L22,0,CS22*(1-'Interest Rate'!$B$17))</f>
        <v>0</v>
      </c>
      <c r="CU22" s="658">
        <f>IF(CU$6&gt;$L22,0,CT22*(1-'Interest Rate'!$B$17))</f>
        <v>0</v>
      </c>
      <c r="CV22" s="658">
        <f>IF(CV$6&gt;$L22,0,CU22*(1-'Interest Rate'!$B$17))</f>
        <v>0</v>
      </c>
      <c r="CW22" s="658">
        <f>IF(CW$6&gt;$L22,0,CV22*(1-'Interest Rate'!$B$17))</f>
        <v>0</v>
      </c>
      <c r="CX22" s="658">
        <f>IF(CX$6&gt;$L22,0,CW22*(1-'Interest Rate'!$B$17))</f>
        <v>0</v>
      </c>
      <c r="CY22" s="658">
        <f>IF(CY$6&gt;$L22,0,CX22*(1-'Interest Rate'!$B$17))</f>
        <v>0</v>
      </c>
      <c r="CZ22" s="658">
        <f>IF(CZ$6&gt;$L22,0,CY22*(1-'Interest Rate'!$B$17))</f>
        <v>0</v>
      </c>
      <c r="DA22" s="658">
        <f>IF(DA$6&gt;$L22,0,CZ22*(1-'Interest Rate'!$B$17))</f>
        <v>0</v>
      </c>
      <c r="DB22" s="658">
        <f>IF(DB$6&gt;$L22,0,DA22*(1-'Interest Rate'!$B$17))</f>
        <v>0</v>
      </c>
      <c r="DC22" s="658">
        <f>IF(DC$6&gt;$L22,0,DB22*(1-'Interest Rate'!$B$17))</f>
        <v>0</v>
      </c>
      <c r="DD22" s="658">
        <f>IF(DD$6&gt;$L22,0,DC22*(1-'Interest Rate'!$B$17))</f>
        <v>0</v>
      </c>
      <c r="DE22" s="658">
        <f>IF(DE$6&gt;$L22,0,DD22*(1-'Interest Rate'!$B$17))</f>
        <v>0</v>
      </c>
      <c r="DF22" s="658">
        <f>IF(DF$6&gt;$L22,0,DE22*(1-'Interest Rate'!$B$17))</f>
        <v>0</v>
      </c>
      <c r="DG22" s="658">
        <f>IF(DG$6&gt;$L22,0,DF22*(1-'Interest Rate'!$B$17))</f>
        <v>0</v>
      </c>
      <c r="DH22" s="658">
        <f>IF(DH$6&gt;$L22,0,DG22*(1-'Interest Rate'!$B$17))</f>
        <v>0</v>
      </c>
      <c r="DI22" s="658">
        <f>IF(DI$6&gt;$L22,0,DH22*(1-'Interest Rate'!$B$17))</f>
        <v>0</v>
      </c>
      <c r="DJ22" s="658">
        <f>IF(DJ$6&gt;$L22,0,DI22*(1-'Interest Rate'!$B$17))</f>
        <v>0</v>
      </c>
      <c r="DK22" s="658">
        <f>IF(DK$6&gt;$L22,0,DJ22*(1-'Interest Rate'!$B$17))</f>
        <v>0</v>
      </c>
      <c r="DL22" s="658">
        <f>IF(DL$6&gt;$L22,0,DK22*(1-'Interest Rate'!$B$17))</f>
        <v>0</v>
      </c>
      <c r="DM22" s="658">
        <f>IF(DM$6&gt;$L22,0,DL22*(1-'Interest Rate'!$B$17))</f>
        <v>0</v>
      </c>
      <c r="DN22" s="658">
        <f>IF(DN$6&gt;$L22,0,DM22*(1-'Interest Rate'!$B$17))</f>
        <v>0</v>
      </c>
      <c r="DO22" s="658">
        <f>IF(DO$6&gt;$L22,0,DN22*(1-'Interest Rate'!$B$17))</f>
        <v>0</v>
      </c>
      <c r="DP22" s="658">
        <f>IF(DP$6&gt;$L22,0,DO22*(1-'Interest Rate'!$B$17))</f>
        <v>0</v>
      </c>
      <c r="DQ22" s="658">
        <f>IF(DQ$6&gt;$L22,0,DP22*(1-'Interest Rate'!$B$17))</f>
        <v>0</v>
      </c>
      <c r="DR22" s="658">
        <f>IF(DR$6&gt;$L22,0,DQ22*(1-'Interest Rate'!$B$17))</f>
        <v>0</v>
      </c>
    </row>
    <row r="23" spans="1:122" ht="33" customHeight="1" x14ac:dyDescent="0.3">
      <c r="A23" s="647" t="str">
        <f>'EEM Data Entry'!A101</f>
        <v/>
      </c>
      <c r="B23" s="670" t="str">
        <f>'EEM Data Entry'!B101</f>
        <v/>
      </c>
      <c r="C23" s="649" t="str">
        <f>'EEM Data Entry'!F101</f>
        <v/>
      </c>
      <c r="D23" s="649">
        <v>0</v>
      </c>
      <c r="E23" s="649"/>
      <c r="F23" s="650">
        <f>('Cascading Savings'!D22*'Cascading Savings'!D$4)+('Cascading Savings'!F22*'Cascading Savings'!F$4)+('Cascading Savings'!H22*'Cascading Savings'!H$4)+('Cascading Savings'!J22*'Cascading Savings'!J$4)+('Cascading Savings'!L22*'Cascading Savings'!L$4)+('Cascading Savings'!N22*'Cascading Savings'!N$4)+('Cascading Savings'!P22*'Cascading Savings'!P$4)+('Cascading Savings'!R22*'Cascading Savings'!R$4)</f>
        <v>0</v>
      </c>
      <c r="G23" s="651">
        <f>'Cascading Savings'!T22</f>
        <v>0</v>
      </c>
      <c r="H23" s="652" t="e">
        <f t="shared" si="4"/>
        <v>#DIV/0!</v>
      </c>
      <c r="I23" s="653" t="e">
        <f t="shared" si="7"/>
        <v>#DIV/0!</v>
      </c>
      <c r="J23" s="654" t="e">
        <f t="shared" si="0"/>
        <v>#NUM!</v>
      </c>
      <c r="K23" s="655" t="e">
        <f>PV('Interest Rate'!$B$17,Table112[[#This Row],[Lifetime]],-Table112[[#This Row],[ANNUAL ENERGY COST SAVINGS]],Table112[[#This Row],[END-OF-LIFE]],0)-Table112[[#This Row],[CAPITAL INVESTMENT]]</f>
        <v>#VALUE!</v>
      </c>
      <c r="L23" s="653" t="str">
        <f>'EEM Data Entry'!C101</f>
        <v/>
      </c>
      <c r="M23" s="656" t="e">
        <f>Table112[[#This Row],[ANNUAL ENERGY COST SAVINGS]]/Table112[[#This Row],[CAPITAL INVESTMENT]]</f>
        <v>#VALUE!</v>
      </c>
      <c r="N23" s="794">
        <f>IF(ISNUMBER(Table112[[#This Row],[NPV]])=TRUE,Table112[[#This Row],[NPV]],0)</f>
        <v>0</v>
      </c>
      <c r="O23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23" s="568" t="str">
        <f>Table112[[#This Row],[Lifetime]]</f>
        <v/>
      </c>
      <c r="V23" s="657" t="str">
        <f t="shared" si="2"/>
        <v/>
      </c>
      <c r="W23" s="658">
        <f t="shared" si="1"/>
        <v>0</v>
      </c>
      <c r="X23" s="658">
        <f>IF(X$6&gt;$L23,0,W23*(1-'Interest Rate'!$B$17))</f>
        <v>0</v>
      </c>
      <c r="Y23" s="658">
        <f>IF(Y$6&gt;$L23,0,X23*(1-'Interest Rate'!$B$17))</f>
        <v>0</v>
      </c>
      <c r="Z23" s="658">
        <f>IF(Z$6&gt;$L23,0,Y23*(1-'Interest Rate'!$B$17))</f>
        <v>0</v>
      </c>
      <c r="AA23" s="658">
        <f>IF(AA$6&gt;$L23,0,Z23*(1-'Interest Rate'!$B$17))</f>
        <v>0</v>
      </c>
      <c r="AB23" s="658">
        <f>IF(AB$6&gt;$L23,0,AA23*(1-'Interest Rate'!$B$17))</f>
        <v>0</v>
      </c>
      <c r="AC23" s="658">
        <f>IF(AC$6&gt;$L23,0,AB23*(1-'Interest Rate'!$B$17))</f>
        <v>0</v>
      </c>
      <c r="AD23" s="658">
        <f>IF(AD$6&gt;$L23,0,AC23*(1-'Interest Rate'!$B$17))</f>
        <v>0</v>
      </c>
      <c r="AE23" s="658">
        <f>IF(AE$6&gt;$L23,0,AD23*(1-'Interest Rate'!$B$17))</f>
        <v>0</v>
      </c>
      <c r="AF23" s="658">
        <f>IF(AF$6&gt;$L23,0,AE23*(1-'Interest Rate'!$B$17))</f>
        <v>0</v>
      </c>
      <c r="AG23" s="658">
        <f>IF(AG$6&gt;$L23,0,AF23*(1-'Interest Rate'!$B$17))</f>
        <v>0</v>
      </c>
      <c r="AH23" s="658">
        <f>IF(AH$6&gt;$L23,0,AG23*(1-'Interest Rate'!$B$17))</f>
        <v>0</v>
      </c>
      <c r="AI23" s="658">
        <f>IF(AI$6&gt;$L23,0,AH23*(1-'Interest Rate'!$B$17))</f>
        <v>0</v>
      </c>
      <c r="AJ23" s="658">
        <f>IF(AJ$6&gt;$L23,0,AI23*(1-'Interest Rate'!$B$17))</f>
        <v>0</v>
      </c>
      <c r="AK23" s="658">
        <f>IF(AK$6&gt;$L23,0,AJ23*(1-'Interest Rate'!$B$17))</f>
        <v>0</v>
      </c>
      <c r="AL23" s="658">
        <f>IF(AL$6&gt;$L23,0,AK23*(1-'Interest Rate'!$B$17))</f>
        <v>0</v>
      </c>
      <c r="AM23" s="658">
        <f>IF(AM$6&gt;$L23,0,AL23*(1-'Interest Rate'!$B$17))</f>
        <v>0</v>
      </c>
      <c r="AN23" s="658">
        <f>IF(AN$6&gt;$L23,0,AM23*(1-'Interest Rate'!$B$17))</f>
        <v>0</v>
      </c>
      <c r="AO23" s="658">
        <f>IF(AO$6&gt;$L23,0,AN23*(1-'Interest Rate'!$B$17))</f>
        <v>0</v>
      </c>
      <c r="AP23" s="658">
        <f>IF(AP$6&gt;$L23,0,AO23*(1-'Interest Rate'!$B$17))</f>
        <v>0</v>
      </c>
      <c r="AQ23" s="658">
        <f>IF(AQ$6&gt;$L23,0,AP23*(1-'Interest Rate'!$B$17))</f>
        <v>0</v>
      </c>
      <c r="AR23" s="658">
        <f>IF(AR$6&gt;$L23,0,AQ23*(1-'Interest Rate'!$B$17))</f>
        <v>0</v>
      </c>
      <c r="AS23" s="658">
        <f>IF(AS$6&gt;$L23,0,AR23*(1-'Interest Rate'!$B$17))</f>
        <v>0</v>
      </c>
      <c r="AT23" s="658">
        <f>IF(AT$6&gt;$L23,0,AS23*(1-'Interest Rate'!$B$17))</f>
        <v>0</v>
      </c>
      <c r="AU23" s="658">
        <f>IF(AU$6&gt;$L23,0,AT23*(1-'Interest Rate'!$B$17))</f>
        <v>0</v>
      </c>
      <c r="AV23" s="658">
        <f>IF(AV$6&gt;$L23,0,AU23*(1-'Interest Rate'!$B$17))</f>
        <v>0</v>
      </c>
      <c r="AW23" s="658">
        <f>IF(AW$6&gt;$L23,0,AV23*(1-'Interest Rate'!$B$17))</f>
        <v>0</v>
      </c>
      <c r="AX23" s="658">
        <f>IF(AX$6&gt;$L23,0,AW23*(1-'Interest Rate'!$B$17))</f>
        <v>0</v>
      </c>
      <c r="AY23" s="658">
        <f>IF(AY$6&gt;$L23,0,AX23*(1-'Interest Rate'!$B$17))</f>
        <v>0</v>
      </c>
      <c r="AZ23" s="658">
        <f>IF(AZ$6&gt;$L23,0,AY23*(1-'Interest Rate'!$B$17))</f>
        <v>0</v>
      </c>
      <c r="BA23" s="658">
        <f>IF(BA$6&gt;$L23,0,AZ23*(1-'Interest Rate'!$B$17))</f>
        <v>0</v>
      </c>
      <c r="BB23" s="658">
        <f>IF(BB$6&gt;$L23,0,BA23*(1-'Interest Rate'!$B$17))</f>
        <v>0</v>
      </c>
      <c r="BC23" s="658">
        <f>IF(BC$6&gt;$L23,0,BB23*(1-'Interest Rate'!$B$17))</f>
        <v>0</v>
      </c>
      <c r="BD23" s="658">
        <f>IF(BD$6&gt;$L23,0,BC23*(1-'Interest Rate'!$B$17))</f>
        <v>0</v>
      </c>
      <c r="BE23" s="658">
        <f>IF(BE$6&gt;$L23,0,BD23*(1-'Interest Rate'!$B$17))</f>
        <v>0</v>
      </c>
      <c r="BF23" s="658">
        <f>IF(BF$6&gt;$L23,0,BE23*(1-'Interest Rate'!$B$17))</f>
        <v>0</v>
      </c>
      <c r="BG23" s="658">
        <f>IF(BG$6&gt;$L23,0,BF23*(1-'Interest Rate'!$B$17))</f>
        <v>0</v>
      </c>
      <c r="BH23" s="658">
        <f>IF(BH$6&gt;$L23,0,BG23*(1-'Interest Rate'!$B$17))</f>
        <v>0</v>
      </c>
      <c r="BI23" s="658">
        <f>IF(BI$6&gt;$L23,0,BH23*(1-'Interest Rate'!$B$17))</f>
        <v>0</v>
      </c>
      <c r="BJ23" s="658">
        <f>IF(BJ$6&gt;$L23,0,BI23*(1-'Interest Rate'!$B$17))</f>
        <v>0</v>
      </c>
      <c r="BK23" s="658">
        <f>IF(BK$6&gt;$L23,0,BJ23*(1-'Interest Rate'!$B$17))</f>
        <v>0</v>
      </c>
      <c r="BL23" s="658">
        <f>IF(BL$6&gt;$L23,0,BK23*(1-'Interest Rate'!$B$17))</f>
        <v>0</v>
      </c>
      <c r="BM23" s="658">
        <f>IF(BM$6&gt;$L23,0,BL23*(1-'Interest Rate'!$B$17))</f>
        <v>0</v>
      </c>
      <c r="BN23" s="658">
        <f>IF(BN$6&gt;$L23,0,BM23*(1-'Interest Rate'!$B$17))</f>
        <v>0</v>
      </c>
      <c r="BO23" s="658">
        <f>IF(BO$6&gt;$L23,0,BN23*(1-'Interest Rate'!$B$17))</f>
        <v>0</v>
      </c>
      <c r="BP23" s="658">
        <f>IF(BP$6&gt;$L23,0,BO23*(1-'Interest Rate'!$B$17))</f>
        <v>0</v>
      </c>
      <c r="BQ23" s="658">
        <f>IF(BQ$6&gt;$L23,0,BP23*(1-'Interest Rate'!$B$17))</f>
        <v>0</v>
      </c>
      <c r="BR23" s="658">
        <f>IF(BR$6&gt;$L23,0,BQ23*(1-'Interest Rate'!$B$17))</f>
        <v>0</v>
      </c>
      <c r="BS23" s="658">
        <f>IF(BS$6&gt;$L23,0,BR23*(1-'Interest Rate'!$B$17))</f>
        <v>0</v>
      </c>
      <c r="BT23" s="658">
        <f>IF(BT$6&gt;$L23,0,BS23*(1-'Interest Rate'!$B$17))</f>
        <v>0</v>
      </c>
      <c r="BU23" s="658">
        <f>IF(BU$6&gt;$L23,0,BT23*(1-'Interest Rate'!$B$17))</f>
        <v>0</v>
      </c>
      <c r="BV23" s="658">
        <f>IF(BV$6&gt;$L23,0,BU23*(1-'Interest Rate'!$B$17))</f>
        <v>0</v>
      </c>
      <c r="BW23" s="658">
        <f>IF(BW$6&gt;$L23,0,BV23*(1-'Interest Rate'!$B$17))</f>
        <v>0</v>
      </c>
      <c r="BX23" s="658">
        <f>IF(BX$6&gt;$L23,0,BW23*(1-'Interest Rate'!$B$17))</f>
        <v>0</v>
      </c>
      <c r="BY23" s="658">
        <f>IF(BY$6&gt;$L23,0,BX23*(1-'Interest Rate'!$B$17))</f>
        <v>0</v>
      </c>
      <c r="BZ23" s="658">
        <f>IF(BZ$6&gt;$L23,0,BY23*(1-'Interest Rate'!$B$17))</f>
        <v>0</v>
      </c>
      <c r="CA23" s="658">
        <f>IF(CA$6&gt;$L23,0,BZ23*(1-'Interest Rate'!$B$17))</f>
        <v>0</v>
      </c>
      <c r="CB23" s="658">
        <f>IF(CB$6&gt;$L23,0,CA23*(1-'Interest Rate'!$B$17))</f>
        <v>0</v>
      </c>
      <c r="CC23" s="658">
        <f>IF(CC$6&gt;$L23,0,CB23*(1-'Interest Rate'!$B$17))</f>
        <v>0</v>
      </c>
      <c r="CD23" s="658">
        <f>IF(CD$6&gt;$L23,0,CC23*(1-'Interest Rate'!$B$17))</f>
        <v>0</v>
      </c>
      <c r="CE23" s="658">
        <f>IF(CE$6&gt;$L23,0,CD23*(1-'Interest Rate'!$B$17))</f>
        <v>0</v>
      </c>
      <c r="CF23" s="658">
        <f>IF(CF$6&gt;$L23,0,CE23*(1-'Interest Rate'!$B$17))</f>
        <v>0</v>
      </c>
      <c r="CG23" s="658">
        <f>IF(CG$6&gt;$L23,0,CF23*(1-'Interest Rate'!$B$17))</f>
        <v>0</v>
      </c>
      <c r="CH23" s="658">
        <f>IF(CH$6&gt;$L23,0,CG23*(1-'Interest Rate'!$B$17))</f>
        <v>0</v>
      </c>
      <c r="CI23" s="658">
        <f>IF(CI$6&gt;$L23,0,CH23*(1-'Interest Rate'!$B$17))</f>
        <v>0</v>
      </c>
      <c r="CJ23" s="658">
        <f>IF(CJ$6&gt;$L23,0,CI23*(1-'Interest Rate'!$B$17))</f>
        <v>0</v>
      </c>
      <c r="CK23" s="658">
        <f>IF(CK$6&gt;$L23,0,CJ23*(1-'Interest Rate'!$B$17))</f>
        <v>0</v>
      </c>
      <c r="CL23" s="658">
        <f>IF(CL$6&gt;$L23,0,CK23*(1-'Interest Rate'!$B$17))</f>
        <v>0</v>
      </c>
      <c r="CM23" s="658">
        <f>IF(CM$6&gt;$L23,0,CL23*(1-'Interest Rate'!$B$17))</f>
        <v>0</v>
      </c>
      <c r="CN23" s="658">
        <f>IF(CN$6&gt;$L23,0,CM23*(1-'Interest Rate'!$B$17))</f>
        <v>0</v>
      </c>
      <c r="CO23" s="658">
        <f>IF(CO$6&gt;$L23,0,CN23*(1-'Interest Rate'!$B$17))</f>
        <v>0</v>
      </c>
      <c r="CP23" s="658">
        <f>IF(CP$6&gt;$L23,0,CO23*(1-'Interest Rate'!$B$17))</f>
        <v>0</v>
      </c>
      <c r="CQ23" s="658">
        <f>IF(CQ$6&gt;$L23,0,CP23*(1-'Interest Rate'!$B$17))</f>
        <v>0</v>
      </c>
      <c r="CR23" s="658">
        <f>IF(CR$6&gt;$L23,0,CQ23*(1-'Interest Rate'!$B$17))</f>
        <v>0</v>
      </c>
      <c r="CS23" s="658">
        <f>IF(CS$6&gt;$L23,0,CR23*(1-'Interest Rate'!$B$17))</f>
        <v>0</v>
      </c>
      <c r="CT23" s="658">
        <f>IF(CT$6&gt;$L23,0,CS23*(1-'Interest Rate'!$B$17))</f>
        <v>0</v>
      </c>
      <c r="CU23" s="658">
        <f>IF(CU$6&gt;$L23,0,CT23*(1-'Interest Rate'!$B$17))</f>
        <v>0</v>
      </c>
      <c r="CV23" s="658">
        <f>IF(CV$6&gt;$L23,0,CU23*(1-'Interest Rate'!$B$17))</f>
        <v>0</v>
      </c>
      <c r="CW23" s="658">
        <f>IF(CW$6&gt;$L23,0,CV23*(1-'Interest Rate'!$B$17))</f>
        <v>0</v>
      </c>
      <c r="CX23" s="658">
        <f>IF(CX$6&gt;$L23,0,CW23*(1-'Interest Rate'!$B$17))</f>
        <v>0</v>
      </c>
      <c r="CY23" s="658">
        <f>IF(CY$6&gt;$L23,0,CX23*(1-'Interest Rate'!$B$17))</f>
        <v>0</v>
      </c>
      <c r="CZ23" s="658">
        <f>IF(CZ$6&gt;$L23,0,CY23*(1-'Interest Rate'!$B$17))</f>
        <v>0</v>
      </c>
      <c r="DA23" s="658">
        <f>IF(DA$6&gt;$L23,0,CZ23*(1-'Interest Rate'!$B$17))</f>
        <v>0</v>
      </c>
      <c r="DB23" s="658">
        <f>IF(DB$6&gt;$L23,0,DA23*(1-'Interest Rate'!$B$17))</f>
        <v>0</v>
      </c>
      <c r="DC23" s="658">
        <f>IF(DC$6&gt;$L23,0,DB23*(1-'Interest Rate'!$B$17))</f>
        <v>0</v>
      </c>
      <c r="DD23" s="658">
        <f>IF(DD$6&gt;$L23,0,DC23*(1-'Interest Rate'!$B$17))</f>
        <v>0</v>
      </c>
      <c r="DE23" s="658">
        <f>IF(DE$6&gt;$L23,0,DD23*(1-'Interest Rate'!$B$17))</f>
        <v>0</v>
      </c>
      <c r="DF23" s="658">
        <f>IF(DF$6&gt;$L23,0,DE23*(1-'Interest Rate'!$B$17))</f>
        <v>0</v>
      </c>
      <c r="DG23" s="658">
        <f>IF(DG$6&gt;$L23,0,DF23*(1-'Interest Rate'!$B$17))</f>
        <v>0</v>
      </c>
      <c r="DH23" s="658">
        <f>IF(DH$6&gt;$L23,0,DG23*(1-'Interest Rate'!$B$17))</f>
        <v>0</v>
      </c>
      <c r="DI23" s="658">
        <f>IF(DI$6&gt;$L23,0,DH23*(1-'Interest Rate'!$B$17))</f>
        <v>0</v>
      </c>
      <c r="DJ23" s="658">
        <f>IF(DJ$6&gt;$L23,0,DI23*(1-'Interest Rate'!$B$17))</f>
        <v>0</v>
      </c>
      <c r="DK23" s="658">
        <f>IF(DK$6&gt;$L23,0,DJ23*(1-'Interest Rate'!$B$17))</f>
        <v>0</v>
      </c>
      <c r="DL23" s="658">
        <f>IF(DL$6&gt;$L23,0,DK23*(1-'Interest Rate'!$B$17))</f>
        <v>0</v>
      </c>
      <c r="DM23" s="658">
        <f>IF(DM$6&gt;$L23,0,DL23*(1-'Interest Rate'!$B$17))</f>
        <v>0</v>
      </c>
      <c r="DN23" s="658">
        <f>IF(DN$6&gt;$L23,0,DM23*(1-'Interest Rate'!$B$17))</f>
        <v>0</v>
      </c>
      <c r="DO23" s="658">
        <f>IF(DO$6&gt;$L23,0,DN23*(1-'Interest Rate'!$B$17))</f>
        <v>0</v>
      </c>
      <c r="DP23" s="658">
        <f>IF(DP$6&gt;$L23,0,DO23*(1-'Interest Rate'!$B$17))</f>
        <v>0</v>
      </c>
      <c r="DQ23" s="658">
        <f>IF(DQ$6&gt;$L23,0,DP23*(1-'Interest Rate'!$B$17))</f>
        <v>0</v>
      </c>
      <c r="DR23" s="658">
        <f>IF(DR$6&gt;$L23,0,DQ23*(1-'Interest Rate'!$B$17))</f>
        <v>0</v>
      </c>
    </row>
    <row r="24" spans="1:122" ht="33" customHeight="1" x14ac:dyDescent="0.3">
      <c r="A24" s="675" t="str">
        <f>'EEM Data Entry'!A102</f>
        <v/>
      </c>
      <c r="B24" s="660" t="str">
        <f>'EEM Data Entry'!B102</f>
        <v/>
      </c>
      <c r="C24" s="661" t="str">
        <f>'EEM Data Entry'!F102</f>
        <v/>
      </c>
      <c r="D24" s="661">
        <v>0</v>
      </c>
      <c r="E24" s="661" t="e">
        <f t="shared" si="6"/>
        <v>#VALUE!</v>
      </c>
      <c r="F24" s="662">
        <f>('Cascading Savings'!D23*'Cascading Savings'!D$4)+('Cascading Savings'!F23*'Cascading Savings'!F$4)+('Cascading Savings'!H23*'Cascading Savings'!H$4)+('Cascading Savings'!J23*'Cascading Savings'!J$4)+('Cascading Savings'!L23*'Cascading Savings'!L$4)+('Cascading Savings'!N23*'Cascading Savings'!N$4)+('Cascading Savings'!P23*'Cascading Savings'!P$4)+('Cascading Savings'!R23*'Cascading Savings'!R$4)</f>
        <v>0</v>
      </c>
      <c r="G24" s="663">
        <f>'Cascading Savings'!T23</f>
        <v>0</v>
      </c>
      <c r="H24" s="664" t="e">
        <f t="shared" si="4"/>
        <v>#VALUE!</v>
      </c>
      <c r="I24" s="665" t="e">
        <f t="shared" si="7"/>
        <v>#VALUE!</v>
      </c>
      <c r="J24" s="666" t="e">
        <f t="shared" si="0"/>
        <v>#NUM!</v>
      </c>
      <c r="K24" s="667" t="e">
        <f>PV('Interest Rate'!$B$17,Table112[[#This Row],[Lifetime]],-Table112[[#This Row],[ANNUAL ENERGY COST SAVINGS]],Table112[[#This Row],[END-OF-LIFE]],0)-Table112[[#This Row],[CAPITAL INVESTMENT]]</f>
        <v>#VALUE!</v>
      </c>
      <c r="L24" s="665" t="str">
        <f>'EEM Data Entry'!C102</f>
        <v/>
      </c>
      <c r="M24" s="676" t="e">
        <f>Table112[[#This Row],[ANNUAL ENERGY COST SAVINGS]]/Table112[[#This Row],[CAPITAL INVESTMENT]]</f>
        <v>#VALUE!</v>
      </c>
      <c r="N24" s="794">
        <f>IF(ISNUMBER(Table112[[#This Row],[NPV]])=TRUE,Table112[[#This Row],[NPV]],0)</f>
        <v>0</v>
      </c>
      <c r="O24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24" s="568" t="str">
        <f>Table112[[#This Row],[Lifetime]]</f>
        <v/>
      </c>
      <c r="V24" s="657" t="str">
        <f t="shared" si="2"/>
        <v/>
      </c>
      <c r="W24" s="658">
        <f t="shared" si="1"/>
        <v>0</v>
      </c>
      <c r="X24" s="658">
        <f>IF(X$6&gt;$L24,0,W24*(1-'Interest Rate'!$B$17))</f>
        <v>0</v>
      </c>
      <c r="Y24" s="658">
        <f>IF(Y$6&gt;$L24,0,X24*(1-'Interest Rate'!$B$17))</f>
        <v>0</v>
      </c>
      <c r="Z24" s="658">
        <f>IF(Z$6&gt;$L24,0,Y24*(1-'Interest Rate'!$B$17))</f>
        <v>0</v>
      </c>
      <c r="AA24" s="658">
        <f>IF(AA$6&gt;$L24,0,Z24*(1-'Interest Rate'!$B$17))</f>
        <v>0</v>
      </c>
      <c r="AB24" s="658">
        <f>IF(AB$6&gt;$L24,0,AA24*(1-'Interest Rate'!$B$17))</f>
        <v>0</v>
      </c>
      <c r="AC24" s="658">
        <f>IF(AC$6&gt;$L24,0,AB24*(1-'Interest Rate'!$B$17))</f>
        <v>0</v>
      </c>
      <c r="AD24" s="658">
        <f>IF(AD$6&gt;$L24,0,AC24*(1-'Interest Rate'!$B$17))</f>
        <v>0</v>
      </c>
      <c r="AE24" s="658">
        <f>IF(AE$6&gt;$L24,0,AD24*(1-'Interest Rate'!$B$17))</f>
        <v>0</v>
      </c>
      <c r="AF24" s="658">
        <f>IF(AF$6&gt;$L24,0,AE24*(1-'Interest Rate'!$B$17))</f>
        <v>0</v>
      </c>
      <c r="AG24" s="658">
        <f>IF(AG$6&gt;$L24,0,AF24*(1-'Interest Rate'!$B$17))</f>
        <v>0</v>
      </c>
      <c r="AH24" s="658">
        <f>IF(AH$6&gt;$L24,0,AG24*(1-'Interest Rate'!$B$17))</f>
        <v>0</v>
      </c>
      <c r="AI24" s="658">
        <f>IF(AI$6&gt;$L24,0,AH24*(1-'Interest Rate'!$B$17))</f>
        <v>0</v>
      </c>
      <c r="AJ24" s="658">
        <f>IF(AJ$6&gt;$L24,0,AI24*(1-'Interest Rate'!$B$17))</f>
        <v>0</v>
      </c>
      <c r="AK24" s="658">
        <f>IF(AK$6&gt;$L24,0,AJ24*(1-'Interest Rate'!$B$17))</f>
        <v>0</v>
      </c>
      <c r="AL24" s="658">
        <f>IF(AL$6&gt;$L24,0,AK24*(1-'Interest Rate'!$B$17))</f>
        <v>0</v>
      </c>
      <c r="AM24" s="658">
        <f>IF(AM$6&gt;$L24,0,AL24*(1-'Interest Rate'!$B$17))</f>
        <v>0</v>
      </c>
      <c r="AN24" s="658">
        <f>IF(AN$6&gt;$L24,0,AM24*(1-'Interest Rate'!$B$17))</f>
        <v>0</v>
      </c>
      <c r="AO24" s="658">
        <f>IF(AO$6&gt;$L24,0,AN24*(1-'Interest Rate'!$B$17))</f>
        <v>0</v>
      </c>
      <c r="AP24" s="658">
        <f>IF(AP$6&gt;$L24,0,AO24*(1-'Interest Rate'!$B$17))</f>
        <v>0</v>
      </c>
      <c r="AQ24" s="658">
        <f>IF(AQ$6&gt;$L24,0,AP24*(1-'Interest Rate'!$B$17))</f>
        <v>0</v>
      </c>
      <c r="AR24" s="658">
        <f>IF(AR$6&gt;$L24,0,AQ24*(1-'Interest Rate'!$B$17))</f>
        <v>0</v>
      </c>
      <c r="AS24" s="658">
        <f>IF(AS$6&gt;$L24,0,AR24*(1-'Interest Rate'!$B$17))</f>
        <v>0</v>
      </c>
      <c r="AT24" s="658">
        <f>IF(AT$6&gt;$L24,0,AS24*(1-'Interest Rate'!$B$17))</f>
        <v>0</v>
      </c>
      <c r="AU24" s="658">
        <f>IF(AU$6&gt;$L24,0,AT24*(1-'Interest Rate'!$B$17))</f>
        <v>0</v>
      </c>
      <c r="AV24" s="658">
        <f>IF(AV$6&gt;$L24,0,AU24*(1-'Interest Rate'!$B$17))</f>
        <v>0</v>
      </c>
      <c r="AW24" s="658">
        <f>IF(AW$6&gt;$L24,0,AV24*(1-'Interest Rate'!$B$17))</f>
        <v>0</v>
      </c>
      <c r="AX24" s="658">
        <f>IF(AX$6&gt;$L24,0,AW24*(1-'Interest Rate'!$B$17))</f>
        <v>0</v>
      </c>
      <c r="AY24" s="658">
        <f>IF(AY$6&gt;$L24,0,AX24*(1-'Interest Rate'!$B$17))</f>
        <v>0</v>
      </c>
      <c r="AZ24" s="658">
        <f>IF(AZ$6&gt;$L24,0,AY24*(1-'Interest Rate'!$B$17))</f>
        <v>0</v>
      </c>
      <c r="BA24" s="658">
        <f>IF(BA$6&gt;$L24,0,AZ24*(1-'Interest Rate'!$B$17))</f>
        <v>0</v>
      </c>
      <c r="BB24" s="658">
        <f>IF(BB$6&gt;$L24,0,BA24*(1-'Interest Rate'!$B$17))</f>
        <v>0</v>
      </c>
      <c r="BC24" s="658">
        <f>IF(BC$6&gt;$L24,0,BB24*(1-'Interest Rate'!$B$17))</f>
        <v>0</v>
      </c>
      <c r="BD24" s="658">
        <f>IF(BD$6&gt;$L24,0,BC24*(1-'Interest Rate'!$B$17))</f>
        <v>0</v>
      </c>
      <c r="BE24" s="658">
        <f>IF(BE$6&gt;$L24,0,BD24*(1-'Interest Rate'!$B$17))</f>
        <v>0</v>
      </c>
      <c r="BF24" s="658">
        <f>IF(BF$6&gt;$L24,0,BE24*(1-'Interest Rate'!$B$17))</f>
        <v>0</v>
      </c>
      <c r="BG24" s="658">
        <f>IF(BG$6&gt;$L24,0,BF24*(1-'Interest Rate'!$B$17))</f>
        <v>0</v>
      </c>
      <c r="BH24" s="658">
        <f>IF(BH$6&gt;$L24,0,BG24*(1-'Interest Rate'!$B$17))</f>
        <v>0</v>
      </c>
      <c r="BI24" s="658">
        <f>IF(BI$6&gt;$L24,0,BH24*(1-'Interest Rate'!$B$17))</f>
        <v>0</v>
      </c>
      <c r="BJ24" s="658">
        <f>IF(BJ$6&gt;$L24,0,BI24*(1-'Interest Rate'!$B$17))</f>
        <v>0</v>
      </c>
      <c r="BK24" s="658">
        <f>IF(BK$6&gt;$L24,0,BJ24*(1-'Interest Rate'!$B$17))</f>
        <v>0</v>
      </c>
      <c r="BL24" s="658">
        <f>IF(BL$6&gt;$L24,0,BK24*(1-'Interest Rate'!$B$17))</f>
        <v>0</v>
      </c>
      <c r="BM24" s="658">
        <f>IF(BM$6&gt;$L24,0,BL24*(1-'Interest Rate'!$B$17))</f>
        <v>0</v>
      </c>
      <c r="BN24" s="658">
        <f>IF(BN$6&gt;$L24,0,BM24*(1-'Interest Rate'!$B$17))</f>
        <v>0</v>
      </c>
      <c r="BO24" s="658">
        <f>IF(BO$6&gt;$L24,0,BN24*(1-'Interest Rate'!$B$17))</f>
        <v>0</v>
      </c>
      <c r="BP24" s="658">
        <f>IF(BP$6&gt;$L24,0,BO24*(1-'Interest Rate'!$B$17))</f>
        <v>0</v>
      </c>
      <c r="BQ24" s="658">
        <f>IF(BQ$6&gt;$L24,0,BP24*(1-'Interest Rate'!$B$17))</f>
        <v>0</v>
      </c>
      <c r="BR24" s="658">
        <f>IF(BR$6&gt;$L24,0,BQ24*(1-'Interest Rate'!$B$17))</f>
        <v>0</v>
      </c>
      <c r="BS24" s="658">
        <f>IF(BS$6&gt;$L24,0,BR24*(1-'Interest Rate'!$B$17))</f>
        <v>0</v>
      </c>
      <c r="BT24" s="658">
        <f>IF(BT$6&gt;$L24,0,BS24*(1-'Interest Rate'!$B$17))</f>
        <v>0</v>
      </c>
      <c r="BU24" s="658">
        <f>IF(BU$6&gt;$L24,0,BT24*(1-'Interest Rate'!$B$17))</f>
        <v>0</v>
      </c>
      <c r="BV24" s="658">
        <f>IF(BV$6&gt;$L24,0,BU24*(1-'Interest Rate'!$B$17))</f>
        <v>0</v>
      </c>
      <c r="BW24" s="658">
        <f>IF(BW$6&gt;$L24,0,BV24*(1-'Interest Rate'!$B$17))</f>
        <v>0</v>
      </c>
      <c r="BX24" s="658">
        <f>IF(BX$6&gt;$L24,0,BW24*(1-'Interest Rate'!$B$17))</f>
        <v>0</v>
      </c>
      <c r="BY24" s="658">
        <f>IF(BY$6&gt;$L24,0,BX24*(1-'Interest Rate'!$B$17))</f>
        <v>0</v>
      </c>
      <c r="BZ24" s="658">
        <f>IF(BZ$6&gt;$L24,0,BY24*(1-'Interest Rate'!$B$17))</f>
        <v>0</v>
      </c>
      <c r="CA24" s="658">
        <f>IF(CA$6&gt;$L24,0,BZ24*(1-'Interest Rate'!$B$17))</f>
        <v>0</v>
      </c>
      <c r="CB24" s="658">
        <f>IF(CB$6&gt;$L24,0,CA24*(1-'Interest Rate'!$B$17))</f>
        <v>0</v>
      </c>
      <c r="CC24" s="658">
        <f>IF(CC$6&gt;$L24,0,CB24*(1-'Interest Rate'!$B$17))</f>
        <v>0</v>
      </c>
      <c r="CD24" s="658">
        <f>IF(CD$6&gt;$L24,0,CC24*(1-'Interest Rate'!$B$17))</f>
        <v>0</v>
      </c>
      <c r="CE24" s="658">
        <f>IF(CE$6&gt;$L24,0,CD24*(1-'Interest Rate'!$B$17))</f>
        <v>0</v>
      </c>
      <c r="CF24" s="658">
        <f>IF(CF$6&gt;$L24,0,CE24*(1-'Interest Rate'!$B$17))</f>
        <v>0</v>
      </c>
      <c r="CG24" s="658">
        <f>IF(CG$6&gt;$L24,0,CF24*(1-'Interest Rate'!$B$17))</f>
        <v>0</v>
      </c>
      <c r="CH24" s="658">
        <f>IF(CH$6&gt;$L24,0,CG24*(1-'Interest Rate'!$B$17))</f>
        <v>0</v>
      </c>
      <c r="CI24" s="658">
        <f>IF(CI$6&gt;$L24,0,CH24*(1-'Interest Rate'!$B$17))</f>
        <v>0</v>
      </c>
      <c r="CJ24" s="658">
        <f>IF(CJ$6&gt;$L24,0,CI24*(1-'Interest Rate'!$B$17))</f>
        <v>0</v>
      </c>
      <c r="CK24" s="658">
        <f>IF(CK$6&gt;$L24,0,CJ24*(1-'Interest Rate'!$B$17))</f>
        <v>0</v>
      </c>
      <c r="CL24" s="658">
        <f>IF(CL$6&gt;$L24,0,CK24*(1-'Interest Rate'!$B$17))</f>
        <v>0</v>
      </c>
      <c r="CM24" s="658">
        <f>IF(CM$6&gt;$L24,0,CL24*(1-'Interest Rate'!$B$17))</f>
        <v>0</v>
      </c>
      <c r="CN24" s="658">
        <f>IF(CN$6&gt;$L24,0,CM24*(1-'Interest Rate'!$B$17))</f>
        <v>0</v>
      </c>
      <c r="CO24" s="658">
        <f>IF(CO$6&gt;$L24,0,CN24*(1-'Interest Rate'!$B$17))</f>
        <v>0</v>
      </c>
      <c r="CP24" s="658">
        <f>IF(CP$6&gt;$L24,0,CO24*(1-'Interest Rate'!$B$17))</f>
        <v>0</v>
      </c>
      <c r="CQ24" s="658">
        <f>IF(CQ$6&gt;$L24,0,CP24*(1-'Interest Rate'!$B$17))</f>
        <v>0</v>
      </c>
      <c r="CR24" s="658">
        <f>IF(CR$6&gt;$L24,0,CQ24*(1-'Interest Rate'!$B$17))</f>
        <v>0</v>
      </c>
      <c r="CS24" s="658">
        <f>IF(CS$6&gt;$L24,0,CR24*(1-'Interest Rate'!$B$17))</f>
        <v>0</v>
      </c>
      <c r="CT24" s="658">
        <f>IF(CT$6&gt;$L24,0,CS24*(1-'Interest Rate'!$B$17))</f>
        <v>0</v>
      </c>
      <c r="CU24" s="658">
        <f>IF(CU$6&gt;$L24,0,CT24*(1-'Interest Rate'!$B$17))</f>
        <v>0</v>
      </c>
      <c r="CV24" s="658">
        <f>IF(CV$6&gt;$L24,0,CU24*(1-'Interest Rate'!$B$17))</f>
        <v>0</v>
      </c>
      <c r="CW24" s="658">
        <f>IF(CW$6&gt;$L24,0,CV24*(1-'Interest Rate'!$B$17))</f>
        <v>0</v>
      </c>
      <c r="CX24" s="658">
        <f>IF(CX$6&gt;$L24,0,CW24*(1-'Interest Rate'!$B$17))</f>
        <v>0</v>
      </c>
      <c r="CY24" s="658">
        <f>IF(CY$6&gt;$L24,0,CX24*(1-'Interest Rate'!$B$17))</f>
        <v>0</v>
      </c>
      <c r="CZ24" s="658">
        <f>IF(CZ$6&gt;$L24,0,CY24*(1-'Interest Rate'!$B$17))</f>
        <v>0</v>
      </c>
      <c r="DA24" s="658">
        <f>IF(DA$6&gt;$L24,0,CZ24*(1-'Interest Rate'!$B$17))</f>
        <v>0</v>
      </c>
      <c r="DB24" s="658">
        <f>IF(DB$6&gt;$L24,0,DA24*(1-'Interest Rate'!$B$17))</f>
        <v>0</v>
      </c>
      <c r="DC24" s="658">
        <f>IF(DC$6&gt;$L24,0,DB24*(1-'Interest Rate'!$B$17))</f>
        <v>0</v>
      </c>
      <c r="DD24" s="658">
        <f>IF(DD$6&gt;$L24,0,DC24*(1-'Interest Rate'!$B$17))</f>
        <v>0</v>
      </c>
      <c r="DE24" s="658">
        <f>IF(DE$6&gt;$L24,0,DD24*(1-'Interest Rate'!$B$17))</f>
        <v>0</v>
      </c>
      <c r="DF24" s="658">
        <f>IF(DF$6&gt;$L24,0,DE24*(1-'Interest Rate'!$B$17))</f>
        <v>0</v>
      </c>
      <c r="DG24" s="658">
        <f>IF(DG$6&gt;$L24,0,DF24*(1-'Interest Rate'!$B$17))</f>
        <v>0</v>
      </c>
      <c r="DH24" s="658">
        <f>IF(DH$6&gt;$L24,0,DG24*(1-'Interest Rate'!$B$17))</f>
        <v>0</v>
      </c>
      <c r="DI24" s="658">
        <f>IF(DI$6&gt;$L24,0,DH24*(1-'Interest Rate'!$B$17))</f>
        <v>0</v>
      </c>
      <c r="DJ24" s="658">
        <f>IF(DJ$6&gt;$L24,0,DI24*(1-'Interest Rate'!$B$17))</f>
        <v>0</v>
      </c>
      <c r="DK24" s="658">
        <f>IF(DK$6&gt;$L24,0,DJ24*(1-'Interest Rate'!$B$17))</f>
        <v>0</v>
      </c>
      <c r="DL24" s="658">
        <f>IF(DL$6&gt;$L24,0,DK24*(1-'Interest Rate'!$B$17))</f>
        <v>0</v>
      </c>
      <c r="DM24" s="658">
        <f>IF(DM$6&gt;$L24,0,DL24*(1-'Interest Rate'!$B$17))</f>
        <v>0</v>
      </c>
      <c r="DN24" s="658">
        <f>IF(DN$6&gt;$L24,0,DM24*(1-'Interest Rate'!$B$17))</f>
        <v>0</v>
      </c>
      <c r="DO24" s="658">
        <f>IF(DO$6&gt;$L24,0,DN24*(1-'Interest Rate'!$B$17))</f>
        <v>0</v>
      </c>
      <c r="DP24" s="658">
        <f>IF(DP$6&gt;$L24,0,DO24*(1-'Interest Rate'!$B$17))</f>
        <v>0</v>
      </c>
      <c r="DQ24" s="658">
        <f>IF(DQ$6&gt;$L24,0,DP24*(1-'Interest Rate'!$B$17))</f>
        <v>0</v>
      </c>
      <c r="DR24" s="658">
        <f>IF(DR$6&gt;$L24,0,DQ24*(1-'Interest Rate'!$B$17))</f>
        <v>0</v>
      </c>
    </row>
    <row r="25" spans="1:122" ht="33" customHeight="1" x14ac:dyDescent="0.3">
      <c r="A25" s="647" t="str">
        <f>'EEM Data Entry'!A103</f>
        <v/>
      </c>
      <c r="B25" s="670" t="str">
        <f>'EEM Data Entry'!B103</f>
        <v/>
      </c>
      <c r="C25" s="649" t="str">
        <f>'EEM Data Entry'!F103</f>
        <v/>
      </c>
      <c r="D25" s="649">
        <v>0</v>
      </c>
      <c r="E25" s="649" t="e">
        <f t="shared" si="6"/>
        <v>#VALUE!</v>
      </c>
      <c r="F25" s="650">
        <f>('Cascading Savings'!D24*'Cascading Savings'!D$4)+('Cascading Savings'!F24*'Cascading Savings'!F$4)+('Cascading Savings'!H24*'Cascading Savings'!H$4)+('Cascading Savings'!J24*'Cascading Savings'!J$4)+('Cascading Savings'!L24*'Cascading Savings'!L$4)+('Cascading Savings'!N24*'Cascading Savings'!N$4)+('Cascading Savings'!P24*'Cascading Savings'!P$4)+('Cascading Savings'!R24*'Cascading Savings'!R$4)</f>
        <v>0</v>
      </c>
      <c r="G25" s="651">
        <f>'Cascading Savings'!T24</f>
        <v>0</v>
      </c>
      <c r="H25" s="652" t="e">
        <f t="shared" si="4"/>
        <v>#VALUE!</v>
      </c>
      <c r="I25" s="653" t="e">
        <f t="shared" ref="I25:I30" si="8">IF(H25=0, "n/a", IF(H25&gt;100, "no",IF(H25&lt;0, "no", "yes")))</f>
        <v>#VALUE!</v>
      </c>
      <c r="J25" s="654" t="e">
        <f t="shared" si="0"/>
        <v>#NUM!</v>
      </c>
      <c r="K25" s="655" t="e">
        <f>PV('Interest Rate'!$B$17,Table112[[#This Row],[Lifetime]],-Table112[[#This Row],[ANNUAL ENERGY COST SAVINGS]],Table112[[#This Row],[END-OF-LIFE]],0)-Table112[[#This Row],[CAPITAL INVESTMENT]]</f>
        <v>#VALUE!</v>
      </c>
      <c r="L25" s="653" t="str">
        <f>'EEM Data Entry'!C103</f>
        <v/>
      </c>
      <c r="M25" s="656" t="e">
        <f>Table112[[#This Row],[ANNUAL ENERGY COST SAVINGS]]/Table112[[#This Row],[CAPITAL INVESTMENT]]</f>
        <v>#VALUE!</v>
      </c>
      <c r="N25" s="794">
        <f>IF(ISNUMBER(Table112[[#This Row],[NPV]])=TRUE,Table112[[#This Row],[NPV]],0)</f>
        <v>0</v>
      </c>
      <c r="O25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25" s="568" t="str">
        <f>Table112[[#This Row],[Lifetime]]</f>
        <v/>
      </c>
      <c r="V25" s="657" t="str">
        <f t="shared" si="2"/>
        <v/>
      </c>
      <c r="W25" s="658">
        <f t="shared" si="1"/>
        <v>0</v>
      </c>
      <c r="X25" s="658">
        <f>IF(X$6&gt;$L25,0,W25*(1-'Interest Rate'!$B$17))</f>
        <v>0</v>
      </c>
      <c r="Y25" s="658">
        <f>IF(Y$6&gt;$L25,0,X25*(1-'Interest Rate'!$B$17))</f>
        <v>0</v>
      </c>
      <c r="Z25" s="658">
        <f>IF(Z$6&gt;$L25,0,Y25*(1-'Interest Rate'!$B$17))</f>
        <v>0</v>
      </c>
      <c r="AA25" s="658">
        <f>IF(AA$6&gt;$L25,0,Z25*(1-'Interest Rate'!$B$17))</f>
        <v>0</v>
      </c>
      <c r="AB25" s="658">
        <f>IF(AB$6&gt;$L25,0,AA25*(1-'Interest Rate'!$B$17))</f>
        <v>0</v>
      </c>
      <c r="AC25" s="658">
        <f>IF(AC$6&gt;$L25,0,AB25*(1-'Interest Rate'!$B$17))</f>
        <v>0</v>
      </c>
      <c r="AD25" s="658">
        <f>IF(AD$6&gt;$L25,0,AC25*(1-'Interest Rate'!$B$17))</f>
        <v>0</v>
      </c>
      <c r="AE25" s="658">
        <f>IF(AE$6&gt;$L25,0,AD25*(1-'Interest Rate'!$B$17))</f>
        <v>0</v>
      </c>
      <c r="AF25" s="658">
        <f>IF(AF$6&gt;$L25,0,AE25*(1-'Interest Rate'!$B$17))</f>
        <v>0</v>
      </c>
      <c r="AG25" s="658">
        <f>IF(AG$6&gt;$L25,0,AF25*(1-'Interest Rate'!$B$17))</f>
        <v>0</v>
      </c>
      <c r="AH25" s="658">
        <f>IF(AH$6&gt;$L25,0,AG25*(1-'Interest Rate'!$B$17))</f>
        <v>0</v>
      </c>
      <c r="AI25" s="658">
        <f>IF(AI$6&gt;$L25,0,AH25*(1-'Interest Rate'!$B$17))</f>
        <v>0</v>
      </c>
      <c r="AJ25" s="658">
        <f>IF(AJ$6&gt;$L25,0,AI25*(1-'Interest Rate'!$B$17))</f>
        <v>0</v>
      </c>
      <c r="AK25" s="658">
        <f>IF(AK$6&gt;$L25,0,AJ25*(1-'Interest Rate'!$B$17))</f>
        <v>0</v>
      </c>
      <c r="AL25" s="658">
        <f>IF(AL$6&gt;$L25,0,AK25*(1-'Interest Rate'!$B$17))</f>
        <v>0</v>
      </c>
      <c r="AM25" s="658">
        <f>IF(AM$6&gt;$L25,0,AL25*(1-'Interest Rate'!$B$17))</f>
        <v>0</v>
      </c>
      <c r="AN25" s="658">
        <f>IF(AN$6&gt;$L25,0,AM25*(1-'Interest Rate'!$B$17))</f>
        <v>0</v>
      </c>
      <c r="AO25" s="658">
        <f>IF(AO$6&gt;$L25,0,AN25*(1-'Interest Rate'!$B$17))</f>
        <v>0</v>
      </c>
      <c r="AP25" s="658">
        <f>IF(AP$6&gt;$L25,0,AO25*(1-'Interest Rate'!$B$17))</f>
        <v>0</v>
      </c>
      <c r="AQ25" s="658">
        <f>IF(AQ$6&gt;$L25,0,AP25*(1-'Interest Rate'!$B$17))</f>
        <v>0</v>
      </c>
      <c r="AR25" s="658">
        <f>IF(AR$6&gt;$L25,0,AQ25*(1-'Interest Rate'!$B$17))</f>
        <v>0</v>
      </c>
      <c r="AS25" s="658">
        <f>IF(AS$6&gt;$L25,0,AR25*(1-'Interest Rate'!$B$17))</f>
        <v>0</v>
      </c>
      <c r="AT25" s="658">
        <f>IF(AT$6&gt;$L25,0,AS25*(1-'Interest Rate'!$B$17))</f>
        <v>0</v>
      </c>
      <c r="AU25" s="658">
        <f>IF(AU$6&gt;$L25,0,AT25*(1-'Interest Rate'!$B$17))</f>
        <v>0</v>
      </c>
      <c r="AV25" s="658">
        <f>IF(AV$6&gt;$L25,0,AU25*(1-'Interest Rate'!$B$17))</f>
        <v>0</v>
      </c>
      <c r="AW25" s="658">
        <f>IF(AW$6&gt;$L25,0,AV25*(1-'Interest Rate'!$B$17))</f>
        <v>0</v>
      </c>
      <c r="AX25" s="658">
        <f>IF(AX$6&gt;$L25,0,AW25*(1-'Interest Rate'!$B$17))</f>
        <v>0</v>
      </c>
      <c r="AY25" s="658">
        <f>IF(AY$6&gt;$L25,0,AX25*(1-'Interest Rate'!$B$17))</f>
        <v>0</v>
      </c>
      <c r="AZ25" s="658">
        <f>IF(AZ$6&gt;$L25,0,AY25*(1-'Interest Rate'!$B$17))</f>
        <v>0</v>
      </c>
      <c r="BA25" s="658">
        <f>IF(BA$6&gt;$L25,0,AZ25*(1-'Interest Rate'!$B$17))</f>
        <v>0</v>
      </c>
      <c r="BB25" s="658">
        <f>IF(BB$6&gt;$L25,0,BA25*(1-'Interest Rate'!$B$17))</f>
        <v>0</v>
      </c>
      <c r="BC25" s="658">
        <f>IF(BC$6&gt;$L25,0,BB25*(1-'Interest Rate'!$B$17))</f>
        <v>0</v>
      </c>
      <c r="BD25" s="658">
        <f>IF(BD$6&gt;$L25,0,BC25*(1-'Interest Rate'!$B$17))</f>
        <v>0</v>
      </c>
      <c r="BE25" s="658">
        <f>IF(BE$6&gt;$L25,0,BD25*(1-'Interest Rate'!$B$17))</f>
        <v>0</v>
      </c>
      <c r="BF25" s="658">
        <f>IF(BF$6&gt;$L25,0,BE25*(1-'Interest Rate'!$B$17))</f>
        <v>0</v>
      </c>
      <c r="BG25" s="658">
        <f>IF(BG$6&gt;$L25,0,BF25*(1-'Interest Rate'!$B$17))</f>
        <v>0</v>
      </c>
      <c r="BH25" s="658">
        <f>IF(BH$6&gt;$L25,0,BG25*(1-'Interest Rate'!$B$17))</f>
        <v>0</v>
      </c>
      <c r="BI25" s="658">
        <f>IF(BI$6&gt;$L25,0,BH25*(1-'Interest Rate'!$B$17))</f>
        <v>0</v>
      </c>
      <c r="BJ25" s="658">
        <f>IF(BJ$6&gt;$L25,0,BI25*(1-'Interest Rate'!$B$17))</f>
        <v>0</v>
      </c>
      <c r="BK25" s="658">
        <f>IF(BK$6&gt;$L25,0,BJ25*(1-'Interest Rate'!$B$17))</f>
        <v>0</v>
      </c>
      <c r="BL25" s="658">
        <f>IF(BL$6&gt;$L25,0,BK25*(1-'Interest Rate'!$B$17))</f>
        <v>0</v>
      </c>
      <c r="BM25" s="658">
        <f>IF(BM$6&gt;$L25,0,BL25*(1-'Interest Rate'!$B$17))</f>
        <v>0</v>
      </c>
      <c r="BN25" s="658">
        <f>IF(BN$6&gt;$L25,0,BM25*(1-'Interest Rate'!$B$17))</f>
        <v>0</v>
      </c>
      <c r="BO25" s="658">
        <f>IF(BO$6&gt;$L25,0,BN25*(1-'Interest Rate'!$B$17))</f>
        <v>0</v>
      </c>
      <c r="BP25" s="658">
        <f>IF(BP$6&gt;$L25,0,BO25*(1-'Interest Rate'!$B$17))</f>
        <v>0</v>
      </c>
      <c r="BQ25" s="658">
        <f>IF(BQ$6&gt;$L25,0,BP25*(1-'Interest Rate'!$B$17))</f>
        <v>0</v>
      </c>
      <c r="BR25" s="658">
        <f>IF(BR$6&gt;$L25,0,BQ25*(1-'Interest Rate'!$B$17))</f>
        <v>0</v>
      </c>
      <c r="BS25" s="658">
        <f>IF(BS$6&gt;$L25,0,BR25*(1-'Interest Rate'!$B$17))</f>
        <v>0</v>
      </c>
      <c r="BT25" s="658">
        <f>IF(BT$6&gt;$L25,0,BS25*(1-'Interest Rate'!$B$17))</f>
        <v>0</v>
      </c>
      <c r="BU25" s="658">
        <f>IF(BU$6&gt;$L25,0,BT25*(1-'Interest Rate'!$B$17))</f>
        <v>0</v>
      </c>
      <c r="BV25" s="658">
        <f>IF(BV$6&gt;$L25,0,BU25*(1-'Interest Rate'!$B$17))</f>
        <v>0</v>
      </c>
      <c r="BW25" s="658">
        <f>IF(BW$6&gt;$L25,0,BV25*(1-'Interest Rate'!$B$17))</f>
        <v>0</v>
      </c>
      <c r="BX25" s="658">
        <f>IF(BX$6&gt;$L25,0,BW25*(1-'Interest Rate'!$B$17))</f>
        <v>0</v>
      </c>
      <c r="BY25" s="658">
        <f>IF(BY$6&gt;$L25,0,BX25*(1-'Interest Rate'!$B$17))</f>
        <v>0</v>
      </c>
      <c r="BZ25" s="658">
        <f>IF(BZ$6&gt;$L25,0,BY25*(1-'Interest Rate'!$B$17))</f>
        <v>0</v>
      </c>
      <c r="CA25" s="658">
        <f>IF(CA$6&gt;$L25,0,BZ25*(1-'Interest Rate'!$B$17))</f>
        <v>0</v>
      </c>
      <c r="CB25" s="658">
        <f>IF(CB$6&gt;$L25,0,CA25*(1-'Interest Rate'!$B$17))</f>
        <v>0</v>
      </c>
      <c r="CC25" s="658">
        <f>IF(CC$6&gt;$L25,0,CB25*(1-'Interest Rate'!$B$17))</f>
        <v>0</v>
      </c>
      <c r="CD25" s="658">
        <f>IF(CD$6&gt;$L25,0,CC25*(1-'Interest Rate'!$B$17))</f>
        <v>0</v>
      </c>
      <c r="CE25" s="658">
        <f>IF(CE$6&gt;$L25,0,CD25*(1-'Interest Rate'!$B$17))</f>
        <v>0</v>
      </c>
      <c r="CF25" s="658">
        <f>IF(CF$6&gt;$L25,0,CE25*(1-'Interest Rate'!$B$17))</f>
        <v>0</v>
      </c>
      <c r="CG25" s="658">
        <f>IF(CG$6&gt;$L25,0,CF25*(1-'Interest Rate'!$B$17))</f>
        <v>0</v>
      </c>
      <c r="CH25" s="658">
        <f>IF(CH$6&gt;$L25,0,CG25*(1-'Interest Rate'!$B$17))</f>
        <v>0</v>
      </c>
      <c r="CI25" s="658">
        <f>IF(CI$6&gt;$L25,0,CH25*(1-'Interest Rate'!$B$17))</f>
        <v>0</v>
      </c>
      <c r="CJ25" s="658">
        <f>IF(CJ$6&gt;$L25,0,CI25*(1-'Interest Rate'!$B$17))</f>
        <v>0</v>
      </c>
      <c r="CK25" s="658">
        <f>IF(CK$6&gt;$L25,0,CJ25*(1-'Interest Rate'!$B$17))</f>
        <v>0</v>
      </c>
      <c r="CL25" s="658">
        <f>IF(CL$6&gt;$L25,0,CK25*(1-'Interest Rate'!$B$17))</f>
        <v>0</v>
      </c>
      <c r="CM25" s="658">
        <f>IF(CM$6&gt;$L25,0,CL25*(1-'Interest Rate'!$B$17))</f>
        <v>0</v>
      </c>
      <c r="CN25" s="658">
        <f>IF(CN$6&gt;$L25,0,CM25*(1-'Interest Rate'!$B$17))</f>
        <v>0</v>
      </c>
      <c r="CO25" s="658">
        <f>IF(CO$6&gt;$L25,0,CN25*(1-'Interest Rate'!$B$17))</f>
        <v>0</v>
      </c>
      <c r="CP25" s="658">
        <f>IF(CP$6&gt;$L25,0,CO25*(1-'Interest Rate'!$B$17))</f>
        <v>0</v>
      </c>
      <c r="CQ25" s="658">
        <f>IF(CQ$6&gt;$L25,0,CP25*(1-'Interest Rate'!$B$17))</f>
        <v>0</v>
      </c>
      <c r="CR25" s="658">
        <f>IF(CR$6&gt;$L25,0,CQ25*(1-'Interest Rate'!$B$17))</f>
        <v>0</v>
      </c>
      <c r="CS25" s="658">
        <f>IF(CS$6&gt;$L25,0,CR25*(1-'Interest Rate'!$B$17))</f>
        <v>0</v>
      </c>
      <c r="CT25" s="658">
        <f>IF(CT$6&gt;$L25,0,CS25*(1-'Interest Rate'!$B$17))</f>
        <v>0</v>
      </c>
      <c r="CU25" s="658">
        <f>IF(CU$6&gt;$L25,0,CT25*(1-'Interest Rate'!$B$17))</f>
        <v>0</v>
      </c>
      <c r="CV25" s="658">
        <f>IF(CV$6&gt;$L25,0,CU25*(1-'Interest Rate'!$B$17))</f>
        <v>0</v>
      </c>
      <c r="CW25" s="658">
        <f>IF(CW$6&gt;$L25,0,CV25*(1-'Interest Rate'!$B$17))</f>
        <v>0</v>
      </c>
      <c r="CX25" s="658">
        <f>IF(CX$6&gt;$L25,0,CW25*(1-'Interest Rate'!$B$17))</f>
        <v>0</v>
      </c>
      <c r="CY25" s="658">
        <f>IF(CY$6&gt;$L25,0,CX25*(1-'Interest Rate'!$B$17))</f>
        <v>0</v>
      </c>
      <c r="CZ25" s="658">
        <f>IF(CZ$6&gt;$L25,0,CY25*(1-'Interest Rate'!$B$17))</f>
        <v>0</v>
      </c>
      <c r="DA25" s="658">
        <f>IF(DA$6&gt;$L25,0,CZ25*(1-'Interest Rate'!$B$17))</f>
        <v>0</v>
      </c>
      <c r="DB25" s="658">
        <f>IF(DB$6&gt;$L25,0,DA25*(1-'Interest Rate'!$B$17))</f>
        <v>0</v>
      </c>
      <c r="DC25" s="658">
        <f>IF(DC$6&gt;$L25,0,DB25*(1-'Interest Rate'!$B$17))</f>
        <v>0</v>
      </c>
      <c r="DD25" s="658">
        <f>IF(DD$6&gt;$L25,0,DC25*(1-'Interest Rate'!$B$17))</f>
        <v>0</v>
      </c>
      <c r="DE25" s="658">
        <f>IF(DE$6&gt;$L25,0,DD25*(1-'Interest Rate'!$B$17))</f>
        <v>0</v>
      </c>
      <c r="DF25" s="658">
        <f>IF(DF$6&gt;$L25,0,DE25*(1-'Interest Rate'!$B$17))</f>
        <v>0</v>
      </c>
      <c r="DG25" s="658">
        <f>IF(DG$6&gt;$L25,0,DF25*(1-'Interest Rate'!$B$17))</f>
        <v>0</v>
      </c>
      <c r="DH25" s="658">
        <f>IF(DH$6&gt;$L25,0,DG25*(1-'Interest Rate'!$B$17))</f>
        <v>0</v>
      </c>
      <c r="DI25" s="658">
        <f>IF(DI$6&gt;$L25,0,DH25*(1-'Interest Rate'!$B$17))</f>
        <v>0</v>
      </c>
      <c r="DJ25" s="658">
        <f>IF(DJ$6&gt;$L25,0,DI25*(1-'Interest Rate'!$B$17))</f>
        <v>0</v>
      </c>
      <c r="DK25" s="658">
        <f>IF(DK$6&gt;$L25,0,DJ25*(1-'Interest Rate'!$B$17))</f>
        <v>0</v>
      </c>
      <c r="DL25" s="658">
        <f>IF(DL$6&gt;$L25,0,DK25*(1-'Interest Rate'!$B$17))</f>
        <v>0</v>
      </c>
      <c r="DM25" s="658">
        <f>IF(DM$6&gt;$L25,0,DL25*(1-'Interest Rate'!$B$17))</f>
        <v>0</v>
      </c>
      <c r="DN25" s="658">
        <f>IF(DN$6&gt;$L25,0,DM25*(1-'Interest Rate'!$B$17))</f>
        <v>0</v>
      </c>
      <c r="DO25" s="658">
        <f>IF(DO$6&gt;$L25,0,DN25*(1-'Interest Rate'!$B$17))</f>
        <v>0</v>
      </c>
      <c r="DP25" s="658">
        <f>IF(DP$6&gt;$L25,0,DO25*(1-'Interest Rate'!$B$17))</f>
        <v>0</v>
      </c>
      <c r="DQ25" s="658">
        <f>IF(DQ$6&gt;$L25,0,DP25*(1-'Interest Rate'!$B$17))</f>
        <v>0</v>
      </c>
      <c r="DR25" s="658">
        <f>IF(DR$6&gt;$L25,0,DQ25*(1-'Interest Rate'!$B$17))</f>
        <v>0</v>
      </c>
    </row>
    <row r="26" spans="1:122" ht="33" customHeight="1" x14ac:dyDescent="0.3">
      <c r="A26" s="675" t="str">
        <f>'EEM Data Entry'!A104</f>
        <v/>
      </c>
      <c r="B26" s="660" t="str">
        <f>'EEM Data Entry'!B104</f>
        <v/>
      </c>
      <c r="C26" s="661" t="str">
        <f>'EEM Data Entry'!F104</f>
        <v/>
      </c>
      <c r="D26" s="661">
        <v>0</v>
      </c>
      <c r="E26" s="661" t="e">
        <f t="shared" si="6"/>
        <v>#VALUE!</v>
      </c>
      <c r="F26" s="662">
        <f>('Cascading Savings'!D25*'Cascading Savings'!D$4)+('Cascading Savings'!F25*'Cascading Savings'!F$4)+('Cascading Savings'!H25*'Cascading Savings'!H$4)+('Cascading Savings'!J25*'Cascading Savings'!J$4)+('Cascading Savings'!L25*'Cascading Savings'!L$4)+('Cascading Savings'!N25*'Cascading Savings'!N$4)+('Cascading Savings'!P25*'Cascading Savings'!P$4)+('Cascading Savings'!R25*'Cascading Savings'!R$4)</f>
        <v>0</v>
      </c>
      <c r="G26" s="663">
        <f>'Cascading Savings'!T25</f>
        <v>0</v>
      </c>
      <c r="H26" s="664" t="e">
        <f t="shared" si="4"/>
        <v>#VALUE!</v>
      </c>
      <c r="I26" s="665" t="e">
        <f t="shared" si="8"/>
        <v>#VALUE!</v>
      </c>
      <c r="J26" s="666" t="e">
        <f t="shared" si="0"/>
        <v>#NUM!</v>
      </c>
      <c r="K26" s="667" t="e">
        <f>PV('Interest Rate'!$B$17,Table112[[#This Row],[Lifetime]],-Table112[[#This Row],[ANNUAL ENERGY COST SAVINGS]],Table112[[#This Row],[END-OF-LIFE]],0)-Table112[[#This Row],[CAPITAL INVESTMENT]]</f>
        <v>#VALUE!</v>
      </c>
      <c r="L26" s="665" t="str">
        <f>'EEM Data Entry'!C104</f>
        <v/>
      </c>
      <c r="M26" s="676" t="e">
        <f>Table112[[#This Row],[ANNUAL ENERGY COST SAVINGS]]/Table112[[#This Row],[CAPITAL INVESTMENT]]</f>
        <v>#VALUE!</v>
      </c>
      <c r="N26" s="794">
        <f>IF(ISNUMBER(Table112[[#This Row],[NPV]])=TRUE,Table112[[#This Row],[NPV]],0)</f>
        <v>0</v>
      </c>
      <c r="O26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26" s="568" t="str">
        <f>Table112[[#This Row],[Lifetime]]</f>
        <v/>
      </c>
      <c r="V26" s="657" t="str">
        <f t="shared" si="2"/>
        <v/>
      </c>
      <c r="W26" s="658">
        <f t="shared" si="1"/>
        <v>0</v>
      </c>
      <c r="X26" s="658">
        <f>IF(X$6&gt;$L26,0,W26*(1-'Interest Rate'!$B$17))</f>
        <v>0</v>
      </c>
      <c r="Y26" s="658">
        <f>IF(Y$6&gt;$L26,0,X26*(1-'Interest Rate'!$B$17))</f>
        <v>0</v>
      </c>
      <c r="Z26" s="658">
        <f>IF(Z$6&gt;$L26,0,Y26*(1-'Interest Rate'!$B$17))</f>
        <v>0</v>
      </c>
      <c r="AA26" s="658">
        <f>IF(AA$6&gt;$L26,0,Z26*(1-'Interest Rate'!$B$17))</f>
        <v>0</v>
      </c>
      <c r="AB26" s="658">
        <f>IF(AB$6&gt;$L26,0,AA26*(1-'Interest Rate'!$B$17))</f>
        <v>0</v>
      </c>
      <c r="AC26" s="658">
        <f>IF(AC$6&gt;$L26,0,AB26*(1-'Interest Rate'!$B$17))</f>
        <v>0</v>
      </c>
      <c r="AD26" s="658">
        <f>IF(AD$6&gt;$L26,0,AC26*(1-'Interest Rate'!$B$17))</f>
        <v>0</v>
      </c>
      <c r="AE26" s="658">
        <f>IF(AE$6&gt;$L26,0,AD26*(1-'Interest Rate'!$B$17))</f>
        <v>0</v>
      </c>
      <c r="AF26" s="658">
        <f>IF(AF$6&gt;$L26,0,AE26*(1-'Interest Rate'!$B$17))</f>
        <v>0</v>
      </c>
      <c r="AG26" s="658">
        <f>IF(AG$6&gt;$L26,0,AF26*(1-'Interest Rate'!$B$17))</f>
        <v>0</v>
      </c>
      <c r="AH26" s="658">
        <f>IF(AH$6&gt;$L26,0,AG26*(1-'Interest Rate'!$B$17))</f>
        <v>0</v>
      </c>
      <c r="AI26" s="658">
        <f>IF(AI$6&gt;$L26,0,AH26*(1-'Interest Rate'!$B$17))</f>
        <v>0</v>
      </c>
      <c r="AJ26" s="658">
        <f>IF(AJ$6&gt;$L26,0,AI26*(1-'Interest Rate'!$B$17))</f>
        <v>0</v>
      </c>
      <c r="AK26" s="658">
        <f>IF(AK$6&gt;$L26,0,AJ26*(1-'Interest Rate'!$B$17))</f>
        <v>0</v>
      </c>
      <c r="AL26" s="658">
        <f>IF(AL$6&gt;$L26,0,AK26*(1-'Interest Rate'!$B$17))</f>
        <v>0</v>
      </c>
      <c r="AM26" s="658">
        <f>IF(AM$6&gt;$L26,0,AL26*(1-'Interest Rate'!$B$17))</f>
        <v>0</v>
      </c>
      <c r="AN26" s="658">
        <f>IF(AN$6&gt;$L26,0,AM26*(1-'Interest Rate'!$B$17))</f>
        <v>0</v>
      </c>
      <c r="AO26" s="658">
        <f>IF(AO$6&gt;$L26,0,AN26*(1-'Interest Rate'!$B$17))</f>
        <v>0</v>
      </c>
      <c r="AP26" s="658">
        <f>IF(AP$6&gt;$L26,0,AO26*(1-'Interest Rate'!$B$17))</f>
        <v>0</v>
      </c>
      <c r="AQ26" s="658">
        <f>IF(AQ$6&gt;$L26,0,AP26*(1-'Interest Rate'!$B$17))</f>
        <v>0</v>
      </c>
      <c r="AR26" s="658">
        <f>IF(AR$6&gt;$L26,0,AQ26*(1-'Interest Rate'!$B$17))</f>
        <v>0</v>
      </c>
      <c r="AS26" s="658">
        <f>IF(AS$6&gt;$L26,0,AR26*(1-'Interest Rate'!$B$17))</f>
        <v>0</v>
      </c>
      <c r="AT26" s="658">
        <f>IF(AT$6&gt;$L26,0,AS26*(1-'Interest Rate'!$B$17))</f>
        <v>0</v>
      </c>
      <c r="AU26" s="658">
        <f>IF(AU$6&gt;$L26,0,AT26*(1-'Interest Rate'!$B$17))</f>
        <v>0</v>
      </c>
      <c r="AV26" s="658">
        <f>IF(AV$6&gt;$L26,0,AU26*(1-'Interest Rate'!$B$17))</f>
        <v>0</v>
      </c>
      <c r="AW26" s="658">
        <f>IF(AW$6&gt;$L26,0,AV26*(1-'Interest Rate'!$B$17))</f>
        <v>0</v>
      </c>
      <c r="AX26" s="658">
        <f>IF(AX$6&gt;$L26,0,AW26*(1-'Interest Rate'!$B$17))</f>
        <v>0</v>
      </c>
      <c r="AY26" s="658">
        <f>IF(AY$6&gt;$L26,0,AX26*(1-'Interest Rate'!$B$17))</f>
        <v>0</v>
      </c>
      <c r="AZ26" s="658">
        <f>IF(AZ$6&gt;$L26,0,AY26*(1-'Interest Rate'!$B$17))</f>
        <v>0</v>
      </c>
      <c r="BA26" s="658">
        <f>IF(BA$6&gt;$L26,0,AZ26*(1-'Interest Rate'!$B$17))</f>
        <v>0</v>
      </c>
      <c r="BB26" s="658">
        <f>IF(BB$6&gt;$L26,0,BA26*(1-'Interest Rate'!$B$17))</f>
        <v>0</v>
      </c>
      <c r="BC26" s="658">
        <f>IF(BC$6&gt;$L26,0,BB26*(1-'Interest Rate'!$B$17))</f>
        <v>0</v>
      </c>
      <c r="BD26" s="658">
        <f>IF(BD$6&gt;$L26,0,BC26*(1-'Interest Rate'!$B$17))</f>
        <v>0</v>
      </c>
      <c r="BE26" s="658">
        <f>IF(BE$6&gt;$L26,0,BD26*(1-'Interest Rate'!$B$17))</f>
        <v>0</v>
      </c>
      <c r="BF26" s="658">
        <f>IF(BF$6&gt;$L26,0,BE26*(1-'Interest Rate'!$B$17))</f>
        <v>0</v>
      </c>
      <c r="BG26" s="658">
        <f>IF(BG$6&gt;$L26,0,BF26*(1-'Interest Rate'!$B$17))</f>
        <v>0</v>
      </c>
      <c r="BH26" s="658">
        <f>IF(BH$6&gt;$L26,0,BG26*(1-'Interest Rate'!$B$17))</f>
        <v>0</v>
      </c>
      <c r="BI26" s="658">
        <f>IF(BI$6&gt;$L26,0,BH26*(1-'Interest Rate'!$B$17))</f>
        <v>0</v>
      </c>
      <c r="BJ26" s="658">
        <f>IF(BJ$6&gt;$L26,0,BI26*(1-'Interest Rate'!$B$17))</f>
        <v>0</v>
      </c>
      <c r="BK26" s="658">
        <f>IF(BK$6&gt;$L26,0,BJ26*(1-'Interest Rate'!$B$17))</f>
        <v>0</v>
      </c>
      <c r="BL26" s="658">
        <f>IF(BL$6&gt;$L26,0,BK26*(1-'Interest Rate'!$B$17))</f>
        <v>0</v>
      </c>
      <c r="BM26" s="658">
        <f>IF(BM$6&gt;$L26,0,BL26*(1-'Interest Rate'!$B$17))</f>
        <v>0</v>
      </c>
      <c r="BN26" s="658">
        <f>IF(BN$6&gt;$L26,0,BM26*(1-'Interest Rate'!$B$17))</f>
        <v>0</v>
      </c>
      <c r="BO26" s="658">
        <f>IF(BO$6&gt;$L26,0,BN26*(1-'Interest Rate'!$B$17))</f>
        <v>0</v>
      </c>
      <c r="BP26" s="658">
        <f>IF(BP$6&gt;$L26,0,BO26*(1-'Interest Rate'!$B$17))</f>
        <v>0</v>
      </c>
      <c r="BQ26" s="658">
        <f>IF(BQ$6&gt;$L26,0,BP26*(1-'Interest Rate'!$B$17))</f>
        <v>0</v>
      </c>
      <c r="BR26" s="658">
        <f>IF(BR$6&gt;$L26,0,BQ26*(1-'Interest Rate'!$B$17))</f>
        <v>0</v>
      </c>
      <c r="BS26" s="658">
        <f>IF(BS$6&gt;$L26,0,BR26*(1-'Interest Rate'!$B$17))</f>
        <v>0</v>
      </c>
      <c r="BT26" s="658">
        <f>IF(BT$6&gt;$L26,0,BS26*(1-'Interest Rate'!$B$17))</f>
        <v>0</v>
      </c>
      <c r="BU26" s="658">
        <f>IF(BU$6&gt;$L26,0,BT26*(1-'Interest Rate'!$B$17))</f>
        <v>0</v>
      </c>
      <c r="BV26" s="658">
        <f>IF(BV$6&gt;$L26,0,BU26*(1-'Interest Rate'!$B$17))</f>
        <v>0</v>
      </c>
      <c r="BW26" s="658">
        <f>IF(BW$6&gt;$L26,0,BV26*(1-'Interest Rate'!$B$17))</f>
        <v>0</v>
      </c>
      <c r="BX26" s="658">
        <f>IF(BX$6&gt;$L26,0,BW26*(1-'Interest Rate'!$B$17))</f>
        <v>0</v>
      </c>
      <c r="BY26" s="658">
        <f>IF(BY$6&gt;$L26,0,BX26*(1-'Interest Rate'!$B$17))</f>
        <v>0</v>
      </c>
      <c r="BZ26" s="658">
        <f>IF(BZ$6&gt;$L26,0,BY26*(1-'Interest Rate'!$B$17))</f>
        <v>0</v>
      </c>
      <c r="CA26" s="658">
        <f>IF(CA$6&gt;$L26,0,BZ26*(1-'Interest Rate'!$B$17))</f>
        <v>0</v>
      </c>
      <c r="CB26" s="658">
        <f>IF(CB$6&gt;$L26,0,CA26*(1-'Interest Rate'!$B$17))</f>
        <v>0</v>
      </c>
      <c r="CC26" s="658">
        <f>IF(CC$6&gt;$L26,0,CB26*(1-'Interest Rate'!$B$17))</f>
        <v>0</v>
      </c>
      <c r="CD26" s="658">
        <f>IF(CD$6&gt;$L26,0,CC26*(1-'Interest Rate'!$B$17))</f>
        <v>0</v>
      </c>
      <c r="CE26" s="658">
        <f>IF(CE$6&gt;$L26,0,CD26*(1-'Interest Rate'!$B$17))</f>
        <v>0</v>
      </c>
      <c r="CF26" s="658">
        <f>IF(CF$6&gt;$L26,0,CE26*(1-'Interest Rate'!$B$17))</f>
        <v>0</v>
      </c>
      <c r="CG26" s="658">
        <f>IF(CG$6&gt;$L26,0,CF26*(1-'Interest Rate'!$B$17))</f>
        <v>0</v>
      </c>
      <c r="CH26" s="658">
        <f>IF(CH$6&gt;$L26,0,CG26*(1-'Interest Rate'!$B$17))</f>
        <v>0</v>
      </c>
      <c r="CI26" s="658">
        <f>IF(CI$6&gt;$L26,0,CH26*(1-'Interest Rate'!$B$17))</f>
        <v>0</v>
      </c>
      <c r="CJ26" s="658">
        <f>IF(CJ$6&gt;$L26,0,CI26*(1-'Interest Rate'!$B$17))</f>
        <v>0</v>
      </c>
      <c r="CK26" s="658">
        <f>IF(CK$6&gt;$L26,0,CJ26*(1-'Interest Rate'!$B$17))</f>
        <v>0</v>
      </c>
      <c r="CL26" s="658">
        <f>IF(CL$6&gt;$L26,0,CK26*(1-'Interest Rate'!$B$17))</f>
        <v>0</v>
      </c>
      <c r="CM26" s="658">
        <f>IF(CM$6&gt;$L26,0,CL26*(1-'Interest Rate'!$B$17))</f>
        <v>0</v>
      </c>
      <c r="CN26" s="658">
        <f>IF(CN$6&gt;$L26,0,CM26*(1-'Interest Rate'!$B$17))</f>
        <v>0</v>
      </c>
      <c r="CO26" s="658">
        <f>IF(CO$6&gt;$L26,0,CN26*(1-'Interest Rate'!$B$17))</f>
        <v>0</v>
      </c>
      <c r="CP26" s="658">
        <f>IF(CP$6&gt;$L26,0,CO26*(1-'Interest Rate'!$B$17))</f>
        <v>0</v>
      </c>
      <c r="CQ26" s="658">
        <f>IF(CQ$6&gt;$L26,0,CP26*(1-'Interest Rate'!$B$17))</f>
        <v>0</v>
      </c>
      <c r="CR26" s="658">
        <f>IF(CR$6&gt;$L26,0,CQ26*(1-'Interest Rate'!$B$17))</f>
        <v>0</v>
      </c>
      <c r="CS26" s="658">
        <f>IF(CS$6&gt;$L26,0,CR26*(1-'Interest Rate'!$B$17))</f>
        <v>0</v>
      </c>
      <c r="CT26" s="658">
        <f>IF(CT$6&gt;$L26,0,CS26*(1-'Interest Rate'!$B$17))</f>
        <v>0</v>
      </c>
      <c r="CU26" s="658">
        <f>IF(CU$6&gt;$L26,0,CT26*(1-'Interest Rate'!$B$17))</f>
        <v>0</v>
      </c>
      <c r="CV26" s="658">
        <f>IF(CV$6&gt;$L26,0,CU26*(1-'Interest Rate'!$B$17))</f>
        <v>0</v>
      </c>
      <c r="CW26" s="658">
        <f>IF(CW$6&gt;$L26,0,CV26*(1-'Interest Rate'!$B$17))</f>
        <v>0</v>
      </c>
      <c r="CX26" s="658">
        <f>IF(CX$6&gt;$L26,0,CW26*(1-'Interest Rate'!$B$17))</f>
        <v>0</v>
      </c>
      <c r="CY26" s="658">
        <f>IF(CY$6&gt;$L26,0,CX26*(1-'Interest Rate'!$B$17))</f>
        <v>0</v>
      </c>
      <c r="CZ26" s="658">
        <f>IF(CZ$6&gt;$L26,0,CY26*(1-'Interest Rate'!$B$17))</f>
        <v>0</v>
      </c>
      <c r="DA26" s="658">
        <f>IF(DA$6&gt;$L26,0,CZ26*(1-'Interest Rate'!$B$17))</f>
        <v>0</v>
      </c>
      <c r="DB26" s="658">
        <f>IF(DB$6&gt;$L26,0,DA26*(1-'Interest Rate'!$B$17))</f>
        <v>0</v>
      </c>
      <c r="DC26" s="658">
        <f>IF(DC$6&gt;$L26,0,DB26*(1-'Interest Rate'!$B$17))</f>
        <v>0</v>
      </c>
      <c r="DD26" s="658">
        <f>IF(DD$6&gt;$L26,0,DC26*(1-'Interest Rate'!$B$17))</f>
        <v>0</v>
      </c>
      <c r="DE26" s="658">
        <f>IF(DE$6&gt;$L26,0,DD26*(1-'Interest Rate'!$B$17))</f>
        <v>0</v>
      </c>
      <c r="DF26" s="658">
        <f>IF(DF$6&gt;$L26,0,DE26*(1-'Interest Rate'!$B$17))</f>
        <v>0</v>
      </c>
      <c r="DG26" s="658">
        <f>IF(DG$6&gt;$L26,0,DF26*(1-'Interest Rate'!$B$17))</f>
        <v>0</v>
      </c>
      <c r="DH26" s="658">
        <f>IF(DH$6&gt;$L26,0,DG26*(1-'Interest Rate'!$B$17))</f>
        <v>0</v>
      </c>
      <c r="DI26" s="658">
        <f>IF(DI$6&gt;$L26,0,DH26*(1-'Interest Rate'!$B$17))</f>
        <v>0</v>
      </c>
      <c r="DJ26" s="658">
        <f>IF(DJ$6&gt;$L26,0,DI26*(1-'Interest Rate'!$B$17))</f>
        <v>0</v>
      </c>
      <c r="DK26" s="658">
        <f>IF(DK$6&gt;$L26,0,DJ26*(1-'Interest Rate'!$B$17))</f>
        <v>0</v>
      </c>
      <c r="DL26" s="658">
        <f>IF(DL$6&gt;$L26,0,DK26*(1-'Interest Rate'!$B$17))</f>
        <v>0</v>
      </c>
      <c r="DM26" s="658">
        <f>IF(DM$6&gt;$L26,0,DL26*(1-'Interest Rate'!$B$17))</f>
        <v>0</v>
      </c>
      <c r="DN26" s="658">
        <f>IF(DN$6&gt;$L26,0,DM26*(1-'Interest Rate'!$B$17))</f>
        <v>0</v>
      </c>
      <c r="DO26" s="658">
        <f>IF(DO$6&gt;$L26,0,DN26*(1-'Interest Rate'!$B$17))</f>
        <v>0</v>
      </c>
      <c r="DP26" s="658">
        <f>IF(DP$6&gt;$L26,0,DO26*(1-'Interest Rate'!$B$17))</f>
        <v>0</v>
      </c>
      <c r="DQ26" s="658">
        <f>IF(DQ$6&gt;$L26,0,DP26*(1-'Interest Rate'!$B$17))</f>
        <v>0</v>
      </c>
      <c r="DR26" s="658">
        <f>IF(DR$6&gt;$L26,0,DQ26*(1-'Interest Rate'!$B$17))</f>
        <v>0</v>
      </c>
    </row>
    <row r="27" spans="1:122" ht="33" customHeight="1" x14ac:dyDescent="0.3">
      <c r="A27" s="647" t="str">
        <f>'EEM Data Entry'!A105</f>
        <v/>
      </c>
      <c r="B27" s="670" t="str">
        <f>'EEM Data Entry'!B105</f>
        <v/>
      </c>
      <c r="C27" s="649" t="str">
        <f>'EEM Data Entry'!F105</f>
        <v/>
      </c>
      <c r="D27" s="649">
        <v>0</v>
      </c>
      <c r="E27" s="649" t="e">
        <f t="shared" si="6"/>
        <v>#VALUE!</v>
      </c>
      <c r="F27" s="650">
        <f>('Cascading Savings'!D26*'Cascading Savings'!D$4)+('Cascading Savings'!F26*'Cascading Savings'!F$4)+('Cascading Savings'!H26*'Cascading Savings'!H$4)+('Cascading Savings'!J26*'Cascading Savings'!J$4)+('Cascading Savings'!L26*'Cascading Savings'!L$4)+('Cascading Savings'!N26*'Cascading Savings'!N$4)+('Cascading Savings'!P26*'Cascading Savings'!P$4)+('Cascading Savings'!R26*'Cascading Savings'!R$4)</f>
        <v>0</v>
      </c>
      <c r="G27" s="651">
        <f>'Cascading Savings'!T26</f>
        <v>0</v>
      </c>
      <c r="H27" s="652" t="e">
        <f t="shared" si="4"/>
        <v>#VALUE!</v>
      </c>
      <c r="I27" s="653" t="e">
        <f t="shared" si="8"/>
        <v>#VALUE!</v>
      </c>
      <c r="J27" s="654" t="e">
        <f t="shared" si="0"/>
        <v>#NUM!</v>
      </c>
      <c r="K27" s="655" t="e">
        <f>PV('Interest Rate'!$B$17,Table112[[#This Row],[Lifetime]],-Table112[[#This Row],[ANNUAL ENERGY COST SAVINGS]],Table112[[#This Row],[END-OF-LIFE]],0)-Table112[[#This Row],[CAPITAL INVESTMENT]]</f>
        <v>#VALUE!</v>
      </c>
      <c r="L27" s="653" t="str">
        <f>'EEM Data Entry'!C105</f>
        <v/>
      </c>
      <c r="M27" s="656" t="e">
        <f>Table112[[#This Row],[ANNUAL ENERGY COST SAVINGS]]/Table112[[#This Row],[CAPITAL INVESTMENT]]</f>
        <v>#VALUE!</v>
      </c>
      <c r="N27" s="794">
        <f>IF(ISNUMBER(Table112[[#This Row],[NPV]])=TRUE,Table112[[#This Row],[NPV]],0)</f>
        <v>0</v>
      </c>
      <c r="O27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27" s="568" t="str">
        <f>Table112[[#This Row],[Lifetime]]</f>
        <v/>
      </c>
      <c r="V27" s="657" t="str">
        <f t="shared" si="2"/>
        <v/>
      </c>
      <c r="W27" s="658">
        <f t="shared" si="1"/>
        <v>0</v>
      </c>
      <c r="X27" s="658">
        <f>IF(X$6&gt;$L27,0,W27*(1-'Interest Rate'!$B$17))</f>
        <v>0</v>
      </c>
      <c r="Y27" s="658">
        <f>IF(Y$6&gt;$L27,0,X27*(1-'Interest Rate'!$B$17))</f>
        <v>0</v>
      </c>
      <c r="Z27" s="658">
        <f>IF(Z$6&gt;$L27,0,Y27*(1-'Interest Rate'!$B$17))</f>
        <v>0</v>
      </c>
      <c r="AA27" s="658">
        <f>IF(AA$6&gt;$L27,0,Z27*(1-'Interest Rate'!$B$17))</f>
        <v>0</v>
      </c>
      <c r="AB27" s="658">
        <f>IF(AB$6&gt;$L27,0,AA27*(1-'Interest Rate'!$B$17))</f>
        <v>0</v>
      </c>
      <c r="AC27" s="658">
        <f>IF(AC$6&gt;$L27,0,AB27*(1-'Interest Rate'!$B$17))</f>
        <v>0</v>
      </c>
      <c r="AD27" s="658">
        <f>IF(AD$6&gt;$L27,0,AC27*(1-'Interest Rate'!$B$17))</f>
        <v>0</v>
      </c>
      <c r="AE27" s="658">
        <f>IF(AE$6&gt;$L27,0,AD27*(1-'Interest Rate'!$B$17))</f>
        <v>0</v>
      </c>
      <c r="AF27" s="658">
        <f>IF(AF$6&gt;$L27,0,AE27*(1-'Interest Rate'!$B$17))</f>
        <v>0</v>
      </c>
      <c r="AG27" s="658">
        <f>IF(AG$6&gt;$L27,0,AF27*(1-'Interest Rate'!$B$17))</f>
        <v>0</v>
      </c>
      <c r="AH27" s="658">
        <f>IF(AH$6&gt;$L27,0,AG27*(1-'Interest Rate'!$B$17))</f>
        <v>0</v>
      </c>
      <c r="AI27" s="658">
        <f>IF(AI$6&gt;$L27,0,AH27*(1-'Interest Rate'!$B$17))</f>
        <v>0</v>
      </c>
      <c r="AJ27" s="658">
        <f>IF(AJ$6&gt;$L27,0,AI27*(1-'Interest Rate'!$B$17))</f>
        <v>0</v>
      </c>
      <c r="AK27" s="658">
        <f>IF(AK$6&gt;$L27,0,AJ27*(1-'Interest Rate'!$B$17))</f>
        <v>0</v>
      </c>
      <c r="AL27" s="658">
        <f>IF(AL$6&gt;$L27,0,AK27*(1-'Interest Rate'!$B$17))</f>
        <v>0</v>
      </c>
      <c r="AM27" s="658">
        <f>IF(AM$6&gt;$L27,0,AL27*(1-'Interest Rate'!$B$17))</f>
        <v>0</v>
      </c>
      <c r="AN27" s="658">
        <f>IF(AN$6&gt;$L27,0,AM27*(1-'Interest Rate'!$B$17))</f>
        <v>0</v>
      </c>
      <c r="AO27" s="658">
        <f>IF(AO$6&gt;$L27,0,AN27*(1-'Interest Rate'!$B$17))</f>
        <v>0</v>
      </c>
      <c r="AP27" s="658">
        <f>IF(AP$6&gt;$L27,0,AO27*(1-'Interest Rate'!$B$17))</f>
        <v>0</v>
      </c>
      <c r="AQ27" s="658">
        <f>IF(AQ$6&gt;$L27,0,AP27*(1-'Interest Rate'!$B$17))</f>
        <v>0</v>
      </c>
      <c r="AR27" s="658">
        <f>IF(AR$6&gt;$L27,0,AQ27*(1-'Interest Rate'!$B$17))</f>
        <v>0</v>
      </c>
      <c r="AS27" s="658">
        <f>IF(AS$6&gt;$L27,0,AR27*(1-'Interest Rate'!$B$17))</f>
        <v>0</v>
      </c>
      <c r="AT27" s="658">
        <f>IF(AT$6&gt;$L27,0,AS27*(1-'Interest Rate'!$B$17))</f>
        <v>0</v>
      </c>
      <c r="AU27" s="658">
        <f>IF(AU$6&gt;$L27,0,AT27*(1-'Interest Rate'!$B$17))</f>
        <v>0</v>
      </c>
      <c r="AV27" s="658">
        <f>IF(AV$6&gt;$L27,0,AU27*(1-'Interest Rate'!$B$17))</f>
        <v>0</v>
      </c>
      <c r="AW27" s="658">
        <f>IF(AW$6&gt;$L27,0,AV27*(1-'Interest Rate'!$B$17))</f>
        <v>0</v>
      </c>
      <c r="AX27" s="658">
        <f>IF(AX$6&gt;$L27,0,AW27*(1-'Interest Rate'!$B$17))</f>
        <v>0</v>
      </c>
      <c r="AY27" s="658">
        <f>IF(AY$6&gt;$L27,0,AX27*(1-'Interest Rate'!$B$17))</f>
        <v>0</v>
      </c>
      <c r="AZ27" s="658">
        <f>IF(AZ$6&gt;$L27,0,AY27*(1-'Interest Rate'!$B$17))</f>
        <v>0</v>
      </c>
      <c r="BA27" s="658">
        <f>IF(BA$6&gt;$L27,0,AZ27*(1-'Interest Rate'!$B$17))</f>
        <v>0</v>
      </c>
      <c r="BB27" s="658">
        <f>IF(BB$6&gt;$L27,0,BA27*(1-'Interest Rate'!$B$17))</f>
        <v>0</v>
      </c>
      <c r="BC27" s="658">
        <f>IF(BC$6&gt;$L27,0,BB27*(1-'Interest Rate'!$B$17))</f>
        <v>0</v>
      </c>
      <c r="BD27" s="658">
        <f>IF(BD$6&gt;$L27,0,BC27*(1-'Interest Rate'!$B$17))</f>
        <v>0</v>
      </c>
      <c r="BE27" s="658">
        <f>IF(BE$6&gt;$L27,0,BD27*(1-'Interest Rate'!$B$17))</f>
        <v>0</v>
      </c>
      <c r="BF27" s="658">
        <f>IF(BF$6&gt;$L27,0,BE27*(1-'Interest Rate'!$B$17))</f>
        <v>0</v>
      </c>
      <c r="BG27" s="658">
        <f>IF(BG$6&gt;$L27,0,BF27*(1-'Interest Rate'!$B$17))</f>
        <v>0</v>
      </c>
      <c r="BH27" s="658">
        <f>IF(BH$6&gt;$L27,0,BG27*(1-'Interest Rate'!$B$17))</f>
        <v>0</v>
      </c>
      <c r="BI27" s="658">
        <f>IF(BI$6&gt;$L27,0,BH27*(1-'Interest Rate'!$B$17))</f>
        <v>0</v>
      </c>
      <c r="BJ27" s="658">
        <f>IF(BJ$6&gt;$L27,0,BI27*(1-'Interest Rate'!$B$17))</f>
        <v>0</v>
      </c>
      <c r="BK27" s="658">
        <f>IF(BK$6&gt;$L27,0,BJ27*(1-'Interest Rate'!$B$17))</f>
        <v>0</v>
      </c>
      <c r="BL27" s="658">
        <f>IF(BL$6&gt;$L27,0,BK27*(1-'Interest Rate'!$B$17))</f>
        <v>0</v>
      </c>
      <c r="BM27" s="658">
        <f>IF(BM$6&gt;$L27,0,BL27*(1-'Interest Rate'!$B$17))</f>
        <v>0</v>
      </c>
      <c r="BN27" s="658">
        <f>IF(BN$6&gt;$L27,0,BM27*(1-'Interest Rate'!$B$17))</f>
        <v>0</v>
      </c>
      <c r="BO27" s="658">
        <f>IF(BO$6&gt;$L27,0,BN27*(1-'Interest Rate'!$B$17))</f>
        <v>0</v>
      </c>
      <c r="BP27" s="658">
        <f>IF(BP$6&gt;$L27,0,BO27*(1-'Interest Rate'!$B$17))</f>
        <v>0</v>
      </c>
      <c r="BQ27" s="658">
        <f>IF(BQ$6&gt;$L27,0,BP27*(1-'Interest Rate'!$B$17))</f>
        <v>0</v>
      </c>
      <c r="BR27" s="658">
        <f>IF(BR$6&gt;$L27,0,BQ27*(1-'Interest Rate'!$B$17))</f>
        <v>0</v>
      </c>
      <c r="BS27" s="658">
        <f>IF(BS$6&gt;$L27,0,BR27*(1-'Interest Rate'!$B$17))</f>
        <v>0</v>
      </c>
      <c r="BT27" s="658">
        <f>IF(BT$6&gt;$L27,0,BS27*(1-'Interest Rate'!$B$17))</f>
        <v>0</v>
      </c>
      <c r="BU27" s="658">
        <f>IF(BU$6&gt;$L27,0,BT27*(1-'Interest Rate'!$B$17))</f>
        <v>0</v>
      </c>
      <c r="BV27" s="658">
        <f>IF(BV$6&gt;$L27,0,BU27*(1-'Interest Rate'!$B$17))</f>
        <v>0</v>
      </c>
      <c r="BW27" s="658">
        <f>IF(BW$6&gt;$L27,0,BV27*(1-'Interest Rate'!$B$17))</f>
        <v>0</v>
      </c>
      <c r="BX27" s="658">
        <f>IF(BX$6&gt;$L27,0,BW27*(1-'Interest Rate'!$B$17))</f>
        <v>0</v>
      </c>
      <c r="BY27" s="658">
        <f>IF(BY$6&gt;$L27,0,BX27*(1-'Interest Rate'!$B$17))</f>
        <v>0</v>
      </c>
      <c r="BZ27" s="658">
        <f>IF(BZ$6&gt;$L27,0,BY27*(1-'Interest Rate'!$B$17))</f>
        <v>0</v>
      </c>
      <c r="CA27" s="658">
        <f>IF(CA$6&gt;$L27,0,BZ27*(1-'Interest Rate'!$B$17))</f>
        <v>0</v>
      </c>
      <c r="CB27" s="658">
        <f>IF(CB$6&gt;$L27,0,CA27*(1-'Interest Rate'!$B$17))</f>
        <v>0</v>
      </c>
      <c r="CC27" s="658">
        <f>IF(CC$6&gt;$L27,0,CB27*(1-'Interest Rate'!$B$17))</f>
        <v>0</v>
      </c>
      <c r="CD27" s="658">
        <f>IF(CD$6&gt;$L27,0,CC27*(1-'Interest Rate'!$B$17))</f>
        <v>0</v>
      </c>
      <c r="CE27" s="658">
        <f>IF(CE$6&gt;$L27,0,CD27*(1-'Interest Rate'!$B$17))</f>
        <v>0</v>
      </c>
      <c r="CF27" s="658">
        <f>IF(CF$6&gt;$L27,0,CE27*(1-'Interest Rate'!$B$17))</f>
        <v>0</v>
      </c>
      <c r="CG27" s="658">
        <f>IF(CG$6&gt;$L27,0,CF27*(1-'Interest Rate'!$B$17))</f>
        <v>0</v>
      </c>
      <c r="CH27" s="658">
        <f>IF(CH$6&gt;$L27,0,CG27*(1-'Interest Rate'!$B$17))</f>
        <v>0</v>
      </c>
      <c r="CI27" s="658">
        <f>IF(CI$6&gt;$L27,0,CH27*(1-'Interest Rate'!$B$17))</f>
        <v>0</v>
      </c>
      <c r="CJ27" s="658">
        <f>IF(CJ$6&gt;$L27,0,CI27*(1-'Interest Rate'!$B$17))</f>
        <v>0</v>
      </c>
      <c r="CK27" s="658">
        <f>IF(CK$6&gt;$L27,0,CJ27*(1-'Interest Rate'!$B$17))</f>
        <v>0</v>
      </c>
      <c r="CL27" s="658">
        <f>IF(CL$6&gt;$L27,0,CK27*(1-'Interest Rate'!$B$17))</f>
        <v>0</v>
      </c>
      <c r="CM27" s="658">
        <f>IF(CM$6&gt;$L27,0,CL27*(1-'Interest Rate'!$B$17))</f>
        <v>0</v>
      </c>
      <c r="CN27" s="658">
        <f>IF(CN$6&gt;$L27,0,CM27*(1-'Interest Rate'!$B$17))</f>
        <v>0</v>
      </c>
      <c r="CO27" s="658">
        <f>IF(CO$6&gt;$L27,0,CN27*(1-'Interest Rate'!$B$17))</f>
        <v>0</v>
      </c>
      <c r="CP27" s="658">
        <f>IF(CP$6&gt;$L27,0,CO27*(1-'Interest Rate'!$B$17))</f>
        <v>0</v>
      </c>
      <c r="CQ27" s="658">
        <f>IF(CQ$6&gt;$L27,0,CP27*(1-'Interest Rate'!$B$17))</f>
        <v>0</v>
      </c>
      <c r="CR27" s="658">
        <f>IF(CR$6&gt;$L27,0,CQ27*(1-'Interest Rate'!$B$17))</f>
        <v>0</v>
      </c>
      <c r="CS27" s="658">
        <f>IF(CS$6&gt;$L27,0,CR27*(1-'Interest Rate'!$B$17))</f>
        <v>0</v>
      </c>
      <c r="CT27" s="658">
        <f>IF(CT$6&gt;$L27,0,CS27*(1-'Interest Rate'!$B$17))</f>
        <v>0</v>
      </c>
      <c r="CU27" s="658">
        <f>IF(CU$6&gt;$L27,0,CT27*(1-'Interest Rate'!$B$17))</f>
        <v>0</v>
      </c>
      <c r="CV27" s="658">
        <f>IF(CV$6&gt;$L27,0,CU27*(1-'Interest Rate'!$B$17))</f>
        <v>0</v>
      </c>
      <c r="CW27" s="658">
        <f>IF(CW$6&gt;$L27,0,CV27*(1-'Interest Rate'!$B$17))</f>
        <v>0</v>
      </c>
      <c r="CX27" s="658">
        <f>IF(CX$6&gt;$L27,0,CW27*(1-'Interest Rate'!$B$17))</f>
        <v>0</v>
      </c>
      <c r="CY27" s="658">
        <f>IF(CY$6&gt;$L27,0,CX27*(1-'Interest Rate'!$B$17))</f>
        <v>0</v>
      </c>
      <c r="CZ27" s="658">
        <f>IF(CZ$6&gt;$L27,0,CY27*(1-'Interest Rate'!$B$17))</f>
        <v>0</v>
      </c>
      <c r="DA27" s="658">
        <f>IF(DA$6&gt;$L27,0,CZ27*(1-'Interest Rate'!$B$17))</f>
        <v>0</v>
      </c>
      <c r="DB27" s="658">
        <f>IF(DB$6&gt;$L27,0,DA27*(1-'Interest Rate'!$B$17))</f>
        <v>0</v>
      </c>
      <c r="DC27" s="658">
        <f>IF(DC$6&gt;$L27,0,DB27*(1-'Interest Rate'!$B$17))</f>
        <v>0</v>
      </c>
      <c r="DD27" s="658">
        <f>IF(DD$6&gt;$L27,0,DC27*(1-'Interest Rate'!$B$17))</f>
        <v>0</v>
      </c>
      <c r="DE27" s="658">
        <f>IF(DE$6&gt;$L27,0,DD27*(1-'Interest Rate'!$B$17))</f>
        <v>0</v>
      </c>
      <c r="DF27" s="658">
        <f>IF(DF$6&gt;$L27,0,DE27*(1-'Interest Rate'!$B$17))</f>
        <v>0</v>
      </c>
      <c r="DG27" s="658">
        <f>IF(DG$6&gt;$L27,0,DF27*(1-'Interest Rate'!$B$17))</f>
        <v>0</v>
      </c>
      <c r="DH27" s="658">
        <f>IF(DH$6&gt;$L27,0,DG27*(1-'Interest Rate'!$B$17))</f>
        <v>0</v>
      </c>
      <c r="DI27" s="658">
        <f>IF(DI$6&gt;$L27,0,DH27*(1-'Interest Rate'!$B$17))</f>
        <v>0</v>
      </c>
      <c r="DJ27" s="658">
        <f>IF(DJ$6&gt;$L27,0,DI27*(1-'Interest Rate'!$B$17))</f>
        <v>0</v>
      </c>
      <c r="DK27" s="658">
        <f>IF(DK$6&gt;$L27,0,DJ27*(1-'Interest Rate'!$B$17))</f>
        <v>0</v>
      </c>
      <c r="DL27" s="658">
        <f>IF(DL$6&gt;$L27,0,DK27*(1-'Interest Rate'!$B$17))</f>
        <v>0</v>
      </c>
      <c r="DM27" s="658">
        <f>IF(DM$6&gt;$L27,0,DL27*(1-'Interest Rate'!$B$17))</f>
        <v>0</v>
      </c>
      <c r="DN27" s="658">
        <f>IF(DN$6&gt;$L27,0,DM27*(1-'Interest Rate'!$B$17))</f>
        <v>0</v>
      </c>
      <c r="DO27" s="658">
        <f>IF(DO$6&gt;$L27,0,DN27*(1-'Interest Rate'!$B$17))</f>
        <v>0</v>
      </c>
      <c r="DP27" s="658">
        <f>IF(DP$6&gt;$L27,0,DO27*(1-'Interest Rate'!$B$17))</f>
        <v>0</v>
      </c>
      <c r="DQ27" s="658">
        <f>IF(DQ$6&gt;$L27,0,DP27*(1-'Interest Rate'!$B$17))</f>
        <v>0</v>
      </c>
      <c r="DR27" s="658">
        <f>IF(DR$6&gt;$L27,0,DQ27*(1-'Interest Rate'!$B$17))</f>
        <v>0</v>
      </c>
    </row>
    <row r="28" spans="1:122" ht="33" customHeight="1" x14ac:dyDescent="0.3">
      <c r="A28" s="675" t="str">
        <f>'EEM Data Entry'!A106</f>
        <v/>
      </c>
      <c r="B28" s="660" t="str">
        <f>'EEM Data Entry'!B106</f>
        <v/>
      </c>
      <c r="C28" s="661" t="str">
        <f>'EEM Data Entry'!F106</f>
        <v/>
      </c>
      <c r="D28" s="661">
        <v>0</v>
      </c>
      <c r="E28" s="661" t="e">
        <f t="shared" si="6"/>
        <v>#VALUE!</v>
      </c>
      <c r="F28" s="662">
        <f>('Cascading Savings'!D27*'Cascading Savings'!D$4)+('Cascading Savings'!F27*'Cascading Savings'!F$4)+('Cascading Savings'!H27*'Cascading Savings'!H$4)+('Cascading Savings'!J27*'Cascading Savings'!J$4)+('Cascading Savings'!L27*'Cascading Savings'!L$4)+('Cascading Savings'!N27*'Cascading Savings'!N$4)+('Cascading Savings'!P27*'Cascading Savings'!P$4)+('Cascading Savings'!R27*'Cascading Savings'!R$4)</f>
        <v>0</v>
      </c>
      <c r="G28" s="663">
        <f>'Cascading Savings'!T27</f>
        <v>0</v>
      </c>
      <c r="H28" s="664" t="e">
        <f t="shared" si="4"/>
        <v>#VALUE!</v>
      </c>
      <c r="I28" s="665" t="e">
        <f t="shared" si="8"/>
        <v>#VALUE!</v>
      </c>
      <c r="J28" s="666" t="e">
        <f t="shared" si="0"/>
        <v>#NUM!</v>
      </c>
      <c r="K28" s="667" t="e">
        <f>PV('Interest Rate'!$B$17,Table112[[#This Row],[Lifetime]],-Table112[[#This Row],[ANNUAL ENERGY COST SAVINGS]],Table112[[#This Row],[END-OF-LIFE]],0)-Table112[[#This Row],[CAPITAL INVESTMENT]]</f>
        <v>#VALUE!</v>
      </c>
      <c r="L28" s="665" t="str">
        <f>'EEM Data Entry'!C106</f>
        <v/>
      </c>
      <c r="M28" s="676" t="e">
        <f>Table112[[#This Row],[ANNUAL ENERGY COST SAVINGS]]/Table112[[#This Row],[CAPITAL INVESTMENT]]</f>
        <v>#VALUE!</v>
      </c>
      <c r="N28" s="794">
        <f>IF(ISNUMBER(Table112[[#This Row],[NPV]])=TRUE,Table112[[#This Row],[NPV]],0)</f>
        <v>0</v>
      </c>
      <c r="O28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28" s="568" t="str">
        <f>Table112[[#This Row],[Lifetime]]</f>
        <v/>
      </c>
      <c r="V28" s="657" t="str">
        <f t="shared" si="2"/>
        <v/>
      </c>
      <c r="W28" s="658">
        <f t="shared" si="1"/>
        <v>0</v>
      </c>
      <c r="X28" s="658">
        <f>IF(X$6&gt;$L28,0,W28*(1-'Interest Rate'!$B$17))</f>
        <v>0</v>
      </c>
      <c r="Y28" s="658">
        <f>IF(Y$6&gt;$L28,0,X28*(1-'Interest Rate'!$B$17))</f>
        <v>0</v>
      </c>
      <c r="Z28" s="658">
        <f>IF(Z$6&gt;$L28,0,Y28*(1-'Interest Rate'!$B$17))</f>
        <v>0</v>
      </c>
      <c r="AA28" s="658">
        <f>IF(AA$6&gt;$L28,0,Z28*(1-'Interest Rate'!$B$17))</f>
        <v>0</v>
      </c>
      <c r="AB28" s="658">
        <f>IF(AB$6&gt;$L28,0,AA28*(1-'Interest Rate'!$B$17))</f>
        <v>0</v>
      </c>
      <c r="AC28" s="658">
        <f>IF(AC$6&gt;$L28,0,AB28*(1-'Interest Rate'!$B$17))</f>
        <v>0</v>
      </c>
      <c r="AD28" s="658">
        <f>IF(AD$6&gt;$L28,0,AC28*(1-'Interest Rate'!$B$17))</f>
        <v>0</v>
      </c>
      <c r="AE28" s="658">
        <f>IF(AE$6&gt;$L28,0,AD28*(1-'Interest Rate'!$B$17))</f>
        <v>0</v>
      </c>
      <c r="AF28" s="658">
        <f>IF(AF$6&gt;$L28,0,AE28*(1-'Interest Rate'!$B$17))</f>
        <v>0</v>
      </c>
      <c r="AG28" s="658">
        <f>IF(AG$6&gt;$L28,0,AF28*(1-'Interest Rate'!$B$17))</f>
        <v>0</v>
      </c>
      <c r="AH28" s="658">
        <f>IF(AH$6&gt;$L28,0,AG28*(1-'Interest Rate'!$B$17))</f>
        <v>0</v>
      </c>
      <c r="AI28" s="658">
        <f>IF(AI$6&gt;$L28,0,AH28*(1-'Interest Rate'!$B$17))</f>
        <v>0</v>
      </c>
      <c r="AJ28" s="658">
        <f>IF(AJ$6&gt;$L28,0,AI28*(1-'Interest Rate'!$B$17))</f>
        <v>0</v>
      </c>
      <c r="AK28" s="658">
        <f>IF(AK$6&gt;$L28,0,AJ28*(1-'Interest Rate'!$B$17))</f>
        <v>0</v>
      </c>
      <c r="AL28" s="658">
        <f>IF(AL$6&gt;$L28,0,AK28*(1-'Interest Rate'!$B$17))</f>
        <v>0</v>
      </c>
      <c r="AM28" s="658">
        <f>IF(AM$6&gt;$L28,0,AL28*(1-'Interest Rate'!$B$17))</f>
        <v>0</v>
      </c>
      <c r="AN28" s="658">
        <f>IF(AN$6&gt;$L28,0,AM28*(1-'Interest Rate'!$B$17))</f>
        <v>0</v>
      </c>
      <c r="AO28" s="658">
        <f>IF(AO$6&gt;$L28,0,AN28*(1-'Interest Rate'!$B$17))</f>
        <v>0</v>
      </c>
      <c r="AP28" s="658">
        <f>IF(AP$6&gt;$L28,0,AO28*(1-'Interest Rate'!$B$17))</f>
        <v>0</v>
      </c>
      <c r="AQ28" s="658">
        <f>IF(AQ$6&gt;$L28,0,AP28*(1-'Interest Rate'!$B$17))</f>
        <v>0</v>
      </c>
      <c r="AR28" s="658">
        <f>IF(AR$6&gt;$L28,0,AQ28*(1-'Interest Rate'!$B$17))</f>
        <v>0</v>
      </c>
      <c r="AS28" s="658">
        <f>IF(AS$6&gt;$L28,0,AR28*(1-'Interest Rate'!$B$17))</f>
        <v>0</v>
      </c>
      <c r="AT28" s="658">
        <f>IF(AT$6&gt;$L28,0,AS28*(1-'Interest Rate'!$B$17))</f>
        <v>0</v>
      </c>
      <c r="AU28" s="658">
        <f>IF(AU$6&gt;$L28,0,AT28*(1-'Interest Rate'!$B$17))</f>
        <v>0</v>
      </c>
      <c r="AV28" s="658">
        <f>IF(AV$6&gt;$L28,0,AU28*(1-'Interest Rate'!$B$17))</f>
        <v>0</v>
      </c>
      <c r="AW28" s="658">
        <f>IF(AW$6&gt;$L28,0,AV28*(1-'Interest Rate'!$B$17))</f>
        <v>0</v>
      </c>
      <c r="AX28" s="658">
        <f>IF(AX$6&gt;$L28,0,AW28*(1-'Interest Rate'!$B$17))</f>
        <v>0</v>
      </c>
      <c r="AY28" s="658">
        <f>IF(AY$6&gt;$L28,0,AX28*(1-'Interest Rate'!$B$17))</f>
        <v>0</v>
      </c>
      <c r="AZ28" s="658">
        <f>IF(AZ$6&gt;$L28,0,AY28*(1-'Interest Rate'!$B$17))</f>
        <v>0</v>
      </c>
      <c r="BA28" s="658">
        <f>IF(BA$6&gt;$L28,0,AZ28*(1-'Interest Rate'!$B$17))</f>
        <v>0</v>
      </c>
      <c r="BB28" s="658">
        <f>IF(BB$6&gt;$L28,0,BA28*(1-'Interest Rate'!$B$17))</f>
        <v>0</v>
      </c>
      <c r="BC28" s="658">
        <f>IF(BC$6&gt;$L28,0,BB28*(1-'Interest Rate'!$B$17))</f>
        <v>0</v>
      </c>
      <c r="BD28" s="658">
        <f>IF(BD$6&gt;$L28,0,BC28*(1-'Interest Rate'!$B$17))</f>
        <v>0</v>
      </c>
      <c r="BE28" s="658">
        <f>IF(BE$6&gt;$L28,0,BD28*(1-'Interest Rate'!$B$17))</f>
        <v>0</v>
      </c>
      <c r="BF28" s="658">
        <f>IF(BF$6&gt;$L28,0,BE28*(1-'Interest Rate'!$B$17))</f>
        <v>0</v>
      </c>
      <c r="BG28" s="658">
        <f>IF(BG$6&gt;$L28,0,BF28*(1-'Interest Rate'!$B$17))</f>
        <v>0</v>
      </c>
      <c r="BH28" s="658">
        <f>IF(BH$6&gt;$L28,0,BG28*(1-'Interest Rate'!$B$17))</f>
        <v>0</v>
      </c>
      <c r="BI28" s="658">
        <f>IF(BI$6&gt;$L28,0,BH28*(1-'Interest Rate'!$B$17))</f>
        <v>0</v>
      </c>
      <c r="BJ28" s="658">
        <f>IF(BJ$6&gt;$L28,0,BI28*(1-'Interest Rate'!$B$17))</f>
        <v>0</v>
      </c>
      <c r="BK28" s="658">
        <f>IF(BK$6&gt;$L28,0,BJ28*(1-'Interest Rate'!$B$17))</f>
        <v>0</v>
      </c>
      <c r="BL28" s="658">
        <f>IF(BL$6&gt;$L28,0,BK28*(1-'Interest Rate'!$B$17))</f>
        <v>0</v>
      </c>
      <c r="BM28" s="658">
        <f>IF(BM$6&gt;$L28,0,BL28*(1-'Interest Rate'!$B$17))</f>
        <v>0</v>
      </c>
      <c r="BN28" s="658">
        <f>IF(BN$6&gt;$L28,0,BM28*(1-'Interest Rate'!$B$17))</f>
        <v>0</v>
      </c>
      <c r="BO28" s="658">
        <f>IF(BO$6&gt;$L28,0,BN28*(1-'Interest Rate'!$B$17))</f>
        <v>0</v>
      </c>
      <c r="BP28" s="658">
        <f>IF(BP$6&gt;$L28,0,BO28*(1-'Interest Rate'!$B$17))</f>
        <v>0</v>
      </c>
      <c r="BQ28" s="658">
        <f>IF(BQ$6&gt;$L28,0,BP28*(1-'Interest Rate'!$B$17))</f>
        <v>0</v>
      </c>
      <c r="BR28" s="658">
        <f>IF(BR$6&gt;$L28,0,BQ28*(1-'Interest Rate'!$B$17))</f>
        <v>0</v>
      </c>
      <c r="BS28" s="658">
        <f>IF(BS$6&gt;$L28,0,BR28*(1-'Interest Rate'!$B$17))</f>
        <v>0</v>
      </c>
      <c r="BT28" s="658">
        <f>IF(BT$6&gt;$L28,0,BS28*(1-'Interest Rate'!$B$17))</f>
        <v>0</v>
      </c>
      <c r="BU28" s="658">
        <f>IF(BU$6&gt;$L28,0,BT28*(1-'Interest Rate'!$B$17))</f>
        <v>0</v>
      </c>
      <c r="BV28" s="658">
        <f>IF(BV$6&gt;$L28,0,BU28*(1-'Interest Rate'!$B$17))</f>
        <v>0</v>
      </c>
      <c r="BW28" s="658">
        <f>IF(BW$6&gt;$L28,0,BV28*(1-'Interest Rate'!$B$17))</f>
        <v>0</v>
      </c>
      <c r="BX28" s="658">
        <f>IF(BX$6&gt;$L28,0,BW28*(1-'Interest Rate'!$B$17))</f>
        <v>0</v>
      </c>
      <c r="BY28" s="658">
        <f>IF(BY$6&gt;$L28,0,BX28*(1-'Interest Rate'!$B$17))</f>
        <v>0</v>
      </c>
      <c r="BZ28" s="658">
        <f>IF(BZ$6&gt;$L28,0,BY28*(1-'Interest Rate'!$B$17))</f>
        <v>0</v>
      </c>
      <c r="CA28" s="658">
        <f>IF(CA$6&gt;$L28,0,BZ28*(1-'Interest Rate'!$B$17))</f>
        <v>0</v>
      </c>
      <c r="CB28" s="658">
        <f>IF(CB$6&gt;$L28,0,CA28*(1-'Interest Rate'!$B$17))</f>
        <v>0</v>
      </c>
      <c r="CC28" s="658">
        <f>IF(CC$6&gt;$L28,0,CB28*(1-'Interest Rate'!$B$17))</f>
        <v>0</v>
      </c>
      <c r="CD28" s="658">
        <f>IF(CD$6&gt;$L28,0,CC28*(1-'Interest Rate'!$B$17))</f>
        <v>0</v>
      </c>
      <c r="CE28" s="658">
        <f>IF(CE$6&gt;$L28,0,CD28*(1-'Interest Rate'!$B$17))</f>
        <v>0</v>
      </c>
      <c r="CF28" s="658">
        <f>IF(CF$6&gt;$L28,0,CE28*(1-'Interest Rate'!$B$17))</f>
        <v>0</v>
      </c>
      <c r="CG28" s="658">
        <f>IF(CG$6&gt;$L28,0,CF28*(1-'Interest Rate'!$B$17))</f>
        <v>0</v>
      </c>
      <c r="CH28" s="658">
        <f>IF(CH$6&gt;$L28,0,CG28*(1-'Interest Rate'!$B$17))</f>
        <v>0</v>
      </c>
      <c r="CI28" s="658">
        <f>IF(CI$6&gt;$L28,0,CH28*(1-'Interest Rate'!$B$17))</f>
        <v>0</v>
      </c>
      <c r="CJ28" s="658">
        <f>IF(CJ$6&gt;$L28,0,CI28*(1-'Interest Rate'!$B$17))</f>
        <v>0</v>
      </c>
      <c r="CK28" s="658">
        <f>IF(CK$6&gt;$L28,0,CJ28*(1-'Interest Rate'!$B$17))</f>
        <v>0</v>
      </c>
      <c r="CL28" s="658">
        <f>IF(CL$6&gt;$L28,0,CK28*(1-'Interest Rate'!$B$17))</f>
        <v>0</v>
      </c>
      <c r="CM28" s="658">
        <f>IF(CM$6&gt;$L28,0,CL28*(1-'Interest Rate'!$B$17))</f>
        <v>0</v>
      </c>
      <c r="CN28" s="658">
        <f>IF(CN$6&gt;$L28,0,CM28*(1-'Interest Rate'!$B$17))</f>
        <v>0</v>
      </c>
      <c r="CO28" s="658">
        <f>IF(CO$6&gt;$L28,0,CN28*(1-'Interest Rate'!$B$17))</f>
        <v>0</v>
      </c>
      <c r="CP28" s="658">
        <f>IF(CP$6&gt;$L28,0,CO28*(1-'Interest Rate'!$B$17))</f>
        <v>0</v>
      </c>
      <c r="CQ28" s="658">
        <f>IF(CQ$6&gt;$L28,0,CP28*(1-'Interest Rate'!$B$17))</f>
        <v>0</v>
      </c>
      <c r="CR28" s="658">
        <f>IF(CR$6&gt;$L28,0,CQ28*(1-'Interest Rate'!$B$17))</f>
        <v>0</v>
      </c>
      <c r="CS28" s="658">
        <f>IF(CS$6&gt;$L28,0,CR28*(1-'Interest Rate'!$B$17))</f>
        <v>0</v>
      </c>
      <c r="CT28" s="658">
        <f>IF(CT$6&gt;$L28,0,CS28*(1-'Interest Rate'!$B$17))</f>
        <v>0</v>
      </c>
      <c r="CU28" s="658">
        <f>IF(CU$6&gt;$L28,0,CT28*(1-'Interest Rate'!$B$17))</f>
        <v>0</v>
      </c>
      <c r="CV28" s="658">
        <f>IF(CV$6&gt;$L28,0,CU28*(1-'Interest Rate'!$B$17))</f>
        <v>0</v>
      </c>
      <c r="CW28" s="658">
        <f>IF(CW$6&gt;$L28,0,CV28*(1-'Interest Rate'!$B$17))</f>
        <v>0</v>
      </c>
      <c r="CX28" s="658">
        <f>IF(CX$6&gt;$L28,0,CW28*(1-'Interest Rate'!$B$17))</f>
        <v>0</v>
      </c>
      <c r="CY28" s="658">
        <f>IF(CY$6&gt;$L28,0,CX28*(1-'Interest Rate'!$B$17))</f>
        <v>0</v>
      </c>
      <c r="CZ28" s="658">
        <f>IF(CZ$6&gt;$L28,0,CY28*(1-'Interest Rate'!$B$17))</f>
        <v>0</v>
      </c>
      <c r="DA28" s="658">
        <f>IF(DA$6&gt;$L28,0,CZ28*(1-'Interest Rate'!$B$17))</f>
        <v>0</v>
      </c>
      <c r="DB28" s="658">
        <f>IF(DB$6&gt;$L28,0,DA28*(1-'Interest Rate'!$B$17))</f>
        <v>0</v>
      </c>
      <c r="DC28" s="658">
        <f>IF(DC$6&gt;$L28,0,DB28*(1-'Interest Rate'!$B$17))</f>
        <v>0</v>
      </c>
      <c r="DD28" s="658">
        <f>IF(DD$6&gt;$L28,0,DC28*(1-'Interest Rate'!$B$17))</f>
        <v>0</v>
      </c>
      <c r="DE28" s="658">
        <f>IF(DE$6&gt;$L28,0,DD28*(1-'Interest Rate'!$B$17))</f>
        <v>0</v>
      </c>
      <c r="DF28" s="658">
        <f>IF(DF$6&gt;$L28,0,DE28*(1-'Interest Rate'!$B$17))</f>
        <v>0</v>
      </c>
      <c r="DG28" s="658">
        <f>IF(DG$6&gt;$L28,0,DF28*(1-'Interest Rate'!$B$17))</f>
        <v>0</v>
      </c>
      <c r="DH28" s="658">
        <f>IF(DH$6&gt;$L28,0,DG28*(1-'Interest Rate'!$B$17))</f>
        <v>0</v>
      </c>
      <c r="DI28" s="658">
        <f>IF(DI$6&gt;$L28,0,DH28*(1-'Interest Rate'!$B$17))</f>
        <v>0</v>
      </c>
      <c r="DJ28" s="658">
        <f>IF(DJ$6&gt;$L28,0,DI28*(1-'Interest Rate'!$B$17))</f>
        <v>0</v>
      </c>
      <c r="DK28" s="658">
        <f>IF(DK$6&gt;$L28,0,DJ28*(1-'Interest Rate'!$B$17))</f>
        <v>0</v>
      </c>
      <c r="DL28" s="658">
        <f>IF(DL$6&gt;$L28,0,DK28*(1-'Interest Rate'!$B$17))</f>
        <v>0</v>
      </c>
      <c r="DM28" s="658">
        <f>IF(DM$6&gt;$L28,0,DL28*(1-'Interest Rate'!$B$17))</f>
        <v>0</v>
      </c>
      <c r="DN28" s="658">
        <f>IF(DN$6&gt;$L28,0,DM28*(1-'Interest Rate'!$B$17))</f>
        <v>0</v>
      </c>
      <c r="DO28" s="658">
        <f>IF(DO$6&gt;$L28,0,DN28*(1-'Interest Rate'!$B$17))</f>
        <v>0</v>
      </c>
      <c r="DP28" s="658">
        <f>IF(DP$6&gt;$L28,0,DO28*(1-'Interest Rate'!$B$17))</f>
        <v>0</v>
      </c>
      <c r="DQ28" s="658">
        <f>IF(DQ$6&gt;$L28,0,DP28*(1-'Interest Rate'!$B$17))</f>
        <v>0</v>
      </c>
      <c r="DR28" s="658">
        <f>IF(DR$6&gt;$L28,0,DQ28*(1-'Interest Rate'!$B$17))</f>
        <v>0</v>
      </c>
    </row>
    <row r="29" spans="1:122" ht="33" customHeight="1" x14ac:dyDescent="0.3">
      <c r="A29" s="647" t="str">
        <f>'EEM Data Entry'!A107</f>
        <v/>
      </c>
      <c r="B29" s="670" t="str">
        <f>'EEM Data Entry'!B107</f>
        <v/>
      </c>
      <c r="C29" s="649" t="str">
        <f>'EEM Data Entry'!F107</f>
        <v/>
      </c>
      <c r="D29" s="649">
        <v>0</v>
      </c>
      <c r="E29" s="649" t="e">
        <f t="shared" si="6"/>
        <v>#VALUE!</v>
      </c>
      <c r="F29" s="650">
        <f>('Cascading Savings'!D28*'Cascading Savings'!D$4)+('Cascading Savings'!F28*'Cascading Savings'!F$4)+('Cascading Savings'!H28*'Cascading Savings'!H$4)+('Cascading Savings'!J28*'Cascading Savings'!J$4)+('Cascading Savings'!L28*'Cascading Savings'!L$4)+('Cascading Savings'!N28*'Cascading Savings'!N$4)+('Cascading Savings'!P28*'Cascading Savings'!P$4)+('Cascading Savings'!R28*'Cascading Savings'!R$4)</f>
        <v>0</v>
      </c>
      <c r="G29" s="651">
        <f>'Cascading Savings'!T28</f>
        <v>0</v>
      </c>
      <c r="H29" s="652" t="e">
        <f t="shared" si="4"/>
        <v>#VALUE!</v>
      </c>
      <c r="I29" s="653" t="e">
        <f t="shared" si="8"/>
        <v>#VALUE!</v>
      </c>
      <c r="J29" s="654" t="e">
        <f t="shared" si="0"/>
        <v>#NUM!</v>
      </c>
      <c r="K29" s="655" t="e">
        <f>PV('Interest Rate'!$B$17,Table112[[#This Row],[Lifetime]],-Table112[[#This Row],[ANNUAL ENERGY COST SAVINGS]],Table112[[#This Row],[END-OF-LIFE]],0)-Table112[[#This Row],[CAPITAL INVESTMENT]]</f>
        <v>#VALUE!</v>
      </c>
      <c r="L29" s="653" t="str">
        <f>'EEM Data Entry'!C107</f>
        <v/>
      </c>
      <c r="M29" s="656" t="e">
        <f>Table112[[#This Row],[ANNUAL ENERGY COST SAVINGS]]/Table112[[#This Row],[CAPITAL INVESTMENT]]</f>
        <v>#VALUE!</v>
      </c>
      <c r="N29" s="794">
        <f>IF(ISNUMBER(Table112[[#This Row],[NPV]])=TRUE,Table112[[#This Row],[NPV]],0)</f>
        <v>0</v>
      </c>
      <c r="O29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29" s="568" t="str">
        <f>Table112[[#This Row],[Lifetime]]</f>
        <v/>
      </c>
      <c r="V29" s="657" t="str">
        <f t="shared" si="2"/>
        <v/>
      </c>
      <c r="W29" s="658">
        <f t="shared" si="1"/>
        <v>0</v>
      </c>
      <c r="X29" s="658">
        <f>IF(X$6&gt;$L29,0,W29*(1-'Interest Rate'!$B$17))</f>
        <v>0</v>
      </c>
      <c r="Y29" s="658">
        <f>IF(Y$6&gt;$L29,0,X29*(1-'Interest Rate'!$B$17))</f>
        <v>0</v>
      </c>
      <c r="Z29" s="658">
        <f>IF(Z$6&gt;$L29,0,Y29*(1-'Interest Rate'!$B$17))</f>
        <v>0</v>
      </c>
      <c r="AA29" s="658">
        <f>IF(AA$6&gt;$L29,0,Z29*(1-'Interest Rate'!$B$17))</f>
        <v>0</v>
      </c>
      <c r="AB29" s="658">
        <f>IF(AB$6&gt;$L29,0,AA29*(1-'Interest Rate'!$B$17))</f>
        <v>0</v>
      </c>
      <c r="AC29" s="658">
        <f>IF(AC$6&gt;$L29,0,AB29*(1-'Interest Rate'!$B$17))</f>
        <v>0</v>
      </c>
      <c r="AD29" s="658">
        <f>IF(AD$6&gt;$L29,0,AC29*(1-'Interest Rate'!$B$17))</f>
        <v>0</v>
      </c>
      <c r="AE29" s="658">
        <f>IF(AE$6&gt;$L29,0,AD29*(1-'Interest Rate'!$B$17))</f>
        <v>0</v>
      </c>
      <c r="AF29" s="658">
        <f>IF(AF$6&gt;$L29,0,AE29*(1-'Interest Rate'!$B$17))</f>
        <v>0</v>
      </c>
      <c r="AG29" s="658">
        <f>IF(AG$6&gt;$L29,0,AF29*(1-'Interest Rate'!$B$17))</f>
        <v>0</v>
      </c>
      <c r="AH29" s="658">
        <f>IF(AH$6&gt;$L29,0,AG29*(1-'Interest Rate'!$B$17))</f>
        <v>0</v>
      </c>
      <c r="AI29" s="658">
        <f>IF(AI$6&gt;$L29,0,AH29*(1-'Interest Rate'!$B$17))</f>
        <v>0</v>
      </c>
      <c r="AJ29" s="658">
        <f>IF(AJ$6&gt;$L29,0,AI29*(1-'Interest Rate'!$B$17))</f>
        <v>0</v>
      </c>
      <c r="AK29" s="658">
        <f>IF(AK$6&gt;$L29,0,AJ29*(1-'Interest Rate'!$B$17))</f>
        <v>0</v>
      </c>
      <c r="AL29" s="658">
        <f>IF(AL$6&gt;$L29,0,AK29*(1-'Interest Rate'!$B$17))</f>
        <v>0</v>
      </c>
      <c r="AM29" s="658">
        <f>IF(AM$6&gt;$L29,0,AL29*(1-'Interest Rate'!$B$17))</f>
        <v>0</v>
      </c>
      <c r="AN29" s="658">
        <f>IF(AN$6&gt;$L29,0,AM29*(1-'Interest Rate'!$B$17))</f>
        <v>0</v>
      </c>
      <c r="AO29" s="658">
        <f>IF(AO$6&gt;$L29,0,AN29*(1-'Interest Rate'!$B$17))</f>
        <v>0</v>
      </c>
      <c r="AP29" s="658">
        <f>IF(AP$6&gt;$L29,0,AO29*(1-'Interest Rate'!$B$17))</f>
        <v>0</v>
      </c>
      <c r="AQ29" s="658">
        <f>IF(AQ$6&gt;$L29,0,AP29*(1-'Interest Rate'!$B$17))</f>
        <v>0</v>
      </c>
      <c r="AR29" s="658">
        <f>IF(AR$6&gt;$L29,0,AQ29*(1-'Interest Rate'!$B$17))</f>
        <v>0</v>
      </c>
      <c r="AS29" s="658">
        <f>IF(AS$6&gt;$L29,0,AR29*(1-'Interest Rate'!$B$17))</f>
        <v>0</v>
      </c>
      <c r="AT29" s="658">
        <f>IF(AT$6&gt;$L29,0,AS29*(1-'Interest Rate'!$B$17))</f>
        <v>0</v>
      </c>
      <c r="AU29" s="658">
        <f>IF(AU$6&gt;$L29,0,AT29*(1-'Interest Rate'!$B$17))</f>
        <v>0</v>
      </c>
      <c r="AV29" s="658">
        <f>IF(AV$6&gt;$L29,0,AU29*(1-'Interest Rate'!$B$17))</f>
        <v>0</v>
      </c>
      <c r="AW29" s="658">
        <f>IF(AW$6&gt;$L29,0,AV29*(1-'Interest Rate'!$B$17))</f>
        <v>0</v>
      </c>
      <c r="AX29" s="658">
        <f>IF(AX$6&gt;$L29,0,AW29*(1-'Interest Rate'!$B$17))</f>
        <v>0</v>
      </c>
      <c r="AY29" s="658">
        <f>IF(AY$6&gt;$L29,0,AX29*(1-'Interest Rate'!$B$17))</f>
        <v>0</v>
      </c>
      <c r="AZ29" s="658">
        <f>IF(AZ$6&gt;$L29,0,AY29*(1-'Interest Rate'!$B$17))</f>
        <v>0</v>
      </c>
      <c r="BA29" s="658">
        <f>IF(BA$6&gt;$L29,0,AZ29*(1-'Interest Rate'!$B$17))</f>
        <v>0</v>
      </c>
      <c r="BB29" s="658">
        <f>IF(BB$6&gt;$L29,0,BA29*(1-'Interest Rate'!$B$17))</f>
        <v>0</v>
      </c>
      <c r="BC29" s="658">
        <f>IF(BC$6&gt;$L29,0,BB29*(1-'Interest Rate'!$B$17))</f>
        <v>0</v>
      </c>
      <c r="BD29" s="658">
        <f>IF(BD$6&gt;$L29,0,BC29*(1-'Interest Rate'!$B$17))</f>
        <v>0</v>
      </c>
      <c r="BE29" s="658">
        <f>IF(BE$6&gt;$L29,0,BD29*(1-'Interest Rate'!$B$17))</f>
        <v>0</v>
      </c>
      <c r="BF29" s="658">
        <f>IF(BF$6&gt;$L29,0,BE29*(1-'Interest Rate'!$B$17))</f>
        <v>0</v>
      </c>
      <c r="BG29" s="658">
        <f>IF(BG$6&gt;$L29,0,BF29*(1-'Interest Rate'!$B$17))</f>
        <v>0</v>
      </c>
      <c r="BH29" s="658">
        <f>IF(BH$6&gt;$L29,0,BG29*(1-'Interest Rate'!$B$17))</f>
        <v>0</v>
      </c>
      <c r="BI29" s="658">
        <f>IF(BI$6&gt;$L29,0,BH29*(1-'Interest Rate'!$B$17))</f>
        <v>0</v>
      </c>
      <c r="BJ29" s="658">
        <f>IF(BJ$6&gt;$L29,0,BI29*(1-'Interest Rate'!$B$17))</f>
        <v>0</v>
      </c>
      <c r="BK29" s="658">
        <f>IF(BK$6&gt;$L29,0,BJ29*(1-'Interest Rate'!$B$17))</f>
        <v>0</v>
      </c>
      <c r="BL29" s="658">
        <f>IF(BL$6&gt;$L29,0,BK29*(1-'Interest Rate'!$B$17))</f>
        <v>0</v>
      </c>
      <c r="BM29" s="658">
        <f>IF(BM$6&gt;$L29,0,BL29*(1-'Interest Rate'!$B$17))</f>
        <v>0</v>
      </c>
      <c r="BN29" s="658">
        <f>IF(BN$6&gt;$L29,0,BM29*(1-'Interest Rate'!$B$17))</f>
        <v>0</v>
      </c>
      <c r="BO29" s="658">
        <f>IF(BO$6&gt;$L29,0,BN29*(1-'Interest Rate'!$B$17))</f>
        <v>0</v>
      </c>
      <c r="BP29" s="658">
        <f>IF(BP$6&gt;$L29,0,BO29*(1-'Interest Rate'!$B$17))</f>
        <v>0</v>
      </c>
      <c r="BQ29" s="658">
        <f>IF(BQ$6&gt;$L29,0,BP29*(1-'Interest Rate'!$B$17))</f>
        <v>0</v>
      </c>
      <c r="BR29" s="658">
        <f>IF(BR$6&gt;$L29,0,BQ29*(1-'Interest Rate'!$B$17))</f>
        <v>0</v>
      </c>
      <c r="BS29" s="658">
        <f>IF(BS$6&gt;$L29,0,BR29*(1-'Interest Rate'!$B$17))</f>
        <v>0</v>
      </c>
      <c r="BT29" s="658">
        <f>IF(BT$6&gt;$L29,0,BS29*(1-'Interest Rate'!$B$17))</f>
        <v>0</v>
      </c>
      <c r="BU29" s="658">
        <f>IF(BU$6&gt;$L29,0,BT29*(1-'Interest Rate'!$B$17))</f>
        <v>0</v>
      </c>
      <c r="BV29" s="658">
        <f>IF(BV$6&gt;$L29,0,BU29*(1-'Interest Rate'!$B$17))</f>
        <v>0</v>
      </c>
      <c r="BW29" s="658">
        <f>IF(BW$6&gt;$L29,0,BV29*(1-'Interest Rate'!$B$17))</f>
        <v>0</v>
      </c>
      <c r="BX29" s="658">
        <f>IF(BX$6&gt;$L29,0,BW29*(1-'Interest Rate'!$B$17))</f>
        <v>0</v>
      </c>
      <c r="BY29" s="658">
        <f>IF(BY$6&gt;$L29,0,BX29*(1-'Interest Rate'!$B$17))</f>
        <v>0</v>
      </c>
      <c r="BZ29" s="658">
        <f>IF(BZ$6&gt;$L29,0,BY29*(1-'Interest Rate'!$B$17))</f>
        <v>0</v>
      </c>
      <c r="CA29" s="658">
        <f>IF(CA$6&gt;$L29,0,BZ29*(1-'Interest Rate'!$B$17))</f>
        <v>0</v>
      </c>
      <c r="CB29" s="658">
        <f>IF(CB$6&gt;$L29,0,CA29*(1-'Interest Rate'!$B$17))</f>
        <v>0</v>
      </c>
      <c r="CC29" s="658">
        <f>IF(CC$6&gt;$L29,0,CB29*(1-'Interest Rate'!$B$17))</f>
        <v>0</v>
      </c>
      <c r="CD29" s="658">
        <f>IF(CD$6&gt;$L29,0,CC29*(1-'Interest Rate'!$B$17))</f>
        <v>0</v>
      </c>
      <c r="CE29" s="658">
        <f>IF(CE$6&gt;$L29,0,CD29*(1-'Interest Rate'!$B$17))</f>
        <v>0</v>
      </c>
      <c r="CF29" s="658">
        <f>IF(CF$6&gt;$L29,0,CE29*(1-'Interest Rate'!$B$17))</f>
        <v>0</v>
      </c>
      <c r="CG29" s="658">
        <f>IF(CG$6&gt;$L29,0,CF29*(1-'Interest Rate'!$B$17))</f>
        <v>0</v>
      </c>
      <c r="CH29" s="658">
        <f>IF(CH$6&gt;$L29,0,CG29*(1-'Interest Rate'!$B$17))</f>
        <v>0</v>
      </c>
      <c r="CI29" s="658">
        <f>IF(CI$6&gt;$L29,0,CH29*(1-'Interest Rate'!$B$17))</f>
        <v>0</v>
      </c>
      <c r="CJ29" s="658">
        <f>IF(CJ$6&gt;$L29,0,CI29*(1-'Interest Rate'!$B$17))</f>
        <v>0</v>
      </c>
      <c r="CK29" s="658">
        <f>IF(CK$6&gt;$L29,0,CJ29*(1-'Interest Rate'!$B$17))</f>
        <v>0</v>
      </c>
      <c r="CL29" s="658">
        <f>IF(CL$6&gt;$L29,0,CK29*(1-'Interest Rate'!$B$17))</f>
        <v>0</v>
      </c>
      <c r="CM29" s="658">
        <f>IF(CM$6&gt;$L29,0,CL29*(1-'Interest Rate'!$B$17))</f>
        <v>0</v>
      </c>
      <c r="CN29" s="658">
        <f>IF(CN$6&gt;$L29,0,CM29*(1-'Interest Rate'!$B$17))</f>
        <v>0</v>
      </c>
      <c r="CO29" s="658">
        <f>IF(CO$6&gt;$L29,0,CN29*(1-'Interest Rate'!$B$17))</f>
        <v>0</v>
      </c>
      <c r="CP29" s="658">
        <f>IF(CP$6&gt;$L29,0,CO29*(1-'Interest Rate'!$B$17))</f>
        <v>0</v>
      </c>
      <c r="CQ29" s="658">
        <f>IF(CQ$6&gt;$L29,0,CP29*(1-'Interest Rate'!$B$17))</f>
        <v>0</v>
      </c>
      <c r="CR29" s="658">
        <f>IF(CR$6&gt;$L29,0,CQ29*(1-'Interest Rate'!$B$17))</f>
        <v>0</v>
      </c>
      <c r="CS29" s="658">
        <f>IF(CS$6&gt;$L29,0,CR29*(1-'Interest Rate'!$B$17))</f>
        <v>0</v>
      </c>
      <c r="CT29" s="658">
        <f>IF(CT$6&gt;$L29,0,CS29*(1-'Interest Rate'!$B$17))</f>
        <v>0</v>
      </c>
      <c r="CU29" s="658">
        <f>IF(CU$6&gt;$L29,0,CT29*(1-'Interest Rate'!$B$17))</f>
        <v>0</v>
      </c>
      <c r="CV29" s="658">
        <f>IF(CV$6&gt;$L29,0,CU29*(1-'Interest Rate'!$B$17))</f>
        <v>0</v>
      </c>
      <c r="CW29" s="658">
        <f>IF(CW$6&gt;$L29,0,CV29*(1-'Interest Rate'!$B$17))</f>
        <v>0</v>
      </c>
      <c r="CX29" s="658">
        <f>IF(CX$6&gt;$L29,0,CW29*(1-'Interest Rate'!$B$17))</f>
        <v>0</v>
      </c>
      <c r="CY29" s="658">
        <f>IF(CY$6&gt;$L29,0,CX29*(1-'Interest Rate'!$B$17))</f>
        <v>0</v>
      </c>
      <c r="CZ29" s="658">
        <f>IF(CZ$6&gt;$L29,0,CY29*(1-'Interest Rate'!$B$17))</f>
        <v>0</v>
      </c>
      <c r="DA29" s="658">
        <f>IF(DA$6&gt;$L29,0,CZ29*(1-'Interest Rate'!$B$17))</f>
        <v>0</v>
      </c>
      <c r="DB29" s="658">
        <f>IF(DB$6&gt;$L29,0,DA29*(1-'Interest Rate'!$B$17))</f>
        <v>0</v>
      </c>
      <c r="DC29" s="658">
        <f>IF(DC$6&gt;$L29,0,DB29*(1-'Interest Rate'!$B$17))</f>
        <v>0</v>
      </c>
      <c r="DD29" s="658">
        <f>IF(DD$6&gt;$L29,0,DC29*(1-'Interest Rate'!$B$17))</f>
        <v>0</v>
      </c>
      <c r="DE29" s="658">
        <f>IF(DE$6&gt;$L29,0,DD29*(1-'Interest Rate'!$B$17))</f>
        <v>0</v>
      </c>
      <c r="DF29" s="658">
        <f>IF(DF$6&gt;$L29,0,DE29*(1-'Interest Rate'!$B$17))</f>
        <v>0</v>
      </c>
      <c r="DG29" s="658">
        <f>IF(DG$6&gt;$L29,0,DF29*(1-'Interest Rate'!$B$17))</f>
        <v>0</v>
      </c>
      <c r="DH29" s="658">
        <f>IF(DH$6&gt;$L29,0,DG29*(1-'Interest Rate'!$B$17))</f>
        <v>0</v>
      </c>
      <c r="DI29" s="658">
        <f>IF(DI$6&gt;$L29,0,DH29*(1-'Interest Rate'!$B$17))</f>
        <v>0</v>
      </c>
      <c r="DJ29" s="658">
        <f>IF(DJ$6&gt;$L29,0,DI29*(1-'Interest Rate'!$B$17))</f>
        <v>0</v>
      </c>
      <c r="DK29" s="658">
        <f>IF(DK$6&gt;$L29,0,DJ29*(1-'Interest Rate'!$B$17))</f>
        <v>0</v>
      </c>
      <c r="DL29" s="658">
        <f>IF(DL$6&gt;$L29,0,DK29*(1-'Interest Rate'!$B$17))</f>
        <v>0</v>
      </c>
      <c r="DM29" s="658">
        <f>IF(DM$6&gt;$L29,0,DL29*(1-'Interest Rate'!$B$17))</f>
        <v>0</v>
      </c>
      <c r="DN29" s="658">
        <f>IF(DN$6&gt;$L29,0,DM29*(1-'Interest Rate'!$B$17))</f>
        <v>0</v>
      </c>
      <c r="DO29" s="658">
        <f>IF(DO$6&gt;$L29,0,DN29*(1-'Interest Rate'!$B$17))</f>
        <v>0</v>
      </c>
      <c r="DP29" s="658">
        <f>IF(DP$6&gt;$L29,0,DO29*(1-'Interest Rate'!$B$17))</f>
        <v>0</v>
      </c>
      <c r="DQ29" s="658">
        <f>IF(DQ$6&gt;$L29,0,DP29*(1-'Interest Rate'!$B$17))</f>
        <v>0</v>
      </c>
      <c r="DR29" s="658">
        <f>IF(DR$6&gt;$L29,0,DQ29*(1-'Interest Rate'!$B$17))</f>
        <v>0</v>
      </c>
    </row>
    <row r="30" spans="1:122" ht="33" customHeight="1" x14ac:dyDescent="0.3">
      <c r="A30" s="675" t="str">
        <f>'EEM Data Entry'!A108</f>
        <v/>
      </c>
      <c r="B30" s="660" t="str">
        <f>'EEM Data Entry'!B108</f>
        <v/>
      </c>
      <c r="C30" s="661" t="str">
        <f>'EEM Data Entry'!F108</f>
        <v/>
      </c>
      <c r="D30" s="661">
        <v>0</v>
      </c>
      <c r="E30" s="661" t="e">
        <f t="shared" ref="E30" si="9">C30-D30</f>
        <v>#VALUE!</v>
      </c>
      <c r="F30" s="662">
        <f>('Cascading Savings'!D29*'Cascading Savings'!D$4)+('Cascading Savings'!F29*'Cascading Savings'!F$4)+('Cascading Savings'!H29*'Cascading Savings'!H$4)+('Cascading Savings'!J29*'Cascading Savings'!J$4)+('Cascading Savings'!L29*'Cascading Savings'!L$4)+('Cascading Savings'!N29*'Cascading Savings'!N$4)+('Cascading Savings'!P29*'Cascading Savings'!P$4)+('Cascading Savings'!R29*'Cascading Savings'!R$4)</f>
        <v>0</v>
      </c>
      <c r="G30" s="663">
        <f>'Cascading Savings'!T29</f>
        <v>0</v>
      </c>
      <c r="H30" s="664" t="e">
        <f t="shared" si="4"/>
        <v>#VALUE!</v>
      </c>
      <c r="I30" s="665" t="e">
        <f t="shared" si="8"/>
        <v>#VALUE!</v>
      </c>
      <c r="J30" s="666" t="e">
        <f t="shared" si="0"/>
        <v>#NUM!</v>
      </c>
      <c r="K30" s="667" t="e">
        <f>PV('Interest Rate'!$B$17,Table112[[#This Row],[Lifetime]],-Table112[[#This Row],[ANNUAL ENERGY COST SAVINGS]],Table112[[#This Row],[END-OF-LIFE]],0)-Table112[[#This Row],[CAPITAL INVESTMENT]]</f>
        <v>#VALUE!</v>
      </c>
      <c r="L30" s="665" t="str">
        <f>'EEM Data Entry'!C108</f>
        <v/>
      </c>
      <c r="M30" s="676" t="e">
        <f>Table112[[#This Row],[ANNUAL ENERGY COST SAVINGS]]/Table112[[#This Row],[CAPITAL INVESTMENT]]</f>
        <v>#VALUE!</v>
      </c>
      <c r="N30" s="794">
        <f>IF(ISNUMBER(Table112[[#This Row],[NPV]])=TRUE,Table112[[#This Row],[NPV]],0)</f>
        <v>0</v>
      </c>
      <c r="O30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30" s="568" t="str">
        <f>Table112[[#This Row],[Lifetime]]</f>
        <v/>
      </c>
      <c r="V30" s="657" t="str">
        <f t="shared" si="2"/>
        <v/>
      </c>
      <c r="W30" s="658">
        <f t="shared" si="1"/>
        <v>0</v>
      </c>
      <c r="X30" s="658">
        <f>IF(X$6&gt;$L30,0,W30*(1-'Interest Rate'!$B$17))</f>
        <v>0</v>
      </c>
      <c r="Y30" s="658">
        <f>IF(Y$6&gt;$L30,0,X30*(1-'Interest Rate'!$B$17))</f>
        <v>0</v>
      </c>
      <c r="Z30" s="658">
        <f>IF(Z$6&gt;$L30,0,Y30*(1-'Interest Rate'!$B$17))</f>
        <v>0</v>
      </c>
      <c r="AA30" s="658">
        <f>IF(AA$6&gt;$L30,0,Z30*(1-'Interest Rate'!$B$17))</f>
        <v>0</v>
      </c>
      <c r="AB30" s="658">
        <f>IF(AB$6&gt;$L30,0,AA30*(1-'Interest Rate'!$B$17))</f>
        <v>0</v>
      </c>
      <c r="AC30" s="658">
        <f>IF(AC$6&gt;$L30,0,AB30*(1-'Interest Rate'!$B$17))</f>
        <v>0</v>
      </c>
      <c r="AD30" s="658">
        <f>IF(AD$6&gt;$L30,0,AC30*(1-'Interest Rate'!$B$17))</f>
        <v>0</v>
      </c>
      <c r="AE30" s="658">
        <f>IF(AE$6&gt;$L30,0,AD30*(1-'Interest Rate'!$B$17))</f>
        <v>0</v>
      </c>
      <c r="AF30" s="658">
        <f>IF(AF$6&gt;$L30,0,AE30*(1-'Interest Rate'!$B$17))</f>
        <v>0</v>
      </c>
      <c r="AG30" s="658">
        <f>IF(AG$6&gt;$L30,0,AF30*(1-'Interest Rate'!$B$17))</f>
        <v>0</v>
      </c>
      <c r="AH30" s="658">
        <f>IF(AH$6&gt;$L30,0,AG30*(1-'Interest Rate'!$B$17))</f>
        <v>0</v>
      </c>
      <c r="AI30" s="658">
        <f>IF(AI$6&gt;$L30,0,AH30*(1-'Interest Rate'!$B$17))</f>
        <v>0</v>
      </c>
      <c r="AJ30" s="658">
        <f>IF(AJ$6&gt;$L30,0,AI30*(1-'Interest Rate'!$B$17))</f>
        <v>0</v>
      </c>
      <c r="AK30" s="658">
        <f>IF(AK$6&gt;$L30,0,AJ30*(1-'Interest Rate'!$B$17))</f>
        <v>0</v>
      </c>
      <c r="AL30" s="658">
        <f>IF(AL$6&gt;$L30,0,AK30*(1-'Interest Rate'!$B$17))</f>
        <v>0</v>
      </c>
      <c r="AM30" s="658">
        <f>IF(AM$6&gt;$L30,0,AL30*(1-'Interest Rate'!$B$17))</f>
        <v>0</v>
      </c>
      <c r="AN30" s="658">
        <f>IF(AN$6&gt;$L30,0,AM30*(1-'Interest Rate'!$B$17))</f>
        <v>0</v>
      </c>
      <c r="AO30" s="658">
        <f>IF(AO$6&gt;$L30,0,AN30*(1-'Interest Rate'!$B$17))</f>
        <v>0</v>
      </c>
      <c r="AP30" s="658">
        <f>IF(AP$6&gt;$L30,0,AO30*(1-'Interest Rate'!$B$17))</f>
        <v>0</v>
      </c>
      <c r="AQ30" s="658">
        <f>IF(AQ$6&gt;$L30,0,AP30*(1-'Interest Rate'!$B$17))</f>
        <v>0</v>
      </c>
      <c r="AR30" s="658">
        <f>IF(AR$6&gt;$L30,0,AQ30*(1-'Interest Rate'!$B$17))</f>
        <v>0</v>
      </c>
      <c r="AS30" s="658">
        <f>IF(AS$6&gt;$L30,0,AR30*(1-'Interest Rate'!$B$17))</f>
        <v>0</v>
      </c>
      <c r="AT30" s="658">
        <f>IF(AT$6&gt;$L30,0,AS30*(1-'Interest Rate'!$B$17))</f>
        <v>0</v>
      </c>
      <c r="AU30" s="658">
        <f>IF(AU$6&gt;$L30,0,AT30*(1-'Interest Rate'!$B$17))</f>
        <v>0</v>
      </c>
      <c r="AV30" s="658">
        <f>IF(AV$6&gt;$L30,0,AU30*(1-'Interest Rate'!$B$17))</f>
        <v>0</v>
      </c>
      <c r="AW30" s="658">
        <f>IF(AW$6&gt;$L30,0,AV30*(1-'Interest Rate'!$B$17))</f>
        <v>0</v>
      </c>
      <c r="AX30" s="658">
        <f>IF(AX$6&gt;$L30,0,AW30*(1-'Interest Rate'!$B$17))</f>
        <v>0</v>
      </c>
      <c r="AY30" s="658">
        <f>IF(AY$6&gt;$L30,0,AX30*(1-'Interest Rate'!$B$17))</f>
        <v>0</v>
      </c>
      <c r="AZ30" s="658">
        <f>IF(AZ$6&gt;$L30,0,AY30*(1-'Interest Rate'!$B$17))</f>
        <v>0</v>
      </c>
      <c r="BA30" s="658">
        <f>IF(BA$6&gt;$L30,0,AZ30*(1-'Interest Rate'!$B$17))</f>
        <v>0</v>
      </c>
      <c r="BB30" s="658">
        <f>IF(BB$6&gt;$L30,0,BA30*(1-'Interest Rate'!$B$17))</f>
        <v>0</v>
      </c>
      <c r="BC30" s="658">
        <f>IF(BC$6&gt;$L30,0,BB30*(1-'Interest Rate'!$B$17))</f>
        <v>0</v>
      </c>
      <c r="BD30" s="658">
        <f>IF(BD$6&gt;$L30,0,BC30*(1-'Interest Rate'!$B$17))</f>
        <v>0</v>
      </c>
      <c r="BE30" s="658">
        <f>IF(BE$6&gt;$L30,0,BD30*(1-'Interest Rate'!$B$17))</f>
        <v>0</v>
      </c>
      <c r="BF30" s="658">
        <f>IF(BF$6&gt;$L30,0,BE30*(1-'Interest Rate'!$B$17))</f>
        <v>0</v>
      </c>
      <c r="BG30" s="658">
        <f>IF(BG$6&gt;$L30,0,BF30*(1-'Interest Rate'!$B$17))</f>
        <v>0</v>
      </c>
      <c r="BH30" s="658">
        <f>IF(BH$6&gt;$L30,0,BG30*(1-'Interest Rate'!$B$17))</f>
        <v>0</v>
      </c>
      <c r="BI30" s="658">
        <f>IF(BI$6&gt;$L30,0,BH30*(1-'Interest Rate'!$B$17))</f>
        <v>0</v>
      </c>
      <c r="BJ30" s="658">
        <f>IF(BJ$6&gt;$L30,0,BI30*(1-'Interest Rate'!$B$17))</f>
        <v>0</v>
      </c>
      <c r="BK30" s="658">
        <f>IF(BK$6&gt;$L30,0,BJ30*(1-'Interest Rate'!$B$17))</f>
        <v>0</v>
      </c>
      <c r="BL30" s="658">
        <f>IF(BL$6&gt;$L30,0,BK30*(1-'Interest Rate'!$B$17))</f>
        <v>0</v>
      </c>
      <c r="BM30" s="658">
        <f>IF(BM$6&gt;$L30,0,BL30*(1-'Interest Rate'!$B$17))</f>
        <v>0</v>
      </c>
      <c r="BN30" s="658">
        <f>IF(BN$6&gt;$L30,0,BM30*(1-'Interest Rate'!$B$17))</f>
        <v>0</v>
      </c>
      <c r="BO30" s="658">
        <f>IF(BO$6&gt;$L30,0,BN30*(1-'Interest Rate'!$B$17))</f>
        <v>0</v>
      </c>
      <c r="BP30" s="658">
        <f>IF(BP$6&gt;$L30,0,BO30*(1-'Interest Rate'!$B$17))</f>
        <v>0</v>
      </c>
      <c r="BQ30" s="658">
        <f>IF(BQ$6&gt;$L30,0,BP30*(1-'Interest Rate'!$B$17))</f>
        <v>0</v>
      </c>
      <c r="BR30" s="658">
        <f>IF(BR$6&gt;$L30,0,BQ30*(1-'Interest Rate'!$B$17))</f>
        <v>0</v>
      </c>
      <c r="BS30" s="658">
        <f>IF(BS$6&gt;$L30,0,BR30*(1-'Interest Rate'!$B$17))</f>
        <v>0</v>
      </c>
      <c r="BT30" s="658">
        <f>IF(BT$6&gt;$L30,0,BS30*(1-'Interest Rate'!$B$17))</f>
        <v>0</v>
      </c>
      <c r="BU30" s="658">
        <f>IF(BU$6&gt;$L30,0,BT30*(1-'Interest Rate'!$B$17))</f>
        <v>0</v>
      </c>
      <c r="BV30" s="658">
        <f>IF(BV$6&gt;$L30,0,BU30*(1-'Interest Rate'!$B$17))</f>
        <v>0</v>
      </c>
      <c r="BW30" s="658">
        <f>IF(BW$6&gt;$L30,0,BV30*(1-'Interest Rate'!$B$17))</f>
        <v>0</v>
      </c>
      <c r="BX30" s="658">
        <f>IF(BX$6&gt;$L30,0,BW30*(1-'Interest Rate'!$B$17))</f>
        <v>0</v>
      </c>
      <c r="BY30" s="658">
        <f>IF(BY$6&gt;$L30,0,BX30*(1-'Interest Rate'!$B$17))</f>
        <v>0</v>
      </c>
      <c r="BZ30" s="658">
        <f>IF(BZ$6&gt;$L30,0,BY30*(1-'Interest Rate'!$B$17))</f>
        <v>0</v>
      </c>
      <c r="CA30" s="658">
        <f>IF(CA$6&gt;$L30,0,BZ30*(1-'Interest Rate'!$B$17))</f>
        <v>0</v>
      </c>
      <c r="CB30" s="658">
        <f>IF(CB$6&gt;$L30,0,CA30*(1-'Interest Rate'!$B$17))</f>
        <v>0</v>
      </c>
      <c r="CC30" s="658">
        <f>IF(CC$6&gt;$L30,0,CB30*(1-'Interest Rate'!$B$17))</f>
        <v>0</v>
      </c>
      <c r="CD30" s="658">
        <f>IF(CD$6&gt;$L30,0,CC30*(1-'Interest Rate'!$B$17))</f>
        <v>0</v>
      </c>
      <c r="CE30" s="658">
        <f>IF(CE$6&gt;$L30,0,CD30*(1-'Interest Rate'!$B$17))</f>
        <v>0</v>
      </c>
      <c r="CF30" s="658">
        <f>IF(CF$6&gt;$L30,0,CE30*(1-'Interest Rate'!$B$17))</f>
        <v>0</v>
      </c>
      <c r="CG30" s="658">
        <f>IF(CG$6&gt;$L30,0,CF30*(1-'Interest Rate'!$B$17))</f>
        <v>0</v>
      </c>
      <c r="CH30" s="658">
        <f>IF(CH$6&gt;$L30,0,CG30*(1-'Interest Rate'!$B$17))</f>
        <v>0</v>
      </c>
      <c r="CI30" s="658">
        <f>IF(CI$6&gt;$L30,0,CH30*(1-'Interest Rate'!$B$17))</f>
        <v>0</v>
      </c>
      <c r="CJ30" s="658">
        <f>IF(CJ$6&gt;$L30,0,CI30*(1-'Interest Rate'!$B$17))</f>
        <v>0</v>
      </c>
      <c r="CK30" s="658">
        <f>IF(CK$6&gt;$L30,0,CJ30*(1-'Interest Rate'!$B$17))</f>
        <v>0</v>
      </c>
      <c r="CL30" s="658">
        <f>IF(CL$6&gt;$L30,0,CK30*(1-'Interest Rate'!$B$17))</f>
        <v>0</v>
      </c>
      <c r="CM30" s="658">
        <f>IF(CM$6&gt;$L30,0,CL30*(1-'Interest Rate'!$B$17))</f>
        <v>0</v>
      </c>
      <c r="CN30" s="658">
        <f>IF(CN$6&gt;$L30,0,CM30*(1-'Interest Rate'!$B$17))</f>
        <v>0</v>
      </c>
      <c r="CO30" s="658">
        <f>IF(CO$6&gt;$L30,0,CN30*(1-'Interest Rate'!$B$17))</f>
        <v>0</v>
      </c>
      <c r="CP30" s="658">
        <f>IF(CP$6&gt;$L30,0,CO30*(1-'Interest Rate'!$B$17))</f>
        <v>0</v>
      </c>
      <c r="CQ30" s="658">
        <f>IF(CQ$6&gt;$L30,0,CP30*(1-'Interest Rate'!$B$17))</f>
        <v>0</v>
      </c>
      <c r="CR30" s="658">
        <f>IF(CR$6&gt;$L30,0,CQ30*(1-'Interest Rate'!$B$17))</f>
        <v>0</v>
      </c>
      <c r="CS30" s="658">
        <f>IF(CS$6&gt;$L30,0,CR30*(1-'Interest Rate'!$B$17))</f>
        <v>0</v>
      </c>
      <c r="CT30" s="658">
        <f>IF(CT$6&gt;$L30,0,CS30*(1-'Interest Rate'!$B$17))</f>
        <v>0</v>
      </c>
      <c r="CU30" s="658">
        <f>IF(CU$6&gt;$L30,0,CT30*(1-'Interest Rate'!$B$17))</f>
        <v>0</v>
      </c>
      <c r="CV30" s="658">
        <f>IF(CV$6&gt;$L30,0,CU30*(1-'Interest Rate'!$B$17))</f>
        <v>0</v>
      </c>
      <c r="CW30" s="658">
        <f>IF(CW$6&gt;$L30,0,CV30*(1-'Interest Rate'!$B$17))</f>
        <v>0</v>
      </c>
      <c r="CX30" s="658">
        <f>IF(CX$6&gt;$L30,0,CW30*(1-'Interest Rate'!$B$17))</f>
        <v>0</v>
      </c>
      <c r="CY30" s="658">
        <f>IF(CY$6&gt;$L30,0,CX30*(1-'Interest Rate'!$B$17))</f>
        <v>0</v>
      </c>
      <c r="CZ30" s="658">
        <f>IF(CZ$6&gt;$L30,0,CY30*(1-'Interest Rate'!$B$17))</f>
        <v>0</v>
      </c>
      <c r="DA30" s="658">
        <f>IF(DA$6&gt;$L30,0,CZ30*(1-'Interest Rate'!$B$17))</f>
        <v>0</v>
      </c>
      <c r="DB30" s="658">
        <f>IF(DB$6&gt;$L30,0,DA30*(1-'Interest Rate'!$B$17))</f>
        <v>0</v>
      </c>
      <c r="DC30" s="658">
        <f>IF(DC$6&gt;$L30,0,DB30*(1-'Interest Rate'!$B$17))</f>
        <v>0</v>
      </c>
      <c r="DD30" s="658">
        <f>IF(DD$6&gt;$L30,0,DC30*(1-'Interest Rate'!$B$17))</f>
        <v>0</v>
      </c>
      <c r="DE30" s="658">
        <f>IF(DE$6&gt;$L30,0,DD30*(1-'Interest Rate'!$B$17))</f>
        <v>0</v>
      </c>
      <c r="DF30" s="658">
        <f>IF(DF$6&gt;$L30,0,DE30*(1-'Interest Rate'!$B$17))</f>
        <v>0</v>
      </c>
      <c r="DG30" s="658">
        <f>IF(DG$6&gt;$L30,0,DF30*(1-'Interest Rate'!$B$17))</f>
        <v>0</v>
      </c>
      <c r="DH30" s="658">
        <f>IF(DH$6&gt;$L30,0,DG30*(1-'Interest Rate'!$B$17))</f>
        <v>0</v>
      </c>
      <c r="DI30" s="658">
        <f>IF(DI$6&gt;$L30,0,DH30*(1-'Interest Rate'!$B$17))</f>
        <v>0</v>
      </c>
      <c r="DJ30" s="658">
        <f>IF(DJ$6&gt;$L30,0,DI30*(1-'Interest Rate'!$B$17))</f>
        <v>0</v>
      </c>
      <c r="DK30" s="658">
        <f>IF(DK$6&gt;$L30,0,DJ30*(1-'Interest Rate'!$B$17))</f>
        <v>0</v>
      </c>
      <c r="DL30" s="658">
        <f>IF(DL$6&gt;$L30,0,DK30*(1-'Interest Rate'!$B$17))</f>
        <v>0</v>
      </c>
      <c r="DM30" s="658">
        <f>IF(DM$6&gt;$L30,0,DL30*(1-'Interest Rate'!$B$17))</f>
        <v>0</v>
      </c>
      <c r="DN30" s="658">
        <f>IF(DN$6&gt;$L30,0,DM30*(1-'Interest Rate'!$B$17))</f>
        <v>0</v>
      </c>
      <c r="DO30" s="658">
        <f>IF(DO$6&gt;$L30,0,DN30*(1-'Interest Rate'!$B$17))</f>
        <v>0</v>
      </c>
      <c r="DP30" s="658">
        <f>IF(DP$6&gt;$L30,0,DO30*(1-'Interest Rate'!$B$17))</f>
        <v>0</v>
      </c>
      <c r="DQ30" s="658">
        <f>IF(DQ$6&gt;$L30,0,DP30*(1-'Interest Rate'!$B$17))</f>
        <v>0</v>
      </c>
      <c r="DR30" s="658">
        <f>IF(DR$6&gt;$L30,0,DQ30*(1-'Interest Rate'!$B$17))</f>
        <v>0</v>
      </c>
    </row>
    <row r="31" spans="1:122" s="610" customFormat="1" ht="33" customHeight="1" x14ac:dyDescent="0.4">
      <c r="A31" s="677"/>
      <c r="B31" s="678"/>
      <c r="C31" s="677"/>
      <c r="D31" s="677"/>
      <c r="E31" s="679"/>
      <c r="F31" s="680"/>
      <c r="G31" s="681"/>
      <c r="H31" s="682"/>
      <c r="I31" s="683"/>
      <c r="J31" s="684"/>
      <c r="K31" s="685"/>
      <c r="M31" s="686"/>
      <c r="N31" s="623"/>
      <c r="O31" s="623"/>
      <c r="V31" s="657"/>
      <c r="W31" s="658"/>
      <c r="X31" s="658"/>
      <c r="Y31" s="658"/>
      <c r="Z31" s="658"/>
      <c r="AA31" s="658"/>
      <c r="AB31" s="658"/>
      <c r="AC31" s="658"/>
      <c r="AD31" s="658"/>
      <c r="AE31" s="658"/>
      <c r="AF31" s="658"/>
      <c r="AG31" s="658"/>
      <c r="AH31" s="658"/>
      <c r="AI31" s="658"/>
      <c r="AJ31" s="658"/>
      <c r="AK31" s="658"/>
      <c r="AL31" s="658"/>
      <c r="AM31" s="658"/>
      <c r="AN31" s="658"/>
      <c r="AO31" s="658"/>
      <c r="AP31" s="658"/>
      <c r="AQ31" s="658"/>
      <c r="AR31" s="658"/>
      <c r="AS31" s="658"/>
      <c r="AT31" s="658"/>
      <c r="AU31" s="658"/>
      <c r="AV31" s="658"/>
      <c r="AW31" s="658"/>
      <c r="AX31" s="658"/>
      <c r="AY31" s="658"/>
      <c r="AZ31" s="658"/>
      <c r="BA31" s="687"/>
      <c r="BB31" s="687"/>
      <c r="BC31" s="688"/>
      <c r="BD31" s="688"/>
      <c r="BE31" s="688"/>
      <c r="BF31" s="688"/>
      <c r="BG31" s="688"/>
      <c r="BH31" s="688"/>
      <c r="BI31" s="688"/>
      <c r="BJ31" s="688"/>
    </row>
    <row r="32" spans="1:122" s="610" customFormat="1" ht="33" customHeight="1" x14ac:dyDescent="0.25">
      <c r="A32" s="689" t="s">
        <v>145</v>
      </c>
      <c r="B32" s="690" t="s">
        <v>43</v>
      </c>
      <c r="C32" s="691" t="s">
        <v>35</v>
      </c>
      <c r="D32" s="691" t="s">
        <v>90</v>
      </c>
      <c r="E32" s="691" t="s">
        <v>119</v>
      </c>
      <c r="F32" s="692" t="s">
        <v>118</v>
      </c>
      <c r="G32" s="691" t="s">
        <v>125</v>
      </c>
      <c r="H32" s="691" t="s">
        <v>124</v>
      </c>
      <c r="I32" s="691" t="s">
        <v>72</v>
      </c>
      <c r="J32" s="693" t="s">
        <v>17</v>
      </c>
      <c r="K32" s="694" t="s">
        <v>22</v>
      </c>
      <c r="L32" s="596" t="s">
        <v>157</v>
      </c>
      <c r="M32" s="596" t="s">
        <v>159</v>
      </c>
      <c r="N32" s="596" t="s">
        <v>232</v>
      </c>
      <c r="O32" s="596" t="s">
        <v>231</v>
      </c>
      <c r="V32" s="695"/>
      <c r="W32" s="646">
        <v>1</v>
      </c>
      <c r="X32" s="646">
        <v>2</v>
      </c>
      <c r="Y32" s="646">
        <v>3</v>
      </c>
      <c r="Z32" s="646">
        <v>4</v>
      </c>
      <c r="AA32" s="646">
        <v>5</v>
      </c>
      <c r="AB32" s="646">
        <v>6</v>
      </c>
      <c r="AC32" s="646">
        <v>7</v>
      </c>
      <c r="AD32" s="646">
        <v>8</v>
      </c>
      <c r="AE32" s="646">
        <v>9</v>
      </c>
      <c r="AF32" s="646">
        <v>10</v>
      </c>
      <c r="AG32" s="646">
        <v>11</v>
      </c>
      <c r="AH32" s="646">
        <v>12</v>
      </c>
      <c r="AI32" s="646">
        <v>13</v>
      </c>
      <c r="AJ32" s="646">
        <v>14</v>
      </c>
      <c r="AK32" s="646">
        <v>15</v>
      </c>
      <c r="AL32" s="646">
        <v>16</v>
      </c>
      <c r="AM32" s="646">
        <v>17</v>
      </c>
      <c r="AN32" s="646">
        <v>18</v>
      </c>
      <c r="AO32" s="646">
        <v>19</v>
      </c>
      <c r="AP32" s="646">
        <v>20</v>
      </c>
      <c r="AQ32" s="646">
        <v>21</v>
      </c>
      <c r="AR32" s="646">
        <v>22</v>
      </c>
      <c r="AS32" s="646">
        <v>23</v>
      </c>
      <c r="AT32" s="646">
        <v>24</v>
      </c>
      <c r="AU32" s="646">
        <v>25</v>
      </c>
      <c r="AV32" s="646">
        <v>26</v>
      </c>
      <c r="AW32" s="646">
        <v>27</v>
      </c>
      <c r="AX32" s="646">
        <v>28</v>
      </c>
      <c r="AY32" s="646">
        <v>29</v>
      </c>
      <c r="AZ32" s="646">
        <v>30</v>
      </c>
      <c r="BA32" s="646">
        <v>31</v>
      </c>
      <c r="BB32" s="646">
        <v>32</v>
      </c>
      <c r="BC32" s="646">
        <v>33</v>
      </c>
      <c r="BD32" s="646">
        <v>34</v>
      </c>
      <c r="BE32" s="646">
        <v>35</v>
      </c>
      <c r="BF32" s="646">
        <v>36</v>
      </c>
      <c r="BG32" s="646">
        <v>37</v>
      </c>
      <c r="BH32" s="646">
        <v>38</v>
      </c>
      <c r="BI32" s="646">
        <v>39</v>
      </c>
      <c r="BJ32" s="646">
        <v>40</v>
      </c>
      <c r="BK32" s="646">
        <v>41</v>
      </c>
      <c r="BL32" s="646">
        <v>42</v>
      </c>
      <c r="BM32" s="646">
        <v>43</v>
      </c>
      <c r="BN32" s="646">
        <v>44</v>
      </c>
      <c r="BO32" s="646">
        <v>45</v>
      </c>
      <c r="BP32" s="646">
        <v>46</v>
      </c>
      <c r="BQ32" s="646">
        <v>47</v>
      </c>
      <c r="BR32" s="646">
        <v>48</v>
      </c>
      <c r="BS32" s="646">
        <v>49</v>
      </c>
      <c r="BT32" s="646">
        <v>50</v>
      </c>
      <c r="BU32" s="646">
        <v>51</v>
      </c>
      <c r="BV32" s="646">
        <v>52</v>
      </c>
      <c r="BW32" s="646">
        <v>53</v>
      </c>
      <c r="BX32" s="646">
        <v>54</v>
      </c>
      <c r="BY32" s="646">
        <v>55</v>
      </c>
      <c r="BZ32" s="646">
        <v>56</v>
      </c>
      <c r="CA32" s="646">
        <v>57</v>
      </c>
      <c r="CB32" s="646">
        <v>58</v>
      </c>
      <c r="CC32" s="646">
        <v>59</v>
      </c>
      <c r="CD32" s="646">
        <v>60</v>
      </c>
      <c r="CE32" s="646">
        <v>61</v>
      </c>
      <c r="CF32" s="646">
        <v>62</v>
      </c>
      <c r="CG32" s="646">
        <v>63</v>
      </c>
      <c r="CH32" s="646">
        <v>64</v>
      </c>
      <c r="CI32" s="646">
        <v>65</v>
      </c>
      <c r="CJ32" s="646">
        <v>66</v>
      </c>
      <c r="CK32" s="646">
        <v>67</v>
      </c>
      <c r="CL32" s="646">
        <v>68</v>
      </c>
      <c r="CM32" s="646">
        <v>69</v>
      </c>
      <c r="CN32" s="646">
        <v>70</v>
      </c>
      <c r="CO32" s="646">
        <v>71</v>
      </c>
      <c r="CP32" s="646">
        <v>72</v>
      </c>
      <c r="CQ32" s="646">
        <v>73</v>
      </c>
      <c r="CR32" s="646">
        <v>74</v>
      </c>
      <c r="CS32" s="646">
        <v>75</v>
      </c>
      <c r="CT32" s="646">
        <v>76</v>
      </c>
      <c r="CU32" s="646">
        <v>77</v>
      </c>
      <c r="CV32" s="646">
        <v>78</v>
      </c>
      <c r="CW32" s="646">
        <v>79</v>
      </c>
      <c r="CX32" s="646">
        <v>80</v>
      </c>
      <c r="CY32" s="646">
        <v>81</v>
      </c>
      <c r="CZ32" s="646">
        <v>82</v>
      </c>
      <c r="DA32" s="646">
        <v>83</v>
      </c>
      <c r="DB32" s="646">
        <v>84</v>
      </c>
      <c r="DC32" s="646">
        <v>85</v>
      </c>
      <c r="DD32" s="646">
        <v>86</v>
      </c>
      <c r="DE32" s="646">
        <v>87</v>
      </c>
      <c r="DF32" s="646">
        <v>88</v>
      </c>
      <c r="DG32" s="646">
        <v>89</v>
      </c>
      <c r="DH32" s="646">
        <v>90</v>
      </c>
      <c r="DI32" s="646">
        <v>91</v>
      </c>
      <c r="DJ32" s="646">
        <v>92</v>
      </c>
      <c r="DK32" s="646">
        <v>93</v>
      </c>
      <c r="DL32" s="646">
        <v>94</v>
      </c>
      <c r="DM32" s="646">
        <v>95</v>
      </c>
      <c r="DN32" s="646">
        <v>96</v>
      </c>
      <c r="DO32" s="646">
        <v>97</v>
      </c>
      <c r="DP32" s="646">
        <v>98</v>
      </c>
      <c r="DQ32" s="646">
        <v>99</v>
      </c>
      <c r="DR32" s="646">
        <v>100</v>
      </c>
    </row>
    <row r="33" spans="1:122" ht="33" customHeight="1" x14ac:dyDescent="0.3">
      <c r="A33" s="696" t="str">
        <f>'EEM Data Entry'!A110</f>
        <v/>
      </c>
      <c r="B33" s="697" t="str">
        <f>IF('EEM Data Entry'!B110="  ","  ", 'EEM Data Entry'!B110)</f>
        <v/>
      </c>
      <c r="C33" s="671" t="str">
        <f>'EEM Data Entry'!F110</f>
        <v/>
      </c>
      <c r="D33" s="671">
        <v>0</v>
      </c>
      <c r="E33" s="671" t="e">
        <f>C33-D33</f>
        <v>#VALUE!</v>
      </c>
      <c r="F33" s="650">
        <f>('Cascading Savings'!D33*'Cascading Savings'!D$4)+('Cascading Savings'!F33*'Cascading Savings'!F$4)+('Cascading Savings'!H33*'Cascading Savings'!H$4)+('Cascading Savings'!J33*'Cascading Savings'!J$4)+('Cascading Savings'!L33*'Cascading Savings'!L$4)+('Cascading Savings'!N33*'Cascading Savings'!N$4)+('Cascading Savings'!P33*'Cascading Savings'!P$4)+('Cascading Savings'!R33*'Cascading Savings'!R$4)</f>
        <v>0</v>
      </c>
      <c r="G33" s="698">
        <f>'Cascading Savings'!T33</f>
        <v>0</v>
      </c>
      <c r="H33" s="672" t="e">
        <f>IF(C33=0,"n/a",E33/F33)</f>
        <v>#VALUE!</v>
      </c>
      <c r="I33" s="668" t="e">
        <f>IF(H33=0, "n/a", IF(H33&gt;100, "no",IF(H33&lt;0, "no", "yes")))</f>
        <v>#VALUE!</v>
      </c>
      <c r="J33" s="605" t="e">
        <f t="shared" ref="J33:J46" si="10">IRR(V33:DR33,0.1)</f>
        <v>#NUM!</v>
      </c>
      <c r="K33" s="674" t="e">
        <f>PV('Interest Rate'!$B$17,Table213[[#This Row],[Lifetime]],-Table213[[#This Row],[ANNUAL ENERGY COST SAVINGS]],Table213[[#This Row],[END-OF-LIFE]],0)-Table213[[#This Row],[CAPITAL INVESTMENT]]</f>
        <v>#VALUE!</v>
      </c>
      <c r="L33" s="687" t="str">
        <f>'EEM Data Entry'!C110</f>
        <v/>
      </c>
      <c r="M33" s="656" t="e">
        <f>Table213[[#This Row],[ANNUAL ENERGY COST SAVINGS]]/Table213[[#This Row],[CAPITAL INVESTMENT]]</f>
        <v>#VALUE!</v>
      </c>
      <c r="N33" s="623">
        <f>IF(ISNUMBER(Table213[[#This Row],[NPV]])=TRUE,Table213[[#This Row],[NPV]],0)</f>
        <v>0</v>
      </c>
      <c r="O33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33" s="568" t="str">
        <f>Table213[[#This Row],[Lifetime]]</f>
        <v/>
      </c>
      <c r="V33" s="657" t="str">
        <f t="shared" ref="V33:V46" si="11">IF(ISNUMBER(E33)=TRUE,-E33,"")</f>
        <v/>
      </c>
      <c r="W33" s="658">
        <f t="shared" ref="W33:W46" si="12">F33</f>
        <v>0</v>
      </c>
      <c r="X33" s="658">
        <f>IF(X$6&gt;$L33,0,W33*(1-'Interest Rate'!$B$17))</f>
        <v>0</v>
      </c>
      <c r="Y33" s="658">
        <f>IF(Y$6&gt;$L33,0,X33*(1-'Interest Rate'!$B$17))</f>
        <v>0</v>
      </c>
      <c r="Z33" s="658">
        <f>IF(Z$6&gt;$L33,0,Y33*(1-'Interest Rate'!$B$17))</f>
        <v>0</v>
      </c>
      <c r="AA33" s="658">
        <f>IF(AA$6&gt;$L33,0,Z33*(1-'Interest Rate'!$B$17))</f>
        <v>0</v>
      </c>
      <c r="AB33" s="658">
        <f>IF(AB$6&gt;$L33,0,AA33*(1-'Interest Rate'!$B$17))</f>
        <v>0</v>
      </c>
      <c r="AC33" s="658">
        <f>IF(AC$6&gt;$L33,0,AB33*(1-'Interest Rate'!$B$17))</f>
        <v>0</v>
      </c>
      <c r="AD33" s="658">
        <f>IF(AD$6&gt;$L33,0,AC33*(1-'Interest Rate'!$B$17))</f>
        <v>0</v>
      </c>
      <c r="AE33" s="658">
        <f>IF(AE$6&gt;$L33,0,AD33*(1-'Interest Rate'!$B$17))</f>
        <v>0</v>
      </c>
      <c r="AF33" s="658">
        <f>IF(AF$6&gt;$L33,0,AE33*(1-'Interest Rate'!$B$17))</f>
        <v>0</v>
      </c>
      <c r="AG33" s="658">
        <f>IF(AG$6&gt;$L33,0,AF33*(1-'Interest Rate'!$B$17))</f>
        <v>0</v>
      </c>
      <c r="AH33" s="658">
        <f>IF(AH$6&gt;$L33,0,AG33*(1-'Interest Rate'!$B$17))</f>
        <v>0</v>
      </c>
      <c r="AI33" s="658">
        <f>IF(AI$6&gt;$L33,0,AH33*(1-'Interest Rate'!$B$17))</f>
        <v>0</v>
      </c>
      <c r="AJ33" s="658">
        <f>IF(AJ$6&gt;$L33,0,AI33*(1-'Interest Rate'!$B$17))</f>
        <v>0</v>
      </c>
      <c r="AK33" s="658">
        <f>IF(AK$6&gt;$L33,0,AJ33*(1-'Interest Rate'!$B$17))</f>
        <v>0</v>
      </c>
      <c r="AL33" s="658">
        <f>IF(AL$6&gt;$L33,0,AK33*(1-'Interest Rate'!$B$17))</f>
        <v>0</v>
      </c>
      <c r="AM33" s="658">
        <f>IF(AM$6&gt;$L33,0,AL33*(1-'Interest Rate'!$B$17))</f>
        <v>0</v>
      </c>
      <c r="AN33" s="658">
        <f>IF(AN$6&gt;$L33,0,AM33*(1-'Interest Rate'!$B$17))</f>
        <v>0</v>
      </c>
      <c r="AO33" s="658">
        <f>IF(AO$6&gt;$L33,0,AN33*(1-'Interest Rate'!$B$17))</f>
        <v>0</v>
      </c>
      <c r="AP33" s="658">
        <f>IF(AP$6&gt;$L33,0,AO33*(1-'Interest Rate'!$B$17))</f>
        <v>0</v>
      </c>
      <c r="AQ33" s="658">
        <f>IF(AQ$6&gt;$L33,0,AP33*(1-'Interest Rate'!$B$17))</f>
        <v>0</v>
      </c>
      <c r="AR33" s="658">
        <f>IF(AR$6&gt;$L33,0,AQ33*(1-'Interest Rate'!$B$17))</f>
        <v>0</v>
      </c>
      <c r="AS33" s="658">
        <f>IF(AS$6&gt;$L33,0,AR33*(1-'Interest Rate'!$B$17))</f>
        <v>0</v>
      </c>
      <c r="AT33" s="658">
        <f>IF(AT$6&gt;$L33,0,AS33*(1-'Interest Rate'!$B$17))</f>
        <v>0</v>
      </c>
      <c r="AU33" s="658">
        <f>IF(AU$6&gt;$L33,0,AT33*(1-'Interest Rate'!$B$17))</f>
        <v>0</v>
      </c>
      <c r="AV33" s="658">
        <f>IF(AV$6&gt;$L33,0,AU33*(1-'Interest Rate'!$B$17))</f>
        <v>0</v>
      </c>
      <c r="AW33" s="658">
        <f>IF(AW$6&gt;$L33,0,AV33*(1-'Interest Rate'!$B$17))</f>
        <v>0</v>
      </c>
      <c r="AX33" s="658">
        <f>IF(AX$6&gt;$L33,0,AW33*(1-'Interest Rate'!$B$17))</f>
        <v>0</v>
      </c>
      <c r="AY33" s="658">
        <f>IF(AY$6&gt;$L33,0,AX33*(1-'Interest Rate'!$B$17))</f>
        <v>0</v>
      </c>
      <c r="AZ33" s="658">
        <f>IF(AZ$6&gt;$L33,0,AY33*(1-'Interest Rate'!$B$17))</f>
        <v>0</v>
      </c>
      <c r="BA33" s="658">
        <f>IF(BA$6&gt;$L33,0,AZ33*(1-'Interest Rate'!$B$17))</f>
        <v>0</v>
      </c>
      <c r="BB33" s="658">
        <f>IF(BB$6&gt;$L33,0,BA33*(1-'Interest Rate'!$B$17))</f>
        <v>0</v>
      </c>
      <c r="BC33" s="658">
        <f>IF(BC$6&gt;$L33,0,BB33*(1-'Interest Rate'!$B$17))</f>
        <v>0</v>
      </c>
      <c r="BD33" s="658">
        <f>IF(BD$6&gt;$L33,0,BC33*(1-'Interest Rate'!$B$17))</f>
        <v>0</v>
      </c>
      <c r="BE33" s="658">
        <f>IF(BE$6&gt;$L33,0,BD33*(1-'Interest Rate'!$B$17))</f>
        <v>0</v>
      </c>
      <c r="BF33" s="658">
        <f>IF(BF$6&gt;$L33,0,BE33*(1-'Interest Rate'!$B$17))</f>
        <v>0</v>
      </c>
      <c r="BG33" s="658">
        <f>IF(BG$6&gt;$L33,0,BF33*(1-'Interest Rate'!$B$17))</f>
        <v>0</v>
      </c>
      <c r="BH33" s="658">
        <f>IF(BH$6&gt;$L33,0,BG33*(1-'Interest Rate'!$B$17))</f>
        <v>0</v>
      </c>
      <c r="BI33" s="658">
        <f>IF(BI$6&gt;$L33,0,BH33*(1-'Interest Rate'!$B$17))</f>
        <v>0</v>
      </c>
      <c r="BJ33" s="658">
        <f>IF(BJ$6&gt;$L33,0,BI33*(1-'Interest Rate'!$B$17))</f>
        <v>0</v>
      </c>
      <c r="BK33" s="658">
        <f>IF(BK$6&gt;$L33,0,BJ33*(1-'Interest Rate'!$B$17))</f>
        <v>0</v>
      </c>
      <c r="BL33" s="658">
        <f>IF(BL$6&gt;$L33,0,BK33*(1-'Interest Rate'!$B$17))</f>
        <v>0</v>
      </c>
      <c r="BM33" s="658">
        <f>IF(BM$6&gt;$L33,0,BL33*(1-'Interest Rate'!$B$17))</f>
        <v>0</v>
      </c>
      <c r="BN33" s="658">
        <f>IF(BN$6&gt;$L33,0,BM33*(1-'Interest Rate'!$B$17))</f>
        <v>0</v>
      </c>
      <c r="BO33" s="658">
        <f>IF(BO$6&gt;$L33,0,BN33*(1-'Interest Rate'!$B$17))</f>
        <v>0</v>
      </c>
      <c r="BP33" s="658">
        <f>IF(BP$6&gt;$L33,0,BO33*(1-'Interest Rate'!$B$17))</f>
        <v>0</v>
      </c>
      <c r="BQ33" s="658">
        <f>IF(BQ$6&gt;$L33,0,BP33*(1-'Interest Rate'!$B$17))</f>
        <v>0</v>
      </c>
      <c r="BR33" s="658">
        <f>IF(BR$6&gt;$L33,0,BQ33*(1-'Interest Rate'!$B$17))</f>
        <v>0</v>
      </c>
      <c r="BS33" s="658">
        <f>IF(BS$6&gt;$L33,0,BR33*(1-'Interest Rate'!$B$17))</f>
        <v>0</v>
      </c>
      <c r="BT33" s="658">
        <f>IF(BT$6&gt;$L33,0,BS33*(1-'Interest Rate'!$B$17))</f>
        <v>0</v>
      </c>
      <c r="BU33" s="658">
        <f>IF(BU$6&gt;$L33,0,BT33*(1-'Interest Rate'!$B$17))</f>
        <v>0</v>
      </c>
      <c r="BV33" s="658">
        <f>IF(BV$6&gt;$L33,0,BU33*(1-'Interest Rate'!$B$17))</f>
        <v>0</v>
      </c>
      <c r="BW33" s="658">
        <f>IF(BW$6&gt;$L33,0,BV33*(1-'Interest Rate'!$B$17))</f>
        <v>0</v>
      </c>
      <c r="BX33" s="658">
        <f>IF(BX$6&gt;$L33,0,BW33*(1-'Interest Rate'!$B$17))</f>
        <v>0</v>
      </c>
      <c r="BY33" s="658">
        <f>IF(BY$6&gt;$L33,0,BX33*(1-'Interest Rate'!$B$17))</f>
        <v>0</v>
      </c>
      <c r="BZ33" s="658">
        <f>IF(BZ$6&gt;$L33,0,BY33*(1-'Interest Rate'!$B$17))</f>
        <v>0</v>
      </c>
      <c r="CA33" s="658">
        <f>IF(CA$6&gt;$L33,0,BZ33*(1-'Interest Rate'!$B$17))</f>
        <v>0</v>
      </c>
      <c r="CB33" s="658">
        <f>IF(CB$6&gt;$L33,0,CA33*(1-'Interest Rate'!$B$17))</f>
        <v>0</v>
      </c>
      <c r="CC33" s="658">
        <f>IF(CC$6&gt;$L33,0,CB33*(1-'Interest Rate'!$B$17))</f>
        <v>0</v>
      </c>
      <c r="CD33" s="658">
        <f>IF(CD$6&gt;$L33,0,CC33*(1-'Interest Rate'!$B$17))</f>
        <v>0</v>
      </c>
      <c r="CE33" s="658">
        <f>IF(CE$6&gt;$L33,0,CD33*(1-'Interest Rate'!$B$17))</f>
        <v>0</v>
      </c>
      <c r="CF33" s="658">
        <f>IF(CF$6&gt;$L33,0,CE33*(1-'Interest Rate'!$B$17))</f>
        <v>0</v>
      </c>
      <c r="CG33" s="658">
        <f>IF(CG$6&gt;$L33,0,CF33*(1-'Interest Rate'!$B$17))</f>
        <v>0</v>
      </c>
      <c r="CH33" s="658">
        <f>IF(CH$6&gt;$L33,0,CG33*(1-'Interest Rate'!$B$17))</f>
        <v>0</v>
      </c>
      <c r="CI33" s="658">
        <f>IF(CI$6&gt;$L33,0,CH33*(1-'Interest Rate'!$B$17))</f>
        <v>0</v>
      </c>
      <c r="CJ33" s="658">
        <f>IF(CJ$6&gt;$L33,0,CI33*(1-'Interest Rate'!$B$17))</f>
        <v>0</v>
      </c>
      <c r="CK33" s="658">
        <f>IF(CK$6&gt;$L33,0,CJ33*(1-'Interest Rate'!$B$17))</f>
        <v>0</v>
      </c>
      <c r="CL33" s="658">
        <f>IF(CL$6&gt;$L33,0,CK33*(1-'Interest Rate'!$B$17))</f>
        <v>0</v>
      </c>
      <c r="CM33" s="658">
        <f>IF(CM$6&gt;$L33,0,CL33*(1-'Interest Rate'!$B$17))</f>
        <v>0</v>
      </c>
      <c r="CN33" s="658">
        <f>IF(CN$6&gt;$L33,0,CM33*(1-'Interest Rate'!$B$17))</f>
        <v>0</v>
      </c>
      <c r="CO33" s="658">
        <f>IF(CO$6&gt;$L33,0,CN33*(1-'Interest Rate'!$B$17))</f>
        <v>0</v>
      </c>
      <c r="CP33" s="658">
        <f>IF(CP$6&gt;$L33,0,CO33*(1-'Interest Rate'!$B$17))</f>
        <v>0</v>
      </c>
      <c r="CQ33" s="658">
        <f>IF(CQ$6&gt;$L33,0,CP33*(1-'Interest Rate'!$B$17))</f>
        <v>0</v>
      </c>
      <c r="CR33" s="658">
        <f>IF(CR$6&gt;$L33,0,CQ33*(1-'Interest Rate'!$B$17))</f>
        <v>0</v>
      </c>
      <c r="CS33" s="658">
        <f>IF(CS$6&gt;$L33,0,CR33*(1-'Interest Rate'!$B$17))</f>
        <v>0</v>
      </c>
      <c r="CT33" s="658">
        <f>IF(CT$6&gt;$L33,0,CS33*(1-'Interest Rate'!$B$17))</f>
        <v>0</v>
      </c>
      <c r="CU33" s="658">
        <f>IF(CU$6&gt;$L33,0,CT33*(1-'Interest Rate'!$B$17))</f>
        <v>0</v>
      </c>
      <c r="CV33" s="658">
        <f>IF(CV$6&gt;$L33,0,CU33*(1-'Interest Rate'!$B$17))</f>
        <v>0</v>
      </c>
      <c r="CW33" s="658">
        <f>IF(CW$6&gt;$L33,0,CV33*(1-'Interest Rate'!$B$17))</f>
        <v>0</v>
      </c>
      <c r="CX33" s="658">
        <f>IF(CX$6&gt;$L33,0,CW33*(1-'Interest Rate'!$B$17))</f>
        <v>0</v>
      </c>
      <c r="CY33" s="658">
        <f>IF(CY$6&gt;$L33,0,CX33*(1-'Interest Rate'!$B$17))</f>
        <v>0</v>
      </c>
      <c r="CZ33" s="658">
        <f>IF(CZ$6&gt;$L33,0,CY33*(1-'Interest Rate'!$B$17))</f>
        <v>0</v>
      </c>
      <c r="DA33" s="658">
        <f>IF(DA$6&gt;$L33,0,CZ33*(1-'Interest Rate'!$B$17))</f>
        <v>0</v>
      </c>
      <c r="DB33" s="658">
        <f>IF(DB$6&gt;$L33,0,DA33*(1-'Interest Rate'!$B$17))</f>
        <v>0</v>
      </c>
      <c r="DC33" s="658">
        <f>IF(DC$6&gt;$L33,0,DB33*(1-'Interest Rate'!$B$17))</f>
        <v>0</v>
      </c>
      <c r="DD33" s="658">
        <f>IF(DD$6&gt;$L33,0,DC33*(1-'Interest Rate'!$B$17))</f>
        <v>0</v>
      </c>
      <c r="DE33" s="658">
        <f>IF(DE$6&gt;$L33,0,DD33*(1-'Interest Rate'!$B$17))</f>
        <v>0</v>
      </c>
      <c r="DF33" s="658">
        <f>IF(DF$6&gt;$L33,0,DE33*(1-'Interest Rate'!$B$17))</f>
        <v>0</v>
      </c>
      <c r="DG33" s="658">
        <f>IF(DG$6&gt;$L33,0,DF33*(1-'Interest Rate'!$B$17))</f>
        <v>0</v>
      </c>
      <c r="DH33" s="658">
        <f>IF(DH$6&gt;$L33,0,DG33*(1-'Interest Rate'!$B$17))</f>
        <v>0</v>
      </c>
      <c r="DI33" s="658">
        <f>IF(DI$6&gt;$L33,0,DH33*(1-'Interest Rate'!$B$17))</f>
        <v>0</v>
      </c>
      <c r="DJ33" s="658">
        <f>IF(DJ$6&gt;$L33,0,DI33*(1-'Interest Rate'!$B$17))</f>
        <v>0</v>
      </c>
      <c r="DK33" s="658">
        <f>IF(DK$6&gt;$L33,0,DJ33*(1-'Interest Rate'!$B$17))</f>
        <v>0</v>
      </c>
      <c r="DL33" s="658">
        <f>IF(DL$6&gt;$L33,0,DK33*(1-'Interest Rate'!$B$17))</f>
        <v>0</v>
      </c>
      <c r="DM33" s="658">
        <f>IF(DM$6&gt;$L33,0,DL33*(1-'Interest Rate'!$B$17))</f>
        <v>0</v>
      </c>
      <c r="DN33" s="658">
        <f>IF(DN$6&gt;$L33,0,DM33*(1-'Interest Rate'!$B$17))</f>
        <v>0</v>
      </c>
      <c r="DO33" s="658">
        <f>IF(DO$6&gt;$L33,0,DN33*(1-'Interest Rate'!$B$17))</f>
        <v>0</v>
      </c>
      <c r="DP33" s="658">
        <f>IF(DP$6&gt;$L33,0,DO33*(1-'Interest Rate'!$B$17))</f>
        <v>0</v>
      </c>
      <c r="DQ33" s="658">
        <f>IF(DQ$6&gt;$L33,0,DP33*(1-'Interest Rate'!$B$17))</f>
        <v>0</v>
      </c>
      <c r="DR33" s="658">
        <f>IF(DR$6&gt;$L33,0,DQ33*(1-'Interest Rate'!$B$17))</f>
        <v>0</v>
      </c>
    </row>
    <row r="34" spans="1:122" ht="33" customHeight="1" x14ac:dyDescent="0.3">
      <c r="A34" s="696" t="str">
        <f>'EEM Data Entry'!A111</f>
        <v/>
      </c>
      <c r="B34" s="697" t="str">
        <f>IF('EEM Data Entry'!B111="  ","  ", 'EEM Data Entry'!B111)</f>
        <v/>
      </c>
      <c r="C34" s="671" t="str">
        <f>'EEM Data Entry'!F111</f>
        <v/>
      </c>
      <c r="D34" s="671">
        <v>0</v>
      </c>
      <c r="E34" s="661" t="e">
        <f t="shared" ref="E34:E45" si="13">C34-D34</f>
        <v>#VALUE!</v>
      </c>
      <c r="F34" s="662">
        <f>('Cascading Savings'!D34*'Cascading Savings'!D$4)+('Cascading Savings'!F34*'Cascading Savings'!F$4)+('Cascading Savings'!H34*'Cascading Savings'!H$4)+('Cascading Savings'!J34*'Cascading Savings'!J$4)+('Cascading Savings'!L34*'Cascading Savings'!L$4)+('Cascading Savings'!N34*'Cascading Savings'!N$4)+('Cascading Savings'!P34*'Cascading Savings'!P$4)+('Cascading Savings'!R34*'Cascading Savings'!R$4)</f>
        <v>0</v>
      </c>
      <c r="G34" s="698">
        <f>'Cascading Savings'!T34</f>
        <v>0</v>
      </c>
      <c r="H34" s="672" t="e">
        <f>IF(C34=0,"n/a",E34/F34)</f>
        <v>#VALUE!</v>
      </c>
      <c r="I34" s="668" t="e">
        <f t="shared" ref="I34:I45" si="14">IF(H34=0, "n/a", IF(H34&gt;100, "no",IF(H34&lt;0, "no", "yes")))</f>
        <v>#VALUE!</v>
      </c>
      <c r="J34" s="666" t="e">
        <f t="shared" si="10"/>
        <v>#NUM!</v>
      </c>
      <c r="K34" s="667" t="e">
        <f>PV('Interest Rate'!$B$17,Table213[[#This Row],[Lifetime]],-Table213[[#This Row],[ANNUAL ENERGY COST SAVINGS]],Table213[[#This Row],[END-OF-LIFE]],0)-Table213[[#This Row],[CAPITAL INVESTMENT]]</f>
        <v>#VALUE!</v>
      </c>
      <c r="L34" s="687" t="str">
        <f>'EEM Data Entry'!C111</f>
        <v/>
      </c>
      <c r="M34" s="676" t="e">
        <f>Table213[[#This Row],[ANNUAL ENERGY COST SAVINGS]]/Table213[[#This Row],[CAPITAL INVESTMENT]]</f>
        <v>#VALUE!</v>
      </c>
      <c r="N34" s="623">
        <f>IF(ISNUMBER(Table213[[#This Row],[NPV]])=TRUE,Table213[[#This Row],[NPV]],0)</f>
        <v>0</v>
      </c>
      <c r="O34" s="802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34" s="568" t="str">
        <f>Table213[[#This Row],[Lifetime]]</f>
        <v/>
      </c>
      <c r="V34" s="657" t="str">
        <f t="shared" si="11"/>
        <v/>
      </c>
      <c r="W34" s="658">
        <f t="shared" si="12"/>
        <v>0</v>
      </c>
      <c r="X34" s="658">
        <f>IF(X$6&gt;$L34,0,W34*(1-'Interest Rate'!$B$17))</f>
        <v>0</v>
      </c>
      <c r="Y34" s="658">
        <f>IF(Y$6&gt;$L34,0,X34*(1-'Interest Rate'!$B$17))</f>
        <v>0</v>
      </c>
      <c r="Z34" s="658">
        <f>IF(Z$6&gt;$L34,0,Y34*(1-'Interest Rate'!$B$17))</f>
        <v>0</v>
      </c>
      <c r="AA34" s="658">
        <f>IF(AA$6&gt;$L34,0,Z34*(1-'Interest Rate'!$B$17))</f>
        <v>0</v>
      </c>
      <c r="AB34" s="658">
        <f>IF(AB$6&gt;$L34,0,AA34*(1-'Interest Rate'!$B$17))</f>
        <v>0</v>
      </c>
      <c r="AC34" s="658">
        <f>IF(AC$6&gt;$L34,0,AB34*(1-'Interest Rate'!$B$17))</f>
        <v>0</v>
      </c>
      <c r="AD34" s="658">
        <f>IF(AD$6&gt;$L34,0,AC34*(1-'Interest Rate'!$B$17))</f>
        <v>0</v>
      </c>
      <c r="AE34" s="658">
        <f>IF(AE$6&gt;$L34,0,AD34*(1-'Interest Rate'!$B$17))</f>
        <v>0</v>
      </c>
      <c r="AF34" s="658">
        <f>IF(AF$6&gt;$L34,0,AE34*(1-'Interest Rate'!$B$17))</f>
        <v>0</v>
      </c>
      <c r="AG34" s="658">
        <f>IF(AG$6&gt;$L34,0,AF34*(1-'Interest Rate'!$B$17))</f>
        <v>0</v>
      </c>
      <c r="AH34" s="658">
        <f>IF(AH$6&gt;$L34,0,AG34*(1-'Interest Rate'!$B$17))</f>
        <v>0</v>
      </c>
      <c r="AI34" s="658">
        <f>IF(AI$6&gt;$L34,0,AH34*(1-'Interest Rate'!$B$17))</f>
        <v>0</v>
      </c>
      <c r="AJ34" s="658">
        <f>IF(AJ$6&gt;$L34,0,AI34*(1-'Interest Rate'!$B$17))</f>
        <v>0</v>
      </c>
      <c r="AK34" s="658">
        <f>IF(AK$6&gt;$L34,0,AJ34*(1-'Interest Rate'!$B$17))</f>
        <v>0</v>
      </c>
      <c r="AL34" s="658">
        <f>IF(AL$6&gt;$L34,0,AK34*(1-'Interest Rate'!$B$17))</f>
        <v>0</v>
      </c>
      <c r="AM34" s="658">
        <f>IF(AM$6&gt;$L34,0,AL34*(1-'Interest Rate'!$B$17))</f>
        <v>0</v>
      </c>
      <c r="AN34" s="658">
        <f>IF(AN$6&gt;$L34,0,AM34*(1-'Interest Rate'!$B$17))</f>
        <v>0</v>
      </c>
      <c r="AO34" s="658">
        <f>IF(AO$6&gt;$L34,0,AN34*(1-'Interest Rate'!$B$17))</f>
        <v>0</v>
      </c>
      <c r="AP34" s="658">
        <f>IF(AP$6&gt;$L34,0,AO34*(1-'Interest Rate'!$B$17))</f>
        <v>0</v>
      </c>
      <c r="AQ34" s="658">
        <f>IF(AQ$6&gt;$L34,0,AP34*(1-'Interest Rate'!$B$17))</f>
        <v>0</v>
      </c>
      <c r="AR34" s="658">
        <f>IF(AR$6&gt;$L34,0,AQ34*(1-'Interest Rate'!$B$17))</f>
        <v>0</v>
      </c>
      <c r="AS34" s="658">
        <f>IF(AS$6&gt;$L34,0,AR34*(1-'Interest Rate'!$B$17))</f>
        <v>0</v>
      </c>
      <c r="AT34" s="658">
        <f>IF(AT$6&gt;$L34,0,AS34*(1-'Interest Rate'!$B$17))</f>
        <v>0</v>
      </c>
      <c r="AU34" s="658">
        <f>IF(AU$6&gt;$L34,0,AT34*(1-'Interest Rate'!$B$17))</f>
        <v>0</v>
      </c>
      <c r="AV34" s="658">
        <f>IF(AV$6&gt;$L34,0,AU34*(1-'Interest Rate'!$B$17))</f>
        <v>0</v>
      </c>
      <c r="AW34" s="658">
        <f>IF(AW$6&gt;$L34,0,AV34*(1-'Interest Rate'!$B$17))</f>
        <v>0</v>
      </c>
      <c r="AX34" s="658">
        <f>IF(AX$6&gt;$L34,0,AW34*(1-'Interest Rate'!$B$17))</f>
        <v>0</v>
      </c>
      <c r="AY34" s="658">
        <f>IF(AY$6&gt;$L34,0,AX34*(1-'Interest Rate'!$B$17))</f>
        <v>0</v>
      </c>
      <c r="AZ34" s="658">
        <f>IF(AZ$6&gt;$L34,0,AY34*(1-'Interest Rate'!$B$17))</f>
        <v>0</v>
      </c>
      <c r="BA34" s="658">
        <f>IF(BA$6&gt;$L34,0,AZ34*(1-'Interest Rate'!$B$17))</f>
        <v>0</v>
      </c>
      <c r="BB34" s="658">
        <f>IF(BB$6&gt;$L34,0,BA34*(1-'Interest Rate'!$B$17))</f>
        <v>0</v>
      </c>
      <c r="BC34" s="658">
        <f>IF(BC$6&gt;$L34,0,BB34*(1-'Interest Rate'!$B$17))</f>
        <v>0</v>
      </c>
      <c r="BD34" s="658">
        <f>IF(BD$6&gt;$L34,0,BC34*(1-'Interest Rate'!$B$17))</f>
        <v>0</v>
      </c>
      <c r="BE34" s="658">
        <f>IF(BE$6&gt;$L34,0,BD34*(1-'Interest Rate'!$B$17))</f>
        <v>0</v>
      </c>
      <c r="BF34" s="658">
        <f>IF(BF$6&gt;$L34,0,BE34*(1-'Interest Rate'!$B$17))</f>
        <v>0</v>
      </c>
      <c r="BG34" s="658">
        <f>IF(BG$6&gt;$L34,0,BF34*(1-'Interest Rate'!$B$17))</f>
        <v>0</v>
      </c>
      <c r="BH34" s="658">
        <f>IF(BH$6&gt;$L34,0,BG34*(1-'Interest Rate'!$B$17))</f>
        <v>0</v>
      </c>
      <c r="BI34" s="658">
        <f>IF(BI$6&gt;$L34,0,BH34*(1-'Interest Rate'!$B$17))</f>
        <v>0</v>
      </c>
      <c r="BJ34" s="658">
        <f>IF(BJ$6&gt;$L34,0,BI34*(1-'Interest Rate'!$B$17))</f>
        <v>0</v>
      </c>
      <c r="BK34" s="658">
        <f>IF(BK$6&gt;$L34,0,BJ34*(1-'Interest Rate'!$B$17))</f>
        <v>0</v>
      </c>
      <c r="BL34" s="658">
        <f>IF(BL$6&gt;$L34,0,BK34*(1-'Interest Rate'!$B$17))</f>
        <v>0</v>
      </c>
      <c r="BM34" s="658">
        <f>IF(BM$6&gt;$L34,0,BL34*(1-'Interest Rate'!$B$17))</f>
        <v>0</v>
      </c>
      <c r="BN34" s="658">
        <f>IF(BN$6&gt;$L34,0,BM34*(1-'Interest Rate'!$B$17))</f>
        <v>0</v>
      </c>
      <c r="BO34" s="658">
        <f>IF(BO$6&gt;$L34,0,BN34*(1-'Interest Rate'!$B$17))</f>
        <v>0</v>
      </c>
      <c r="BP34" s="658">
        <f>IF(BP$6&gt;$L34,0,BO34*(1-'Interest Rate'!$B$17))</f>
        <v>0</v>
      </c>
      <c r="BQ34" s="658">
        <f>IF(BQ$6&gt;$L34,0,BP34*(1-'Interest Rate'!$B$17))</f>
        <v>0</v>
      </c>
      <c r="BR34" s="658">
        <f>IF(BR$6&gt;$L34,0,BQ34*(1-'Interest Rate'!$B$17))</f>
        <v>0</v>
      </c>
      <c r="BS34" s="658">
        <f>IF(BS$6&gt;$L34,0,BR34*(1-'Interest Rate'!$B$17))</f>
        <v>0</v>
      </c>
      <c r="BT34" s="658">
        <f>IF(BT$6&gt;$L34,0,BS34*(1-'Interest Rate'!$B$17))</f>
        <v>0</v>
      </c>
      <c r="BU34" s="658">
        <f>IF(BU$6&gt;$L34,0,BT34*(1-'Interest Rate'!$B$17))</f>
        <v>0</v>
      </c>
      <c r="BV34" s="658">
        <f>IF(BV$6&gt;$L34,0,BU34*(1-'Interest Rate'!$B$17))</f>
        <v>0</v>
      </c>
      <c r="BW34" s="658">
        <f>IF(BW$6&gt;$L34,0,BV34*(1-'Interest Rate'!$B$17))</f>
        <v>0</v>
      </c>
      <c r="BX34" s="658">
        <f>IF(BX$6&gt;$L34,0,BW34*(1-'Interest Rate'!$B$17))</f>
        <v>0</v>
      </c>
      <c r="BY34" s="658">
        <f>IF(BY$6&gt;$L34,0,BX34*(1-'Interest Rate'!$B$17))</f>
        <v>0</v>
      </c>
      <c r="BZ34" s="658">
        <f>IF(BZ$6&gt;$L34,0,BY34*(1-'Interest Rate'!$B$17))</f>
        <v>0</v>
      </c>
      <c r="CA34" s="658">
        <f>IF(CA$6&gt;$L34,0,BZ34*(1-'Interest Rate'!$B$17))</f>
        <v>0</v>
      </c>
      <c r="CB34" s="658">
        <f>IF(CB$6&gt;$L34,0,CA34*(1-'Interest Rate'!$B$17))</f>
        <v>0</v>
      </c>
      <c r="CC34" s="658">
        <f>IF(CC$6&gt;$L34,0,CB34*(1-'Interest Rate'!$B$17))</f>
        <v>0</v>
      </c>
      <c r="CD34" s="658">
        <f>IF(CD$6&gt;$L34,0,CC34*(1-'Interest Rate'!$B$17))</f>
        <v>0</v>
      </c>
      <c r="CE34" s="658">
        <f>IF(CE$6&gt;$L34,0,CD34*(1-'Interest Rate'!$B$17))</f>
        <v>0</v>
      </c>
      <c r="CF34" s="658">
        <f>IF(CF$6&gt;$L34,0,CE34*(1-'Interest Rate'!$B$17))</f>
        <v>0</v>
      </c>
      <c r="CG34" s="658">
        <f>IF(CG$6&gt;$L34,0,CF34*(1-'Interest Rate'!$B$17))</f>
        <v>0</v>
      </c>
      <c r="CH34" s="658">
        <f>IF(CH$6&gt;$L34,0,CG34*(1-'Interest Rate'!$B$17))</f>
        <v>0</v>
      </c>
      <c r="CI34" s="658">
        <f>IF(CI$6&gt;$L34,0,CH34*(1-'Interest Rate'!$B$17))</f>
        <v>0</v>
      </c>
      <c r="CJ34" s="658">
        <f>IF(CJ$6&gt;$L34,0,CI34*(1-'Interest Rate'!$B$17))</f>
        <v>0</v>
      </c>
      <c r="CK34" s="658">
        <f>IF(CK$6&gt;$L34,0,CJ34*(1-'Interest Rate'!$B$17))</f>
        <v>0</v>
      </c>
      <c r="CL34" s="658">
        <f>IF(CL$6&gt;$L34,0,CK34*(1-'Interest Rate'!$B$17))</f>
        <v>0</v>
      </c>
      <c r="CM34" s="658">
        <f>IF(CM$6&gt;$L34,0,CL34*(1-'Interest Rate'!$B$17))</f>
        <v>0</v>
      </c>
      <c r="CN34" s="658">
        <f>IF(CN$6&gt;$L34,0,CM34*(1-'Interest Rate'!$B$17))</f>
        <v>0</v>
      </c>
      <c r="CO34" s="658">
        <f>IF(CO$6&gt;$L34,0,CN34*(1-'Interest Rate'!$B$17))</f>
        <v>0</v>
      </c>
      <c r="CP34" s="658">
        <f>IF(CP$6&gt;$L34,0,CO34*(1-'Interest Rate'!$B$17))</f>
        <v>0</v>
      </c>
      <c r="CQ34" s="658">
        <f>IF(CQ$6&gt;$L34,0,CP34*(1-'Interest Rate'!$B$17))</f>
        <v>0</v>
      </c>
      <c r="CR34" s="658">
        <f>IF(CR$6&gt;$L34,0,CQ34*(1-'Interest Rate'!$B$17))</f>
        <v>0</v>
      </c>
      <c r="CS34" s="658">
        <f>IF(CS$6&gt;$L34,0,CR34*(1-'Interest Rate'!$B$17))</f>
        <v>0</v>
      </c>
      <c r="CT34" s="658">
        <f>IF(CT$6&gt;$L34,0,CS34*(1-'Interest Rate'!$B$17))</f>
        <v>0</v>
      </c>
      <c r="CU34" s="658">
        <f>IF(CU$6&gt;$L34,0,CT34*(1-'Interest Rate'!$B$17))</f>
        <v>0</v>
      </c>
      <c r="CV34" s="658">
        <f>IF(CV$6&gt;$L34,0,CU34*(1-'Interest Rate'!$B$17))</f>
        <v>0</v>
      </c>
      <c r="CW34" s="658">
        <f>IF(CW$6&gt;$L34,0,CV34*(1-'Interest Rate'!$B$17))</f>
        <v>0</v>
      </c>
      <c r="CX34" s="658">
        <f>IF(CX$6&gt;$L34,0,CW34*(1-'Interest Rate'!$B$17))</f>
        <v>0</v>
      </c>
      <c r="CY34" s="658">
        <f>IF(CY$6&gt;$L34,0,CX34*(1-'Interest Rate'!$B$17))</f>
        <v>0</v>
      </c>
      <c r="CZ34" s="658">
        <f>IF(CZ$6&gt;$L34,0,CY34*(1-'Interest Rate'!$B$17))</f>
        <v>0</v>
      </c>
      <c r="DA34" s="658">
        <f>IF(DA$6&gt;$L34,0,CZ34*(1-'Interest Rate'!$B$17))</f>
        <v>0</v>
      </c>
      <c r="DB34" s="658">
        <f>IF(DB$6&gt;$L34,0,DA34*(1-'Interest Rate'!$B$17))</f>
        <v>0</v>
      </c>
      <c r="DC34" s="658">
        <f>IF(DC$6&gt;$L34,0,DB34*(1-'Interest Rate'!$B$17))</f>
        <v>0</v>
      </c>
      <c r="DD34" s="658">
        <f>IF(DD$6&gt;$L34,0,DC34*(1-'Interest Rate'!$B$17))</f>
        <v>0</v>
      </c>
      <c r="DE34" s="658">
        <f>IF(DE$6&gt;$L34,0,DD34*(1-'Interest Rate'!$B$17))</f>
        <v>0</v>
      </c>
      <c r="DF34" s="658">
        <f>IF(DF$6&gt;$L34,0,DE34*(1-'Interest Rate'!$B$17))</f>
        <v>0</v>
      </c>
      <c r="DG34" s="658">
        <f>IF(DG$6&gt;$L34,0,DF34*(1-'Interest Rate'!$B$17))</f>
        <v>0</v>
      </c>
      <c r="DH34" s="658">
        <f>IF(DH$6&gt;$L34,0,DG34*(1-'Interest Rate'!$B$17))</f>
        <v>0</v>
      </c>
      <c r="DI34" s="658">
        <f>IF(DI$6&gt;$L34,0,DH34*(1-'Interest Rate'!$B$17))</f>
        <v>0</v>
      </c>
      <c r="DJ34" s="658">
        <f>IF(DJ$6&gt;$L34,0,DI34*(1-'Interest Rate'!$B$17))</f>
        <v>0</v>
      </c>
      <c r="DK34" s="658">
        <f>IF(DK$6&gt;$L34,0,DJ34*(1-'Interest Rate'!$B$17))</f>
        <v>0</v>
      </c>
      <c r="DL34" s="658">
        <f>IF(DL$6&gt;$L34,0,DK34*(1-'Interest Rate'!$B$17))</f>
        <v>0</v>
      </c>
      <c r="DM34" s="658">
        <f>IF(DM$6&gt;$L34,0,DL34*(1-'Interest Rate'!$B$17))</f>
        <v>0</v>
      </c>
      <c r="DN34" s="658">
        <f>IF(DN$6&gt;$L34,0,DM34*(1-'Interest Rate'!$B$17))</f>
        <v>0</v>
      </c>
      <c r="DO34" s="658">
        <f>IF(DO$6&gt;$L34,0,DN34*(1-'Interest Rate'!$B$17))</f>
        <v>0</v>
      </c>
      <c r="DP34" s="658">
        <f>IF(DP$6&gt;$L34,0,DO34*(1-'Interest Rate'!$B$17))</f>
        <v>0</v>
      </c>
      <c r="DQ34" s="658">
        <f>IF(DQ$6&gt;$L34,0,DP34*(1-'Interest Rate'!$B$17))</f>
        <v>0</v>
      </c>
      <c r="DR34" s="658">
        <f>IF(DR$6&gt;$L34,0,DQ34*(1-'Interest Rate'!$B$17))</f>
        <v>0</v>
      </c>
    </row>
    <row r="35" spans="1:122" ht="33" customHeight="1" x14ac:dyDescent="0.3">
      <c r="A35" s="696" t="str">
        <f>'EEM Data Entry'!A112</f>
        <v/>
      </c>
      <c r="B35" s="697" t="str">
        <f>IF('EEM Data Entry'!B112="  ","  ", 'EEM Data Entry'!B112)</f>
        <v/>
      </c>
      <c r="C35" s="671" t="str">
        <f>'EEM Data Entry'!F112</f>
        <v/>
      </c>
      <c r="D35" s="671">
        <v>0</v>
      </c>
      <c r="E35" s="671" t="e">
        <f t="shared" si="13"/>
        <v>#VALUE!</v>
      </c>
      <c r="F35" s="650">
        <f>('Cascading Savings'!D35*'Cascading Savings'!D$4)+('Cascading Savings'!F35*'Cascading Savings'!F$4)+('Cascading Savings'!H35*'Cascading Savings'!H$4)+('Cascading Savings'!J35*'Cascading Savings'!J$4)+('Cascading Savings'!L35*'Cascading Savings'!L$4)+('Cascading Savings'!N35*'Cascading Savings'!N$4)+('Cascading Savings'!P35*'Cascading Savings'!P$4)+('Cascading Savings'!R35*'Cascading Savings'!R$4)</f>
        <v>0</v>
      </c>
      <c r="G35" s="698">
        <f>'Cascading Savings'!T35</f>
        <v>0</v>
      </c>
      <c r="H35" s="672" t="e">
        <f t="shared" ref="H35:H45" si="15">IF(C35=0,"n/a",E35/F35)</f>
        <v>#VALUE!</v>
      </c>
      <c r="I35" s="668" t="e">
        <f t="shared" si="14"/>
        <v>#VALUE!</v>
      </c>
      <c r="J35" s="654" t="e">
        <f t="shared" si="10"/>
        <v>#NUM!</v>
      </c>
      <c r="K35" s="674" t="e">
        <f>PV('Interest Rate'!$B$17,Table213[[#This Row],[Lifetime]],-Table213[[#This Row],[ANNUAL ENERGY COST SAVINGS]],Table213[[#This Row],[END-OF-LIFE]],0)-Table213[[#This Row],[CAPITAL INVESTMENT]]</f>
        <v>#VALUE!</v>
      </c>
      <c r="L35" s="687" t="str">
        <f>'EEM Data Entry'!C112</f>
        <v/>
      </c>
      <c r="M35" s="669" t="e">
        <f>Table213[[#This Row],[ANNUAL ENERGY COST SAVINGS]]/Table213[[#This Row],[CAPITAL INVESTMENT]]</f>
        <v>#VALUE!</v>
      </c>
      <c r="N35" s="623">
        <f>IF(ISNUMBER(Table213[[#This Row],[NPV]])=TRUE,Table213[[#This Row],[NPV]],0)</f>
        <v>0</v>
      </c>
      <c r="O35" s="802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35" s="568" t="str">
        <f>Table213[[#This Row],[Lifetime]]</f>
        <v/>
      </c>
      <c r="V35" s="657" t="str">
        <f t="shared" si="11"/>
        <v/>
      </c>
      <c r="W35" s="658">
        <f t="shared" si="12"/>
        <v>0</v>
      </c>
      <c r="X35" s="658">
        <f>IF(X$6&gt;$L35,0,W35*(1-'Interest Rate'!$B$17))</f>
        <v>0</v>
      </c>
      <c r="Y35" s="658">
        <f>IF(Y$6&gt;$L35,0,X35*(1-'Interest Rate'!$B$17))</f>
        <v>0</v>
      </c>
      <c r="Z35" s="658">
        <f>IF(Z$6&gt;$L35,0,Y35*(1-'Interest Rate'!$B$17))</f>
        <v>0</v>
      </c>
      <c r="AA35" s="658">
        <f>IF(AA$6&gt;$L35,0,Z35*(1-'Interest Rate'!$B$17))</f>
        <v>0</v>
      </c>
      <c r="AB35" s="658">
        <f>IF(AB$6&gt;$L35,0,AA35*(1-'Interest Rate'!$B$17))</f>
        <v>0</v>
      </c>
      <c r="AC35" s="658">
        <f>IF(AC$6&gt;$L35,0,AB35*(1-'Interest Rate'!$B$17))</f>
        <v>0</v>
      </c>
      <c r="AD35" s="658">
        <f>IF(AD$6&gt;$L35,0,AC35*(1-'Interest Rate'!$B$17))</f>
        <v>0</v>
      </c>
      <c r="AE35" s="658">
        <f>IF(AE$6&gt;$L35,0,AD35*(1-'Interest Rate'!$B$17))</f>
        <v>0</v>
      </c>
      <c r="AF35" s="658">
        <f>IF(AF$6&gt;$L35,0,AE35*(1-'Interest Rate'!$B$17))</f>
        <v>0</v>
      </c>
      <c r="AG35" s="658">
        <f>IF(AG$6&gt;$L35,0,AF35*(1-'Interest Rate'!$B$17))</f>
        <v>0</v>
      </c>
      <c r="AH35" s="658">
        <f>IF(AH$6&gt;$L35,0,AG35*(1-'Interest Rate'!$B$17))</f>
        <v>0</v>
      </c>
      <c r="AI35" s="658">
        <f>IF(AI$6&gt;$L35,0,AH35*(1-'Interest Rate'!$B$17))</f>
        <v>0</v>
      </c>
      <c r="AJ35" s="658">
        <f>IF(AJ$6&gt;$L35,0,AI35*(1-'Interest Rate'!$B$17))</f>
        <v>0</v>
      </c>
      <c r="AK35" s="658">
        <f>IF(AK$6&gt;$L35,0,AJ35*(1-'Interest Rate'!$B$17))</f>
        <v>0</v>
      </c>
      <c r="AL35" s="658">
        <f>IF(AL$6&gt;$L35,0,AK35*(1-'Interest Rate'!$B$17))</f>
        <v>0</v>
      </c>
      <c r="AM35" s="658">
        <f>IF(AM$6&gt;$L35,0,AL35*(1-'Interest Rate'!$B$17))</f>
        <v>0</v>
      </c>
      <c r="AN35" s="658">
        <f>IF(AN$6&gt;$L35,0,AM35*(1-'Interest Rate'!$B$17))</f>
        <v>0</v>
      </c>
      <c r="AO35" s="658">
        <f>IF(AO$6&gt;$L35,0,AN35*(1-'Interest Rate'!$B$17))</f>
        <v>0</v>
      </c>
      <c r="AP35" s="658">
        <f>IF(AP$6&gt;$L35,0,AO35*(1-'Interest Rate'!$B$17))</f>
        <v>0</v>
      </c>
      <c r="AQ35" s="658">
        <f>IF(AQ$6&gt;$L35,0,AP35*(1-'Interest Rate'!$B$17))</f>
        <v>0</v>
      </c>
      <c r="AR35" s="658">
        <f>IF(AR$6&gt;$L35,0,AQ35*(1-'Interest Rate'!$B$17))</f>
        <v>0</v>
      </c>
      <c r="AS35" s="658">
        <f>IF(AS$6&gt;$L35,0,AR35*(1-'Interest Rate'!$B$17))</f>
        <v>0</v>
      </c>
      <c r="AT35" s="658">
        <f>IF(AT$6&gt;$L35,0,AS35*(1-'Interest Rate'!$B$17))</f>
        <v>0</v>
      </c>
      <c r="AU35" s="658">
        <f>IF(AU$6&gt;$L35,0,AT35*(1-'Interest Rate'!$B$17))</f>
        <v>0</v>
      </c>
      <c r="AV35" s="658">
        <f>IF(AV$6&gt;$L35,0,AU35*(1-'Interest Rate'!$B$17))</f>
        <v>0</v>
      </c>
      <c r="AW35" s="658">
        <f>IF(AW$6&gt;$L35,0,AV35*(1-'Interest Rate'!$B$17))</f>
        <v>0</v>
      </c>
      <c r="AX35" s="658">
        <f>IF(AX$6&gt;$L35,0,AW35*(1-'Interest Rate'!$B$17))</f>
        <v>0</v>
      </c>
      <c r="AY35" s="658">
        <f>IF(AY$6&gt;$L35,0,AX35*(1-'Interest Rate'!$B$17))</f>
        <v>0</v>
      </c>
      <c r="AZ35" s="658">
        <f>IF(AZ$6&gt;$L35,0,AY35*(1-'Interest Rate'!$B$17))</f>
        <v>0</v>
      </c>
      <c r="BA35" s="658">
        <f>IF(BA$6&gt;$L35,0,AZ35*(1-'Interest Rate'!$B$17))</f>
        <v>0</v>
      </c>
      <c r="BB35" s="658">
        <f>IF(BB$6&gt;$L35,0,BA35*(1-'Interest Rate'!$B$17))</f>
        <v>0</v>
      </c>
      <c r="BC35" s="658">
        <f>IF(BC$6&gt;$L35,0,BB35*(1-'Interest Rate'!$B$17))</f>
        <v>0</v>
      </c>
      <c r="BD35" s="658">
        <f>IF(BD$6&gt;$L35,0,BC35*(1-'Interest Rate'!$B$17))</f>
        <v>0</v>
      </c>
      <c r="BE35" s="658">
        <f>IF(BE$6&gt;$L35,0,BD35*(1-'Interest Rate'!$B$17))</f>
        <v>0</v>
      </c>
      <c r="BF35" s="658">
        <f>IF(BF$6&gt;$L35,0,BE35*(1-'Interest Rate'!$B$17))</f>
        <v>0</v>
      </c>
      <c r="BG35" s="658">
        <f>IF(BG$6&gt;$L35,0,BF35*(1-'Interest Rate'!$B$17))</f>
        <v>0</v>
      </c>
      <c r="BH35" s="658">
        <f>IF(BH$6&gt;$L35,0,BG35*(1-'Interest Rate'!$B$17))</f>
        <v>0</v>
      </c>
      <c r="BI35" s="658">
        <f>IF(BI$6&gt;$L35,0,BH35*(1-'Interest Rate'!$B$17))</f>
        <v>0</v>
      </c>
      <c r="BJ35" s="658">
        <f>IF(BJ$6&gt;$L35,0,BI35*(1-'Interest Rate'!$B$17))</f>
        <v>0</v>
      </c>
      <c r="BK35" s="658">
        <f>IF(BK$6&gt;$L35,0,BJ35*(1-'Interest Rate'!$B$17))</f>
        <v>0</v>
      </c>
      <c r="BL35" s="658">
        <f>IF(BL$6&gt;$L35,0,BK35*(1-'Interest Rate'!$B$17))</f>
        <v>0</v>
      </c>
      <c r="BM35" s="658">
        <f>IF(BM$6&gt;$L35,0,BL35*(1-'Interest Rate'!$B$17))</f>
        <v>0</v>
      </c>
      <c r="BN35" s="658">
        <f>IF(BN$6&gt;$L35,0,BM35*(1-'Interest Rate'!$B$17))</f>
        <v>0</v>
      </c>
      <c r="BO35" s="658">
        <f>IF(BO$6&gt;$L35,0,BN35*(1-'Interest Rate'!$B$17))</f>
        <v>0</v>
      </c>
      <c r="BP35" s="658">
        <f>IF(BP$6&gt;$L35,0,BO35*(1-'Interest Rate'!$B$17))</f>
        <v>0</v>
      </c>
      <c r="BQ35" s="658">
        <f>IF(BQ$6&gt;$L35,0,BP35*(1-'Interest Rate'!$B$17))</f>
        <v>0</v>
      </c>
      <c r="BR35" s="658">
        <f>IF(BR$6&gt;$L35,0,BQ35*(1-'Interest Rate'!$B$17))</f>
        <v>0</v>
      </c>
      <c r="BS35" s="658">
        <f>IF(BS$6&gt;$L35,0,BR35*(1-'Interest Rate'!$B$17))</f>
        <v>0</v>
      </c>
      <c r="BT35" s="658">
        <f>IF(BT$6&gt;$L35,0,BS35*(1-'Interest Rate'!$B$17))</f>
        <v>0</v>
      </c>
      <c r="BU35" s="658">
        <f>IF(BU$6&gt;$L35,0,BT35*(1-'Interest Rate'!$B$17))</f>
        <v>0</v>
      </c>
      <c r="BV35" s="658">
        <f>IF(BV$6&gt;$L35,0,BU35*(1-'Interest Rate'!$B$17))</f>
        <v>0</v>
      </c>
      <c r="BW35" s="658">
        <f>IF(BW$6&gt;$L35,0,BV35*(1-'Interest Rate'!$B$17))</f>
        <v>0</v>
      </c>
      <c r="BX35" s="658">
        <f>IF(BX$6&gt;$L35,0,BW35*(1-'Interest Rate'!$B$17))</f>
        <v>0</v>
      </c>
      <c r="BY35" s="658">
        <f>IF(BY$6&gt;$L35,0,BX35*(1-'Interest Rate'!$B$17))</f>
        <v>0</v>
      </c>
      <c r="BZ35" s="658">
        <f>IF(BZ$6&gt;$L35,0,BY35*(1-'Interest Rate'!$B$17))</f>
        <v>0</v>
      </c>
      <c r="CA35" s="658">
        <f>IF(CA$6&gt;$L35,0,BZ35*(1-'Interest Rate'!$B$17))</f>
        <v>0</v>
      </c>
      <c r="CB35" s="658">
        <f>IF(CB$6&gt;$L35,0,CA35*(1-'Interest Rate'!$B$17))</f>
        <v>0</v>
      </c>
      <c r="CC35" s="658">
        <f>IF(CC$6&gt;$L35,0,CB35*(1-'Interest Rate'!$B$17))</f>
        <v>0</v>
      </c>
      <c r="CD35" s="658">
        <f>IF(CD$6&gt;$L35,0,CC35*(1-'Interest Rate'!$B$17))</f>
        <v>0</v>
      </c>
      <c r="CE35" s="658">
        <f>IF(CE$6&gt;$L35,0,CD35*(1-'Interest Rate'!$B$17))</f>
        <v>0</v>
      </c>
      <c r="CF35" s="658">
        <f>IF(CF$6&gt;$L35,0,CE35*(1-'Interest Rate'!$B$17))</f>
        <v>0</v>
      </c>
      <c r="CG35" s="658">
        <f>IF(CG$6&gt;$L35,0,CF35*(1-'Interest Rate'!$B$17))</f>
        <v>0</v>
      </c>
      <c r="CH35" s="658">
        <f>IF(CH$6&gt;$L35,0,CG35*(1-'Interest Rate'!$B$17))</f>
        <v>0</v>
      </c>
      <c r="CI35" s="658">
        <f>IF(CI$6&gt;$L35,0,CH35*(1-'Interest Rate'!$B$17))</f>
        <v>0</v>
      </c>
      <c r="CJ35" s="658">
        <f>IF(CJ$6&gt;$L35,0,CI35*(1-'Interest Rate'!$B$17))</f>
        <v>0</v>
      </c>
      <c r="CK35" s="658">
        <f>IF(CK$6&gt;$L35,0,CJ35*(1-'Interest Rate'!$B$17))</f>
        <v>0</v>
      </c>
      <c r="CL35" s="658">
        <f>IF(CL$6&gt;$L35,0,CK35*(1-'Interest Rate'!$B$17))</f>
        <v>0</v>
      </c>
      <c r="CM35" s="658">
        <f>IF(CM$6&gt;$L35,0,CL35*(1-'Interest Rate'!$B$17))</f>
        <v>0</v>
      </c>
      <c r="CN35" s="658">
        <f>IF(CN$6&gt;$L35,0,CM35*(1-'Interest Rate'!$B$17))</f>
        <v>0</v>
      </c>
      <c r="CO35" s="658">
        <f>IF(CO$6&gt;$L35,0,CN35*(1-'Interest Rate'!$B$17))</f>
        <v>0</v>
      </c>
      <c r="CP35" s="658">
        <f>IF(CP$6&gt;$L35,0,CO35*(1-'Interest Rate'!$B$17))</f>
        <v>0</v>
      </c>
      <c r="CQ35" s="658">
        <f>IF(CQ$6&gt;$L35,0,CP35*(1-'Interest Rate'!$B$17))</f>
        <v>0</v>
      </c>
      <c r="CR35" s="658">
        <f>IF(CR$6&gt;$L35,0,CQ35*(1-'Interest Rate'!$B$17))</f>
        <v>0</v>
      </c>
      <c r="CS35" s="658">
        <f>IF(CS$6&gt;$L35,0,CR35*(1-'Interest Rate'!$B$17))</f>
        <v>0</v>
      </c>
      <c r="CT35" s="658">
        <f>IF(CT$6&gt;$L35,0,CS35*(1-'Interest Rate'!$B$17))</f>
        <v>0</v>
      </c>
      <c r="CU35" s="658">
        <f>IF(CU$6&gt;$L35,0,CT35*(1-'Interest Rate'!$B$17))</f>
        <v>0</v>
      </c>
      <c r="CV35" s="658">
        <f>IF(CV$6&gt;$L35,0,CU35*(1-'Interest Rate'!$B$17))</f>
        <v>0</v>
      </c>
      <c r="CW35" s="658">
        <f>IF(CW$6&gt;$L35,0,CV35*(1-'Interest Rate'!$B$17))</f>
        <v>0</v>
      </c>
      <c r="CX35" s="658">
        <f>IF(CX$6&gt;$L35,0,CW35*(1-'Interest Rate'!$B$17))</f>
        <v>0</v>
      </c>
      <c r="CY35" s="658">
        <f>IF(CY$6&gt;$L35,0,CX35*(1-'Interest Rate'!$B$17))</f>
        <v>0</v>
      </c>
      <c r="CZ35" s="658">
        <f>IF(CZ$6&gt;$L35,0,CY35*(1-'Interest Rate'!$B$17))</f>
        <v>0</v>
      </c>
      <c r="DA35" s="658">
        <f>IF(DA$6&gt;$L35,0,CZ35*(1-'Interest Rate'!$B$17))</f>
        <v>0</v>
      </c>
      <c r="DB35" s="658">
        <f>IF(DB$6&gt;$L35,0,DA35*(1-'Interest Rate'!$B$17))</f>
        <v>0</v>
      </c>
      <c r="DC35" s="658">
        <f>IF(DC$6&gt;$L35,0,DB35*(1-'Interest Rate'!$B$17))</f>
        <v>0</v>
      </c>
      <c r="DD35" s="658">
        <f>IF(DD$6&gt;$L35,0,DC35*(1-'Interest Rate'!$B$17))</f>
        <v>0</v>
      </c>
      <c r="DE35" s="658">
        <f>IF(DE$6&gt;$L35,0,DD35*(1-'Interest Rate'!$B$17))</f>
        <v>0</v>
      </c>
      <c r="DF35" s="658">
        <f>IF(DF$6&gt;$L35,0,DE35*(1-'Interest Rate'!$B$17))</f>
        <v>0</v>
      </c>
      <c r="DG35" s="658">
        <f>IF(DG$6&gt;$L35,0,DF35*(1-'Interest Rate'!$B$17))</f>
        <v>0</v>
      </c>
      <c r="DH35" s="658">
        <f>IF(DH$6&gt;$L35,0,DG35*(1-'Interest Rate'!$B$17))</f>
        <v>0</v>
      </c>
      <c r="DI35" s="658">
        <f>IF(DI$6&gt;$L35,0,DH35*(1-'Interest Rate'!$B$17))</f>
        <v>0</v>
      </c>
      <c r="DJ35" s="658">
        <f>IF(DJ$6&gt;$L35,0,DI35*(1-'Interest Rate'!$B$17))</f>
        <v>0</v>
      </c>
      <c r="DK35" s="658">
        <f>IF(DK$6&gt;$L35,0,DJ35*(1-'Interest Rate'!$B$17))</f>
        <v>0</v>
      </c>
      <c r="DL35" s="658">
        <f>IF(DL$6&gt;$L35,0,DK35*(1-'Interest Rate'!$B$17))</f>
        <v>0</v>
      </c>
      <c r="DM35" s="658">
        <f>IF(DM$6&gt;$L35,0,DL35*(1-'Interest Rate'!$B$17))</f>
        <v>0</v>
      </c>
      <c r="DN35" s="658">
        <f>IF(DN$6&gt;$L35,0,DM35*(1-'Interest Rate'!$B$17))</f>
        <v>0</v>
      </c>
      <c r="DO35" s="658">
        <f>IF(DO$6&gt;$L35,0,DN35*(1-'Interest Rate'!$B$17))</f>
        <v>0</v>
      </c>
      <c r="DP35" s="658">
        <f>IF(DP$6&gt;$L35,0,DO35*(1-'Interest Rate'!$B$17))</f>
        <v>0</v>
      </c>
      <c r="DQ35" s="658">
        <f>IF(DQ$6&gt;$L35,0,DP35*(1-'Interest Rate'!$B$17))</f>
        <v>0</v>
      </c>
      <c r="DR35" s="658">
        <f>IF(DR$6&gt;$L35,0,DQ35*(1-'Interest Rate'!$B$17))</f>
        <v>0</v>
      </c>
    </row>
    <row r="36" spans="1:122" ht="33" customHeight="1" x14ac:dyDescent="0.3">
      <c r="A36" s="696" t="str">
        <f>'EEM Data Entry'!A113</f>
        <v/>
      </c>
      <c r="B36" s="697" t="str">
        <f>IF('EEM Data Entry'!B113="  ","  ", 'EEM Data Entry'!B113)</f>
        <v/>
      </c>
      <c r="C36" s="671" t="str">
        <f>'EEM Data Entry'!F113</f>
        <v/>
      </c>
      <c r="D36" s="671">
        <v>0</v>
      </c>
      <c r="E36" s="661" t="e">
        <f t="shared" si="13"/>
        <v>#VALUE!</v>
      </c>
      <c r="F36" s="662">
        <f>('Cascading Savings'!D36*'Cascading Savings'!D$4)+('Cascading Savings'!F36*'Cascading Savings'!F$4)+('Cascading Savings'!H36*'Cascading Savings'!H$4)+('Cascading Savings'!J36*'Cascading Savings'!J$4)+('Cascading Savings'!L36*'Cascading Savings'!L$4)+('Cascading Savings'!N36*'Cascading Savings'!N$4)+('Cascading Savings'!P36*'Cascading Savings'!P$4)+('Cascading Savings'!R36*'Cascading Savings'!R$4)</f>
        <v>0</v>
      </c>
      <c r="G36" s="698">
        <f>'Cascading Savings'!T36</f>
        <v>0</v>
      </c>
      <c r="H36" s="672" t="e">
        <f t="shared" si="15"/>
        <v>#VALUE!</v>
      </c>
      <c r="I36" s="668" t="e">
        <f t="shared" si="14"/>
        <v>#VALUE!</v>
      </c>
      <c r="J36" s="666" t="e">
        <f t="shared" si="10"/>
        <v>#NUM!</v>
      </c>
      <c r="K36" s="667" t="e">
        <f>PV('Interest Rate'!$B$17,Table213[[#This Row],[Lifetime]],-Table213[[#This Row],[ANNUAL ENERGY COST SAVINGS]],Table213[[#This Row],[END-OF-LIFE]],0)-Table213[[#This Row],[CAPITAL INVESTMENT]]</f>
        <v>#VALUE!</v>
      </c>
      <c r="L36" s="687" t="str">
        <f>'EEM Data Entry'!C113</f>
        <v/>
      </c>
      <c r="M36" s="676" t="e">
        <f>Table213[[#This Row],[ANNUAL ENERGY COST SAVINGS]]/Table213[[#This Row],[CAPITAL INVESTMENT]]</f>
        <v>#VALUE!</v>
      </c>
      <c r="N36" s="623">
        <f>IF(ISNUMBER(Table213[[#This Row],[NPV]])=TRUE,Table213[[#This Row],[NPV]],0)</f>
        <v>0</v>
      </c>
      <c r="O36" s="802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36" s="568" t="str">
        <f>Table213[[#This Row],[Lifetime]]</f>
        <v/>
      </c>
      <c r="V36" s="657" t="str">
        <f t="shared" si="11"/>
        <v/>
      </c>
      <c r="W36" s="658">
        <f t="shared" si="12"/>
        <v>0</v>
      </c>
      <c r="X36" s="658">
        <f>IF(X$6&gt;$L36,0,W36*(1-'Interest Rate'!$B$17))</f>
        <v>0</v>
      </c>
      <c r="Y36" s="658">
        <f>IF(Y$6&gt;$L36,0,X36*(1-'Interest Rate'!$B$17))</f>
        <v>0</v>
      </c>
      <c r="Z36" s="658">
        <f>IF(Z$6&gt;$L36,0,Y36*(1-'Interest Rate'!$B$17))</f>
        <v>0</v>
      </c>
      <c r="AA36" s="658">
        <f>IF(AA$6&gt;$L36,0,Z36*(1-'Interest Rate'!$B$17))</f>
        <v>0</v>
      </c>
      <c r="AB36" s="658">
        <f>IF(AB$6&gt;$L36,0,AA36*(1-'Interest Rate'!$B$17))</f>
        <v>0</v>
      </c>
      <c r="AC36" s="658">
        <f>IF(AC$6&gt;$L36,0,AB36*(1-'Interest Rate'!$B$17))</f>
        <v>0</v>
      </c>
      <c r="AD36" s="658">
        <f>IF(AD$6&gt;$L36,0,AC36*(1-'Interest Rate'!$B$17))</f>
        <v>0</v>
      </c>
      <c r="AE36" s="658">
        <f>IF(AE$6&gt;$L36,0,AD36*(1-'Interest Rate'!$B$17))</f>
        <v>0</v>
      </c>
      <c r="AF36" s="658">
        <f>IF(AF$6&gt;$L36,0,AE36*(1-'Interest Rate'!$B$17))</f>
        <v>0</v>
      </c>
      <c r="AG36" s="658">
        <f>IF(AG$6&gt;$L36,0,AF36*(1-'Interest Rate'!$B$17))</f>
        <v>0</v>
      </c>
      <c r="AH36" s="658">
        <f>IF(AH$6&gt;$L36,0,AG36*(1-'Interest Rate'!$B$17))</f>
        <v>0</v>
      </c>
      <c r="AI36" s="658">
        <f>IF(AI$6&gt;$L36,0,AH36*(1-'Interest Rate'!$B$17))</f>
        <v>0</v>
      </c>
      <c r="AJ36" s="658">
        <f>IF(AJ$6&gt;$L36,0,AI36*(1-'Interest Rate'!$B$17))</f>
        <v>0</v>
      </c>
      <c r="AK36" s="658">
        <f>IF(AK$6&gt;$L36,0,AJ36*(1-'Interest Rate'!$B$17))</f>
        <v>0</v>
      </c>
      <c r="AL36" s="658">
        <f>IF(AL$6&gt;$L36,0,AK36*(1-'Interest Rate'!$B$17))</f>
        <v>0</v>
      </c>
      <c r="AM36" s="658">
        <f>IF(AM$6&gt;$L36,0,AL36*(1-'Interest Rate'!$B$17))</f>
        <v>0</v>
      </c>
      <c r="AN36" s="658">
        <f>IF(AN$6&gt;$L36,0,AM36*(1-'Interest Rate'!$B$17))</f>
        <v>0</v>
      </c>
      <c r="AO36" s="658">
        <f>IF(AO$6&gt;$L36,0,AN36*(1-'Interest Rate'!$B$17))</f>
        <v>0</v>
      </c>
      <c r="AP36" s="658">
        <f>IF(AP$6&gt;$L36,0,AO36*(1-'Interest Rate'!$B$17))</f>
        <v>0</v>
      </c>
      <c r="AQ36" s="658">
        <f>IF(AQ$6&gt;$L36,0,AP36*(1-'Interest Rate'!$B$17))</f>
        <v>0</v>
      </c>
      <c r="AR36" s="658">
        <f>IF(AR$6&gt;$L36,0,AQ36*(1-'Interest Rate'!$B$17))</f>
        <v>0</v>
      </c>
      <c r="AS36" s="658">
        <f>IF(AS$6&gt;$L36,0,AR36*(1-'Interest Rate'!$B$17))</f>
        <v>0</v>
      </c>
      <c r="AT36" s="658">
        <f>IF(AT$6&gt;$L36,0,AS36*(1-'Interest Rate'!$B$17))</f>
        <v>0</v>
      </c>
      <c r="AU36" s="658">
        <f>IF(AU$6&gt;$L36,0,AT36*(1-'Interest Rate'!$B$17))</f>
        <v>0</v>
      </c>
      <c r="AV36" s="658">
        <f>IF(AV$6&gt;$L36,0,AU36*(1-'Interest Rate'!$B$17))</f>
        <v>0</v>
      </c>
      <c r="AW36" s="658">
        <f>IF(AW$6&gt;$L36,0,AV36*(1-'Interest Rate'!$B$17))</f>
        <v>0</v>
      </c>
      <c r="AX36" s="658">
        <f>IF(AX$6&gt;$L36,0,AW36*(1-'Interest Rate'!$B$17))</f>
        <v>0</v>
      </c>
      <c r="AY36" s="658">
        <f>IF(AY$6&gt;$L36,0,AX36*(1-'Interest Rate'!$B$17))</f>
        <v>0</v>
      </c>
      <c r="AZ36" s="658">
        <f>IF(AZ$6&gt;$L36,0,AY36*(1-'Interest Rate'!$B$17))</f>
        <v>0</v>
      </c>
      <c r="BA36" s="658">
        <f>IF(BA$6&gt;$L36,0,AZ36*(1-'Interest Rate'!$B$17))</f>
        <v>0</v>
      </c>
      <c r="BB36" s="658">
        <f>IF(BB$6&gt;$L36,0,BA36*(1-'Interest Rate'!$B$17))</f>
        <v>0</v>
      </c>
      <c r="BC36" s="658">
        <f>IF(BC$6&gt;$L36,0,BB36*(1-'Interest Rate'!$B$17))</f>
        <v>0</v>
      </c>
      <c r="BD36" s="658">
        <f>IF(BD$6&gt;$L36,0,BC36*(1-'Interest Rate'!$B$17))</f>
        <v>0</v>
      </c>
      <c r="BE36" s="658">
        <f>IF(BE$6&gt;$L36,0,BD36*(1-'Interest Rate'!$B$17))</f>
        <v>0</v>
      </c>
      <c r="BF36" s="658">
        <f>IF(BF$6&gt;$L36,0,BE36*(1-'Interest Rate'!$B$17))</f>
        <v>0</v>
      </c>
      <c r="BG36" s="658">
        <f>IF(BG$6&gt;$L36,0,BF36*(1-'Interest Rate'!$B$17))</f>
        <v>0</v>
      </c>
      <c r="BH36" s="658">
        <f>IF(BH$6&gt;$L36,0,BG36*(1-'Interest Rate'!$B$17))</f>
        <v>0</v>
      </c>
      <c r="BI36" s="658">
        <f>IF(BI$6&gt;$L36,0,BH36*(1-'Interest Rate'!$B$17))</f>
        <v>0</v>
      </c>
      <c r="BJ36" s="658">
        <f>IF(BJ$6&gt;$L36,0,BI36*(1-'Interest Rate'!$B$17))</f>
        <v>0</v>
      </c>
      <c r="BK36" s="658">
        <f>IF(BK$6&gt;$L36,0,BJ36*(1-'Interest Rate'!$B$17))</f>
        <v>0</v>
      </c>
      <c r="BL36" s="658">
        <f>IF(BL$6&gt;$L36,0,BK36*(1-'Interest Rate'!$B$17))</f>
        <v>0</v>
      </c>
      <c r="BM36" s="658">
        <f>IF(BM$6&gt;$L36,0,BL36*(1-'Interest Rate'!$B$17))</f>
        <v>0</v>
      </c>
      <c r="BN36" s="658">
        <f>IF(BN$6&gt;$L36,0,BM36*(1-'Interest Rate'!$B$17))</f>
        <v>0</v>
      </c>
      <c r="BO36" s="658">
        <f>IF(BO$6&gt;$L36,0,BN36*(1-'Interest Rate'!$B$17))</f>
        <v>0</v>
      </c>
      <c r="BP36" s="658">
        <f>IF(BP$6&gt;$L36,0,BO36*(1-'Interest Rate'!$B$17))</f>
        <v>0</v>
      </c>
      <c r="BQ36" s="658">
        <f>IF(BQ$6&gt;$L36,0,BP36*(1-'Interest Rate'!$B$17))</f>
        <v>0</v>
      </c>
      <c r="BR36" s="658">
        <f>IF(BR$6&gt;$L36,0,BQ36*(1-'Interest Rate'!$B$17))</f>
        <v>0</v>
      </c>
      <c r="BS36" s="658">
        <f>IF(BS$6&gt;$L36,0,BR36*(1-'Interest Rate'!$B$17))</f>
        <v>0</v>
      </c>
      <c r="BT36" s="658">
        <f>IF(BT$6&gt;$L36,0,BS36*(1-'Interest Rate'!$B$17))</f>
        <v>0</v>
      </c>
      <c r="BU36" s="658">
        <f>IF(BU$6&gt;$L36,0,BT36*(1-'Interest Rate'!$B$17))</f>
        <v>0</v>
      </c>
      <c r="BV36" s="658">
        <f>IF(BV$6&gt;$L36,0,BU36*(1-'Interest Rate'!$B$17))</f>
        <v>0</v>
      </c>
      <c r="BW36" s="658">
        <f>IF(BW$6&gt;$L36,0,BV36*(1-'Interest Rate'!$B$17))</f>
        <v>0</v>
      </c>
      <c r="BX36" s="658">
        <f>IF(BX$6&gt;$L36,0,BW36*(1-'Interest Rate'!$B$17))</f>
        <v>0</v>
      </c>
      <c r="BY36" s="658">
        <f>IF(BY$6&gt;$L36,0,BX36*(1-'Interest Rate'!$B$17))</f>
        <v>0</v>
      </c>
      <c r="BZ36" s="658">
        <f>IF(BZ$6&gt;$L36,0,BY36*(1-'Interest Rate'!$B$17))</f>
        <v>0</v>
      </c>
      <c r="CA36" s="658">
        <f>IF(CA$6&gt;$L36,0,BZ36*(1-'Interest Rate'!$B$17))</f>
        <v>0</v>
      </c>
      <c r="CB36" s="658">
        <f>IF(CB$6&gt;$L36,0,CA36*(1-'Interest Rate'!$B$17))</f>
        <v>0</v>
      </c>
      <c r="CC36" s="658">
        <f>IF(CC$6&gt;$L36,0,CB36*(1-'Interest Rate'!$B$17))</f>
        <v>0</v>
      </c>
      <c r="CD36" s="658">
        <f>IF(CD$6&gt;$L36,0,CC36*(1-'Interest Rate'!$B$17))</f>
        <v>0</v>
      </c>
      <c r="CE36" s="658">
        <f>IF(CE$6&gt;$L36,0,CD36*(1-'Interest Rate'!$B$17))</f>
        <v>0</v>
      </c>
      <c r="CF36" s="658">
        <f>IF(CF$6&gt;$L36,0,CE36*(1-'Interest Rate'!$B$17))</f>
        <v>0</v>
      </c>
      <c r="CG36" s="658">
        <f>IF(CG$6&gt;$L36,0,CF36*(1-'Interest Rate'!$B$17))</f>
        <v>0</v>
      </c>
      <c r="CH36" s="658">
        <f>IF(CH$6&gt;$L36,0,CG36*(1-'Interest Rate'!$B$17))</f>
        <v>0</v>
      </c>
      <c r="CI36" s="658">
        <f>IF(CI$6&gt;$L36,0,CH36*(1-'Interest Rate'!$B$17))</f>
        <v>0</v>
      </c>
      <c r="CJ36" s="658">
        <f>IF(CJ$6&gt;$L36,0,CI36*(1-'Interest Rate'!$B$17))</f>
        <v>0</v>
      </c>
      <c r="CK36" s="658">
        <f>IF(CK$6&gt;$L36,0,CJ36*(1-'Interest Rate'!$B$17))</f>
        <v>0</v>
      </c>
      <c r="CL36" s="658">
        <f>IF(CL$6&gt;$L36,0,CK36*(1-'Interest Rate'!$B$17))</f>
        <v>0</v>
      </c>
      <c r="CM36" s="658">
        <f>IF(CM$6&gt;$L36,0,CL36*(1-'Interest Rate'!$B$17))</f>
        <v>0</v>
      </c>
      <c r="CN36" s="658">
        <f>IF(CN$6&gt;$L36,0,CM36*(1-'Interest Rate'!$B$17))</f>
        <v>0</v>
      </c>
      <c r="CO36" s="658">
        <f>IF(CO$6&gt;$L36,0,CN36*(1-'Interest Rate'!$B$17))</f>
        <v>0</v>
      </c>
      <c r="CP36" s="658">
        <f>IF(CP$6&gt;$L36,0,CO36*(1-'Interest Rate'!$B$17))</f>
        <v>0</v>
      </c>
      <c r="CQ36" s="658">
        <f>IF(CQ$6&gt;$L36,0,CP36*(1-'Interest Rate'!$B$17))</f>
        <v>0</v>
      </c>
      <c r="CR36" s="658">
        <f>IF(CR$6&gt;$L36,0,CQ36*(1-'Interest Rate'!$B$17))</f>
        <v>0</v>
      </c>
      <c r="CS36" s="658">
        <f>IF(CS$6&gt;$L36,0,CR36*(1-'Interest Rate'!$B$17))</f>
        <v>0</v>
      </c>
      <c r="CT36" s="658">
        <f>IF(CT$6&gt;$L36,0,CS36*(1-'Interest Rate'!$B$17))</f>
        <v>0</v>
      </c>
      <c r="CU36" s="658">
        <f>IF(CU$6&gt;$L36,0,CT36*(1-'Interest Rate'!$B$17))</f>
        <v>0</v>
      </c>
      <c r="CV36" s="658">
        <f>IF(CV$6&gt;$L36,0,CU36*(1-'Interest Rate'!$B$17))</f>
        <v>0</v>
      </c>
      <c r="CW36" s="658">
        <f>IF(CW$6&gt;$L36,0,CV36*(1-'Interest Rate'!$B$17))</f>
        <v>0</v>
      </c>
      <c r="CX36" s="658">
        <f>IF(CX$6&gt;$L36,0,CW36*(1-'Interest Rate'!$B$17))</f>
        <v>0</v>
      </c>
      <c r="CY36" s="658">
        <f>IF(CY$6&gt;$L36,0,CX36*(1-'Interest Rate'!$B$17))</f>
        <v>0</v>
      </c>
      <c r="CZ36" s="658">
        <f>IF(CZ$6&gt;$L36,0,CY36*(1-'Interest Rate'!$B$17))</f>
        <v>0</v>
      </c>
      <c r="DA36" s="658">
        <f>IF(DA$6&gt;$L36,0,CZ36*(1-'Interest Rate'!$B$17))</f>
        <v>0</v>
      </c>
      <c r="DB36" s="658">
        <f>IF(DB$6&gt;$L36,0,DA36*(1-'Interest Rate'!$B$17))</f>
        <v>0</v>
      </c>
      <c r="DC36" s="658">
        <f>IF(DC$6&gt;$L36,0,DB36*(1-'Interest Rate'!$B$17))</f>
        <v>0</v>
      </c>
      <c r="DD36" s="658">
        <f>IF(DD$6&gt;$L36,0,DC36*(1-'Interest Rate'!$B$17))</f>
        <v>0</v>
      </c>
      <c r="DE36" s="658">
        <f>IF(DE$6&gt;$L36,0,DD36*(1-'Interest Rate'!$B$17))</f>
        <v>0</v>
      </c>
      <c r="DF36" s="658">
        <f>IF(DF$6&gt;$L36,0,DE36*(1-'Interest Rate'!$B$17))</f>
        <v>0</v>
      </c>
      <c r="DG36" s="658">
        <f>IF(DG$6&gt;$L36,0,DF36*(1-'Interest Rate'!$B$17))</f>
        <v>0</v>
      </c>
      <c r="DH36" s="658">
        <f>IF(DH$6&gt;$L36,0,DG36*(1-'Interest Rate'!$B$17))</f>
        <v>0</v>
      </c>
      <c r="DI36" s="658">
        <f>IF(DI$6&gt;$L36,0,DH36*(1-'Interest Rate'!$B$17))</f>
        <v>0</v>
      </c>
      <c r="DJ36" s="658">
        <f>IF(DJ$6&gt;$L36,0,DI36*(1-'Interest Rate'!$B$17))</f>
        <v>0</v>
      </c>
      <c r="DK36" s="658">
        <f>IF(DK$6&gt;$L36,0,DJ36*(1-'Interest Rate'!$B$17))</f>
        <v>0</v>
      </c>
      <c r="DL36" s="658">
        <f>IF(DL$6&gt;$L36,0,DK36*(1-'Interest Rate'!$B$17))</f>
        <v>0</v>
      </c>
      <c r="DM36" s="658">
        <f>IF(DM$6&gt;$L36,0,DL36*(1-'Interest Rate'!$B$17))</f>
        <v>0</v>
      </c>
      <c r="DN36" s="658">
        <f>IF(DN$6&gt;$L36,0,DM36*(1-'Interest Rate'!$B$17))</f>
        <v>0</v>
      </c>
      <c r="DO36" s="658">
        <f>IF(DO$6&gt;$L36,0,DN36*(1-'Interest Rate'!$B$17))</f>
        <v>0</v>
      </c>
      <c r="DP36" s="658">
        <f>IF(DP$6&gt;$L36,0,DO36*(1-'Interest Rate'!$B$17))</f>
        <v>0</v>
      </c>
      <c r="DQ36" s="658">
        <f>IF(DQ$6&gt;$L36,0,DP36*(1-'Interest Rate'!$B$17))</f>
        <v>0</v>
      </c>
      <c r="DR36" s="658">
        <f>IF(DR$6&gt;$L36,0,DQ36*(1-'Interest Rate'!$B$17))</f>
        <v>0</v>
      </c>
    </row>
    <row r="37" spans="1:122" ht="33" customHeight="1" x14ac:dyDescent="0.3">
      <c r="A37" s="696" t="str">
        <f>'EEM Data Entry'!A114</f>
        <v/>
      </c>
      <c r="B37" s="697" t="str">
        <f>IF('EEM Data Entry'!B114="  ","  ", 'EEM Data Entry'!B114)</f>
        <v/>
      </c>
      <c r="C37" s="671" t="str">
        <f>'EEM Data Entry'!F114</f>
        <v/>
      </c>
      <c r="D37" s="671">
        <v>0</v>
      </c>
      <c r="E37" s="671" t="e">
        <f t="shared" si="13"/>
        <v>#VALUE!</v>
      </c>
      <c r="F37" s="650">
        <f>('Cascading Savings'!D37*'Cascading Savings'!D$4)+('Cascading Savings'!F37*'Cascading Savings'!F$4)+('Cascading Savings'!H37*'Cascading Savings'!H$4)+('Cascading Savings'!J37*'Cascading Savings'!J$4)+('Cascading Savings'!L37*'Cascading Savings'!L$4)+('Cascading Savings'!N37*'Cascading Savings'!N$4)+('Cascading Savings'!P37*'Cascading Savings'!P$4)+('Cascading Savings'!R37*'Cascading Savings'!R$4)</f>
        <v>0</v>
      </c>
      <c r="G37" s="698">
        <f>'Cascading Savings'!T37</f>
        <v>0</v>
      </c>
      <c r="H37" s="672" t="e">
        <f t="shared" si="15"/>
        <v>#VALUE!</v>
      </c>
      <c r="I37" s="668" t="e">
        <f t="shared" si="14"/>
        <v>#VALUE!</v>
      </c>
      <c r="J37" s="654" t="e">
        <f t="shared" si="10"/>
        <v>#NUM!</v>
      </c>
      <c r="K37" s="674" t="e">
        <f>PV('Interest Rate'!$B$17,Table213[[#This Row],[Lifetime]],-Table213[[#This Row],[ANNUAL ENERGY COST SAVINGS]],Table213[[#This Row],[END-OF-LIFE]],0)-Table213[[#This Row],[CAPITAL INVESTMENT]]</f>
        <v>#VALUE!</v>
      </c>
      <c r="L37" s="687" t="str">
        <f>'EEM Data Entry'!C114</f>
        <v/>
      </c>
      <c r="M37" s="669" t="e">
        <f>Table213[[#This Row],[ANNUAL ENERGY COST SAVINGS]]/Table213[[#This Row],[CAPITAL INVESTMENT]]</f>
        <v>#VALUE!</v>
      </c>
      <c r="N37" s="623">
        <f>IF(ISNUMBER(Table213[[#This Row],[NPV]])=TRUE,Table213[[#This Row],[NPV]],0)</f>
        <v>0</v>
      </c>
      <c r="O37" s="802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37" s="568" t="str">
        <f>Table213[[#This Row],[Lifetime]]</f>
        <v/>
      </c>
      <c r="V37" s="657" t="str">
        <f t="shared" si="11"/>
        <v/>
      </c>
      <c r="W37" s="658">
        <f t="shared" si="12"/>
        <v>0</v>
      </c>
      <c r="X37" s="658">
        <f>IF(X$6&gt;$L37,0,W37*(1-'Interest Rate'!$B$17))</f>
        <v>0</v>
      </c>
      <c r="Y37" s="658">
        <f>IF(Y$6&gt;$L37,0,X37*(1-'Interest Rate'!$B$17))</f>
        <v>0</v>
      </c>
      <c r="Z37" s="658">
        <f>IF(Z$6&gt;$L37,0,Y37*(1-'Interest Rate'!$B$17))</f>
        <v>0</v>
      </c>
      <c r="AA37" s="658">
        <f>IF(AA$6&gt;$L37,0,Z37*(1-'Interest Rate'!$B$17))</f>
        <v>0</v>
      </c>
      <c r="AB37" s="658">
        <f>IF(AB$6&gt;$L37,0,AA37*(1-'Interest Rate'!$B$17))</f>
        <v>0</v>
      </c>
      <c r="AC37" s="658">
        <f>IF(AC$6&gt;$L37,0,AB37*(1-'Interest Rate'!$B$17))</f>
        <v>0</v>
      </c>
      <c r="AD37" s="658">
        <f>IF(AD$6&gt;$L37,0,AC37*(1-'Interest Rate'!$B$17))</f>
        <v>0</v>
      </c>
      <c r="AE37" s="658">
        <f>IF(AE$6&gt;$L37,0,AD37*(1-'Interest Rate'!$B$17))</f>
        <v>0</v>
      </c>
      <c r="AF37" s="658">
        <f>IF(AF$6&gt;$L37,0,AE37*(1-'Interest Rate'!$B$17))</f>
        <v>0</v>
      </c>
      <c r="AG37" s="658">
        <f>IF(AG$6&gt;$L37,0,AF37*(1-'Interest Rate'!$B$17))</f>
        <v>0</v>
      </c>
      <c r="AH37" s="658">
        <f>IF(AH$6&gt;$L37,0,AG37*(1-'Interest Rate'!$B$17))</f>
        <v>0</v>
      </c>
      <c r="AI37" s="658">
        <f>IF(AI$6&gt;$L37,0,AH37*(1-'Interest Rate'!$B$17))</f>
        <v>0</v>
      </c>
      <c r="AJ37" s="658">
        <f>IF(AJ$6&gt;$L37,0,AI37*(1-'Interest Rate'!$B$17))</f>
        <v>0</v>
      </c>
      <c r="AK37" s="658">
        <f>IF(AK$6&gt;$L37,0,AJ37*(1-'Interest Rate'!$B$17))</f>
        <v>0</v>
      </c>
      <c r="AL37" s="658">
        <f>IF(AL$6&gt;$L37,0,AK37*(1-'Interest Rate'!$B$17))</f>
        <v>0</v>
      </c>
      <c r="AM37" s="658">
        <f>IF(AM$6&gt;$L37,0,AL37*(1-'Interest Rate'!$B$17))</f>
        <v>0</v>
      </c>
      <c r="AN37" s="658">
        <f>IF(AN$6&gt;$L37,0,AM37*(1-'Interest Rate'!$B$17))</f>
        <v>0</v>
      </c>
      <c r="AO37" s="658">
        <f>IF(AO$6&gt;$L37,0,AN37*(1-'Interest Rate'!$B$17))</f>
        <v>0</v>
      </c>
      <c r="AP37" s="658">
        <f>IF(AP$6&gt;$L37,0,AO37*(1-'Interest Rate'!$B$17))</f>
        <v>0</v>
      </c>
      <c r="AQ37" s="658">
        <f>IF(AQ$6&gt;$L37,0,AP37*(1-'Interest Rate'!$B$17))</f>
        <v>0</v>
      </c>
      <c r="AR37" s="658">
        <f>IF(AR$6&gt;$L37,0,AQ37*(1-'Interest Rate'!$B$17))</f>
        <v>0</v>
      </c>
      <c r="AS37" s="658">
        <f>IF(AS$6&gt;$L37,0,AR37*(1-'Interest Rate'!$B$17))</f>
        <v>0</v>
      </c>
      <c r="AT37" s="658">
        <f>IF(AT$6&gt;$L37,0,AS37*(1-'Interest Rate'!$B$17))</f>
        <v>0</v>
      </c>
      <c r="AU37" s="658">
        <f>IF(AU$6&gt;$L37,0,AT37*(1-'Interest Rate'!$B$17))</f>
        <v>0</v>
      </c>
      <c r="AV37" s="658">
        <f>IF(AV$6&gt;$L37,0,AU37*(1-'Interest Rate'!$B$17))</f>
        <v>0</v>
      </c>
      <c r="AW37" s="658">
        <f>IF(AW$6&gt;$L37,0,AV37*(1-'Interest Rate'!$B$17))</f>
        <v>0</v>
      </c>
      <c r="AX37" s="658">
        <f>IF(AX$6&gt;$L37,0,AW37*(1-'Interest Rate'!$B$17))</f>
        <v>0</v>
      </c>
      <c r="AY37" s="658">
        <f>IF(AY$6&gt;$L37,0,AX37*(1-'Interest Rate'!$B$17))</f>
        <v>0</v>
      </c>
      <c r="AZ37" s="658">
        <f>IF(AZ$6&gt;$L37,0,AY37*(1-'Interest Rate'!$B$17))</f>
        <v>0</v>
      </c>
      <c r="BA37" s="658">
        <f>IF(BA$6&gt;$L37,0,AZ37*(1-'Interest Rate'!$B$17))</f>
        <v>0</v>
      </c>
      <c r="BB37" s="658">
        <f>IF(BB$6&gt;$L37,0,BA37*(1-'Interest Rate'!$B$17))</f>
        <v>0</v>
      </c>
      <c r="BC37" s="658">
        <f>IF(BC$6&gt;$L37,0,BB37*(1-'Interest Rate'!$B$17))</f>
        <v>0</v>
      </c>
      <c r="BD37" s="658">
        <f>IF(BD$6&gt;$L37,0,BC37*(1-'Interest Rate'!$B$17))</f>
        <v>0</v>
      </c>
      <c r="BE37" s="658">
        <f>IF(BE$6&gt;$L37,0,BD37*(1-'Interest Rate'!$B$17))</f>
        <v>0</v>
      </c>
      <c r="BF37" s="658">
        <f>IF(BF$6&gt;$L37,0,BE37*(1-'Interest Rate'!$B$17))</f>
        <v>0</v>
      </c>
      <c r="BG37" s="658">
        <f>IF(BG$6&gt;$L37,0,BF37*(1-'Interest Rate'!$B$17))</f>
        <v>0</v>
      </c>
      <c r="BH37" s="658">
        <f>IF(BH$6&gt;$L37,0,BG37*(1-'Interest Rate'!$B$17))</f>
        <v>0</v>
      </c>
      <c r="BI37" s="658">
        <f>IF(BI$6&gt;$L37,0,BH37*(1-'Interest Rate'!$B$17))</f>
        <v>0</v>
      </c>
      <c r="BJ37" s="658">
        <f>IF(BJ$6&gt;$L37,0,BI37*(1-'Interest Rate'!$B$17))</f>
        <v>0</v>
      </c>
      <c r="BK37" s="658">
        <f>IF(BK$6&gt;$L37,0,BJ37*(1-'Interest Rate'!$B$17))</f>
        <v>0</v>
      </c>
      <c r="BL37" s="658">
        <f>IF(BL$6&gt;$L37,0,BK37*(1-'Interest Rate'!$B$17))</f>
        <v>0</v>
      </c>
      <c r="BM37" s="658">
        <f>IF(BM$6&gt;$L37,0,BL37*(1-'Interest Rate'!$B$17))</f>
        <v>0</v>
      </c>
      <c r="BN37" s="658">
        <f>IF(BN$6&gt;$L37,0,BM37*(1-'Interest Rate'!$B$17))</f>
        <v>0</v>
      </c>
      <c r="BO37" s="658">
        <f>IF(BO$6&gt;$L37,0,BN37*(1-'Interest Rate'!$B$17))</f>
        <v>0</v>
      </c>
      <c r="BP37" s="658">
        <f>IF(BP$6&gt;$L37,0,BO37*(1-'Interest Rate'!$B$17))</f>
        <v>0</v>
      </c>
      <c r="BQ37" s="658">
        <f>IF(BQ$6&gt;$L37,0,BP37*(1-'Interest Rate'!$B$17))</f>
        <v>0</v>
      </c>
      <c r="BR37" s="658">
        <f>IF(BR$6&gt;$L37,0,BQ37*(1-'Interest Rate'!$B$17))</f>
        <v>0</v>
      </c>
      <c r="BS37" s="658">
        <f>IF(BS$6&gt;$L37,0,BR37*(1-'Interest Rate'!$B$17))</f>
        <v>0</v>
      </c>
      <c r="BT37" s="658">
        <f>IF(BT$6&gt;$L37,0,BS37*(1-'Interest Rate'!$B$17))</f>
        <v>0</v>
      </c>
      <c r="BU37" s="658">
        <f>IF(BU$6&gt;$L37,0,BT37*(1-'Interest Rate'!$B$17))</f>
        <v>0</v>
      </c>
      <c r="BV37" s="658">
        <f>IF(BV$6&gt;$L37,0,BU37*(1-'Interest Rate'!$B$17))</f>
        <v>0</v>
      </c>
      <c r="BW37" s="658">
        <f>IF(BW$6&gt;$L37,0,BV37*(1-'Interest Rate'!$B$17))</f>
        <v>0</v>
      </c>
      <c r="BX37" s="658">
        <f>IF(BX$6&gt;$L37,0,BW37*(1-'Interest Rate'!$B$17))</f>
        <v>0</v>
      </c>
      <c r="BY37" s="658">
        <f>IF(BY$6&gt;$L37,0,BX37*(1-'Interest Rate'!$B$17))</f>
        <v>0</v>
      </c>
      <c r="BZ37" s="658">
        <f>IF(BZ$6&gt;$L37,0,BY37*(1-'Interest Rate'!$B$17))</f>
        <v>0</v>
      </c>
      <c r="CA37" s="658">
        <f>IF(CA$6&gt;$L37,0,BZ37*(1-'Interest Rate'!$B$17))</f>
        <v>0</v>
      </c>
      <c r="CB37" s="658">
        <f>IF(CB$6&gt;$L37,0,CA37*(1-'Interest Rate'!$B$17))</f>
        <v>0</v>
      </c>
      <c r="CC37" s="658">
        <f>IF(CC$6&gt;$L37,0,CB37*(1-'Interest Rate'!$B$17))</f>
        <v>0</v>
      </c>
      <c r="CD37" s="658">
        <f>IF(CD$6&gt;$L37,0,CC37*(1-'Interest Rate'!$B$17))</f>
        <v>0</v>
      </c>
      <c r="CE37" s="658">
        <f>IF(CE$6&gt;$L37,0,CD37*(1-'Interest Rate'!$B$17))</f>
        <v>0</v>
      </c>
      <c r="CF37" s="658">
        <f>IF(CF$6&gt;$L37,0,CE37*(1-'Interest Rate'!$B$17))</f>
        <v>0</v>
      </c>
      <c r="CG37" s="658">
        <f>IF(CG$6&gt;$L37,0,CF37*(1-'Interest Rate'!$B$17))</f>
        <v>0</v>
      </c>
      <c r="CH37" s="658">
        <f>IF(CH$6&gt;$L37,0,CG37*(1-'Interest Rate'!$B$17))</f>
        <v>0</v>
      </c>
      <c r="CI37" s="658">
        <f>IF(CI$6&gt;$L37,0,CH37*(1-'Interest Rate'!$B$17))</f>
        <v>0</v>
      </c>
      <c r="CJ37" s="658">
        <f>IF(CJ$6&gt;$L37,0,CI37*(1-'Interest Rate'!$B$17))</f>
        <v>0</v>
      </c>
      <c r="CK37" s="658">
        <f>IF(CK$6&gt;$L37,0,CJ37*(1-'Interest Rate'!$B$17))</f>
        <v>0</v>
      </c>
      <c r="CL37" s="658">
        <f>IF(CL$6&gt;$L37,0,CK37*(1-'Interest Rate'!$B$17))</f>
        <v>0</v>
      </c>
      <c r="CM37" s="658">
        <f>IF(CM$6&gt;$L37,0,CL37*(1-'Interest Rate'!$B$17))</f>
        <v>0</v>
      </c>
      <c r="CN37" s="658">
        <f>IF(CN$6&gt;$L37,0,CM37*(1-'Interest Rate'!$B$17))</f>
        <v>0</v>
      </c>
      <c r="CO37" s="658">
        <f>IF(CO$6&gt;$L37,0,CN37*(1-'Interest Rate'!$B$17))</f>
        <v>0</v>
      </c>
      <c r="CP37" s="658">
        <f>IF(CP$6&gt;$L37,0,CO37*(1-'Interest Rate'!$B$17))</f>
        <v>0</v>
      </c>
      <c r="CQ37" s="658">
        <f>IF(CQ$6&gt;$L37,0,CP37*(1-'Interest Rate'!$B$17))</f>
        <v>0</v>
      </c>
      <c r="CR37" s="658">
        <f>IF(CR$6&gt;$L37,0,CQ37*(1-'Interest Rate'!$B$17))</f>
        <v>0</v>
      </c>
      <c r="CS37" s="658">
        <f>IF(CS$6&gt;$L37,0,CR37*(1-'Interest Rate'!$B$17))</f>
        <v>0</v>
      </c>
      <c r="CT37" s="658">
        <f>IF(CT$6&gt;$L37,0,CS37*(1-'Interest Rate'!$B$17))</f>
        <v>0</v>
      </c>
      <c r="CU37" s="658">
        <f>IF(CU$6&gt;$L37,0,CT37*(1-'Interest Rate'!$B$17))</f>
        <v>0</v>
      </c>
      <c r="CV37" s="658">
        <f>IF(CV$6&gt;$L37,0,CU37*(1-'Interest Rate'!$B$17))</f>
        <v>0</v>
      </c>
      <c r="CW37" s="658">
        <f>IF(CW$6&gt;$L37,0,CV37*(1-'Interest Rate'!$B$17))</f>
        <v>0</v>
      </c>
      <c r="CX37" s="658">
        <f>IF(CX$6&gt;$L37,0,CW37*(1-'Interest Rate'!$B$17))</f>
        <v>0</v>
      </c>
      <c r="CY37" s="658">
        <f>IF(CY$6&gt;$L37,0,CX37*(1-'Interest Rate'!$B$17))</f>
        <v>0</v>
      </c>
      <c r="CZ37" s="658">
        <f>IF(CZ$6&gt;$L37,0,CY37*(1-'Interest Rate'!$B$17))</f>
        <v>0</v>
      </c>
      <c r="DA37" s="658">
        <f>IF(DA$6&gt;$L37,0,CZ37*(1-'Interest Rate'!$B$17))</f>
        <v>0</v>
      </c>
      <c r="DB37" s="658">
        <f>IF(DB$6&gt;$L37,0,DA37*(1-'Interest Rate'!$B$17))</f>
        <v>0</v>
      </c>
      <c r="DC37" s="658">
        <f>IF(DC$6&gt;$L37,0,DB37*(1-'Interest Rate'!$B$17))</f>
        <v>0</v>
      </c>
      <c r="DD37" s="658">
        <f>IF(DD$6&gt;$L37,0,DC37*(1-'Interest Rate'!$B$17))</f>
        <v>0</v>
      </c>
      <c r="DE37" s="658">
        <f>IF(DE$6&gt;$L37,0,DD37*(1-'Interest Rate'!$B$17))</f>
        <v>0</v>
      </c>
      <c r="DF37" s="658">
        <f>IF(DF$6&gt;$L37,0,DE37*(1-'Interest Rate'!$B$17))</f>
        <v>0</v>
      </c>
      <c r="DG37" s="658">
        <f>IF(DG$6&gt;$L37,0,DF37*(1-'Interest Rate'!$B$17))</f>
        <v>0</v>
      </c>
      <c r="DH37" s="658">
        <f>IF(DH$6&gt;$L37,0,DG37*(1-'Interest Rate'!$B$17))</f>
        <v>0</v>
      </c>
      <c r="DI37" s="658">
        <f>IF(DI$6&gt;$L37,0,DH37*(1-'Interest Rate'!$B$17))</f>
        <v>0</v>
      </c>
      <c r="DJ37" s="658">
        <f>IF(DJ$6&gt;$L37,0,DI37*(1-'Interest Rate'!$B$17))</f>
        <v>0</v>
      </c>
      <c r="DK37" s="658">
        <f>IF(DK$6&gt;$L37,0,DJ37*(1-'Interest Rate'!$B$17))</f>
        <v>0</v>
      </c>
      <c r="DL37" s="658">
        <f>IF(DL$6&gt;$L37,0,DK37*(1-'Interest Rate'!$B$17))</f>
        <v>0</v>
      </c>
      <c r="DM37" s="658">
        <f>IF(DM$6&gt;$L37,0,DL37*(1-'Interest Rate'!$B$17))</f>
        <v>0</v>
      </c>
      <c r="DN37" s="658">
        <f>IF(DN$6&gt;$L37,0,DM37*(1-'Interest Rate'!$B$17))</f>
        <v>0</v>
      </c>
      <c r="DO37" s="658">
        <f>IF(DO$6&gt;$L37,0,DN37*(1-'Interest Rate'!$B$17))</f>
        <v>0</v>
      </c>
      <c r="DP37" s="658">
        <f>IF(DP$6&gt;$L37,0,DO37*(1-'Interest Rate'!$B$17))</f>
        <v>0</v>
      </c>
      <c r="DQ37" s="658">
        <f>IF(DQ$6&gt;$L37,0,DP37*(1-'Interest Rate'!$B$17))</f>
        <v>0</v>
      </c>
      <c r="DR37" s="658">
        <f>IF(DR$6&gt;$L37,0,DQ37*(1-'Interest Rate'!$B$17))</f>
        <v>0</v>
      </c>
    </row>
    <row r="38" spans="1:122" ht="33" customHeight="1" x14ac:dyDescent="0.3">
      <c r="A38" s="696" t="str">
        <f>'EEM Data Entry'!A115</f>
        <v/>
      </c>
      <c r="B38" s="697" t="str">
        <f>IF('EEM Data Entry'!B115="  ","  ", 'EEM Data Entry'!B115)</f>
        <v/>
      </c>
      <c r="C38" s="671" t="str">
        <f>'EEM Data Entry'!F115</f>
        <v/>
      </c>
      <c r="D38" s="671">
        <v>0</v>
      </c>
      <c r="E38" s="661" t="e">
        <f t="shared" si="13"/>
        <v>#VALUE!</v>
      </c>
      <c r="F38" s="662">
        <f>('Cascading Savings'!D38*'Cascading Savings'!D$4)+('Cascading Savings'!F38*'Cascading Savings'!F$4)+('Cascading Savings'!H38*'Cascading Savings'!H$4)+('Cascading Savings'!J38*'Cascading Savings'!J$4)+('Cascading Savings'!L38*'Cascading Savings'!L$4)+('Cascading Savings'!N38*'Cascading Savings'!N$4)+('Cascading Savings'!P38*'Cascading Savings'!P$4)+('Cascading Savings'!R38*'Cascading Savings'!R$4)</f>
        <v>0</v>
      </c>
      <c r="G38" s="698">
        <f>'Cascading Savings'!T38</f>
        <v>0</v>
      </c>
      <c r="H38" s="672" t="e">
        <f t="shared" si="15"/>
        <v>#VALUE!</v>
      </c>
      <c r="I38" s="668" t="e">
        <f t="shared" si="14"/>
        <v>#VALUE!</v>
      </c>
      <c r="J38" s="666" t="e">
        <f t="shared" si="10"/>
        <v>#NUM!</v>
      </c>
      <c r="K38" s="667" t="e">
        <f>PV('Interest Rate'!$B$17,Table213[[#This Row],[Lifetime]],-Table213[[#This Row],[ANNUAL ENERGY COST SAVINGS]],Table213[[#This Row],[END-OF-LIFE]],0)-Table213[[#This Row],[CAPITAL INVESTMENT]]</f>
        <v>#VALUE!</v>
      </c>
      <c r="L38" s="687" t="str">
        <f>'EEM Data Entry'!C115</f>
        <v/>
      </c>
      <c r="M38" s="676" t="e">
        <f>Table213[[#This Row],[ANNUAL ENERGY COST SAVINGS]]/Table213[[#This Row],[CAPITAL INVESTMENT]]</f>
        <v>#VALUE!</v>
      </c>
      <c r="N38" s="623">
        <f>IF(ISNUMBER(Table213[[#This Row],[NPV]])=TRUE,Table213[[#This Row],[NPV]],0)</f>
        <v>0</v>
      </c>
      <c r="O38" s="802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38" s="568" t="str">
        <f>Table213[[#This Row],[Lifetime]]</f>
        <v/>
      </c>
      <c r="V38" s="657" t="str">
        <f t="shared" si="11"/>
        <v/>
      </c>
      <c r="W38" s="658">
        <f t="shared" si="12"/>
        <v>0</v>
      </c>
      <c r="X38" s="658">
        <f>IF(X$6&gt;$L38,0,W38*(1-'Interest Rate'!$B$17))</f>
        <v>0</v>
      </c>
      <c r="Y38" s="658">
        <f>IF(Y$6&gt;$L38,0,X38*(1-'Interest Rate'!$B$17))</f>
        <v>0</v>
      </c>
      <c r="Z38" s="658">
        <f>IF(Z$6&gt;$L38,0,Y38*(1-'Interest Rate'!$B$17))</f>
        <v>0</v>
      </c>
      <c r="AA38" s="658">
        <f>IF(AA$6&gt;$L38,0,Z38*(1-'Interest Rate'!$B$17))</f>
        <v>0</v>
      </c>
      <c r="AB38" s="658">
        <f>IF(AB$6&gt;$L38,0,AA38*(1-'Interest Rate'!$B$17))</f>
        <v>0</v>
      </c>
      <c r="AC38" s="658">
        <f>IF(AC$6&gt;$L38,0,AB38*(1-'Interest Rate'!$B$17))</f>
        <v>0</v>
      </c>
      <c r="AD38" s="658">
        <f>IF(AD$6&gt;$L38,0,AC38*(1-'Interest Rate'!$B$17))</f>
        <v>0</v>
      </c>
      <c r="AE38" s="658">
        <f>IF(AE$6&gt;$L38,0,AD38*(1-'Interest Rate'!$B$17))</f>
        <v>0</v>
      </c>
      <c r="AF38" s="658">
        <f>IF(AF$6&gt;$L38,0,AE38*(1-'Interest Rate'!$B$17))</f>
        <v>0</v>
      </c>
      <c r="AG38" s="658">
        <f>IF(AG$6&gt;$L38,0,AF38*(1-'Interest Rate'!$B$17))</f>
        <v>0</v>
      </c>
      <c r="AH38" s="658">
        <f>IF(AH$6&gt;$L38,0,AG38*(1-'Interest Rate'!$B$17))</f>
        <v>0</v>
      </c>
      <c r="AI38" s="658">
        <f>IF(AI$6&gt;$L38,0,AH38*(1-'Interest Rate'!$B$17))</f>
        <v>0</v>
      </c>
      <c r="AJ38" s="658">
        <f>IF(AJ$6&gt;$L38,0,AI38*(1-'Interest Rate'!$B$17))</f>
        <v>0</v>
      </c>
      <c r="AK38" s="658">
        <f>IF(AK$6&gt;$L38,0,AJ38*(1-'Interest Rate'!$B$17))</f>
        <v>0</v>
      </c>
      <c r="AL38" s="658">
        <f>IF(AL$6&gt;$L38,0,AK38*(1-'Interest Rate'!$B$17))</f>
        <v>0</v>
      </c>
      <c r="AM38" s="658">
        <f>IF(AM$6&gt;$L38,0,AL38*(1-'Interest Rate'!$B$17))</f>
        <v>0</v>
      </c>
      <c r="AN38" s="658">
        <f>IF(AN$6&gt;$L38,0,AM38*(1-'Interest Rate'!$B$17))</f>
        <v>0</v>
      </c>
      <c r="AO38" s="658">
        <f>IF(AO$6&gt;$L38,0,AN38*(1-'Interest Rate'!$B$17))</f>
        <v>0</v>
      </c>
      <c r="AP38" s="658">
        <f>IF(AP$6&gt;$L38,0,AO38*(1-'Interest Rate'!$B$17))</f>
        <v>0</v>
      </c>
      <c r="AQ38" s="658">
        <f>IF(AQ$6&gt;$L38,0,AP38*(1-'Interest Rate'!$B$17))</f>
        <v>0</v>
      </c>
      <c r="AR38" s="658">
        <f>IF(AR$6&gt;$L38,0,AQ38*(1-'Interest Rate'!$B$17))</f>
        <v>0</v>
      </c>
      <c r="AS38" s="658">
        <f>IF(AS$6&gt;$L38,0,AR38*(1-'Interest Rate'!$B$17))</f>
        <v>0</v>
      </c>
      <c r="AT38" s="658">
        <f>IF(AT$6&gt;$L38,0,AS38*(1-'Interest Rate'!$B$17))</f>
        <v>0</v>
      </c>
      <c r="AU38" s="658">
        <f>IF(AU$6&gt;$L38,0,AT38*(1-'Interest Rate'!$B$17))</f>
        <v>0</v>
      </c>
      <c r="AV38" s="658">
        <f>IF(AV$6&gt;$L38,0,AU38*(1-'Interest Rate'!$B$17))</f>
        <v>0</v>
      </c>
      <c r="AW38" s="658">
        <f>IF(AW$6&gt;$L38,0,AV38*(1-'Interest Rate'!$B$17))</f>
        <v>0</v>
      </c>
      <c r="AX38" s="658">
        <f>IF(AX$6&gt;$L38,0,AW38*(1-'Interest Rate'!$B$17))</f>
        <v>0</v>
      </c>
      <c r="AY38" s="658">
        <f>IF(AY$6&gt;$L38,0,AX38*(1-'Interest Rate'!$B$17))</f>
        <v>0</v>
      </c>
      <c r="AZ38" s="658">
        <f>IF(AZ$6&gt;$L38,0,AY38*(1-'Interest Rate'!$B$17))</f>
        <v>0</v>
      </c>
      <c r="BA38" s="658">
        <f>IF(BA$6&gt;$L38,0,AZ38*(1-'Interest Rate'!$B$17))</f>
        <v>0</v>
      </c>
      <c r="BB38" s="658">
        <f>IF(BB$6&gt;$L38,0,BA38*(1-'Interest Rate'!$B$17))</f>
        <v>0</v>
      </c>
      <c r="BC38" s="658">
        <f>IF(BC$6&gt;$L38,0,BB38*(1-'Interest Rate'!$B$17))</f>
        <v>0</v>
      </c>
      <c r="BD38" s="658">
        <f>IF(BD$6&gt;$L38,0,BC38*(1-'Interest Rate'!$B$17))</f>
        <v>0</v>
      </c>
      <c r="BE38" s="658">
        <f>IF(BE$6&gt;$L38,0,BD38*(1-'Interest Rate'!$B$17))</f>
        <v>0</v>
      </c>
      <c r="BF38" s="658">
        <f>IF(BF$6&gt;$L38,0,BE38*(1-'Interest Rate'!$B$17))</f>
        <v>0</v>
      </c>
      <c r="BG38" s="658">
        <f>IF(BG$6&gt;$L38,0,BF38*(1-'Interest Rate'!$B$17))</f>
        <v>0</v>
      </c>
      <c r="BH38" s="658">
        <f>IF(BH$6&gt;$L38,0,BG38*(1-'Interest Rate'!$B$17))</f>
        <v>0</v>
      </c>
      <c r="BI38" s="658">
        <f>IF(BI$6&gt;$L38,0,BH38*(1-'Interest Rate'!$B$17))</f>
        <v>0</v>
      </c>
      <c r="BJ38" s="658">
        <f>IF(BJ$6&gt;$L38,0,BI38*(1-'Interest Rate'!$B$17))</f>
        <v>0</v>
      </c>
      <c r="BK38" s="658">
        <f>IF(BK$6&gt;$L38,0,BJ38*(1-'Interest Rate'!$B$17))</f>
        <v>0</v>
      </c>
      <c r="BL38" s="658">
        <f>IF(BL$6&gt;$L38,0,BK38*(1-'Interest Rate'!$B$17))</f>
        <v>0</v>
      </c>
      <c r="BM38" s="658">
        <f>IF(BM$6&gt;$L38,0,BL38*(1-'Interest Rate'!$B$17))</f>
        <v>0</v>
      </c>
      <c r="BN38" s="658">
        <f>IF(BN$6&gt;$L38,0,BM38*(1-'Interest Rate'!$B$17))</f>
        <v>0</v>
      </c>
      <c r="BO38" s="658">
        <f>IF(BO$6&gt;$L38,0,BN38*(1-'Interest Rate'!$B$17))</f>
        <v>0</v>
      </c>
      <c r="BP38" s="658">
        <f>IF(BP$6&gt;$L38,0,BO38*(1-'Interest Rate'!$B$17))</f>
        <v>0</v>
      </c>
      <c r="BQ38" s="658">
        <f>IF(BQ$6&gt;$L38,0,BP38*(1-'Interest Rate'!$B$17))</f>
        <v>0</v>
      </c>
      <c r="BR38" s="658">
        <f>IF(BR$6&gt;$L38,0,BQ38*(1-'Interest Rate'!$B$17))</f>
        <v>0</v>
      </c>
      <c r="BS38" s="658">
        <f>IF(BS$6&gt;$L38,0,BR38*(1-'Interest Rate'!$B$17))</f>
        <v>0</v>
      </c>
      <c r="BT38" s="658">
        <f>IF(BT$6&gt;$L38,0,BS38*(1-'Interest Rate'!$B$17))</f>
        <v>0</v>
      </c>
      <c r="BU38" s="658">
        <f>IF(BU$6&gt;$L38,0,BT38*(1-'Interest Rate'!$B$17))</f>
        <v>0</v>
      </c>
      <c r="BV38" s="658">
        <f>IF(BV$6&gt;$L38,0,BU38*(1-'Interest Rate'!$B$17))</f>
        <v>0</v>
      </c>
      <c r="BW38" s="658">
        <f>IF(BW$6&gt;$L38,0,BV38*(1-'Interest Rate'!$B$17))</f>
        <v>0</v>
      </c>
      <c r="BX38" s="658">
        <f>IF(BX$6&gt;$L38,0,BW38*(1-'Interest Rate'!$B$17))</f>
        <v>0</v>
      </c>
      <c r="BY38" s="658">
        <f>IF(BY$6&gt;$L38,0,BX38*(1-'Interest Rate'!$B$17))</f>
        <v>0</v>
      </c>
      <c r="BZ38" s="658">
        <f>IF(BZ$6&gt;$L38,0,BY38*(1-'Interest Rate'!$B$17))</f>
        <v>0</v>
      </c>
      <c r="CA38" s="658">
        <f>IF(CA$6&gt;$L38,0,BZ38*(1-'Interest Rate'!$B$17))</f>
        <v>0</v>
      </c>
      <c r="CB38" s="658">
        <f>IF(CB$6&gt;$L38,0,CA38*(1-'Interest Rate'!$B$17))</f>
        <v>0</v>
      </c>
      <c r="CC38" s="658">
        <f>IF(CC$6&gt;$L38,0,CB38*(1-'Interest Rate'!$B$17))</f>
        <v>0</v>
      </c>
      <c r="CD38" s="658">
        <f>IF(CD$6&gt;$L38,0,CC38*(1-'Interest Rate'!$B$17))</f>
        <v>0</v>
      </c>
      <c r="CE38" s="658">
        <f>IF(CE$6&gt;$L38,0,CD38*(1-'Interest Rate'!$B$17))</f>
        <v>0</v>
      </c>
      <c r="CF38" s="658">
        <f>IF(CF$6&gt;$L38,0,CE38*(1-'Interest Rate'!$B$17))</f>
        <v>0</v>
      </c>
      <c r="CG38" s="658">
        <f>IF(CG$6&gt;$L38,0,CF38*(1-'Interest Rate'!$B$17))</f>
        <v>0</v>
      </c>
      <c r="CH38" s="658">
        <f>IF(CH$6&gt;$L38,0,CG38*(1-'Interest Rate'!$B$17))</f>
        <v>0</v>
      </c>
      <c r="CI38" s="658">
        <f>IF(CI$6&gt;$L38,0,CH38*(1-'Interest Rate'!$B$17))</f>
        <v>0</v>
      </c>
      <c r="CJ38" s="658">
        <f>IF(CJ$6&gt;$L38,0,CI38*(1-'Interest Rate'!$B$17))</f>
        <v>0</v>
      </c>
      <c r="CK38" s="658">
        <f>IF(CK$6&gt;$L38,0,CJ38*(1-'Interest Rate'!$B$17))</f>
        <v>0</v>
      </c>
      <c r="CL38" s="658">
        <f>IF(CL$6&gt;$L38,0,CK38*(1-'Interest Rate'!$B$17))</f>
        <v>0</v>
      </c>
      <c r="CM38" s="658">
        <f>IF(CM$6&gt;$L38,0,CL38*(1-'Interest Rate'!$B$17))</f>
        <v>0</v>
      </c>
      <c r="CN38" s="658">
        <f>IF(CN$6&gt;$L38,0,CM38*(1-'Interest Rate'!$B$17))</f>
        <v>0</v>
      </c>
      <c r="CO38" s="658">
        <f>IF(CO$6&gt;$L38,0,CN38*(1-'Interest Rate'!$B$17))</f>
        <v>0</v>
      </c>
      <c r="CP38" s="658">
        <f>IF(CP$6&gt;$L38,0,CO38*(1-'Interest Rate'!$B$17))</f>
        <v>0</v>
      </c>
      <c r="CQ38" s="658">
        <f>IF(CQ$6&gt;$L38,0,CP38*(1-'Interest Rate'!$B$17))</f>
        <v>0</v>
      </c>
      <c r="CR38" s="658">
        <f>IF(CR$6&gt;$L38,0,CQ38*(1-'Interest Rate'!$B$17))</f>
        <v>0</v>
      </c>
      <c r="CS38" s="658">
        <f>IF(CS$6&gt;$L38,0,CR38*(1-'Interest Rate'!$B$17))</f>
        <v>0</v>
      </c>
      <c r="CT38" s="658">
        <f>IF(CT$6&gt;$L38,0,CS38*(1-'Interest Rate'!$B$17))</f>
        <v>0</v>
      </c>
      <c r="CU38" s="658">
        <f>IF(CU$6&gt;$L38,0,CT38*(1-'Interest Rate'!$B$17))</f>
        <v>0</v>
      </c>
      <c r="CV38" s="658">
        <f>IF(CV$6&gt;$L38,0,CU38*(1-'Interest Rate'!$B$17))</f>
        <v>0</v>
      </c>
      <c r="CW38" s="658">
        <f>IF(CW$6&gt;$L38,0,CV38*(1-'Interest Rate'!$B$17))</f>
        <v>0</v>
      </c>
      <c r="CX38" s="658">
        <f>IF(CX$6&gt;$L38,0,CW38*(1-'Interest Rate'!$B$17))</f>
        <v>0</v>
      </c>
      <c r="CY38" s="658">
        <f>IF(CY$6&gt;$L38,0,CX38*(1-'Interest Rate'!$B$17))</f>
        <v>0</v>
      </c>
      <c r="CZ38" s="658">
        <f>IF(CZ$6&gt;$L38,0,CY38*(1-'Interest Rate'!$B$17))</f>
        <v>0</v>
      </c>
      <c r="DA38" s="658">
        <f>IF(DA$6&gt;$L38,0,CZ38*(1-'Interest Rate'!$B$17))</f>
        <v>0</v>
      </c>
      <c r="DB38" s="658">
        <f>IF(DB$6&gt;$L38,0,DA38*(1-'Interest Rate'!$B$17))</f>
        <v>0</v>
      </c>
      <c r="DC38" s="658">
        <f>IF(DC$6&gt;$L38,0,DB38*(1-'Interest Rate'!$B$17))</f>
        <v>0</v>
      </c>
      <c r="DD38" s="658">
        <f>IF(DD$6&gt;$L38,0,DC38*(1-'Interest Rate'!$B$17))</f>
        <v>0</v>
      </c>
      <c r="DE38" s="658">
        <f>IF(DE$6&gt;$L38,0,DD38*(1-'Interest Rate'!$B$17))</f>
        <v>0</v>
      </c>
      <c r="DF38" s="658">
        <f>IF(DF$6&gt;$L38,0,DE38*(1-'Interest Rate'!$B$17))</f>
        <v>0</v>
      </c>
      <c r="DG38" s="658">
        <f>IF(DG$6&gt;$L38,0,DF38*(1-'Interest Rate'!$B$17))</f>
        <v>0</v>
      </c>
      <c r="DH38" s="658">
        <f>IF(DH$6&gt;$L38,0,DG38*(1-'Interest Rate'!$B$17))</f>
        <v>0</v>
      </c>
      <c r="DI38" s="658">
        <f>IF(DI$6&gt;$L38,0,DH38*(1-'Interest Rate'!$B$17))</f>
        <v>0</v>
      </c>
      <c r="DJ38" s="658">
        <f>IF(DJ$6&gt;$L38,0,DI38*(1-'Interest Rate'!$B$17))</f>
        <v>0</v>
      </c>
      <c r="DK38" s="658">
        <f>IF(DK$6&gt;$L38,0,DJ38*(1-'Interest Rate'!$B$17))</f>
        <v>0</v>
      </c>
      <c r="DL38" s="658">
        <f>IF(DL$6&gt;$L38,0,DK38*(1-'Interest Rate'!$B$17))</f>
        <v>0</v>
      </c>
      <c r="DM38" s="658">
        <f>IF(DM$6&gt;$L38,0,DL38*(1-'Interest Rate'!$B$17))</f>
        <v>0</v>
      </c>
      <c r="DN38" s="658">
        <f>IF(DN$6&gt;$L38,0,DM38*(1-'Interest Rate'!$B$17))</f>
        <v>0</v>
      </c>
      <c r="DO38" s="658">
        <f>IF(DO$6&gt;$L38,0,DN38*(1-'Interest Rate'!$B$17))</f>
        <v>0</v>
      </c>
      <c r="DP38" s="658">
        <f>IF(DP$6&gt;$L38,0,DO38*(1-'Interest Rate'!$B$17))</f>
        <v>0</v>
      </c>
      <c r="DQ38" s="658">
        <f>IF(DQ$6&gt;$L38,0,DP38*(1-'Interest Rate'!$B$17))</f>
        <v>0</v>
      </c>
      <c r="DR38" s="658">
        <f>IF(DR$6&gt;$L38,0,DQ38*(1-'Interest Rate'!$B$17))</f>
        <v>0</v>
      </c>
    </row>
    <row r="39" spans="1:122" ht="33" customHeight="1" x14ac:dyDescent="0.3">
      <c r="A39" s="696" t="str">
        <f>'EEM Data Entry'!A116</f>
        <v/>
      </c>
      <c r="B39" s="697" t="str">
        <f>IF('EEM Data Entry'!B116="  ","  ", 'EEM Data Entry'!B116)</f>
        <v/>
      </c>
      <c r="C39" s="671" t="str">
        <f>'EEM Data Entry'!F116</f>
        <v/>
      </c>
      <c r="D39" s="671">
        <v>0</v>
      </c>
      <c r="E39" s="671" t="e">
        <f t="shared" si="13"/>
        <v>#VALUE!</v>
      </c>
      <c r="F39" s="650">
        <f>('Cascading Savings'!D39*'Cascading Savings'!D$4)+('Cascading Savings'!F39*'Cascading Savings'!F$4)+('Cascading Savings'!H39*'Cascading Savings'!H$4)+('Cascading Savings'!J39*'Cascading Savings'!J$4)+('Cascading Savings'!L39*'Cascading Savings'!L$4)+('Cascading Savings'!N39*'Cascading Savings'!N$4)+('Cascading Savings'!P39*'Cascading Savings'!P$4)+('Cascading Savings'!R39*'Cascading Savings'!R$4)</f>
        <v>0</v>
      </c>
      <c r="G39" s="698">
        <f>'Cascading Savings'!T39</f>
        <v>0</v>
      </c>
      <c r="H39" s="672" t="e">
        <f t="shared" si="15"/>
        <v>#VALUE!</v>
      </c>
      <c r="I39" s="668" t="e">
        <f t="shared" si="14"/>
        <v>#VALUE!</v>
      </c>
      <c r="J39" s="654" t="e">
        <f t="shared" si="10"/>
        <v>#NUM!</v>
      </c>
      <c r="K39" s="674" t="e">
        <f>PV('Interest Rate'!$B$17,Table213[[#This Row],[Lifetime]],-Table213[[#This Row],[ANNUAL ENERGY COST SAVINGS]],Table213[[#This Row],[END-OF-LIFE]],0)-Table213[[#This Row],[CAPITAL INVESTMENT]]</f>
        <v>#VALUE!</v>
      </c>
      <c r="L39" s="687" t="str">
        <f>'EEM Data Entry'!C116</f>
        <v/>
      </c>
      <c r="M39" s="669" t="e">
        <f>Table213[[#This Row],[ANNUAL ENERGY COST SAVINGS]]/Table213[[#This Row],[CAPITAL INVESTMENT]]</f>
        <v>#VALUE!</v>
      </c>
      <c r="N39" s="623">
        <f>IF(ISNUMBER(Table213[[#This Row],[NPV]])=TRUE,Table213[[#This Row],[NPV]],0)</f>
        <v>0</v>
      </c>
      <c r="O39" s="802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39" s="568" t="str">
        <f>Table213[[#This Row],[Lifetime]]</f>
        <v/>
      </c>
      <c r="V39" s="657" t="str">
        <f t="shared" si="11"/>
        <v/>
      </c>
      <c r="W39" s="658">
        <f t="shared" si="12"/>
        <v>0</v>
      </c>
      <c r="X39" s="658">
        <f>IF(X$6&gt;$L39,0,W39*(1-'Interest Rate'!$B$17))</f>
        <v>0</v>
      </c>
      <c r="Y39" s="658">
        <f>IF(Y$6&gt;$L39,0,X39*(1-'Interest Rate'!$B$17))</f>
        <v>0</v>
      </c>
      <c r="Z39" s="658">
        <f>IF(Z$6&gt;$L39,0,Y39*(1-'Interest Rate'!$B$17))</f>
        <v>0</v>
      </c>
      <c r="AA39" s="658">
        <f>IF(AA$6&gt;$L39,0,Z39*(1-'Interest Rate'!$B$17))</f>
        <v>0</v>
      </c>
      <c r="AB39" s="658">
        <f>IF(AB$6&gt;$L39,0,AA39*(1-'Interest Rate'!$B$17))</f>
        <v>0</v>
      </c>
      <c r="AC39" s="658">
        <f>IF(AC$6&gt;$L39,0,AB39*(1-'Interest Rate'!$B$17))</f>
        <v>0</v>
      </c>
      <c r="AD39" s="658">
        <f>IF(AD$6&gt;$L39,0,AC39*(1-'Interest Rate'!$B$17))</f>
        <v>0</v>
      </c>
      <c r="AE39" s="658">
        <f>IF(AE$6&gt;$L39,0,AD39*(1-'Interest Rate'!$B$17))</f>
        <v>0</v>
      </c>
      <c r="AF39" s="658">
        <f>IF(AF$6&gt;$L39,0,AE39*(1-'Interest Rate'!$B$17))</f>
        <v>0</v>
      </c>
      <c r="AG39" s="658">
        <f>IF(AG$6&gt;$L39,0,AF39*(1-'Interest Rate'!$B$17))</f>
        <v>0</v>
      </c>
      <c r="AH39" s="658">
        <f>IF(AH$6&gt;$L39,0,AG39*(1-'Interest Rate'!$B$17))</f>
        <v>0</v>
      </c>
      <c r="AI39" s="658">
        <f>IF(AI$6&gt;$L39,0,AH39*(1-'Interest Rate'!$B$17))</f>
        <v>0</v>
      </c>
      <c r="AJ39" s="658">
        <f>IF(AJ$6&gt;$L39,0,AI39*(1-'Interest Rate'!$B$17))</f>
        <v>0</v>
      </c>
      <c r="AK39" s="658">
        <f>IF(AK$6&gt;$L39,0,AJ39*(1-'Interest Rate'!$B$17))</f>
        <v>0</v>
      </c>
      <c r="AL39" s="658">
        <f>IF(AL$6&gt;$L39,0,AK39*(1-'Interest Rate'!$B$17))</f>
        <v>0</v>
      </c>
      <c r="AM39" s="658">
        <f>IF(AM$6&gt;$L39,0,AL39*(1-'Interest Rate'!$B$17))</f>
        <v>0</v>
      </c>
      <c r="AN39" s="658">
        <f>IF(AN$6&gt;$L39,0,AM39*(1-'Interest Rate'!$B$17))</f>
        <v>0</v>
      </c>
      <c r="AO39" s="658">
        <f>IF(AO$6&gt;$L39,0,AN39*(1-'Interest Rate'!$B$17))</f>
        <v>0</v>
      </c>
      <c r="AP39" s="658">
        <f>IF(AP$6&gt;$L39,0,AO39*(1-'Interest Rate'!$B$17))</f>
        <v>0</v>
      </c>
      <c r="AQ39" s="658">
        <f>IF(AQ$6&gt;$L39,0,AP39*(1-'Interest Rate'!$B$17))</f>
        <v>0</v>
      </c>
      <c r="AR39" s="658">
        <f>IF(AR$6&gt;$L39,0,AQ39*(1-'Interest Rate'!$B$17))</f>
        <v>0</v>
      </c>
      <c r="AS39" s="658">
        <f>IF(AS$6&gt;$L39,0,AR39*(1-'Interest Rate'!$B$17))</f>
        <v>0</v>
      </c>
      <c r="AT39" s="658">
        <f>IF(AT$6&gt;$L39,0,AS39*(1-'Interest Rate'!$B$17))</f>
        <v>0</v>
      </c>
      <c r="AU39" s="658">
        <f>IF(AU$6&gt;$L39,0,AT39*(1-'Interest Rate'!$B$17))</f>
        <v>0</v>
      </c>
      <c r="AV39" s="658">
        <f>IF(AV$6&gt;$L39,0,AU39*(1-'Interest Rate'!$B$17))</f>
        <v>0</v>
      </c>
      <c r="AW39" s="658">
        <f>IF(AW$6&gt;$L39,0,AV39*(1-'Interest Rate'!$B$17))</f>
        <v>0</v>
      </c>
      <c r="AX39" s="658">
        <f>IF(AX$6&gt;$L39,0,AW39*(1-'Interest Rate'!$B$17))</f>
        <v>0</v>
      </c>
      <c r="AY39" s="658">
        <f>IF(AY$6&gt;$L39,0,AX39*(1-'Interest Rate'!$B$17))</f>
        <v>0</v>
      </c>
      <c r="AZ39" s="658">
        <f>IF(AZ$6&gt;$L39,0,AY39*(1-'Interest Rate'!$B$17))</f>
        <v>0</v>
      </c>
      <c r="BA39" s="658">
        <f>IF(BA$6&gt;$L39,0,AZ39*(1-'Interest Rate'!$B$17))</f>
        <v>0</v>
      </c>
      <c r="BB39" s="658">
        <f>IF(BB$6&gt;$L39,0,BA39*(1-'Interest Rate'!$B$17))</f>
        <v>0</v>
      </c>
      <c r="BC39" s="658">
        <f>IF(BC$6&gt;$L39,0,BB39*(1-'Interest Rate'!$B$17))</f>
        <v>0</v>
      </c>
      <c r="BD39" s="658">
        <f>IF(BD$6&gt;$L39,0,BC39*(1-'Interest Rate'!$B$17))</f>
        <v>0</v>
      </c>
      <c r="BE39" s="658">
        <f>IF(BE$6&gt;$L39,0,BD39*(1-'Interest Rate'!$B$17))</f>
        <v>0</v>
      </c>
      <c r="BF39" s="658">
        <f>IF(BF$6&gt;$L39,0,BE39*(1-'Interest Rate'!$B$17))</f>
        <v>0</v>
      </c>
      <c r="BG39" s="658">
        <f>IF(BG$6&gt;$L39,0,BF39*(1-'Interest Rate'!$B$17))</f>
        <v>0</v>
      </c>
      <c r="BH39" s="658">
        <f>IF(BH$6&gt;$L39,0,BG39*(1-'Interest Rate'!$B$17))</f>
        <v>0</v>
      </c>
      <c r="BI39" s="658">
        <f>IF(BI$6&gt;$L39,0,BH39*(1-'Interest Rate'!$B$17))</f>
        <v>0</v>
      </c>
      <c r="BJ39" s="658">
        <f>IF(BJ$6&gt;$L39,0,BI39*(1-'Interest Rate'!$B$17))</f>
        <v>0</v>
      </c>
      <c r="BK39" s="658">
        <f>IF(BK$6&gt;$L39,0,BJ39*(1-'Interest Rate'!$B$17))</f>
        <v>0</v>
      </c>
      <c r="BL39" s="658">
        <f>IF(BL$6&gt;$L39,0,BK39*(1-'Interest Rate'!$B$17))</f>
        <v>0</v>
      </c>
      <c r="BM39" s="658">
        <f>IF(BM$6&gt;$L39,0,BL39*(1-'Interest Rate'!$B$17))</f>
        <v>0</v>
      </c>
      <c r="BN39" s="658">
        <f>IF(BN$6&gt;$L39,0,BM39*(1-'Interest Rate'!$B$17))</f>
        <v>0</v>
      </c>
      <c r="BO39" s="658">
        <f>IF(BO$6&gt;$L39,0,BN39*(1-'Interest Rate'!$B$17))</f>
        <v>0</v>
      </c>
      <c r="BP39" s="658">
        <f>IF(BP$6&gt;$L39,0,BO39*(1-'Interest Rate'!$B$17))</f>
        <v>0</v>
      </c>
      <c r="BQ39" s="658">
        <f>IF(BQ$6&gt;$L39,0,BP39*(1-'Interest Rate'!$B$17))</f>
        <v>0</v>
      </c>
      <c r="BR39" s="658">
        <f>IF(BR$6&gt;$L39,0,BQ39*(1-'Interest Rate'!$B$17))</f>
        <v>0</v>
      </c>
      <c r="BS39" s="658">
        <f>IF(BS$6&gt;$L39,0,BR39*(1-'Interest Rate'!$B$17))</f>
        <v>0</v>
      </c>
      <c r="BT39" s="658">
        <f>IF(BT$6&gt;$L39,0,BS39*(1-'Interest Rate'!$B$17))</f>
        <v>0</v>
      </c>
      <c r="BU39" s="658">
        <f>IF(BU$6&gt;$L39,0,BT39*(1-'Interest Rate'!$B$17))</f>
        <v>0</v>
      </c>
      <c r="BV39" s="658">
        <f>IF(BV$6&gt;$L39,0,BU39*(1-'Interest Rate'!$B$17))</f>
        <v>0</v>
      </c>
      <c r="BW39" s="658">
        <f>IF(BW$6&gt;$L39,0,BV39*(1-'Interest Rate'!$B$17))</f>
        <v>0</v>
      </c>
      <c r="BX39" s="658">
        <f>IF(BX$6&gt;$L39,0,BW39*(1-'Interest Rate'!$B$17))</f>
        <v>0</v>
      </c>
      <c r="BY39" s="658">
        <f>IF(BY$6&gt;$L39,0,BX39*(1-'Interest Rate'!$B$17))</f>
        <v>0</v>
      </c>
      <c r="BZ39" s="658">
        <f>IF(BZ$6&gt;$L39,0,BY39*(1-'Interest Rate'!$B$17))</f>
        <v>0</v>
      </c>
      <c r="CA39" s="658">
        <f>IF(CA$6&gt;$L39,0,BZ39*(1-'Interest Rate'!$B$17))</f>
        <v>0</v>
      </c>
      <c r="CB39" s="658">
        <f>IF(CB$6&gt;$L39,0,CA39*(1-'Interest Rate'!$B$17))</f>
        <v>0</v>
      </c>
      <c r="CC39" s="658">
        <f>IF(CC$6&gt;$L39,0,CB39*(1-'Interest Rate'!$B$17))</f>
        <v>0</v>
      </c>
      <c r="CD39" s="658">
        <f>IF(CD$6&gt;$L39,0,CC39*(1-'Interest Rate'!$B$17))</f>
        <v>0</v>
      </c>
      <c r="CE39" s="658">
        <f>IF(CE$6&gt;$L39,0,CD39*(1-'Interest Rate'!$B$17))</f>
        <v>0</v>
      </c>
      <c r="CF39" s="658">
        <f>IF(CF$6&gt;$L39,0,CE39*(1-'Interest Rate'!$B$17))</f>
        <v>0</v>
      </c>
      <c r="CG39" s="658">
        <f>IF(CG$6&gt;$L39,0,CF39*(1-'Interest Rate'!$B$17))</f>
        <v>0</v>
      </c>
      <c r="CH39" s="658">
        <f>IF(CH$6&gt;$L39,0,CG39*(1-'Interest Rate'!$B$17))</f>
        <v>0</v>
      </c>
      <c r="CI39" s="658">
        <f>IF(CI$6&gt;$L39,0,CH39*(1-'Interest Rate'!$B$17))</f>
        <v>0</v>
      </c>
      <c r="CJ39" s="658">
        <f>IF(CJ$6&gt;$L39,0,CI39*(1-'Interest Rate'!$B$17))</f>
        <v>0</v>
      </c>
      <c r="CK39" s="658">
        <f>IF(CK$6&gt;$L39,0,CJ39*(1-'Interest Rate'!$B$17))</f>
        <v>0</v>
      </c>
      <c r="CL39" s="658">
        <f>IF(CL$6&gt;$L39,0,CK39*(1-'Interest Rate'!$B$17))</f>
        <v>0</v>
      </c>
      <c r="CM39" s="658">
        <f>IF(CM$6&gt;$L39,0,CL39*(1-'Interest Rate'!$B$17))</f>
        <v>0</v>
      </c>
      <c r="CN39" s="658">
        <f>IF(CN$6&gt;$L39,0,CM39*(1-'Interest Rate'!$B$17))</f>
        <v>0</v>
      </c>
      <c r="CO39" s="658">
        <f>IF(CO$6&gt;$L39,0,CN39*(1-'Interest Rate'!$B$17))</f>
        <v>0</v>
      </c>
      <c r="CP39" s="658">
        <f>IF(CP$6&gt;$L39,0,CO39*(1-'Interest Rate'!$B$17))</f>
        <v>0</v>
      </c>
      <c r="CQ39" s="658">
        <f>IF(CQ$6&gt;$L39,0,CP39*(1-'Interest Rate'!$B$17))</f>
        <v>0</v>
      </c>
      <c r="CR39" s="658">
        <f>IF(CR$6&gt;$L39,0,CQ39*(1-'Interest Rate'!$B$17))</f>
        <v>0</v>
      </c>
      <c r="CS39" s="658">
        <f>IF(CS$6&gt;$L39,0,CR39*(1-'Interest Rate'!$B$17))</f>
        <v>0</v>
      </c>
      <c r="CT39" s="658">
        <f>IF(CT$6&gt;$L39,0,CS39*(1-'Interest Rate'!$B$17))</f>
        <v>0</v>
      </c>
      <c r="CU39" s="658">
        <f>IF(CU$6&gt;$L39,0,CT39*(1-'Interest Rate'!$B$17))</f>
        <v>0</v>
      </c>
      <c r="CV39" s="658">
        <f>IF(CV$6&gt;$L39,0,CU39*(1-'Interest Rate'!$B$17))</f>
        <v>0</v>
      </c>
      <c r="CW39" s="658">
        <f>IF(CW$6&gt;$L39,0,CV39*(1-'Interest Rate'!$B$17))</f>
        <v>0</v>
      </c>
      <c r="CX39" s="658">
        <f>IF(CX$6&gt;$L39,0,CW39*(1-'Interest Rate'!$B$17))</f>
        <v>0</v>
      </c>
      <c r="CY39" s="658">
        <f>IF(CY$6&gt;$L39,0,CX39*(1-'Interest Rate'!$B$17))</f>
        <v>0</v>
      </c>
      <c r="CZ39" s="658">
        <f>IF(CZ$6&gt;$L39,0,CY39*(1-'Interest Rate'!$B$17))</f>
        <v>0</v>
      </c>
      <c r="DA39" s="658">
        <f>IF(DA$6&gt;$L39,0,CZ39*(1-'Interest Rate'!$B$17))</f>
        <v>0</v>
      </c>
      <c r="DB39" s="658">
        <f>IF(DB$6&gt;$L39,0,DA39*(1-'Interest Rate'!$B$17))</f>
        <v>0</v>
      </c>
      <c r="DC39" s="658">
        <f>IF(DC$6&gt;$L39,0,DB39*(1-'Interest Rate'!$B$17))</f>
        <v>0</v>
      </c>
      <c r="DD39" s="658">
        <f>IF(DD$6&gt;$L39,0,DC39*(1-'Interest Rate'!$B$17))</f>
        <v>0</v>
      </c>
      <c r="DE39" s="658">
        <f>IF(DE$6&gt;$L39,0,DD39*(1-'Interest Rate'!$B$17))</f>
        <v>0</v>
      </c>
      <c r="DF39" s="658">
        <f>IF(DF$6&gt;$L39,0,DE39*(1-'Interest Rate'!$B$17))</f>
        <v>0</v>
      </c>
      <c r="DG39" s="658">
        <f>IF(DG$6&gt;$L39,0,DF39*(1-'Interest Rate'!$B$17))</f>
        <v>0</v>
      </c>
      <c r="DH39" s="658">
        <f>IF(DH$6&gt;$L39,0,DG39*(1-'Interest Rate'!$B$17))</f>
        <v>0</v>
      </c>
      <c r="DI39" s="658">
        <f>IF(DI$6&gt;$L39,0,DH39*(1-'Interest Rate'!$B$17))</f>
        <v>0</v>
      </c>
      <c r="DJ39" s="658">
        <f>IF(DJ$6&gt;$L39,0,DI39*(1-'Interest Rate'!$B$17))</f>
        <v>0</v>
      </c>
      <c r="DK39" s="658">
        <f>IF(DK$6&gt;$L39,0,DJ39*(1-'Interest Rate'!$B$17))</f>
        <v>0</v>
      </c>
      <c r="DL39" s="658">
        <f>IF(DL$6&gt;$L39,0,DK39*(1-'Interest Rate'!$B$17))</f>
        <v>0</v>
      </c>
      <c r="DM39" s="658">
        <f>IF(DM$6&gt;$L39,0,DL39*(1-'Interest Rate'!$B$17))</f>
        <v>0</v>
      </c>
      <c r="DN39" s="658">
        <f>IF(DN$6&gt;$L39,0,DM39*(1-'Interest Rate'!$B$17))</f>
        <v>0</v>
      </c>
      <c r="DO39" s="658">
        <f>IF(DO$6&gt;$L39,0,DN39*(1-'Interest Rate'!$B$17))</f>
        <v>0</v>
      </c>
      <c r="DP39" s="658">
        <f>IF(DP$6&gt;$L39,0,DO39*(1-'Interest Rate'!$B$17))</f>
        <v>0</v>
      </c>
      <c r="DQ39" s="658">
        <f>IF(DQ$6&gt;$L39,0,DP39*(1-'Interest Rate'!$B$17))</f>
        <v>0</v>
      </c>
      <c r="DR39" s="658">
        <f>IF(DR$6&gt;$L39,0,DQ39*(1-'Interest Rate'!$B$17))</f>
        <v>0</v>
      </c>
    </row>
    <row r="40" spans="1:122" ht="33" customHeight="1" x14ac:dyDescent="0.3">
      <c r="A40" s="696" t="str">
        <f>'EEM Data Entry'!A117</f>
        <v/>
      </c>
      <c r="B40" s="697" t="str">
        <f>IF('EEM Data Entry'!B117="  ","  ", 'EEM Data Entry'!B117)</f>
        <v/>
      </c>
      <c r="C40" s="671" t="str">
        <f>'EEM Data Entry'!F117</f>
        <v/>
      </c>
      <c r="D40" s="671">
        <v>0</v>
      </c>
      <c r="E40" s="661" t="e">
        <f t="shared" si="13"/>
        <v>#VALUE!</v>
      </c>
      <c r="F40" s="662">
        <f>('Cascading Savings'!D40*'Cascading Savings'!D$4)+('Cascading Savings'!F40*'Cascading Savings'!F$4)+('Cascading Savings'!H40*'Cascading Savings'!H$4)+('Cascading Savings'!J40*'Cascading Savings'!J$4)+('Cascading Savings'!L40*'Cascading Savings'!L$4)+('Cascading Savings'!N40*'Cascading Savings'!N$4)+('Cascading Savings'!P40*'Cascading Savings'!P$4)+('Cascading Savings'!R40*'Cascading Savings'!R$4)</f>
        <v>0</v>
      </c>
      <c r="G40" s="698">
        <f>'Cascading Savings'!T40</f>
        <v>0</v>
      </c>
      <c r="H40" s="672" t="e">
        <f t="shared" si="15"/>
        <v>#VALUE!</v>
      </c>
      <c r="I40" s="668" t="e">
        <f t="shared" si="14"/>
        <v>#VALUE!</v>
      </c>
      <c r="J40" s="666" t="e">
        <f t="shared" si="10"/>
        <v>#NUM!</v>
      </c>
      <c r="K40" s="667" t="e">
        <f>PV('Interest Rate'!$B$17,Table213[[#This Row],[Lifetime]],-Table213[[#This Row],[ANNUAL ENERGY COST SAVINGS]],Table213[[#This Row],[END-OF-LIFE]],0)-Table213[[#This Row],[CAPITAL INVESTMENT]]</f>
        <v>#VALUE!</v>
      </c>
      <c r="L40" s="687" t="str">
        <f>'EEM Data Entry'!C117</f>
        <v/>
      </c>
      <c r="M40" s="676" t="e">
        <f>Table213[[#This Row],[ANNUAL ENERGY COST SAVINGS]]/Table213[[#This Row],[CAPITAL INVESTMENT]]</f>
        <v>#VALUE!</v>
      </c>
      <c r="N40" s="623">
        <f>IF(ISNUMBER(Table213[[#This Row],[NPV]])=TRUE,Table213[[#This Row],[NPV]],0)</f>
        <v>0</v>
      </c>
      <c r="O40" s="802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40" s="568" t="str">
        <f>Table213[[#This Row],[Lifetime]]</f>
        <v/>
      </c>
      <c r="V40" s="657" t="str">
        <f t="shared" si="11"/>
        <v/>
      </c>
      <c r="W40" s="658">
        <f t="shared" si="12"/>
        <v>0</v>
      </c>
      <c r="X40" s="658">
        <f>IF(X$6&gt;$L40,0,W40*(1-'Interest Rate'!$B$17))</f>
        <v>0</v>
      </c>
      <c r="Y40" s="658">
        <f>IF(Y$6&gt;$L40,0,X40*(1-'Interest Rate'!$B$17))</f>
        <v>0</v>
      </c>
      <c r="Z40" s="658">
        <f>IF(Z$6&gt;$L40,0,Y40*(1-'Interest Rate'!$B$17))</f>
        <v>0</v>
      </c>
      <c r="AA40" s="658">
        <f>IF(AA$6&gt;$L40,0,Z40*(1-'Interest Rate'!$B$17))</f>
        <v>0</v>
      </c>
      <c r="AB40" s="658">
        <f>IF(AB$6&gt;$L40,0,AA40*(1-'Interest Rate'!$B$17))</f>
        <v>0</v>
      </c>
      <c r="AC40" s="658">
        <f>IF(AC$6&gt;$L40,0,AB40*(1-'Interest Rate'!$B$17))</f>
        <v>0</v>
      </c>
      <c r="AD40" s="658">
        <f>IF(AD$6&gt;$L40,0,AC40*(1-'Interest Rate'!$B$17))</f>
        <v>0</v>
      </c>
      <c r="AE40" s="658">
        <f>IF(AE$6&gt;$L40,0,AD40*(1-'Interest Rate'!$B$17))</f>
        <v>0</v>
      </c>
      <c r="AF40" s="658">
        <f>IF(AF$6&gt;$L40,0,AE40*(1-'Interest Rate'!$B$17))</f>
        <v>0</v>
      </c>
      <c r="AG40" s="658">
        <f>IF(AG$6&gt;$L40,0,AF40*(1-'Interest Rate'!$B$17))</f>
        <v>0</v>
      </c>
      <c r="AH40" s="658">
        <f>IF(AH$6&gt;$L40,0,AG40*(1-'Interest Rate'!$B$17))</f>
        <v>0</v>
      </c>
      <c r="AI40" s="658">
        <f>IF(AI$6&gt;$L40,0,AH40*(1-'Interest Rate'!$B$17))</f>
        <v>0</v>
      </c>
      <c r="AJ40" s="658">
        <f>IF(AJ$6&gt;$L40,0,AI40*(1-'Interest Rate'!$B$17))</f>
        <v>0</v>
      </c>
      <c r="AK40" s="658">
        <f>IF(AK$6&gt;$L40,0,AJ40*(1-'Interest Rate'!$B$17))</f>
        <v>0</v>
      </c>
      <c r="AL40" s="658">
        <f>IF(AL$6&gt;$L40,0,AK40*(1-'Interest Rate'!$B$17))</f>
        <v>0</v>
      </c>
      <c r="AM40" s="658">
        <f>IF(AM$6&gt;$L40,0,AL40*(1-'Interest Rate'!$B$17))</f>
        <v>0</v>
      </c>
      <c r="AN40" s="658">
        <f>IF(AN$6&gt;$L40,0,AM40*(1-'Interest Rate'!$B$17))</f>
        <v>0</v>
      </c>
      <c r="AO40" s="658">
        <f>IF(AO$6&gt;$L40,0,AN40*(1-'Interest Rate'!$B$17))</f>
        <v>0</v>
      </c>
      <c r="AP40" s="658">
        <f>IF(AP$6&gt;$L40,0,AO40*(1-'Interest Rate'!$B$17))</f>
        <v>0</v>
      </c>
      <c r="AQ40" s="658">
        <f>IF(AQ$6&gt;$L40,0,AP40*(1-'Interest Rate'!$B$17))</f>
        <v>0</v>
      </c>
      <c r="AR40" s="658">
        <f>IF(AR$6&gt;$L40,0,AQ40*(1-'Interest Rate'!$B$17))</f>
        <v>0</v>
      </c>
      <c r="AS40" s="658">
        <f>IF(AS$6&gt;$L40,0,AR40*(1-'Interest Rate'!$B$17))</f>
        <v>0</v>
      </c>
      <c r="AT40" s="658">
        <f>IF(AT$6&gt;$L40,0,AS40*(1-'Interest Rate'!$B$17))</f>
        <v>0</v>
      </c>
      <c r="AU40" s="658">
        <f>IF(AU$6&gt;$L40,0,AT40*(1-'Interest Rate'!$B$17))</f>
        <v>0</v>
      </c>
      <c r="AV40" s="658">
        <f>IF(AV$6&gt;$L40,0,AU40*(1-'Interest Rate'!$B$17))</f>
        <v>0</v>
      </c>
      <c r="AW40" s="658">
        <f>IF(AW$6&gt;$L40,0,AV40*(1-'Interest Rate'!$B$17))</f>
        <v>0</v>
      </c>
      <c r="AX40" s="658">
        <f>IF(AX$6&gt;$L40,0,AW40*(1-'Interest Rate'!$B$17))</f>
        <v>0</v>
      </c>
      <c r="AY40" s="658">
        <f>IF(AY$6&gt;$L40,0,AX40*(1-'Interest Rate'!$B$17))</f>
        <v>0</v>
      </c>
      <c r="AZ40" s="658">
        <f>IF(AZ$6&gt;$L40,0,AY40*(1-'Interest Rate'!$B$17))</f>
        <v>0</v>
      </c>
      <c r="BA40" s="658">
        <f>IF(BA$6&gt;$L40,0,AZ40*(1-'Interest Rate'!$B$17))</f>
        <v>0</v>
      </c>
      <c r="BB40" s="658">
        <f>IF(BB$6&gt;$L40,0,BA40*(1-'Interest Rate'!$B$17))</f>
        <v>0</v>
      </c>
      <c r="BC40" s="658">
        <f>IF(BC$6&gt;$L40,0,BB40*(1-'Interest Rate'!$B$17))</f>
        <v>0</v>
      </c>
      <c r="BD40" s="658">
        <f>IF(BD$6&gt;$L40,0,BC40*(1-'Interest Rate'!$B$17))</f>
        <v>0</v>
      </c>
      <c r="BE40" s="658">
        <f>IF(BE$6&gt;$L40,0,BD40*(1-'Interest Rate'!$B$17))</f>
        <v>0</v>
      </c>
      <c r="BF40" s="658">
        <f>IF(BF$6&gt;$L40,0,BE40*(1-'Interest Rate'!$B$17))</f>
        <v>0</v>
      </c>
      <c r="BG40" s="658">
        <f>IF(BG$6&gt;$L40,0,BF40*(1-'Interest Rate'!$B$17))</f>
        <v>0</v>
      </c>
      <c r="BH40" s="658">
        <f>IF(BH$6&gt;$L40,0,BG40*(1-'Interest Rate'!$B$17))</f>
        <v>0</v>
      </c>
      <c r="BI40" s="658">
        <f>IF(BI$6&gt;$L40,0,BH40*(1-'Interest Rate'!$B$17))</f>
        <v>0</v>
      </c>
      <c r="BJ40" s="658">
        <f>IF(BJ$6&gt;$L40,0,BI40*(1-'Interest Rate'!$B$17))</f>
        <v>0</v>
      </c>
      <c r="BK40" s="658">
        <f>IF(BK$6&gt;$L40,0,BJ40*(1-'Interest Rate'!$B$17))</f>
        <v>0</v>
      </c>
      <c r="BL40" s="658">
        <f>IF(BL$6&gt;$L40,0,BK40*(1-'Interest Rate'!$B$17))</f>
        <v>0</v>
      </c>
      <c r="BM40" s="658">
        <f>IF(BM$6&gt;$L40,0,BL40*(1-'Interest Rate'!$B$17))</f>
        <v>0</v>
      </c>
      <c r="BN40" s="658">
        <f>IF(BN$6&gt;$L40,0,BM40*(1-'Interest Rate'!$B$17))</f>
        <v>0</v>
      </c>
      <c r="BO40" s="658">
        <f>IF(BO$6&gt;$L40,0,BN40*(1-'Interest Rate'!$B$17))</f>
        <v>0</v>
      </c>
      <c r="BP40" s="658">
        <f>IF(BP$6&gt;$L40,0,BO40*(1-'Interest Rate'!$B$17))</f>
        <v>0</v>
      </c>
      <c r="BQ40" s="658">
        <f>IF(BQ$6&gt;$L40,0,BP40*(1-'Interest Rate'!$B$17))</f>
        <v>0</v>
      </c>
      <c r="BR40" s="658">
        <f>IF(BR$6&gt;$L40,0,BQ40*(1-'Interest Rate'!$B$17))</f>
        <v>0</v>
      </c>
      <c r="BS40" s="658">
        <f>IF(BS$6&gt;$L40,0,BR40*(1-'Interest Rate'!$B$17))</f>
        <v>0</v>
      </c>
      <c r="BT40" s="658">
        <f>IF(BT$6&gt;$L40,0,BS40*(1-'Interest Rate'!$B$17))</f>
        <v>0</v>
      </c>
      <c r="BU40" s="658">
        <f>IF(BU$6&gt;$L40,0,BT40*(1-'Interest Rate'!$B$17))</f>
        <v>0</v>
      </c>
      <c r="BV40" s="658">
        <f>IF(BV$6&gt;$L40,0,BU40*(1-'Interest Rate'!$B$17))</f>
        <v>0</v>
      </c>
      <c r="BW40" s="658">
        <f>IF(BW$6&gt;$L40,0,BV40*(1-'Interest Rate'!$B$17))</f>
        <v>0</v>
      </c>
      <c r="BX40" s="658">
        <f>IF(BX$6&gt;$L40,0,BW40*(1-'Interest Rate'!$B$17))</f>
        <v>0</v>
      </c>
      <c r="BY40" s="658">
        <f>IF(BY$6&gt;$L40,0,BX40*(1-'Interest Rate'!$B$17))</f>
        <v>0</v>
      </c>
      <c r="BZ40" s="658">
        <f>IF(BZ$6&gt;$L40,0,BY40*(1-'Interest Rate'!$B$17))</f>
        <v>0</v>
      </c>
      <c r="CA40" s="658">
        <f>IF(CA$6&gt;$L40,0,BZ40*(1-'Interest Rate'!$B$17))</f>
        <v>0</v>
      </c>
      <c r="CB40" s="658">
        <f>IF(CB$6&gt;$L40,0,CA40*(1-'Interest Rate'!$B$17))</f>
        <v>0</v>
      </c>
      <c r="CC40" s="658">
        <f>IF(CC$6&gt;$L40,0,CB40*(1-'Interest Rate'!$B$17))</f>
        <v>0</v>
      </c>
      <c r="CD40" s="658">
        <f>IF(CD$6&gt;$L40,0,CC40*(1-'Interest Rate'!$B$17))</f>
        <v>0</v>
      </c>
      <c r="CE40" s="658">
        <f>IF(CE$6&gt;$L40,0,CD40*(1-'Interest Rate'!$B$17))</f>
        <v>0</v>
      </c>
      <c r="CF40" s="658">
        <f>IF(CF$6&gt;$L40,0,CE40*(1-'Interest Rate'!$B$17))</f>
        <v>0</v>
      </c>
      <c r="CG40" s="658">
        <f>IF(CG$6&gt;$L40,0,CF40*(1-'Interest Rate'!$B$17))</f>
        <v>0</v>
      </c>
      <c r="CH40" s="658">
        <f>IF(CH$6&gt;$L40,0,CG40*(1-'Interest Rate'!$B$17))</f>
        <v>0</v>
      </c>
      <c r="CI40" s="658">
        <f>IF(CI$6&gt;$L40,0,CH40*(1-'Interest Rate'!$B$17))</f>
        <v>0</v>
      </c>
      <c r="CJ40" s="658">
        <f>IF(CJ$6&gt;$L40,0,CI40*(1-'Interest Rate'!$B$17))</f>
        <v>0</v>
      </c>
      <c r="CK40" s="658">
        <f>IF(CK$6&gt;$L40,0,CJ40*(1-'Interest Rate'!$B$17))</f>
        <v>0</v>
      </c>
      <c r="CL40" s="658">
        <f>IF(CL$6&gt;$L40,0,CK40*(1-'Interest Rate'!$B$17))</f>
        <v>0</v>
      </c>
      <c r="CM40" s="658">
        <f>IF(CM$6&gt;$L40,0,CL40*(1-'Interest Rate'!$B$17))</f>
        <v>0</v>
      </c>
      <c r="CN40" s="658">
        <f>IF(CN$6&gt;$L40,0,CM40*(1-'Interest Rate'!$B$17))</f>
        <v>0</v>
      </c>
      <c r="CO40" s="658">
        <f>IF(CO$6&gt;$L40,0,CN40*(1-'Interest Rate'!$B$17))</f>
        <v>0</v>
      </c>
      <c r="CP40" s="658">
        <f>IF(CP$6&gt;$L40,0,CO40*(1-'Interest Rate'!$B$17))</f>
        <v>0</v>
      </c>
      <c r="CQ40" s="658">
        <f>IF(CQ$6&gt;$L40,0,CP40*(1-'Interest Rate'!$B$17))</f>
        <v>0</v>
      </c>
      <c r="CR40" s="658">
        <f>IF(CR$6&gt;$L40,0,CQ40*(1-'Interest Rate'!$B$17))</f>
        <v>0</v>
      </c>
      <c r="CS40" s="658">
        <f>IF(CS$6&gt;$L40,0,CR40*(1-'Interest Rate'!$B$17))</f>
        <v>0</v>
      </c>
      <c r="CT40" s="658">
        <f>IF(CT$6&gt;$L40,0,CS40*(1-'Interest Rate'!$B$17))</f>
        <v>0</v>
      </c>
      <c r="CU40" s="658">
        <f>IF(CU$6&gt;$L40,0,CT40*(1-'Interest Rate'!$B$17))</f>
        <v>0</v>
      </c>
      <c r="CV40" s="658">
        <f>IF(CV$6&gt;$L40,0,CU40*(1-'Interest Rate'!$B$17))</f>
        <v>0</v>
      </c>
      <c r="CW40" s="658">
        <f>IF(CW$6&gt;$L40,0,CV40*(1-'Interest Rate'!$B$17))</f>
        <v>0</v>
      </c>
      <c r="CX40" s="658">
        <f>IF(CX$6&gt;$L40,0,CW40*(1-'Interest Rate'!$B$17))</f>
        <v>0</v>
      </c>
      <c r="CY40" s="658">
        <f>IF(CY$6&gt;$L40,0,CX40*(1-'Interest Rate'!$B$17))</f>
        <v>0</v>
      </c>
      <c r="CZ40" s="658">
        <f>IF(CZ$6&gt;$L40,0,CY40*(1-'Interest Rate'!$B$17))</f>
        <v>0</v>
      </c>
      <c r="DA40" s="658">
        <f>IF(DA$6&gt;$L40,0,CZ40*(1-'Interest Rate'!$B$17))</f>
        <v>0</v>
      </c>
      <c r="DB40" s="658">
        <f>IF(DB$6&gt;$L40,0,DA40*(1-'Interest Rate'!$B$17))</f>
        <v>0</v>
      </c>
      <c r="DC40" s="658">
        <f>IF(DC$6&gt;$L40,0,DB40*(1-'Interest Rate'!$B$17))</f>
        <v>0</v>
      </c>
      <c r="DD40" s="658">
        <f>IF(DD$6&gt;$L40,0,DC40*(1-'Interest Rate'!$B$17))</f>
        <v>0</v>
      </c>
      <c r="DE40" s="658">
        <f>IF(DE$6&gt;$L40,0,DD40*(1-'Interest Rate'!$B$17))</f>
        <v>0</v>
      </c>
      <c r="DF40" s="658">
        <f>IF(DF$6&gt;$L40,0,DE40*(1-'Interest Rate'!$B$17))</f>
        <v>0</v>
      </c>
      <c r="DG40" s="658">
        <f>IF(DG$6&gt;$L40,0,DF40*(1-'Interest Rate'!$B$17))</f>
        <v>0</v>
      </c>
      <c r="DH40" s="658">
        <f>IF(DH$6&gt;$L40,0,DG40*(1-'Interest Rate'!$B$17))</f>
        <v>0</v>
      </c>
      <c r="DI40" s="658">
        <f>IF(DI$6&gt;$L40,0,DH40*(1-'Interest Rate'!$B$17))</f>
        <v>0</v>
      </c>
      <c r="DJ40" s="658">
        <f>IF(DJ$6&gt;$L40,0,DI40*(1-'Interest Rate'!$B$17))</f>
        <v>0</v>
      </c>
      <c r="DK40" s="658">
        <f>IF(DK$6&gt;$L40,0,DJ40*(1-'Interest Rate'!$B$17))</f>
        <v>0</v>
      </c>
      <c r="DL40" s="658">
        <f>IF(DL$6&gt;$L40,0,DK40*(1-'Interest Rate'!$B$17))</f>
        <v>0</v>
      </c>
      <c r="DM40" s="658">
        <f>IF(DM$6&gt;$L40,0,DL40*(1-'Interest Rate'!$B$17))</f>
        <v>0</v>
      </c>
      <c r="DN40" s="658">
        <f>IF(DN$6&gt;$L40,0,DM40*(1-'Interest Rate'!$B$17))</f>
        <v>0</v>
      </c>
      <c r="DO40" s="658">
        <f>IF(DO$6&gt;$L40,0,DN40*(1-'Interest Rate'!$B$17))</f>
        <v>0</v>
      </c>
      <c r="DP40" s="658">
        <f>IF(DP$6&gt;$L40,0,DO40*(1-'Interest Rate'!$B$17))</f>
        <v>0</v>
      </c>
      <c r="DQ40" s="658">
        <f>IF(DQ$6&gt;$L40,0,DP40*(1-'Interest Rate'!$B$17))</f>
        <v>0</v>
      </c>
      <c r="DR40" s="658">
        <f>IF(DR$6&gt;$L40,0,DQ40*(1-'Interest Rate'!$B$17))</f>
        <v>0</v>
      </c>
    </row>
    <row r="41" spans="1:122" ht="33" customHeight="1" x14ac:dyDescent="0.3">
      <c r="A41" s="696" t="str">
        <f>'EEM Data Entry'!A118</f>
        <v/>
      </c>
      <c r="B41" s="697" t="str">
        <f>IF('EEM Data Entry'!B118="  ","  ", 'EEM Data Entry'!B118)</f>
        <v/>
      </c>
      <c r="C41" s="671" t="str">
        <f>'EEM Data Entry'!F118</f>
        <v/>
      </c>
      <c r="D41" s="671">
        <v>0</v>
      </c>
      <c r="E41" s="671" t="e">
        <f t="shared" si="13"/>
        <v>#VALUE!</v>
      </c>
      <c r="F41" s="650">
        <f>('Cascading Savings'!D41*'Cascading Savings'!D$4)+('Cascading Savings'!F41*'Cascading Savings'!F$4)+('Cascading Savings'!H41*'Cascading Savings'!H$4)+('Cascading Savings'!J41*'Cascading Savings'!J$4)+('Cascading Savings'!L41*'Cascading Savings'!L$4)+('Cascading Savings'!N41*'Cascading Savings'!N$4)+('Cascading Savings'!P41*'Cascading Savings'!P$4)+('Cascading Savings'!R41*'Cascading Savings'!R$4)</f>
        <v>0</v>
      </c>
      <c r="G41" s="698">
        <f>'Cascading Savings'!T41</f>
        <v>0</v>
      </c>
      <c r="H41" s="672" t="e">
        <f t="shared" si="15"/>
        <v>#VALUE!</v>
      </c>
      <c r="I41" s="668" t="e">
        <f t="shared" si="14"/>
        <v>#VALUE!</v>
      </c>
      <c r="J41" s="654" t="e">
        <f t="shared" si="10"/>
        <v>#NUM!</v>
      </c>
      <c r="K41" s="674" t="e">
        <f>PV('Interest Rate'!$B$17,Table213[[#This Row],[Lifetime]],-Table213[[#This Row],[ANNUAL ENERGY COST SAVINGS]],Table213[[#This Row],[END-OF-LIFE]],0)-Table213[[#This Row],[CAPITAL INVESTMENT]]</f>
        <v>#VALUE!</v>
      </c>
      <c r="L41" s="687" t="str">
        <f>'EEM Data Entry'!C118</f>
        <v/>
      </c>
      <c r="M41" s="669" t="e">
        <f>Table213[[#This Row],[ANNUAL ENERGY COST SAVINGS]]/Table213[[#This Row],[CAPITAL INVESTMENT]]</f>
        <v>#VALUE!</v>
      </c>
      <c r="N41" s="623">
        <f>IF(ISNUMBER(Table213[[#This Row],[NPV]])=TRUE,Table213[[#This Row],[NPV]],0)</f>
        <v>0</v>
      </c>
      <c r="O41" s="802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41" s="568" t="str">
        <f>Table213[[#This Row],[Lifetime]]</f>
        <v/>
      </c>
      <c r="V41" s="657" t="str">
        <f t="shared" si="11"/>
        <v/>
      </c>
      <c r="W41" s="658">
        <f t="shared" si="12"/>
        <v>0</v>
      </c>
      <c r="X41" s="658">
        <f>IF(X$6&gt;$L41,0,W41*(1-'Interest Rate'!$B$17))</f>
        <v>0</v>
      </c>
      <c r="Y41" s="658">
        <f>IF(Y$6&gt;$L41,0,X41*(1-'Interest Rate'!$B$17))</f>
        <v>0</v>
      </c>
      <c r="Z41" s="658">
        <f>IF(Z$6&gt;$L41,0,Y41*(1-'Interest Rate'!$B$17))</f>
        <v>0</v>
      </c>
      <c r="AA41" s="658">
        <f>IF(AA$6&gt;$L41,0,Z41*(1-'Interest Rate'!$B$17))</f>
        <v>0</v>
      </c>
      <c r="AB41" s="658">
        <f>IF(AB$6&gt;$L41,0,AA41*(1-'Interest Rate'!$B$17))</f>
        <v>0</v>
      </c>
      <c r="AC41" s="658">
        <f>IF(AC$6&gt;$L41,0,AB41*(1-'Interest Rate'!$B$17))</f>
        <v>0</v>
      </c>
      <c r="AD41" s="658">
        <f>IF(AD$6&gt;$L41,0,AC41*(1-'Interest Rate'!$B$17))</f>
        <v>0</v>
      </c>
      <c r="AE41" s="658">
        <f>IF(AE$6&gt;$L41,0,AD41*(1-'Interest Rate'!$B$17))</f>
        <v>0</v>
      </c>
      <c r="AF41" s="658">
        <f>IF(AF$6&gt;$L41,0,AE41*(1-'Interest Rate'!$B$17))</f>
        <v>0</v>
      </c>
      <c r="AG41" s="658">
        <f>IF(AG$6&gt;$L41,0,AF41*(1-'Interest Rate'!$B$17))</f>
        <v>0</v>
      </c>
      <c r="AH41" s="658">
        <f>IF(AH$6&gt;$L41,0,AG41*(1-'Interest Rate'!$B$17))</f>
        <v>0</v>
      </c>
      <c r="AI41" s="658">
        <f>IF(AI$6&gt;$L41,0,AH41*(1-'Interest Rate'!$B$17))</f>
        <v>0</v>
      </c>
      <c r="AJ41" s="658">
        <f>IF(AJ$6&gt;$L41,0,AI41*(1-'Interest Rate'!$B$17))</f>
        <v>0</v>
      </c>
      <c r="AK41" s="658">
        <f>IF(AK$6&gt;$L41,0,AJ41*(1-'Interest Rate'!$B$17))</f>
        <v>0</v>
      </c>
      <c r="AL41" s="658">
        <f>IF(AL$6&gt;$L41,0,AK41*(1-'Interest Rate'!$B$17))</f>
        <v>0</v>
      </c>
      <c r="AM41" s="658">
        <f>IF(AM$6&gt;$L41,0,AL41*(1-'Interest Rate'!$B$17))</f>
        <v>0</v>
      </c>
      <c r="AN41" s="658">
        <f>IF(AN$6&gt;$L41,0,AM41*(1-'Interest Rate'!$B$17))</f>
        <v>0</v>
      </c>
      <c r="AO41" s="658">
        <f>IF(AO$6&gt;$L41,0,AN41*(1-'Interest Rate'!$B$17))</f>
        <v>0</v>
      </c>
      <c r="AP41" s="658">
        <f>IF(AP$6&gt;$L41,0,AO41*(1-'Interest Rate'!$B$17))</f>
        <v>0</v>
      </c>
      <c r="AQ41" s="658">
        <f>IF(AQ$6&gt;$L41,0,AP41*(1-'Interest Rate'!$B$17))</f>
        <v>0</v>
      </c>
      <c r="AR41" s="658">
        <f>IF(AR$6&gt;$L41,0,AQ41*(1-'Interest Rate'!$B$17))</f>
        <v>0</v>
      </c>
      <c r="AS41" s="658">
        <f>IF(AS$6&gt;$L41,0,AR41*(1-'Interest Rate'!$B$17))</f>
        <v>0</v>
      </c>
      <c r="AT41" s="658">
        <f>IF(AT$6&gt;$L41,0,AS41*(1-'Interest Rate'!$B$17))</f>
        <v>0</v>
      </c>
      <c r="AU41" s="658">
        <f>IF(AU$6&gt;$L41,0,AT41*(1-'Interest Rate'!$B$17))</f>
        <v>0</v>
      </c>
      <c r="AV41" s="658">
        <f>IF(AV$6&gt;$L41,0,AU41*(1-'Interest Rate'!$B$17))</f>
        <v>0</v>
      </c>
      <c r="AW41" s="658">
        <f>IF(AW$6&gt;$L41,0,AV41*(1-'Interest Rate'!$B$17))</f>
        <v>0</v>
      </c>
      <c r="AX41" s="658">
        <f>IF(AX$6&gt;$L41,0,AW41*(1-'Interest Rate'!$B$17))</f>
        <v>0</v>
      </c>
      <c r="AY41" s="658">
        <f>IF(AY$6&gt;$L41,0,AX41*(1-'Interest Rate'!$B$17))</f>
        <v>0</v>
      </c>
      <c r="AZ41" s="658">
        <f>IF(AZ$6&gt;$L41,0,AY41*(1-'Interest Rate'!$B$17))</f>
        <v>0</v>
      </c>
      <c r="BA41" s="658">
        <f>IF(BA$6&gt;$L41,0,AZ41*(1-'Interest Rate'!$B$17))</f>
        <v>0</v>
      </c>
      <c r="BB41" s="658">
        <f>IF(BB$6&gt;$L41,0,BA41*(1-'Interest Rate'!$B$17))</f>
        <v>0</v>
      </c>
      <c r="BC41" s="658">
        <f>IF(BC$6&gt;$L41,0,BB41*(1-'Interest Rate'!$B$17))</f>
        <v>0</v>
      </c>
      <c r="BD41" s="658">
        <f>IF(BD$6&gt;$L41,0,BC41*(1-'Interest Rate'!$B$17))</f>
        <v>0</v>
      </c>
      <c r="BE41" s="658">
        <f>IF(BE$6&gt;$L41,0,BD41*(1-'Interest Rate'!$B$17))</f>
        <v>0</v>
      </c>
      <c r="BF41" s="658">
        <f>IF(BF$6&gt;$L41,0,BE41*(1-'Interest Rate'!$B$17))</f>
        <v>0</v>
      </c>
      <c r="BG41" s="658">
        <f>IF(BG$6&gt;$L41,0,BF41*(1-'Interest Rate'!$B$17))</f>
        <v>0</v>
      </c>
      <c r="BH41" s="658">
        <f>IF(BH$6&gt;$L41,0,BG41*(1-'Interest Rate'!$B$17))</f>
        <v>0</v>
      </c>
      <c r="BI41" s="658">
        <f>IF(BI$6&gt;$L41,0,BH41*(1-'Interest Rate'!$B$17))</f>
        <v>0</v>
      </c>
      <c r="BJ41" s="658">
        <f>IF(BJ$6&gt;$L41,0,BI41*(1-'Interest Rate'!$B$17))</f>
        <v>0</v>
      </c>
      <c r="BK41" s="658">
        <f>IF(BK$6&gt;$L41,0,BJ41*(1-'Interest Rate'!$B$17))</f>
        <v>0</v>
      </c>
      <c r="BL41" s="658">
        <f>IF(BL$6&gt;$L41,0,BK41*(1-'Interest Rate'!$B$17))</f>
        <v>0</v>
      </c>
      <c r="BM41" s="658">
        <f>IF(BM$6&gt;$L41,0,BL41*(1-'Interest Rate'!$B$17))</f>
        <v>0</v>
      </c>
      <c r="BN41" s="658">
        <f>IF(BN$6&gt;$L41,0,BM41*(1-'Interest Rate'!$B$17))</f>
        <v>0</v>
      </c>
      <c r="BO41" s="658">
        <f>IF(BO$6&gt;$L41,0,BN41*(1-'Interest Rate'!$B$17))</f>
        <v>0</v>
      </c>
      <c r="BP41" s="658">
        <f>IF(BP$6&gt;$L41,0,BO41*(1-'Interest Rate'!$B$17))</f>
        <v>0</v>
      </c>
      <c r="BQ41" s="658">
        <f>IF(BQ$6&gt;$L41,0,BP41*(1-'Interest Rate'!$B$17))</f>
        <v>0</v>
      </c>
      <c r="BR41" s="658">
        <f>IF(BR$6&gt;$L41,0,BQ41*(1-'Interest Rate'!$B$17))</f>
        <v>0</v>
      </c>
      <c r="BS41" s="658">
        <f>IF(BS$6&gt;$L41,0,BR41*(1-'Interest Rate'!$B$17))</f>
        <v>0</v>
      </c>
      <c r="BT41" s="658">
        <f>IF(BT$6&gt;$L41,0,BS41*(1-'Interest Rate'!$B$17))</f>
        <v>0</v>
      </c>
      <c r="BU41" s="658">
        <f>IF(BU$6&gt;$L41,0,BT41*(1-'Interest Rate'!$B$17))</f>
        <v>0</v>
      </c>
      <c r="BV41" s="658">
        <f>IF(BV$6&gt;$L41,0,BU41*(1-'Interest Rate'!$B$17))</f>
        <v>0</v>
      </c>
      <c r="BW41" s="658">
        <f>IF(BW$6&gt;$L41,0,BV41*(1-'Interest Rate'!$B$17))</f>
        <v>0</v>
      </c>
      <c r="BX41" s="658">
        <f>IF(BX$6&gt;$L41,0,BW41*(1-'Interest Rate'!$B$17))</f>
        <v>0</v>
      </c>
      <c r="BY41" s="658">
        <f>IF(BY$6&gt;$L41,0,BX41*(1-'Interest Rate'!$B$17))</f>
        <v>0</v>
      </c>
      <c r="BZ41" s="658">
        <f>IF(BZ$6&gt;$L41,0,BY41*(1-'Interest Rate'!$B$17))</f>
        <v>0</v>
      </c>
      <c r="CA41" s="658">
        <f>IF(CA$6&gt;$L41,0,BZ41*(1-'Interest Rate'!$B$17))</f>
        <v>0</v>
      </c>
      <c r="CB41" s="658">
        <f>IF(CB$6&gt;$L41,0,CA41*(1-'Interest Rate'!$B$17))</f>
        <v>0</v>
      </c>
      <c r="CC41" s="658">
        <f>IF(CC$6&gt;$L41,0,CB41*(1-'Interest Rate'!$B$17))</f>
        <v>0</v>
      </c>
      <c r="CD41" s="658">
        <f>IF(CD$6&gt;$L41,0,CC41*(1-'Interest Rate'!$B$17))</f>
        <v>0</v>
      </c>
      <c r="CE41" s="658">
        <f>IF(CE$6&gt;$L41,0,CD41*(1-'Interest Rate'!$B$17))</f>
        <v>0</v>
      </c>
      <c r="CF41" s="658">
        <f>IF(CF$6&gt;$L41,0,CE41*(1-'Interest Rate'!$B$17))</f>
        <v>0</v>
      </c>
      <c r="CG41" s="658">
        <f>IF(CG$6&gt;$L41,0,CF41*(1-'Interest Rate'!$B$17))</f>
        <v>0</v>
      </c>
      <c r="CH41" s="658">
        <f>IF(CH$6&gt;$L41,0,CG41*(1-'Interest Rate'!$B$17))</f>
        <v>0</v>
      </c>
      <c r="CI41" s="658">
        <f>IF(CI$6&gt;$L41,0,CH41*(1-'Interest Rate'!$B$17))</f>
        <v>0</v>
      </c>
      <c r="CJ41" s="658">
        <f>IF(CJ$6&gt;$L41,0,CI41*(1-'Interest Rate'!$B$17))</f>
        <v>0</v>
      </c>
      <c r="CK41" s="658">
        <f>IF(CK$6&gt;$L41,0,CJ41*(1-'Interest Rate'!$B$17))</f>
        <v>0</v>
      </c>
      <c r="CL41" s="658">
        <f>IF(CL$6&gt;$L41,0,CK41*(1-'Interest Rate'!$B$17))</f>
        <v>0</v>
      </c>
      <c r="CM41" s="658">
        <f>IF(CM$6&gt;$L41,0,CL41*(1-'Interest Rate'!$B$17))</f>
        <v>0</v>
      </c>
      <c r="CN41" s="658">
        <f>IF(CN$6&gt;$L41,0,CM41*(1-'Interest Rate'!$B$17))</f>
        <v>0</v>
      </c>
      <c r="CO41" s="658">
        <f>IF(CO$6&gt;$L41,0,CN41*(1-'Interest Rate'!$B$17))</f>
        <v>0</v>
      </c>
      <c r="CP41" s="658">
        <f>IF(CP$6&gt;$L41,0,CO41*(1-'Interest Rate'!$B$17))</f>
        <v>0</v>
      </c>
      <c r="CQ41" s="658">
        <f>IF(CQ$6&gt;$L41,0,CP41*(1-'Interest Rate'!$B$17))</f>
        <v>0</v>
      </c>
      <c r="CR41" s="658">
        <f>IF(CR$6&gt;$L41,0,CQ41*(1-'Interest Rate'!$B$17))</f>
        <v>0</v>
      </c>
      <c r="CS41" s="658">
        <f>IF(CS$6&gt;$L41,0,CR41*(1-'Interest Rate'!$B$17))</f>
        <v>0</v>
      </c>
      <c r="CT41" s="658">
        <f>IF(CT$6&gt;$L41,0,CS41*(1-'Interest Rate'!$B$17))</f>
        <v>0</v>
      </c>
      <c r="CU41" s="658">
        <f>IF(CU$6&gt;$L41,0,CT41*(1-'Interest Rate'!$B$17))</f>
        <v>0</v>
      </c>
      <c r="CV41" s="658">
        <f>IF(CV$6&gt;$L41,0,CU41*(1-'Interest Rate'!$B$17))</f>
        <v>0</v>
      </c>
      <c r="CW41" s="658">
        <f>IF(CW$6&gt;$L41,0,CV41*(1-'Interest Rate'!$B$17))</f>
        <v>0</v>
      </c>
      <c r="CX41" s="658">
        <f>IF(CX$6&gt;$L41,0,CW41*(1-'Interest Rate'!$B$17))</f>
        <v>0</v>
      </c>
      <c r="CY41" s="658">
        <f>IF(CY$6&gt;$L41,0,CX41*(1-'Interest Rate'!$B$17))</f>
        <v>0</v>
      </c>
      <c r="CZ41" s="658">
        <f>IF(CZ$6&gt;$L41,0,CY41*(1-'Interest Rate'!$B$17))</f>
        <v>0</v>
      </c>
      <c r="DA41" s="658">
        <f>IF(DA$6&gt;$L41,0,CZ41*(1-'Interest Rate'!$B$17))</f>
        <v>0</v>
      </c>
      <c r="DB41" s="658">
        <f>IF(DB$6&gt;$L41,0,DA41*(1-'Interest Rate'!$B$17))</f>
        <v>0</v>
      </c>
      <c r="DC41" s="658">
        <f>IF(DC$6&gt;$L41,0,DB41*(1-'Interest Rate'!$B$17))</f>
        <v>0</v>
      </c>
      <c r="DD41" s="658">
        <f>IF(DD$6&gt;$L41,0,DC41*(1-'Interest Rate'!$B$17))</f>
        <v>0</v>
      </c>
      <c r="DE41" s="658">
        <f>IF(DE$6&gt;$L41,0,DD41*(1-'Interest Rate'!$B$17))</f>
        <v>0</v>
      </c>
      <c r="DF41" s="658">
        <f>IF(DF$6&gt;$L41,0,DE41*(1-'Interest Rate'!$B$17))</f>
        <v>0</v>
      </c>
      <c r="DG41" s="658">
        <f>IF(DG$6&gt;$L41,0,DF41*(1-'Interest Rate'!$B$17))</f>
        <v>0</v>
      </c>
      <c r="DH41" s="658">
        <f>IF(DH$6&gt;$L41,0,DG41*(1-'Interest Rate'!$B$17))</f>
        <v>0</v>
      </c>
      <c r="DI41" s="658">
        <f>IF(DI$6&gt;$L41,0,DH41*(1-'Interest Rate'!$B$17))</f>
        <v>0</v>
      </c>
      <c r="DJ41" s="658">
        <f>IF(DJ$6&gt;$L41,0,DI41*(1-'Interest Rate'!$B$17))</f>
        <v>0</v>
      </c>
      <c r="DK41" s="658">
        <f>IF(DK$6&gt;$L41,0,DJ41*(1-'Interest Rate'!$B$17))</f>
        <v>0</v>
      </c>
      <c r="DL41" s="658">
        <f>IF(DL$6&gt;$L41,0,DK41*(1-'Interest Rate'!$B$17))</f>
        <v>0</v>
      </c>
      <c r="DM41" s="658">
        <f>IF(DM$6&gt;$L41,0,DL41*(1-'Interest Rate'!$B$17))</f>
        <v>0</v>
      </c>
      <c r="DN41" s="658">
        <f>IF(DN$6&gt;$L41,0,DM41*(1-'Interest Rate'!$B$17))</f>
        <v>0</v>
      </c>
      <c r="DO41" s="658">
        <f>IF(DO$6&gt;$L41,0,DN41*(1-'Interest Rate'!$B$17))</f>
        <v>0</v>
      </c>
      <c r="DP41" s="658">
        <f>IF(DP$6&gt;$L41,0,DO41*(1-'Interest Rate'!$B$17))</f>
        <v>0</v>
      </c>
      <c r="DQ41" s="658">
        <f>IF(DQ$6&gt;$L41,0,DP41*(1-'Interest Rate'!$B$17))</f>
        <v>0</v>
      </c>
      <c r="DR41" s="658">
        <f>IF(DR$6&gt;$L41,0,DQ41*(1-'Interest Rate'!$B$17))</f>
        <v>0</v>
      </c>
    </row>
    <row r="42" spans="1:122" ht="33" customHeight="1" x14ac:dyDescent="0.3">
      <c r="A42" s="696" t="str">
        <f>'EEM Data Entry'!A119</f>
        <v/>
      </c>
      <c r="B42" s="697" t="str">
        <f>IF('EEM Data Entry'!B119="  ","  ", 'EEM Data Entry'!B119)</f>
        <v/>
      </c>
      <c r="C42" s="671" t="str">
        <f>'EEM Data Entry'!F119</f>
        <v/>
      </c>
      <c r="D42" s="671">
        <v>0</v>
      </c>
      <c r="E42" s="661" t="e">
        <f t="shared" si="13"/>
        <v>#VALUE!</v>
      </c>
      <c r="F42" s="662">
        <f>('Cascading Savings'!D42*'Cascading Savings'!D$4)+('Cascading Savings'!F42*'Cascading Savings'!F$4)+('Cascading Savings'!H42*'Cascading Savings'!H$4)+('Cascading Savings'!J42*'Cascading Savings'!J$4)+('Cascading Savings'!L42*'Cascading Savings'!L$4)+('Cascading Savings'!N42*'Cascading Savings'!N$4)+('Cascading Savings'!P42*'Cascading Savings'!P$4)+('Cascading Savings'!R42*'Cascading Savings'!R$4)</f>
        <v>0</v>
      </c>
      <c r="G42" s="698">
        <f>'Cascading Savings'!T42</f>
        <v>0</v>
      </c>
      <c r="H42" s="672" t="e">
        <f t="shared" si="15"/>
        <v>#VALUE!</v>
      </c>
      <c r="I42" s="668" t="e">
        <f t="shared" si="14"/>
        <v>#VALUE!</v>
      </c>
      <c r="J42" s="666" t="e">
        <f t="shared" si="10"/>
        <v>#NUM!</v>
      </c>
      <c r="K42" s="667" t="e">
        <f>PV('Interest Rate'!$B$17,Table213[[#This Row],[Lifetime]],-Table213[[#This Row],[ANNUAL ENERGY COST SAVINGS]],Table213[[#This Row],[END-OF-LIFE]],0)-Table213[[#This Row],[CAPITAL INVESTMENT]]</f>
        <v>#VALUE!</v>
      </c>
      <c r="L42" s="687" t="str">
        <f>'EEM Data Entry'!C119</f>
        <v/>
      </c>
      <c r="M42" s="676" t="e">
        <f>Table213[[#This Row],[ANNUAL ENERGY COST SAVINGS]]/Table213[[#This Row],[CAPITAL INVESTMENT]]</f>
        <v>#VALUE!</v>
      </c>
      <c r="N42" s="623">
        <f>IF(ISNUMBER(Table213[[#This Row],[NPV]])=TRUE,Table213[[#This Row],[NPV]],0)</f>
        <v>0</v>
      </c>
      <c r="O42" s="802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42" s="568" t="str">
        <f>Table213[[#This Row],[Lifetime]]</f>
        <v/>
      </c>
      <c r="V42" s="657" t="str">
        <f t="shared" si="11"/>
        <v/>
      </c>
      <c r="W42" s="658">
        <f t="shared" si="12"/>
        <v>0</v>
      </c>
      <c r="X42" s="658">
        <f>IF(X$6&gt;$L42,0,W42*(1-'Interest Rate'!$B$17))</f>
        <v>0</v>
      </c>
      <c r="Y42" s="658">
        <f>IF(Y$6&gt;$L42,0,X42*(1-'Interest Rate'!$B$17))</f>
        <v>0</v>
      </c>
      <c r="Z42" s="658">
        <f>IF(Z$6&gt;$L42,0,Y42*(1-'Interest Rate'!$B$17))</f>
        <v>0</v>
      </c>
      <c r="AA42" s="658">
        <f>IF(AA$6&gt;$L42,0,Z42*(1-'Interest Rate'!$B$17))</f>
        <v>0</v>
      </c>
      <c r="AB42" s="658">
        <f>IF(AB$6&gt;$L42,0,AA42*(1-'Interest Rate'!$B$17))</f>
        <v>0</v>
      </c>
      <c r="AC42" s="658">
        <f>IF(AC$6&gt;$L42,0,AB42*(1-'Interest Rate'!$B$17))</f>
        <v>0</v>
      </c>
      <c r="AD42" s="658">
        <f>IF(AD$6&gt;$L42,0,AC42*(1-'Interest Rate'!$B$17))</f>
        <v>0</v>
      </c>
      <c r="AE42" s="658">
        <f>IF(AE$6&gt;$L42,0,AD42*(1-'Interest Rate'!$B$17))</f>
        <v>0</v>
      </c>
      <c r="AF42" s="658">
        <f>IF(AF$6&gt;$L42,0,AE42*(1-'Interest Rate'!$B$17))</f>
        <v>0</v>
      </c>
      <c r="AG42" s="658">
        <f>IF(AG$6&gt;$L42,0,AF42*(1-'Interest Rate'!$B$17))</f>
        <v>0</v>
      </c>
      <c r="AH42" s="658">
        <f>IF(AH$6&gt;$L42,0,AG42*(1-'Interest Rate'!$B$17))</f>
        <v>0</v>
      </c>
      <c r="AI42" s="658">
        <f>IF(AI$6&gt;$L42,0,AH42*(1-'Interest Rate'!$B$17))</f>
        <v>0</v>
      </c>
      <c r="AJ42" s="658">
        <f>IF(AJ$6&gt;$L42,0,AI42*(1-'Interest Rate'!$B$17))</f>
        <v>0</v>
      </c>
      <c r="AK42" s="658">
        <f>IF(AK$6&gt;$L42,0,AJ42*(1-'Interest Rate'!$B$17))</f>
        <v>0</v>
      </c>
      <c r="AL42" s="658">
        <f>IF(AL$6&gt;$L42,0,AK42*(1-'Interest Rate'!$B$17))</f>
        <v>0</v>
      </c>
      <c r="AM42" s="658">
        <f>IF(AM$6&gt;$L42,0,AL42*(1-'Interest Rate'!$B$17))</f>
        <v>0</v>
      </c>
      <c r="AN42" s="658">
        <f>IF(AN$6&gt;$L42,0,AM42*(1-'Interest Rate'!$B$17))</f>
        <v>0</v>
      </c>
      <c r="AO42" s="658">
        <f>IF(AO$6&gt;$L42,0,AN42*(1-'Interest Rate'!$B$17))</f>
        <v>0</v>
      </c>
      <c r="AP42" s="658">
        <f>IF(AP$6&gt;$L42,0,AO42*(1-'Interest Rate'!$B$17))</f>
        <v>0</v>
      </c>
      <c r="AQ42" s="658">
        <f>IF(AQ$6&gt;$L42,0,AP42*(1-'Interest Rate'!$B$17))</f>
        <v>0</v>
      </c>
      <c r="AR42" s="658">
        <f>IF(AR$6&gt;$L42,0,AQ42*(1-'Interest Rate'!$B$17))</f>
        <v>0</v>
      </c>
      <c r="AS42" s="658">
        <f>IF(AS$6&gt;$L42,0,AR42*(1-'Interest Rate'!$B$17))</f>
        <v>0</v>
      </c>
      <c r="AT42" s="658">
        <f>IF(AT$6&gt;$L42,0,AS42*(1-'Interest Rate'!$B$17))</f>
        <v>0</v>
      </c>
      <c r="AU42" s="658">
        <f>IF(AU$6&gt;$L42,0,AT42*(1-'Interest Rate'!$B$17))</f>
        <v>0</v>
      </c>
      <c r="AV42" s="658">
        <f>IF(AV$6&gt;$L42,0,AU42*(1-'Interest Rate'!$B$17))</f>
        <v>0</v>
      </c>
      <c r="AW42" s="658">
        <f>IF(AW$6&gt;$L42,0,AV42*(1-'Interest Rate'!$B$17))</f>
        <v>0</v>
      </c>
      <c r="AX42" s="658">
        <f>IF(AX$6&gt;$L42,0,AW42*(1-'Interest Rate'!$B$17))</f>
        <v>0</v>
      </c>
      <c r="AY42" s="658">
        <f>IF(AY$6&gt;$L42,0,AX42*(1-'Interest Rate'!$B$17))</f>
        <v>0</v>
      </c>
      <c r="AZ42" s="658">
        <f>IF(AZ$6&gt;$L42,0,AY42*(1-'Interest Rate'!$B$17))</f>
        <v>0</v>
      </c>
      <c r="BA42" s="658">
        <f>IF(BA$6&gt;$L42,0,AZ42*(1-'Interest Rate'!$B$17))</f>
        <v>0</v>
      </c>
      <c r="BB42" s="658">
        <f>IF(BB$6&gt;$L42,0,BA42*(1-'Interest Rate'!$B$17))</f>
        <v>0</v>
      </c>
      <c r="BC42" s="658">
        <f>IF(BC$6&gt;$L42,0,BB42*(1-'Interest Rate'!$B$17))</f>
        <v>0</v>
      </c>
      <c r="BD42" s="658">
        <f>IF(BD$6&gt;$L42,0,BC42*(1-'Interest Rate'!$B$17))</f>
        <v>0</v>
      </c>
      <c r="BE42" s="658">
        <f>IF(BE$6&gt;$L42,0,BD42*(1-'Interest Rate'!$B$17))</f>
        <v>0</v>
      </c>
      <c r="BF42" s="658">
        <f>IF(BF$6&gt;$L42,0,BE42*(1-'Interest Rate'!$B$17))</f>
        <v>0</v>
      </c>
      <c r="BG42" s="658">
        <f>IF(BG$6&gt;$L42,0,BF42*(1-'Interest Rate'!$B$17))</f>
        <v>0</v>
      </c>
      <c r="BH42" s="658">
        <f>IF(BH$6&gt;$L42,0,BG42*(1-'Interest Rate'!$B$17))</f>
        <v>0</v>
      </c>
      <c r="BI42" s="658">
        <f>IF(BI$6&gt;$L42,0,BH42*(1-'Interest Rate'!$B$17))</f>
        <v>0</v>
      </c>
      <c r="BJ42" s="658">
        <f>IF(BJ$6&gt;$L42,0,BI42*(1-'Interest Rate'!$B$17))</f>
        <v>0</v>
      </c>
      <c r="BK42" s="658">
        <f>IF(BK$6&gt;$L42,0,BJ42*(1-'Interest Rate'!$B$17))</f>
        <v>0</v>
      </c>
      <c r="BL42" s="658">
        <f>IF(BL$6&gt;$L42,0,BK42*(1-'Interest Rate'!$B$17))</f>
        <v>0</v>
      </c>
      <c r="BM42" s="658">
        <f>IF(BM$6&gt;$L42,0,BL42*(1-'Interest Rate'!$B$17))</f>
        <v>0</v>
      </c>
      <c r="BN42" s="658">
        <f>IF(BN$6&gt;$L42,0,BM42*(1-'Interest Rate'!$B$17))</f>
        <v>0</v>
      </c>
      <c r="BO42" s="658">
        <f>IF(BO$6&gt;$L42,0,BN42*(1-'Interest Rate'!$B$17))</f>
        <v>0</v>
      </c>
      <c r="BP42" s="658">
        <f>IF(BP$6&gt;$L42,0,BO42*(1-'Interest Rate'!$B$17))</f>
        <v>0</v>
      </c>
      <c r="BQ42" s="658">
        <f>IF(BQ$6&gt;$L42,0,BP42*(1-'Interest Rate'!$B$17))</f>
        <v>0</v>
      </c>
      <c r="BR42" s="658">
        <f>IF(BR$6&gt;$L42,0,BQ42*(1-'Interest Rate'!$B$17))</f>
        <v>0</v>
      </c>
      <c r="BS42" s="658">
        <f>IF(BS$6&gt;$L42,0,BR42*(1-'Interest Rate'!$B$17))</f>
        <v>0</v>
      </c>
      <c r="BT42" s="658">
        <f>IF(BT$6&gt;$L42,0,BS42*(1-'Interest Rate'!$B$17))</f>
        <v>0</v>
      </c>
      <c r="BU42" s="658">
        <f>IF(BU$6&gt;$L42,0,BT42*(1-'Interest Rate'!$B$17))</f>
        <v>0</v>
      </c>
      <c r="BV42" s="658">
        <f>IF(BV$6&gt;$L42,0,BU42*(1-'Interest Rate'!$B$17))</f>
        <v>0</v>
      </c>
      <c r="BW42" s="658">
        <f>IF(BW$6&gt;$L42,0,BV42*(1-'Interest Rate'!$B$17))</f>
        <v>0</v>
      </c>
      <c r="BX42" s="658">
        <f>IF(BX$6&gt;$L42,0,BW42*(1-'Interest Rate'!$B$17))</f>
        <v>0</v>
      </c>
      <c r="BY42" s="658">
        <f>IF(BY$6&gt;$L42,0,BX42*(1-'Interest Rate'!$B$17))</f>
        <v>0</v>
      </c>
      <c r="BZ42" s="658">
        <f>IF(BZ$6&gt;$L42,0,BY42*(1-'Interest Rate'!$B$17))</f>
        <v>0</v>
      </c>
      <c r="CA42" s="658">
        <f>IF(CA$6&gt;$L42,0,BZ42*(1-'Interest Rate'!$B$17))</f>
        <v>0</v>
      </c>
      <c r="CB42" s="658">
        <f>IF(CB$6&gt;$L42,0,CA42*(1-'Interest Rate'!$B$17))</f>
        <v>0</v>
      </c>
      <c r="CC42" s="658">
        <f>IF(CC$6&gt;$L42,0,CB42*(1-'Interest Rate'!$B$17))</f>
        <v>0</v>
      </c>
      <c r="CD42" s="658">
        <f>IF(CD$6&gt;$L42,0,CC42*(1-'Interest Rate'!$B$17))</f>
        <v>0</v>
      </c>
      <c r="CE42" s="658">
        <f>IF(CE$6&gt;$L42,0,CD42*(1-'Interest Rate'!$B$17))</f>
        <v>0</v>
      </c>
      <c r="CF42" s="658">
        <f>IF(CF$6&gt;$L42,0,CE42*(1-'Interest Rate'!$B$17))</f>
        <v>0</v>
      </c>
      <c r="CG42" s="658">
        <f>IF(CG$6&gt;$L42,0,CF42*(1-'Interest Rate'!$B$17))</f>
        <v>0</v>
      </c>
      <c r="CH42" s="658">
        <f>IF(CH$6&gt;$L42,0,CG42*(1-'Interest Rate'!$B$17))</f>
        <v>0</v>
      </c>
      <c r="CI42" s="658">
        <f>IF(CI$6&gt;$L42,0,CH42*(1-'Interest Rate'!$B$17))</f>
        <v>0</v>
      </c>
      <c r="CJ42" s="658">
        <f>IF(CJ$6&gt;$L42,0,CI42*(1-'Interest Rate'!$B$17))</f>
        <v>0</v>
      </c>
      <c r="CK42" s="658">
        <f>IF(CK$6&gt;$L42,0,CJ42*(1-'Interest Rate'!$B$17))</f>
        <v>0</v>
      </c>
      <c r="CL42" s="658">
        <f>IF(CL$6&gt;$L42,0,CK42*(1-'Interest Rate'!$B$17))</f>
        <v>0</v>
      </c>
      <c r="CM42" s="658">
        <f>IF(CM$6&gt;$L42,0,CL42*(1-'Interest Rate'!$B$17))</f>
        <v>0</v>
      </c>
      <c r="CN42" s="658">
        <f>IF(CN$6&gt;$L42,0,CM42*(1-'Interest Rate'!$B$17))</f>
        <v>0</v>
      </c>
      <c r="CO42" s="658">
        <f>IF(CO$6&gt;$L42,0,CN42*(1-'Interest Rate'!$B$17))</f>
        <v>0</v>
      </c>
      <c r="CP42" s="658">
        <f>IF(CP$6&gt;$L42,0,CO42*(1-'Interest Rate'!$B$17))</f>
        <v>0</v>
      </c>
      <c r="CQ42" s="658">
        <f>IF(CQ$6&gt;$L42,0,CP42*(1-'Interest Rate'!$B$17))</f>
        <v>0</v>
      </c>
      <c r="CR42" s="658">
        <f>IF(CR$6&gt;$L42,0,CQ42*(1-'Interest Rate'!$B$17))</f>
        <v>0</v>
      </c>
      <c r="CS42" s="658">
        <f>IF(CS$6&gt;$L42,0,CR42*(1-'Interest Rate'!$B$17))</f>
        <v>0</v>
      </c>
      <c r="CT42" s="658">
        <f>IF(CT$6&gt;$L42,0,CS42*(1-'Interest Rate'!$B$17))</f>
        <v>0</v>
      </c>
      <c r="CU42" s="658">
        <f>IF(CU$6&gt;$L42,0,CT42*(1-'Interest Rate'!$B$17))</f>
        <v>0</v>
      </c>
      <c r="CV42" s="658">
        <f>IF(CV$6&gt;$L42,0,CU42*(1-'Interest Rate'!$B$17))</f>
        <v>0</v>
      </c>
      <c r="CW42" s="658">
        <f>IF(CW$6&gt;$L42,0,CV42*(1-'Interest Rate'!$B$17))</f>
        <v>0</v>
      </c>
      <c r="CX42" s="658">
        <f>IF(CX$6&gt;$L42,0,CW42*(1-'Interest Rate'!$B$17))</f>
        <v>0</v>
      </c>
      <c r="CY42" s="658">
        <f>IF(CY$6&gt;$L42,0,CX42*(1-'Interest Rate'!$B$17))</f>
        <v>0</v>
      </c>
      <c r="CZ42" s="658">
        <f>IF(CZ$6&gt;$L42,0,CY42*(1-'Interest Rate'!$B$17))</f>
        <v>0</v>
      </c>
      <c r="DA42" s="658">
        <f>IF(DA$6&gt;$L42,0,CZ42*(1-'Interest Rate'!$B$17))</f>
        <v>0</v>
      </c>
      <c r="DB42" s="658">
        <f>IF(DB$6&gt;$L42,0,DA42*(1-'Interest Rate'!$B$17))</f>
        <v>0</v>
      </c>
      <c r="DC42" s="658">
        <f>IF(DC$6&gt;$L42,0,DB42*(1-'Interest Rate'!$B$17))</f>
        <v>0</v>
      </c>
      <c r="DD42" s="658">
        <f>IF(DD$6&gt;$L42,0,DC42*(1-'Interest Rate'!$B$17))</f>
        <v>0</v>
      </c>
      <c r="DE42" s="658">
        <f>IF(DE$6&gt;$L42,0,DD42*(1-'Interest Rate'!$B$17))</f>
        <v>0</v>
      </c>
      <c r="DF42" s="658">
        <f>IF(DF$6&gt;$L42,0,DE42*(1-'Interest Rate'!$B$17))</f>
        <v>0</v>
      </c>
      <c r="DG42" s="658">
        <f>IF(DG$6&gt;$L42,0,DF42*(1-'Interest Rate'!$B$17))</f>
        <v>0</v>
      </c>
      <c r="DH42" s="658">
        <f>IF(DH$6&gt;$L42,0,DG42*(1-'Interest Rate'!$B$17))</f>
        <v>0</v>
      </c>
      <c r="DI42" s="658">
        <f>IF(DI$6&gt;$L42,0,DH42*(1-'Interest Rate'!$B$17))</f>
        <v>0</v>
      </c>
      <c r="DJ42" s="658">
        <f>IF(DJ$6&gt;$L42,0,DI42*(1-'Interest Rate'!$B$17))</f>
        <v>0</v>
      </c>
      <c r="DK42" s="658">
        <f>IF(DK$6&gt;$L42,0,DJ42*(1-'Interest Rate'!$B$17))</f>
        <v>0</v>
      </c>
      <c r="DL42" s="658">
        <f>IF(DL$6&gt;$L42,0,DK42*(1-'Interest Rate'!$B$17))</f>
        <v>0</v>
      </c>
      <c r="DM42" s="658">
        <f>IF(DM$6&gt;$L42,0,DL42*(1-'Interest Rate'!$B$17))</f>
        <v>0</v>
      </c>
      <c r="DN42" s="658">
        <f>IF(DN$6&gt;$L42,0,DM42*(1-'Interest Rate'!$B$17))</f>
        <v>0</v>
      </c>
      <c r="DO42" s="658">
        <f>IF(DO$6&gt;$L42,0,DN42*(1-'Interest Rate'!$B$17))</f>
        <v>0</v>
      </c>
      <c r="DP42" s="658">
        <f>IF(DP$6&gt;$L42,0,DO42*(1-'Interest Rate'!$B$17))</f>
        <v>0</v>
      </c>
      <c r="DQ42" s="658">
        <f>IF(DQ$6&gt;$L42,0,DP42*(1-'Interest Rate'!$B$17))</f>
        <v>0</v>
      </c>
      <c r="DR42" s="658">
        <f>IF(DR$6&gt;$L42,0,DQ42*(1-'Interest Rate'!$B$17))</f>
        <v>0</v>
      </c>
    </row>
    <row r="43" spans="1:122" ht="33" customHeight="1" x14ac:dyDescent="0.3">
      <c r="A43" s="696" t="str">
        <f>'EEM Data Entry'!A120</f>
        <v/>
      </c>
      <c r="B43" s="697" t="str">
        <f>IF('EEM Data Entry'!B120="  ","  ", 'EEM Data Entry'!B120)</f>
        <v/>
      </c>
      <c r="C43" s="671" t="str">
        <f>'EEM Data Entry'!F120</f>
        <v/>
      </c>
      <c r="D43" s="671">
        <v>0</v>
      </c>
      <c r="E43" s="671" t="e">
        <f t="shared" si="13"/>
        <v>#VALUE!</v>
      </c>
      <c r="F43" s="650">
        <f>('Cascading Savings'!D43*'Cascading Savings'!D$4)+('Cascading Savings'!F43*'Cascading Savings'!F$4)+('Cascading Savings'!H43*'Cascading Savings'!H$4)+('Cascading Savings'!J43*'Cascading Savings'!J$4)+('Cascading Savings'!L43*'Cascading Savings'!L$4)+('Cascading Savings'!N43*'Cascading Savings'!N$4)+('Cascading Savings'!P43*'Cascading Savings'!P$4)+('Cascading Savings'!R43*'Cascading Savings'!R$4)</f>
        <v>0</v>
      </c>
      <c r="G43" s="698">
        <f>'Cascading Savings'!T43</f>
        <v>0</v>
      </c>
      <c r="H43" s="672" t="e">
        <f t="shared" si="15"/>
        <v>#VALUE!</v>
      </c>
      <c r="I43" s="668" t="e">
        <f t="shared" si="14"/>
        <v>#VALUE!</v>
      </c>
      <c r="J43" s="654" t="e">
        <f t="shared" si="10"/>
        <v>#NUM!</v>
      </c>
      <c r="K43" s="674" t="e">
        <f>PV('Interest Rate'!$B$17,Table213[[#This Row],[Lifetime]],-Table213[[#This Row],[ANNUAL ENERGY COST SAVINGS]],Table213[[#This Row],[END-OF-LIFE]],0)-Table213[[#This Row],[CAPITAL INVESTMENT]]</f>
        <v>#VALUE!</v>
      </c>
      <c r="L43" s="687" t="str">
        <f>'EEM Data Entry'!C120</f>
        <v/>
      </c>
      <c r="M43" s="669" t="e">
        <f>Table213[[#This Row],[ANNUAL ENERGY COST SAVINGS]]/Table213[[#This Row],[CAPITAL INVESTMENT]]</f>
        <v>#VALUE!</v>
      </c>
      <c r="N43" s="623">
        <f>IF(ISNUMBER(Table213[[#This Row],[NPV]])=TRUE,Table213[[#This Row],[NPV]],0)</f>
        <v>0</v>
      </c>
      <c r="O43" s="802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43" s="568" t="str">
        <f>Table213[[#This Row],[Lifetime]]</f>
        <v/>
      </c>
      <c r="V43" s="657" t="str">
        <f t="shared" si="11"/>
        <v/>
      </c>
      <c r="W43" s="658">
        <f t="shared" si="12"/>
        <v>0</v>
      </c>
      <c r="X43" s="658">
        <f>IF(X$6&gt;$L43,0,W43*(1-'Interest Rate'!$B$17))</f>
        <v>0</v>
      </c>
      <c r="Y43" s="658">
        <f>IF(Y$6&gt;$L43,0,X43*(1-'Interest Rate'!$B$17))</f>
        <v>0</v>
      </c>
      <c r="Z43" s="658">
        <f>IF(Z$6&gt;$L43,0,Y43*(1-'Interest Rate'!$B$17))</f>
        <v>0</v>
      </c>
      <c r="AA43" s="658">
        <f>IF(AA$6&gt;$L43,0,Z43*(1-'Interest Rate'!$B$17))</f>
        <v>0</v>
      </c>
      <c r="AB43" s="658">
        <f>IF(AB$6&gt;$L43,0,AA43*(1-'Interest Rate'!$B$17))</f>
        <v>0</v>
      </c>
      <c r="AC43" s="658">
        <f>IF(AC$6&gt;$L43,0,AB43*(1-'Interest Rate'!$B$17))</f>
        <v>0</v>
      </c>
      <c r="AD43" s="658">
        <f>IF(AD$6&gt;$L43,0,AC43*(1-'Interest Rate'!$B$17))</f>
        <v>0</v>
      </c>
      <c r="AE43" s="658">
        <f>IF(AE$6&gt;$L43,0,AD43*(1-'Interest Rate'!$B$17))</f>
        <v>0</v>
      </c>
      <c r="AF43" s="658">
        <f>IF(AF$6&gt;$L43,0,AE43*(1-'Interest Rate'!$B$17))</f>
        <v>0</v>
      </c>
      <c r="AG43" s="658">
        <f>IF(AG$6&gt;$L43,0,AF43*(1-'Interest Rate'!$B$17))</f>
        <v>0</v>
      </c>
      <c r="AH43" s="658">
        <f>IF(AH$6&gt;$L43,0,AG43*(1-'Interest Rate'!$B$17))</f>
        <v>0</v>
      </c>
      <c r="AI43" s="658">
        <f>IF(AI$6&gt;$L43,0,AH43*(1-'Interest Rate'!$B$17))</f>
        <v>0</v>
      </c>
      <c r="AJ43" s="658">
        <f>IF(AJ$6&gt;$L43,0,AI43*(1-'Interest Rate'!$B$17))</f>
        <v>0</v>
      </c>
      <c r="AK43" s="658">
        <f>IF(AK$6&gt;$L43,0,AJ43*(1-'Interest Rate'!$B$17))</f>
        <v>0</v>
      </c>
      <c r="AL43" s="658">
        <f>IF(AL$6&gt;$L43,0,AK43*(1-'Interest Rate'!$B$17))</f>
        <v>0</v>
      </c>
      <c r="AM43" s="658">
        <f>IF(AM$6&gt;$L43,0,AL43*(1-'Interest Rate'!$B$17))</f>
        <v>0</v>
      </c>
      <c r="AN43" s="658">
        <f>IF(AN$6&gt;$L43,0,AM43*(1-'Interest Rate'!$B$17))</f>
        <v>0</v>
      </c>
      <c r="AO43" s="658">
        <f>IF(AO$6&gt;$L43,0,AN43*(1-'Interest Rate'!$B$17))</f>
        <v>0</v>
      </c>
      <c r="AP43" s="658">
        <f>IF(AP$6&gt;$L43,0,AO43*(1-'Interest Rate'!$B$17))</f>
        <v>0</v>
      </c>
      <c r="AQ43" s="658">
        <f>IF(AQ$6&gt;$L43,0,AP43*(1-'Interest Rate'!$B$17))</f>
        <v>0</v>
      </c>
      <c r="AR43" s="658">
        <f>IF(AR$6&gt;$L43,0,AQ43*(1-'Interest Rate'!$B$17))</f>
        <v>0</v>
      </c>
      <c r="AS43" s="658">
        <f>IF(AS$6&gt;$L43,0,AR43*(1-'Interest Rate'!$B$17))</f>
        <v>0</v>
      </c>
      <c r="AT43" s="658">
        <f>IF(AT$6&gt;$L43,0,AS43*(1-'Interest Rate'!$B$17))</f>
        <v>0</v>
      </c>
      <c r="AU43" s="658">
        <f>IF(AU$6&gt;$L43,0,AT43*(1-'Interest Rate'!$B$17))</f>
        <v>0</v>
      </c>
      <c r="AV43" s="658">
        <f>IF(AV$6&gt;$L43,0,AU43*(1-'Interest Rate'!$B$17))</f>
        <v>0</v>
      </c>
      <c r="AW43" s="658">
        <f>IF(AW$6&gt;$L43,0,AV43*(1-'Interest Rate'!$B$17))</f>
        <v>0</v>
      </c>
      <c r="AX43" s="658">
        <f>IF(AX$6&gt;$L43,0,AW43*(1-'Interest Rate'!$B$17))</f>
        <v>0</v>
      </c>
      <c r="AY43" s="658">
        <f>IF(AY$6&gt;$L43,0,AX43*(1-'Interest Rate'!$B$17))</f>
        <v>0</v>
      </c>
      <c r="AZ43" s="658">
        <f>IF(AZ$6&gt;$L43,0,AY43*(1-'Interest Rate'!$B$17))</f>
        <v>0</v>
      </c>
      <c r="BA43" s="658">
        <f>IF(BA$6&gt;$L43,0,AZ43*(1-'Interest Rate'!$B$17))</f>
        <v>0</v>
      </c>
      <c r="BB43" s="658">
        <f>IF(BB$6&gt;$L43,0,BA43*(1-'Interest Rate'!$B$17))</f>
        <v>0</v>
      </c>
      <c r="BC43" s="658">
        <f>IF(BC$6&gt;$L43,0,BB43*(1-'Interest Rate'!$B$17))</f>
        <v>0</v>
      </c>
      <c r="BD43" s="658">
        <f>IF(BD$6&gt;$L43,0,BC43*(1-'Interest Rate'!$B$17))</f>
        <v>0</v>
      </c>
      <c r="BE43" s="658">
        <f>IF(BE$6&gt;$L43,0,BD43*(1-'Interest Rate'!$B$17))</f>
        <v>0</v>
      </c>
      <c r="BF43" s="658">
        <f>IF(BF$6&gt;$L43,0,BE43*(1-'Interest Rate'!$B$17))</f>
        <v>0</v>
      </c>
      <c r="BG43" s="658">
        <f>IF(BG$6&gt;$L43,0,BF43*(1-'Interest Rate'!$B$17))</f>
        <v>0</v>
      </c>
      <c r="BH43" s="658">
        <f>IF(BH$6&gt;$L43,0,BG43*(1-'Interest Rate'!$B$17))</f>
        <v>0</v>
      </c>
      <c r="BI43" s="658">
        <f>IF(BI$6&gt;$L43,0,BH43*(1-'Interest Rate'!$B$17))</f>
        <v>0</v>
      </c>
      <c r="BJ43" s="658">
        <f>IF(BJ$6&gt;$L43,0,BI43*(1-'Interest Rate'!$B$17))</f>
        <v>0</v>
      </c>
      <c r="BK43" s="658">
        <f>IF(BK$6&gt;$L43,0,BJ43*(1-'Interest Rate'!$B$17))</f>
        <v>0</v>
      </c>
      <c r="BL43" s="658">
        <f>IF(BL$6&gt;$L43,0,BK43*(1-'Interest Rate'!$B$17))</f>
        <v>0</v>
      </c>
      <c r="BM43" s="658">
        <f>IF(BM$6&gt;$L43,0,BL43*(1-'Interest Rate'!$B$17))</f>
        <v>0</v>
      </c>
      <c r="BN43" s="658">
        <f>IF(BN$6&gt;$L43,0,BM43*(1-'Interest Rate'!$B$17))</f>
        <v>0</v>
      </c>
      <c r="BO43" s="658">
        <f>IF(BO$6&gt;$L43,0,BN43*(1-'Interest Rate'!$B$17))</f>
        <v>0</v>
      </c>
      <c r="BP43" s="658">
        <f>IF(BP$6&gt;$L43,0,BO43*(1-'Interest Rate'!$B$17))</f>
        <v>0</v>
      </c>
      <c r="BQ43" s="658">
        <f>IF(BQ$6&gt;$L43,0,BP43*(1-'Interest Rate'!$B$17))</f>
        <v>0</v>
      </c>
      <c r="BR43" s="658">
        <f>IF(BR$6&gt;$L43,0,BQ43*(1-'Interest Rate'!$B$17))</f>
        <v>0</v>
      </c>
      <c r="BS43" s="658">
        <f>IF(BS$6&gt;$L43,0,BR43*(1-'Interest Rate'!$B$17))</f>
        <v>0</v>
      </c>
      <c r="BT43" s="658">
        <f>IF(BT$6&gt;$L43,0,BS43*(1-'Interest Rate'!$B$17))</f>
        <v>0</v>
      </c>
      <c r="BU43" s="658">
        <f>IF(BU$6&gt;$L43,0,BT43*(1-'Interest Rate'!$B$17))</f>
        <v>0</v>
      </c>
      <c r="BV43" s="658">
        <f>IF(BV$6&gt;$L43,0,BU43*(1-'Interest Rate'!$B$17))</f>
        <v>0</v>
      </c>
      <c r="BW43" s="658">
        <f>IF(BW$6&gt;$L43,0,BV43*(1-'Interest Rate'!$B$17))</f>
        <v>0</v>
      </c>
      <c r="BX43" s="658">
        <f>IF(BX$6&gt;$L43,0,BW43*(1-'Interest Rate'!$B$17))</f>
        <v>0</v>
      </c>
      <c r="BY43" s="658">
        <f>IF(BY$6&gt;$L43,0,BX43*(1-'Interest Rate'!$B$17))</f>
        <v>0</v>
      </c>
      <c r="BZ43" s="658">
        <f>IF(BZ$6&gt;$L43,0,BY43*(1-'Interest Rate'!$B$17))</f>
        <v>0</v>
      </c>
      <c r="CA43" s="658">
        <f>IF(CA$6&gt;$L43,0,BZ43*(1-'Interest Rate'!$B$17))</f>
        <v>0</v>
      </c>
      <c r="CB43" s="658">
        <f>IF(CB$6&gt;$L43,0,CA43*(1-'Interest Rate'!$B$17))</f>
        <v>0</v>
      </c>
      <c r="CC43" s="658">
        <f>IF(CC$6&gt;$L43,0,CB43*(1-'Interest Rate'!$B$17))</f>
        <v>0</v>
      </c>
      <c r="CD43" s="658">
        <f>IF(CD$6&gt;$L43,0,CC43*(1-'Interest Rate'!$B$17))</f>
        <v>0</v>
      </c>
      <c r="CE43" s="658">
        <f>IF(CE$6&gt;$L43,0,CD43*(1-'Interest Rate'!$B$17))</f>
        <v>0</v>
      </c>
      <c r="CF43" s="658">
        <f>IF(CF$6&gt;$L43,0,CE43*(1-'Interest Rate'!$B$17))</f>
        <v>0</v>
      </c>
      <c r="CG43" s="658">
        <f>IF(CG$6&gt;$L43,0,CF43*(1-'Interest Rate'!$B$17))</f>
        <v>0</v>
      </c>
      <c r="CH43" s="658">
        <f>IF(CH$6&gt;$L43,0,CG43*(1-'Interest Rate'!$B$17))</f>
        <v>0</v>
      </c>
      <c r="CI43" s="658">
        <f>IF(CI$6&gt;$L43,0,CH43*(1-'Interest Rate'!$B$17))</f>
        <v>0</v>
      </c>
      <c r="CJ43" s="658">
        <f>IF(CJ$6&gt;$L43,0,CI43*(1-'Interest Rate'!$B$17))</f>
        <v>0</v>
      </c>
      <c r="CK43" s="658">
        <f>IF(CK$6&gt;$L43,0,CJ43*(1-'Interest Rate'!$B$17))</f>
        <v>0</v>
      </c>
      <c r="CL43" s="658">
        <f>IF(CL$6&gt;$L43,0,CK43*(1-'Interest Rate'!$B$17))</f>
        <v>0</v>
      </c>
      <c r="CM43" s="658">
        <f>IF(CM$6&gt;$L43,0,CL43*(1-'Interest Rate'!$B$17))</f>
        <v>0</v>
      </c>
      <c r="CN43" s="658">
        <f>IF(CN$6&gt;$L43,0,CM43*(1-'Interest Rate'!$B$17))</f>
        <v>0</v>
      </c>
      <c r="CO43" s="658">
        <f>IF(CO$6&gt;$L43,0,CN43*(1-'Interest Rate'!$B$17))</f>
        <v>0</v>
      </c>
      <c r="CP43" s="658">
        <f>IF(CP$6&gt;$L43,0,CO43*(1-'Interest Rate'!$B$17))</f>
        <v>0</v>
      </c>
      <c r="CQ43" s="658">
        <f>IF(CQ$6&gt;$L43,0,CP43*(1-'Interest Rate'!$B$17))</f>
        <v>0</v>
      </c>
      <c r="CR43" s="658">
        <f>IF(CR$6&gt;$L43,0,CQ43*(1-'Interest Rate'!$B$17))</f>
        <v>0</v>
      </c>
      <c r="CS43" s="658">
        <f>IF(CS$6&gt;$L43,0,CR43*(1-'Interest Rate'!$B$17))</f>
        <v>0</v>
      </c>
      <c r="CT43" s="658">
        <f>IF(CT$6&gt;$L43,0,CS43*(1-'Interest Rate'!$B$17))</f>
        <v>0</v>
      </c>
      <c r="CU43" s="658">
        <f>IF(CU$6&gt;$L43,0,CT43*(1-'Interest Rate'!$B$17))</f>
        <v>0</v>
      </c>
      <c r="CV43" s="658">
        <f>IF(CV$6&gt;$L43,0,CU43*(1-'Interest Rate'!$B$17))</f>
        <v>0</v>
      </c>
      <c r="CW43" s="658">
        <f>IF(CW$6&gt;$L43,0,CV43*(1-'Interest Rate'!$B$17))</f>
        <v>0</v>
      </c>
      <c r="CX43" s="658">
        <f>IF(CX$6&gt;$L43,0,CW43*(1-'Interest Rate'!$B$17))</f>
        <v>0</v>
      </c>
      <c r="CY43" s="658">
        <f>IF(CY$6&gt;$L43,0,CX43*(1-'Interest Rate'!$B$17))</f>
        <v>0</v>
      </c>
      <c r="CZ43" s="658">
        <f>IF(CZ$6&gt;$L43,0,CY43*(1-'Interest Rate'!$B$17))</f>
        <v>0</v>
      </c>
      <c r="DA43" s="658">
        <f>IF(DA$6&gt;$L43,0,CZ43*(1-'Interest Rate'!$B$17))</f>
        <v>0</v>
      </c>
      <c r="DB43" s="658">
        <f>IF(DB$6&gt;$L43,0,DA43*(1-'Interest Rate'!$B$17))</f>
        <v>0</v>
      </c>
      <c r="DC43" s="658">
        <f>IF(DC$6&gt;$L43,0,DB43*(1-'Interest Rate'!$B$17))</f>
        <v>0</v>
      </c>
      <c r="DD43" s="658">
        <f>IF(DD$6&gt;$L43,0,DC43*(1-'Interest Rate'!$B$17))</f>
        <v>0</v>
      </c>
      <c r="DE43" s="658">
        <f>IF(DE$6&gt;$L43,0,DD43*(1-'Interest Rate'!$B$17))</f>
        <v>0</v>
      </c>
      <c r="DF43" s="658">
        <f>IF(DF$6&gt;$L43,0,DE43*(1-'Interest Rate'!$B$17))</f>
        <v>0</v>
      </c>
      <c r="DG43" s="658">
        <f>IF(DG$6&gt;$L43,0,DF43*(1-'Interest Rate'!$B$17))</f>
        <v>0</v>
      </c>
      <c r="DH43" s="658">
        <f>IF(DH$6&gt;$L43,0,DG43*(1-'Interest Rate'!$B$17))</f>
        <v>0</v>
      </c>
      <c r="DI43" s="658">
        <f>IF(DI$6&gt;$L43,0,DH43*(1-'Interest Rate'!$B$17))</f>
        <v>0</v>
      </c>
      <c r="DJ43" s="658">
        <f>IF(DJ$6&gt;$L43,0,DI43*(1-'Interest Rate'!$B$17))</f>
        <v>0</v>
      </c>
      <c r="DK43" s="658">
        <f>IF(DK$6&gt;$L43,0,DJ43*(1-'Interest Rate'!$B$17))</f>
        <v>0</v>
      </c>
      <c r="DL43" s="658">
        <f>IF(DL$6&gt;$L43,0,DK43*(1-'Interest Rate'!$B$17))</f>
        <v>0</v>
      </c>
      <c r="DM43" s="658">
        <f>IF(DM$6&gt;$L43,0,DL43*(1-'Interest Rate'!$B$17))</f>
        <v>0</v>
      </c>
      <c r="DN43" s="658">
        <f>IF(DN$6&gt;$L43,0,DM43*(1-'Interest Rate'!$B$17))</f>
        <v>0</v>
      </c>
      <c r="DO43" s="658">
        <f>IF(DO$6&gt;$L43,0,DN43*(1-'Interest Rate'!$B$17))</f>
        <v>0</v>
      </c>
      <c r="DP43" s="658">
        <f>IF(DP$6&gt;$L43,0,DO43*(1-'Interest Rate'!$B$17))</f>
        <v>0</v>
      </c>
      <c r="DQ43" s="658">
        <f>IF(DQ$6&gt;$L43,0,DP43*(1-'Interest Rate'!$B$17))</f>
        <v>0</v>
      </c>
      <c r="DR43" s="658">
        <f>IF(DR$6&gt;$L43,0,DQ43*(1-'Interest Rate'!$B$17))</f>
        <v>0</v>
      </c>
    </row>
    <row r="44" spans="1:122" ht="33" customHeight="1" x14ac:dyDescent="0.3">
      <c r="A44" s="696" t="str">
        <f>'EEM Data Entry'!A121</f>
        <v/>
      </c>
      <c r="B44" s="697" t="str">
        <f>IF('EEM Data Entry'!B121="  ","  ", 'EEM Data Entry'!B121)</f>
        <v/>
      </c>
      <c r="C44" s="671" t="str">
        <f>'EEM Data Entry'!F121</f>
        <v/>
      </c>
      <c r="D44" s="671">
        <v>0</v>
      </c>
      <c r="E44" s="661" t="e">
        <f t="shared" si="13"/>
        <v>#VALUE!</v>
      </c>
      <c r="F44" s="662">
        <f>('Cascading Savings'!D44*'Cascading Savings'!D$4)+('Cascading Savings'!F44*'Cascading Savings'!F$4)+('Cascading Savings'!H44*'Cascading Savings'!H$4)+('Cascading Savings'!J44*'Cascading Savings'!J$4)+('Cascading Savings'!L44*'Cascading Savings'!L$4)+('Cascading Savings'!N44*'Cascading Savings'!N$4)+('Cascading Savings'!P44*'Cascading Savings'!P$4)+('Cascading Savings'!R44*'Cascading Savings'!R$4)</f>
        <v>0</v>
      </c>
      <c r="G44" s="698">
        <f>'Cascading Savings'!T44</f>
        <v>0</v>
      </c>
      <c r="H44" s="672" t="e">
        <f t="shared" si="15"/>
        <v>#VALUE!</v>
      </c>
      <c r="I44" s="668" t="e">
        <f t="shared" si="14"/>
        <v>#VALUE!</v>
      </c>
      <c r="J44" s="666" t="e">
        <f t="shared" si="10"/>
        <v>#NUM!</v>
      </c>
      <c r="K44" s="667" t="e">
        <f>PV('Interest Rate'!$B$17,Table213[[#This Row],[Lifetime]],-Table213[[#This Row],[ANNUAL ENERGY COST SAVINGS]],Table213[[#This Row],[END-OF-LIFE]],0)-Table213[[#This Row],[CAPITAL INVESTMENT]]</f>
        <v>#VALUE!</v>
      </c>
      <c r="L44" s="687" t="str">
        <f>'EEM Data Entry'!C121</f>
        <v/>
      </c>
      <c r="M44" s="676" t="e">
        <f>Table213[[#This Row],[ANNUAL ENERGY COST SAVINGS]]/Table213[[#This Row],[CAPITAL INVESTMENT]]</f>
        <v>#VALUE!</v>
      </c>
      <c r="N44" s="623">
        <f>IF(ISNUMBER(Table213[[#This Row],[NPV]])=TRUE,Table213[[#This Row],[NPV]],0)</f>
        <v>0</v>
      </c>
      <c r="O44" s="802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44" s="568" t="str">
        <f>Table213[[#This Row],[Lifetime]]</f>
        <v/>
      </c>
      <c r="V44" s="657" t="str">
        <f t="shared" si="11"/>
        <v/>
      </c>
      <c r="W44" s="658">
        <f t="shared" si="12"/>
        <v>0</v>
      </c>
      <c r="X44" s="658">
        <f>IF(X$6&gt;$L44,0,W44*(1-'Interest Rate'!$B$17))</f>
        <v>0</v>
      </c>
      <c r="Y44" s="658">
        <f>IF(Y$6&gt;$L44,0,X44*(1-'Interest Rate'!$B$17))</f>
        <v>0</v>
      </c>
      <c r="Z44" s="658">
        <f>IF(Z$6&gt;$L44,0,Y44*(1-'Interest Rate'!$B$17))</f>
        <v>0</v>
      </c>
      <c r="AA44" s="658">
        <f>IF(AA$6&gt;$L44,0,Z44*(1-'Interest Rate'!$B$17))</f>
        <v>0</v>
      </c>
      <c r="AB44" s="658">
        <f>IF(AB$6&gt;$L44,0,AA44*(1-'Interest Rate'!$B$17))</f>
        <v>0</v>
      </c>
      <c r="AC44" s="658">
        <f>IF(AC$6&gt;$L44,0,AB44*(1-'Interest Rate'!$B$17))</f>
        <v>0</v>
      </c>
      <c r="AD44" s="658">
        <f>IF(AD$6&gt;$L44,0,AC44*(1-'Interest Rate'!$B$17))</f>
        <v>0</v>
      </c>
      <c r="AE44" s="658">
        <f>IF(AE$6&gt;$L44,0,AD44*(1-'Interest Rate'!$B$17))</f>
        <v>0</v>
      </c>
      <c r="AF44" s="658">
        <f>IF(AF$6&gt;$L44,0,AE44*(1-'Interest Rate'!$B$17))</f>
        <v>0</v>
      </c>
      <c r="AG44" s="658">
        <f>IF(AG$6&gt;$L44,0,AF44*(1-'Interest Rate'!$B$17))</f>
        <v>0</v>
      </c>
      <c r="AH44" s="658">
        <f>IF(AH$6&gt;$L44,0,AG44*(1-'Interest Rate'!$B$17))</f>
        <v>0</v>
      </c>
      <c r="AI44" s="658">
        <f>IF(AI$6&gt;$L44,0,AH44*(1-'Interest Rate'!$B$17))</f>
        <v>0</v>
      </c>
      <c r="AJ44" s="658">
        <f>IF(AJ$6&gt;$L44,0,AI44*(1-'Interest Rate'!$B$17))</f>
        <v>0</v>
      </c>
      <c r="AK44" s="658">
        <f>IF(AK$6&gt;$L44,0,AJ44*(1-'Interest Rate'!$B$17))</f>
        <v>0</v>
      </c>
      <c r="AL44" s="658">
        <f>IF(AL$6&gt;$L44,0,AK44*(1-'Interest Rate'!$B$17))</f>
        <v>0</v>
      </c>
      <c r="AM44" s="658">
        <f>IF(AM$6&gt;$L44,0,AL44*(1-'Interest Rate'!$B$17))</f>
        <v>0</v>
      </c>
      <c r="AN44" s="658">
        <f>IF(AN$6&gt;$L44,0,AM44*(1-'Interest Rate'!$B$17))</f>
        <v>0</v>
      </c>
      <c r="AO44" s="658">
        <f>IF(AO$6&gt;$L44,0,AN44*(1-'Interest Rate'!$B$17))</f>
        <v>0</v>
      </c>
      <c r="AP44" s="658">
        <f>IF(AP$6&gt;$L44,0,AO44*(1-'Interest Rate'!$B$17))</f>
        <v>0</v>
      </c>
      <c r="AQ44" s="658">
        <f>IF(AQ$6&gt;$L44,0,AP44*(1-'Interest Rate'!$B$17))</f>
        <v>0</v>
      </c>
      <c r="AR44" s="658">
        <f>IF(AR$6&gt;$L44,0,AQ44*(1-'Interest Rate'!$B$17))</f>
        <v>0</v>
      </c>
      <c r="AS44" s="658">
        <f>IF(AS$6&gt;$L44,0,AR44*(1-'Interest Rate'!$B$17))</f>
        <v>0</v>
      </c>
      <c r="AT44" s="658">
        <f>IF(AT$6&gt;$L44,0,AS44*(1-'Interest Rate'!$B$17))</f>
        <v>0</v>
      </c>
      <c r="AU44" s="658">
        <f>IF(AU$6&gt;$L44,0,AT44*(1-'Interest Rate'!$B$17))</f>
        <v>0</v>
      </c>
      <c r="AV44" s="658">
        <f>IF(AV$6&gt;$L44,0,AU44*(1-'Interest Rate'!$B$17))</f>
        <v>0</v>
      </c>
      <c r="AW44" s="658">
        <f>IF(AW$6&gt;$L44,0,AV44*(1-'Interest Rate'!$B$17))</f>
        <v>0</v>
      </c>
      <c r="AX44" s="658">
        <f>IF(AX$6&gt;$L44,0,AW44*(1-'Interest Rate'!$B$17))</f>
        <v>0</v>
      </c>
      <c r="AY44" s="658">
        <f>IF(AY$6&gt;$L44,0,AX44*(1-'Interest Rate'!$B$17))</f>
        <v>0</v>
      </c>
      <c r="AZ44" s="658">
        <f>IF(AZ$6&gt;$L44,0,AY44*(1-'Interest Rate'!$B$17))</f>
        <v>0</v>
      </c>
      <c r="BA44" s="658">
        <f>IF(BA$6&gt;$L44,0,AZ44*(1-'Interest Rate'!$B$17))</f>
        <v>0</v>
      </c>
      <c r="BB44" s="658">
        <f>IF(BB$6&gt;$L44,0,BA44*(1-'Interest Rate'!$B$17))</f>
        <v>0</v>
      </c>
      <c r="BC44" s="658">
        <f>IF(BC$6&gt;$L44,0,BB44*(1-'Interest Rate'!$B$17))</f>
        <v>0</v>
      </c>
      <c r="BD44" s="658">
        <f>IF(BD$6&gt;$L44,0,BC44*(1-'Interest Rate'!$B$17))</f>
        <v>0</v>
      </c>
      <c r="BE44" s="658">
        <f>IF(BE$6&gt;$L44,0,BD44*(1-'Interest Rate'!$B$17))</f>
        <v>0</v>
      </c>
      <c r="BF44" s="658">
        <f>IF(BF$6&gt;$L44,0,BE44*(1-'Interest Rate'!$B$17))</f>
        <v>0</v>
      </c>
      <c r="BG44" s="658">
        <f>IF(BG$6&gt;$L44,0,BF44*(1-'Interest Rate'!$B$17))</f>
        <v>0</v>
      </c>
      <c r="BH44" s="658">
        <f>IF(BH$6&gt;$L44,0,BG44*(1-'Interest Rate'!$B$17))</f>
        <v>0</v>
      </c>
      <c r="BI44" s="658">
        <f>IF(BI$6&gt;$L44,0,BH44*(1-'Interest Rate'!$B$17))</f>
        <v>0</v>
      </c>
      <c r="BJ44" s="658">
        <f>IF(BJ$6&gt;$L44,0,BI44*(1-'Interest Rate'!$B$17))</f>
        <v>0</v>
      </c>
      <c r="BK44" s="658">
        <f>IF(BK$6&gt;$L44,0,BJ44*(1-'Interest Rate'!$B$17))</f>
        <v>0</v>
      </c>
      <c r="BL44" s="658">
        <f>IF(BL$6&gt;$L44,0,BK44*(1-'Interest Rate'!$B$17))</f>
        <v>0</v>
      </c>
      <c r="BM44" s="658">
        <f>IF(BM$6&gt;$L44,0,BL44*(1-'Interest Rate'!$B$17))</f>
        <v>0</v>
      </c>
      <c r="BN44" s="658">
        <f>IF(BN$6&gt;$L44,0,BM44*(1-'Interest Rate'!$B$17))</f>
        <v>0</v>
      </c>
      <c r="BO44" s="658">
        <f>IF(BO$6&gt;$L44,0,BN44*(1-'Interest Rate'!$B$17))</f>
        <v>0</v>
      </c>
      <c r="BP44" s="658">
        <f>IF(BP$6&gt;$L44,0,BO44*(1-'Interest Rate'!$B$17))</f>
        <v>0</v>
      </c>
      <c r="BQ44" s="658">
        <f>IF(BQ$6&gt;$L44,0,BP44*(1-'Interest Rate'!$B$17))</f>
        <v>0</v>
      </c>
      <c r="BR44" s="658">
        <f>IF(BR$6&gt;$L44,0,BQ44*(1-'Interest Rate'!$B$17))</f>
        <v>0</v>
      </c>
      <c r="BS44" s="658">
        <f>IF(BS$6&gt;$L44,0,BR44*(1-'Interest Rate'!$B$17))</f>
        <v>0</v>
      </c>
      <c r="BT44" s="658">
        <f>IF(BT$6&gt;$L44,0,BS44*(1-'Interest Rate'!$B$17))</f>
        <v>0</v>
      </c>
      <c r="BU44" s="658">
        <f>IF(BU$6&gt;$L44,0,BT44*(1-'Interest Rate'!$B$17))</f>
        <v>0</v>
      </c>
      <c r="BV44" s="658">
        <f>IF(BV$6&gt;$L44,0,BU44*(1-'Interest Rate'!$B$17))</f>
        <v>0</v>
      </c>
      <c r="BW44" s="658">
        <f>IF(BW$6&gt;$L44,0,BV44*(1-'Interest Rate'!$B$17))</f>
        <v>0</v>
      </c>
      <c r="BX44" s="658">
        <f>IF(BX$6&gt;$L44,0,BW44*(1-'Interest Rate'!$B$17))</f>
        <v>0</v>
      </c>
      <c r="BY44" s="658">
        <f>IF(BY$6&gt;$L44,0,BX44*(1-'Interest Rate'!$B$17))</f>
        <v>0</v>
      </c>
      <c r="BZ44" s="658">
        <f>IF(BZ$6&gt;$L44,0,BY44*(1-'Interest Rate'!$B$17))</f>
        <v>0</v>
      </c>
      <c r="CA44" s="658">
        <f>IF(CA$6&gt;$L44,0,BZ44*(1-'Interest Rate'!$B$17))</f>
        <v>0</v>
      </c>
      <c r="CB44" s="658">
        <f>IF(CB$6&gt;$L44,0,CA44*(1-'Interest Rate'!$B$17))</f>
        <v>0</v>
      </c>
      <c r="CC44" s="658">
        <f>IF(CC$6&gt;$L44,0,CB44*(1-'Interest Rate'!$B$17))</f>
        <v>0</v>
      </c>
      <c r="CD44" s="658">
        <f>IF(CD$6&gt;$L44,0,CC44*(1-'Interest Rate'!$B$17))</f>
        <v>0</v>
      </c>
      <c r="CE44" s="658">
        <f>IF(CE$6&gt;$L44,0,CD44*(1-'Interest Rate'!$B$17))</f>
        <v>0</v>
      </c>
      <c r="CF44" s="658">
        <f>IF(CF$6&gt;$L44,0,CE44*(1-'Interest Rate'!$B$17))</f>
        <v>0</v>
      </c>
      <c r="CG44" s="658">
        <f>IF(CG$6&gt;$L44,0,CF44*(1-'Interest Rate'!$B$17))</f>
        <v>0</v>
      </c>
      <c r="CH44" s="658">
        <f>IF(CH$6&gt;$L44,0,CG44*(1-'Interest Rate'!$B$17))</f>
        <v>0</v>
      </c>
      <c r="CI44" s="658">
        <f>IF(CI$6&gt;$L44,0,CH44*(1-'Interest Rate'!$B$17))</f>
        <v>0</v>
      </c>
      <c r="CJ44" s="658">
        <f>IF(CJ$6&gt;$L44,0,CI44*(1-'Interest Rate'!$B$17))</f>
        <v>0</v>
      </c>
      <c r="CK44" s="658">
        <f>IF(CK$6&gt;$L44,0,CJ44*(1-'Interest Rate'!$B$17))</f>
        <v>0</v>
      </c>
      <c r="CL44" s="658">
        <f>IF(CL$6&gt;$L44,0,CK44*(1-'Interest Rate'!$B$17))</f>
        <v>0</v>
      </c>
      <c r="CM44" s="658">
        <f>IF(CM$6&gt;$L44,0,CL44*(1-'Interest Rate'!$B$17))</f>
        <v>0</v>
      </c>
      <c r="CN44" s="658">
        <f>IF(CN$6&gt;$L44,0,CM44*(1-'Interest Rate'!$B$17))</f>
        <v>0</v>
      </c>
      <c r="CO44" s="658">
        <f>IF(CO$6&gt;$L44,0,CN44*(1-'Interest Rate'!$B$17))</f>
        <v>0</v>
      </c>
      <c r="CP44" s="658">
        <f>IF(CP$6&gt;$L44,0,CO44*(1-'Interest Rate'!$B$17))</f>
        <v>0</v>
      </c>
      <c r="CQ44" s="658">
        <f>IF(CQ$6&gt;$L44,0,CP44*(1-'Interest Rate'!$B$17))</f>
        <v>0</v>
      </c>
      <c r="CR44" s="658">
        <f>IF(CR$6&gt;$L44,0,CQ44*(1-'Interest Rate'!$B$17))</f>
        <v>0</v>
      </c>
      <c r="CS44" s="658">
        <f>IF(CS$6&gt;$L44,0,CR44*(1-'Interest Rate'!$B$17))</f>
        <v>0</v>
      </c>
      <c r="CT44" s="658">
        <f>IF(CT$6&gt;$L44,0,CS44*(1-'Interest Rate'!$B$17))</f>
        <v>0</v>
      </c>
      <c r="CU44" s="658">
        <f>IF(CU$6&gt;$L44,0,CT44*(1-'Interest Rate'!$B$17))</f>
        <v>0</v>
      </c>
      <c r="CV44" s="658">
        <f>IF(CV$6&gt;$L44,0,CU44*(1-'Interest Rate'!$B$17))</f>
        <v>0</v>
      </c>
      <c r="CW44" s="658">
        <f>IF(CW$6&gt;$L44,0,CV44*(1-'Interest Rate'!$B$17))</f>
        <v>0</v>
      </c>
      <c r="CX44" s="658">
        <f>IF(CX$6&gt;$L44,0,CW44*(1-'Interest Rate'!$B$17))</f>
        <v>0</v>
      </c>
      <c r="CY44" s="658">
        <f>IF(CY$6&gt;$L44,0,CX44*(1-'Interest Rate'!$B$17))</f>
        <v>0</v>
      </c>
      <c r="CZ44" s="658">
        <f>IF(CZ$6&gt;$L44,0,CY44*(1-'Interest Rate'!$B$17))</f>
        <v>0</v>
      </c>
      <c r="DA44" s="658">
        <f>IF(DA$6&gt;$L44,0,CZ44*(1-'Interest Rate'!$B$17))</f>
        <v>0</v>
      </c>
      <c r="DB44" s="658">
        <f>IF(DB$6&gt;$L44,0,DA44*(1-'Interest Rate'!$B$17))</f>
        <v>0</v>
      </c>
      <c r="DC44" s="658">
        <f>IF(DC$6&gt;$L44,0,DB44*(1-'Interest Rate'!$B$17))</f>
        <v>0</v>
      </c>
      <c r="DD44" s="658">
        <f>IF(DD$6&gt;$L44,0,DC44*(1-'Interest Rate'!$B$17))</f>
        <v>0</v>
      </c>
      <c r="DE44" s="658">
        <f>IF(DE$6&gt;$L44,0,DD44*(1-'Interest Rate'!$B$17))</f>
        <v>0</v>
      </c>
      <c r="DF44" s="658">
        <f>IF(DF$6&gt;$L44,0,DE44*(1-'Interest Rate'!$B$17))</f>
        <v>0</v>
      </c>
      <c r="DG44" s="658">
        <f>IF(DG$6&gt;$L44,0,DF44*(1-'Interest Rate'!$B$17))</f>
        <v>0</v>
      </c>
      <c r="DH44" s="658">
        <f>IF(DH$6&gt;$L44,0,DG44*(1-'Interest Rate'!$B$17))</f>
        <v>0</v>
      </c>
      <c r="DI44" s="658">
        <f>IF(DI$6&gt;$L44,0,DH44*(1-'Interest Rate'!$B$17))</f>
        <v>0</v>
      </c>
      <c r="DJ44" s="658">
        <f>IF(DJ$6&gt;$L44,0,DI44*(1-'Interest Rate'!$B$17))</f>
        <v>0</v>
      </c>
      <c r="DK44" s="658">
        <f>IF(DK$6&gt;$L44,0,DJ44*(1-'Interest Rate'!$B$17))</f>
        <v>0</v>
      </c>
      <c r="DL44" s="658">
        <f>IF(DL$6&gt;$L44,0,DK44*(1-'Interest Rate'!$B$17))</f>
        <v>0</v>
      </c>
      <c r="DM44" s="658">
        <f>IF(DM$6&gt;$L44,0,DL44*(1-'Interest Rate'!$B$17))</f>
        <v>0</v>
      </c>
      <c r="DN44" s="658">
        <f>IF(DN$6&gt;$L44,0,DM44*(1-'Interest Rate'!$B$17))</f>
        <v>0</v>
      </c>
      <c r="DO44" s="658">
        <f>IF(DO$6&gt;$L44,0,DN44*(1-'Interest Rate'!$B$17))</f>
        <v>0</v>
      </c>
      <c r="DP44" s="658">
        <f>IF(DP$6&gt;$L44,0,DO44*(1-'Interest Rate'!$B$17))</f>
        <v>0</v>
      </c>
      <c r="DQ44" s="658">
        <f>IF(DQ$6&gt;$L44,0,DP44*(1-'Interest Rate'!$B$17))</f>
        <v>0</v>
      </c>
      <c r="DR44" s="658">
        <f>IF(DR$6&gt;$L44,0,DQ44*(1-'Interest Rate'!$B$17))</f>
        <v>0</v>
      </c>
    </row>
    <row r="45" spans="1:122" ht="33" customHeight="1" x14ac:dyDescent="0.3">
      <c r="A45" s="696" t="str">
        <f>'EEM Data Entry'!A122</f>
        <v/>
      </c>
      <c r="B45" s="697" t="str">
        <f>IF('EEM Data Entry'!B122="  ","  ", 'EEM Data Entry'!B122)</f>
        <v/>
      </c>
      <c r="C45" s="671" t="str">
        <f>'EEM Data Entry'!F122</f>
        <v/>
      </c>
      <c r="D45" s="671">
        <v>0</v>
      </c>
      <c r="E45" s="671" t="e">
        <f t="shared" si="13"/>
        <v>#VALUE!</v>
      </c>
      <c r="F45" s="650">
        <f>('Cascading Savings'!D45*'Cascading Savings'!D$4)+('Cascading Savings'!F45*'Cascading Savings'!F$4)+('Cascading Savings'!H45*'Cascading Savings'!H$4)+('Cascading Savings'!J45*'Cascading Savings'!J$4)+('Cascading Savings'!L45*'Cascading Savings'!L$4)+('Cascading Savings'!N45*'Cascading Savings'!N$4)+('Cascading Savings'!P45*'Cascading Savings'!P$4)+('Cascading Savings'!R45*'Cascading Savings'!R$4)</f>
        <v>0</v>
      </c>
      <c r="G45" s="698">
        <f>'Cascading Savings'!T45</f>
        <v>0</v>
      </c>
      <c r="H45" s="672" t="e">
        <f t="shared" si="15"/>
        <v>#VALUE!</v>
      </c>
      <c r="I45" s="668" t="e">
        <f t="shared" si="14"/>
        <v>#VALUE!</v>
      </c>
      <c r="J45" s="654" t="e">
        <f t="shared" si="10"/>
        <v>#NUM!</v>
      </c>
      <c r="K45" s="674" t="e">
        <f>PV('Interest Rate'!$B$17,Table213[[#This Row],[Lifetime]],-Table213[[#This Row],[ANNUAL ENERGY COST SAVINGS]],Table213[[#This Row],[END-OF-LIFE]],0)-Table213[[#This Row],[CAPITAL INVESTMENT]]</f>
        <v>#VALUE!</v>
      </c>
      <c r="L45" s="687" t="str">
        <f>'EEM Data Entry'!C122</f>
        <v/>
      </c>
      <c r="M45" s="669" t="e">
        <f>Table213[[#This Row],[ANNUAL ENERGY COST SAVINGS]]/Table213[[#This Row],[CAPITAL INVESTMENT]]</f>
        <v>#VALUE!</v>
      </c>
      <c r="N45" s="623">
        <f>IF(ISNUMBER(Table213[[#This Row],[NPV]])=TRUE,Table213[[#This Row],[NPV]],0)</f>
        <v>0</v>
      </c>
      <c r="O45" s="802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45" s="568" t="str">
        <f>Table213[[#This Row],[Lifetime]]</f>
        <v/>
      </c>
      <c r="V45" s="657" t="str">
        <f t="shared" si="11"/>
        <v/>
      </c>
      <c r="W45" s="658">
        <f t="shared" si="12"/>
        <v>0</v>
      </c>
      <c r="X45" s="658">
        <f>IF(X$6&gt;$L45,0,W45*(1-'Interest Rate'!$B$17))</f>
        <v>0</v>
      </c>
      <c r="Y45" s="658">
        <f>IF(Y$6&gt;$L45,0,X45*(1-'Interest Rate'!$B$17))</f>
        <v>0</v>
      </c>
      <c r="Z45" s="658">
        <f>IF(Z$6&gt;$L45,0,Y45*(1-'Interest Rate'!$B$17))</f>
        <v>0</v>
      </c>
      <c r="AA45" s="658">
        <f>IF(AA$6&gt;$L45,0,Z45*(1-'Interest Rate'!$B$17))</f>
        <v>0</v>
      </c>
      <c r="AB45" s="658">
        <f>IF(AB$6&gt;$L45,0,AA45*(1-'Interest Rate'!$B$17))</f>
        <v>0</v>
      </c>
      <c r="AC45" s="658">
        <f>IF(AC$6&gt;$L45,0,AB45*(1-'Interest Rate'!$B$17))</f>
        <v>0</v>
      </c>
      <c r="AD45" s="658">
        <f>IF(AD$6&gt;$L45,0,AC45*(1-'Interest Rate'!$B$17))</f>
        <v>0</v>
      </c>
      <c r="AE45" s="658">
        <f>IF(AE$6&gt;$L45,0,AD45*(1-'Interest Rate'!$B$17))</f>
        <v>0</v>
      </c>
      <c r="AF45" s="658">
        <f>IF(AF$6&gt;$L45,0,AE45*(1-'Interest Rate'!$B$17))</f>
        <v>0</v>
      </c>
      <c r="AG45" s="658">
        <f>IF(AG$6&gt;$L45,0,AF45*(1-'Interest Rate'!$B$17))</f>
        <v>0</v>
      </c>
      <c r="AH45" s="658">
        <f>IF(AH$6&gt;$L45,0,AG45*(1-'Interest Rate'!$B$17))</f>
        <v>0</v>
      </c>
      <c r="AI45" s="658">
        <f>IF(AI$6&gt;$L45,0,AH45*(1-'Interest Rate'!$B$17))</f>
        <v>0</v>
      </c>
      <c r="AJ45" s="658">
        <f>IF(AJ$6&gt;$L45,0,AI45*(1-'Interest Rate'!$B$17))</f>
        <v>0</v>
      </c>
      <c r="AK45" s="658">
        <f>IF(AK$6&gt;$L45,0,AJ45*(1-'Interest Rate'!$B$17))</f>
        <v>0</v>
      </c>
      <c r="AL45" s="658">
        <f>IF(AL$6&gt;$L45,0,AK45*(1-'Interest Rate'!$B$17))</f>
        <v>0</v>
      </c>
      <c r="AM45" s="658">
        <f>IF(AM$6&gt;$L45,0,AL45*(1-'Interest Rate'!$B$17))</f>
        <v>0</v>
      </c>
      <c r="AN45" s="658">
        <f>IF(AN$6&gt;$L45,0,AM45*(1-'Interest Rate'!$B$17))</f>
        <v>0</v>
      </c>
      <c r="AO45" s="658">
        <f>IF(AO$6&gt;$L45,0,AN45*(1-'Interest Rate'!$B$17))</f>
        <v>0</v>
      </c>
      <c r="AP45" s="658">
        <f>IF(AP$6&gt;$L45,0,AO45*(1-'Interest Rate'!$B$17))</f>
        <v>0</v>
      </c>
      <c r="AQ45" s="658">
        <f>IF(AQ$6&gt;$L45,0,AP45*(1-'Interest Rate'!$B$17))</f>
        <v>0</v>
      </c>
      <c r="AR45" s="658">
        <f>IF(AR$6&gt;$L45,0,AQ45*(1-'Interest Rate'!$B$17))</f>
        <v>0</v>
      </c>
      <c r="AS45" s="658">
        <f>IF(AS$6&gt;$L45,0,AR45*(1-'Interest Rate'!$B$17))</f>
        <v>0</v>
      </c>
      <c r="AT45" s="658">
        <f>IF(AT$6&gt;$L45,0,AS45*(1-'Interest Rate'!$B$17))</f>
        <v>0</v>
      </c>
      <c r="AU45" s="658">
        <f>IF(AU$6&gt;$L45,0,AT45*(1-'Interest Rate'!$B$17))</f>
        <v>0</v>
      </c>
      <c r="AV45" s="658">
        <f>IF(AV$6&gt;$L45,0,AU45*(1-'Interest Rate'!$B$17))</f>
        <v>0</v>
      </c>
      <c r="AW45" s="658">
        <f>IF(AW$6&gt;$L45,0,AV45*(1-'Interest Rate'!$B$17))</f>
        <v>0</v>
      </c>
      <c r="AX45" s="658">
        <f>IF(AX$6&gt;$L45,0,AW45*(1-'Interest Rate'!$B$17))</f>
        <v>0</v>
      </c>
      <c r="AY45" s="658">
        <f>IF(AY$6&gt;$L45,0,AX45*(1-'Interest Rate'!$B$17))</f>
        <v>0</v>
      </c>
      <c r="AZ45" s="658">
        <f>IF(AZ$6&gt;$L45,0,AY45*(1-'Interest Rate'!$B$17))</f>
        <v>0</v>
      </c>
      <c r="BA45" s="658">
        <f>IF(BA$6&gt;$L45,0,AZ45*(1-'Interest Rate'!$B$17))</f>
        <v>0</v>
      </c>
      <c r="BB45" s="658">
        <f>IF(BB$6&gt;$L45,0,BA45*(1-'Interest Rate'!$B$17))</f>
        <v>0</v>
      </c>
      <c r="BC45" s="658">
        <f>IF(BC$6&gt;$L45,0,BB45*(1-'Interest Rate'!$B$17))</f>
        <v>0</v>
      </c>
      <c r="BD45" s="658">
        <f>IF(BD$6&gt;$L45,0,BC45*(1-'Interest Rate'!$B$17))</f>
        <v>0</v>
      </c>
      <c r="BE45" s="658">
        <f>IF(BE$6&gt;$L45,0,BD45*(1-'Interest Rate'!$B$17))</f>
        <v>0</v>
      </c>
      <c r="BF45" s="658">
        <f>IF(BF$6&gt;$L45,0,BE45*(1-'Interest Rate'!$B$17))</f>
        <v>0</v>
      </c>
      <c r="BG45" s="658">
        <f>IF(BG$6&gt;$L45,0,BF45*(1-'Interest Rate'!$B$17))</f>
        <v>0</v>
      </c>
      <c r="BH45" s="658">
        <f>IF(BH$6&gt;$L45,0,BG45*(1-'Interest Rate'!$B$17))</f>
        <v>0</v>
      </c>
      <c r="BI45" s="658">
        <f>IF(BI$6&gt;$L45,0,BH45*(1-'Interest Rate'!$B$17))</f>
        <v>0</v>
      </c>
      <c r="BJ45" s="658">
        <f>IF(BJ$6&gt;$L45,0,BI45*(1-'Interest Rate'!$B$17))</f>
        <v>0</v>
      </c>
      <c r="BK45" s="658">
        <f>IF(BK$6&gt;$L45,0,BJ45*(1-'Interest Rate'!$B$17))</f>
        <v>0</v>
      </c>
      <c r="BL45" s="658">
        <f>IF(BL$6&gt;$L45,0,BK45*(1-'Interest Rate'!$B$17))</f>
        <v>0</v>
      </c>
      <c r="BM45" s="658">
        <f>IF(BM$6&gt;$L45,0,BL45*(1-'Interest Rate'!$B$17))</f>
        <v>0</v>
      </c>
      <c r="BN45" s="658">
        <f>IF(BN$6&gt;$L45,0,BM45*(1-'Interest Rate'!$B$17))</f>
        <v>0</v>
      </c>
      <c r="BO45" s="658">
        <f>IF(BO$6&gt;$L45,0,BN45*(1-'Interest Rate'!$B$17))</f>
        <v>0</v>
      </c>
      <c r="BP45" s="658">
        <f>IF(BP$6&gt;$L45,0,BO45*(1-'Interest Rate'!$B$17))</f>
        <v>0</v>
      </c>
      <c r="BQ45" s="658">
        <f>IF(BQ$6&gt;$L45,0,BP45*(1-'Interest Rate'!$B$17))</f>
        <v>0</v>
      </c>
      <c r="BR45" s="658">
        <f>IF(BR$6&gt;$L45,0,BQ45*(1-'Interest Rate'!$B$17))</f>
        <v>0</v>
      </c>
      <c r="BS45" s="658">
        <f>IF(BS$6&gt;$L45,0,BR45*(1-'Interest Rate'!$B$17))</f>
        <v>0</v>
      </c>
      <c r="BT45" s="658">
        <f>IF(BT$6&gt;$L45,0,BS45*(1-'Interest Rate'!$B$17))</f>
        <v>0</v>
      </c>
      <c r="BU45" s="658">
        <f>IF(BU$6&gt;$L45,0,BT45*(1-'Interest Rate'!$B$17))</f>
        <v>0</v>
      </c>
      <c r="BV45" s="658">
        <f>IF(BV$6&gt;$L45,0,BU45*(1-'Interest Rate'!$B$17))</f>
        <v>0</v>
      </c>
      <c r="BW45" s="658">
        <f>IF(BW$6&gt;$L45,0,BV45*(1-'Interest Rate'!$B$17))</f>
        <v>0</v>
      </c>
      <c r="BX45" s="658">
        <f>IF(BX$6&gt;$L45,0,BW45*(1-'Interest Rate'!$B$17))</f>
        <v>0</v>
      </c>
      <c r="BY45" s="658">
        <f>IF(BY$6&gt;$L45,0,BX45*(1-'Interest Rate'!$B$17))</f>
        <v>0</v>
      </c>
      <c r="BZ45" s="658">
        <f>IF(BZ$6&gt;$L45,0,BY45*(1-'Interest Rate'!$B$17))</f>
        <v>0</v>
      </c>
      <c r="CA45" s="658">
        <f>IF(CA$6&gt;$L45,0,BZ45*(1-'Interest Rate'!$B$17))</f>
        <v>0</v>
      </c>
      <c r="CB45" s="658">
        <f>IF(CB$6&gt;$L45,0,CA45*(1-'Interest Rate'!$B$17))</f>
        <v>0</v>
      </c>
      <c r="CC45" s="658">
        <f>IF(CC$6&gt;$L45,0,CB45*(1-'Interest Rate'!$B$17))</f>
        <v>0</v>
      </c>
      <c r="CD45" s="658">
        <f>IF(CD$6&gt;$L45,0,CC45*(1-'Interest Rate'!$B$17))</f>
        <v>0</v>
      </c>
      <c r="CE45" s="658">
        <f>IF(CE$6&gt;$L45,0,CD45*(1-'Interest Rate'!$B$17))</f>
        <v>0</v>
      </c>
      <c r="CF45" s="658">
        <f>IF(CF$6&gt;$L45,0,CE45*(1-'Interest Rate'!$B$17))</f>
        <v>0</v>
      </c>
      <c r="CG45" s="658">
        <f>IF(CG$6&gt;$L45,0,CF45*(1-'Interest Rate'!$B$17))</f>
        <v>0</v>
      </c>
      <c r="CH45" s="658">
        <f>IF(CH$6&gt;$L45,0,CG45*(1-'Interest Rate'!$B$17))</f>
        <v>0</v>
      </c>
      <c r="CI45" s="658">
        <f>IF(CI$6&gt;$L45,0,CH45*(1-'Interest Rate'!$B$17))</f>
        <v>0</v>
      </c>
      <c r="CJ45" s="658">
        <f>IF(CJ$6&gt;$L45,0,CI45*(1-'Interest Rate'!$B$17))</f>
        <v>0</v>
      </c>
      <c r="CK45" s="658">
        <f>IF(CK$6&gt;$L45,0,CJ45*(1-'Interest Rate'!$B$17))</f>
        <v>0</v>
      </c>
      <c r="CL45" s="658">
        <f>IF(CL$6&gt;$L45,0,CK45*(1-'Interest Rate'!$B$17))</f>
        <v>0</v>
      </c>
      <c r="CM45" s="658">
        <f>IF(CM$6&gt;$L45,0,CL45*(1-'Interest Rate'!$B$17))</f>
        <v>0</v>
      </c>
      <c r="CN45" s="658">
        <f>IF(CN$6&gt;$L45,0,CM45*(1-'Interest Rate'!$B$17))</f>
        <v>0</v>
      </c>
      <c r="CO45" s="658">
        <f>IF(CO$6&gt;$L45,0,CN45*(1-'Interest Rate'!$B$17))</f>
        <v>0</v>
      </c>
      <c r="CP45" s="658">
        <f>IF(CP$6&gt;$L45,0,CO45*(1-'Interest Rate'!$B$17))</f>
        <v>0</v>
      </c>
      <c r="CQ45" s="658">
        <f>IF(CQ$6&gt;$L45,0,CP45*(1-'Interest Rate'!$B$17))</f>
        <v>0</v>
      </c>
      <c r="CR45" s="658">
        <f>IF(CR$6&gt;$L45,0,CQ45*(1-'Interest Rate'!$B$17))</f>
        <v>0</v>
      </c>
      <c r="CS45" s="658">
        <f>IF(CS$6&gt;$L45,0,CR45*(1-'Interest Rate'!$B$17))</f>
        <v>0</v>
      </c>
      <c r="CT45" s="658">
        <f>IF(CT$6&gt;$L45,0,CS45*(1-'Interest Rate'!$B$17))</f>
        <v>0</v>
      </c>
      <c r="CU45" s="658">
        <f>IF(CU$6&gt;$L45,0,CT45*(1-'Interest Rate'!$B$17))</f>
        <v>0</v>
      </c>
      <c r="CV45" s="658">
        <f>IF(CV$6&gt;$L45,0,CU45*(1-'Interest Rate'!$B$17))</f>
        <v>0</v>
      </c>
      <c r="CW45" s="658">
        <f>IF(CW$6&gt;$L45,0,CV45*(1-'Interest Rate'!$B$17))</f>
        <v>0</v>
      </c>
      <c r="CX45" s="658">
        <f>IF(CX$6&gt;$L45,0,CW45*(1-'Interest Rate'!$B$17))</f>
        <v>0</v>
      </c>
      <c r="CY45" s="658">
        <f>IF(CY$6&gt;$L45,0,CX45*(1-'Interest Rate'!$B$17))</f>
        <v>0</v>
      </c>
      <c r="CZ45" s="658">
        <f>IF(CZ$6&gt;$L45,0,CY45*(1-'Interest Rate'!$B$17))</f>
        <v>0</v>
      </c>
      <c r="DA45" s="658">
        <f>IF(DA$6&gt;$L45,0,CZ45*(1-'Interest Rate'!$B$17))</f>
        <v>0</v>
      </c>
      <c r="DB45" s="658">
        <f>IF(DB$6&gt;$L45,0,DA45*(1-'Interest Rate'!$B$17))</f>
        <v>0</v>
      </c>
      <c r="DC45" s="658">
        <f>IF(DC$6&gt;$L45,0,DB45*(1-'Interest Rate'!$B$17))</f>
        <v>0</v>
      </c>
      <c r="DD45" s="658">
        <f>IF(DD$6&gt;$L45,0,DC45*(1-'Interest Rate'!$B$17))</f>
        <v>0</v>
      </c>
      <c r="DE45" s="658">
        <f>IF(DE$6&gt;$L45,0,DD45*(1-'Interest Rate'!$B$17))</f>
        <v>0</v>
      </c>
      <c r="DF45" s="658">
        <f>IF(DF$6&gt;$L45,0,DE45*(1-'Interest Rate'!$B$17))</f>
        <v>0</v>
      </c>
      <c r="DG45" s="658">
        <f>IF(DG$6&gt;$L45,0,DF45*(1-'Interest Rate'!$B$17))</f>
        <v>0</v>
      </c>
      <c r="DH45" s="658">
        <f>IF(DH$6&gt;$L45,0,DG45*(1-'Interest Rate'!$B$17))</f>
        <v>0</v>
      </c>
      <c r="DI45" s="658">
        <f>IF(DI$6&gt;$L45,0,DH45*(1-'Interest Rate'!$B$17))</f>
        <v>0</v>
      </c>
      <c r="DJ45" s="658">
        <f>IF(DJ$6&gt;$L45,0,DI45*(1-'Interest Rate'!$B$17))</f>
        <v>0</v>
      </c>
      <c r="DK45" s="658">
        <f>IF(DK$6&gt;$L45,0,DJ45*(1-'Interest Rate'!$B$17))</f>
        <v>0</v>
      </c>
      <c r="DL45" s="658">
        <f>IF(DL$6&gt;$L45,0,DK45*(1-'Interest Rate'!$B$17))</f>
        <v>0</v>
      </c>
      <c r="DM45" s="658">
        <f>IF(DM$6&gt;$L45,0,DL45*(1-'Interest Rate'!$B$17))</f>
        <v>0</v>
      </c>
      <c r="DN45" s="658">
        <f>IF(DN$6&gt;$L45,0,DM45*(1-'Interest Rate'!$B$17))</f>
        <v>0</v>
      </c>
      <c r="DO45" s="658">
        <f>IF(DO$6&gt;$L45,0,DN45*(1-'Interest Rate'!$B$17))</f>
        <v>0</v>
      </c>
      <c r="DP45" s="658">
        <f>IF(DP$6&gt;$L45,0,DO45*(1-'Interest Rate'!$B$17))</f>
        <v>0</v>
      </c>
      <c r="DQ45" s="658">
        <f>IF(DQ$6&gt;$L45,0,DP45*(1-'Interest Rate'!$B$17))</f>
        <v>0</v>
      </c>
      <c r="DR45" s="658">
        <f>IF(DR$6&gt;$L45,0,DQ45*(1-'Interest Rate'!$B$17))</f>
        <v>0</v>
      </c>
    </row>
    <row r="46" spans="1:122" ht="33" customHeight="1" x14ac:dyDescent="0.3">
      <c r="A46" s="696" t="str">
        <f>'EEM Data Entry'!A123</f>
        <v/>
      </c>
      <c r="B46" s="697" t="str">
        <f>IF('EEM Data Entry'!B123="  ","  ", 'EEM Data Entry'!B123)</f>
        <v/>
      </c>
      <c r="C46" s="671" t="str">
        <f>'EEM Data Entry'!F123</f>
        <v/>
      </c>
      <c r="D46" s="671">
        <v>0</v>
      </c>
      <c r="E46" s="661" t="e">
        <f t="shared" ref="E46" si="16">C46-D46</f>
        <v>#VALUE!</v>
      </c>
      <c r="F46" s="662">
        <f>('Cascading Savings'!D46*'Cascading Savings'!D$4)+('Cascading Savings'!F46*'Cascading Savings'!F$4)+('Cascading Savings'!H46*'Cascading Savings'!H$4)+('Cascading Savings'!J46*'Cascading Savings'!J$4)+('Cascading Savings'!L46*'Cascading Savings'!L$4)+('Cascading Savings'!N46*'Cascading Savings'!N$4)+('Cascading Savings'!P46*'Cascading Savings'!P$4)+('Cascading Savings'!R46*'Cascading Savings'!R$4)</f>
        <v>0</v>
      </c>
      <c r="G46" s="698">
        <f>'Cascading Savings'!T46</f>
        <v>0</v>
      </c>
      <c r="H46" s="672" t="e">
        <f>IF(C46=0,"n/a",E46/F46)</f>
        <v>#VALUE!</v>
      </c>
      <c r="I46" s="668" t="e">
        <f>IF(H46=0, "n/a", IF(H46&gt;100, "no",IF(H46&lt;0, "no", "yes")))</f>
        <v>#VALUE!</v>
      </c>
      <c r="J46" s="666" t="e">
        <f t="shared" si="10"/>
        <v>#NUM!</v>
      </c>
      <c r="K46" s="667" t="e">
        <f>PV('Interest Rate'!$B$17,Table213[[#This Row],[Lifetime]],-Table213[[#This Row],[ANNUAL ENERGY COST SAVINGS]],Table213[[#This Row],[END-OF-LIFE]],0)-Table213[[#This Row],[CAPITAL INVESTMENT]]</f>
        <v>#VALUE!</v>
      </c>
      <c r="L46" s="687" t="str">
        <f>'EEM Data Entry'!C123</f>
        <v/>
      </c>
      <c r="M46" s="676" t="e">
        <f>Table213[[#This Row],[ANNUAL ENERGY COST SAVINGS]]/Table213[[#This Row],[CAPITAL INVESTMENT]]</f>
        <v>#VALUE!</v>
      </c>
      <c r="N46" s="623">
        <f>IF(ISNUMBER(Table213[[#This Row],[NPV]])=TRUE,Table213[[#This Row],[NPV]],0)</f>
        <v>0</v>
      </c>
      <c r="O46" s="802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46" s="568" t="str">
        <f>Table213[[#This Row],[Lifetime]]</f>
        <v/>
      </c>
      <c r="V46" s="657" t="str">
        <f t="shared" si="11"/>
        <v/>
      </c>
      <c r="W46" s="658">
        <f t="shared" si="12"/>
        <v>0</v>
      </c>
      <c r="X46" s="658">
        <f>IF(X$6&gt;$L46,0,W46*(1-'Interest Rate'!$B$17))</f>
        <v>0</v>
      </c>
      <c r="Y46" s="658">
        <f>IF(Y$6&gt;$L46,0,X46*(1-'Interest Rate'!$B$17))</f>
        <v>0</v>
      </c>
      <c r="Z46" s="658">
        <f>IF(Z$6&gt;$L46,0,Y46*(1-'Interest Rate'!$B$17))</f>
        <v>0</v>
      </c>
      <c r="AA46" s="658">
        <f>IF(AA$6&gt;$L46,0,Z46*(1-'Interest Rate'!$B$17))</f>
        <v>0</v>
      </c>
      <c r="AB46" s="658">
        <f>IF(AB$6&gt;$L46,0,AA46*(1-'Interest Rate'!$B$17))</f>
        <v>0</v>
      </c>
      <c r="AC46" s="658">
        <f>IF(AC$6&gt;$L46,0,AB46*(1-'Interest Rate'!$B$17))</f>
        <v>0</v>
      </c>
      <c r="AD46" s="658">
        <f>IF(AD$6&gt;$L46,0,AC46*(1-'Interest Rate'!$B$17))</f>
        <v>0</v>
      </c>
      <c r="AE46" s="658">
        <f>IF(AE$6&gt;$L46,0,AD46*(1-'Interest Rate'!$B$17))</f>
        <v>0</v>
      </c>
      <c r="AF46" s="658">
        <f>IF(AF$6&gt;$L46,0,AE46*(1-'Interest Rate'!$B$17))</f>
        <v>0</v>
      </c>
      <c r="AG46" s="658">
        <f>IF(AG$6&gt;$L46,0,AF46*(1-'Interest Rate'!$B$17))</f>
        <v>0</v>
      </c>
      <c r="AH46" s="658">
        <f>IF(AH$6&gt;$L46,0,AG46*(1-'Interest Rate'!$B$17))</f>
        <v>0</v>
      </c>
      <c r="AI46" s="658">
        <f>IF(AI$6&gt;$L46,0,AH46*(1-'Interest Rate'!$B$17))</f>
        <v>0</v>
      </c>
      <c r="AJ46" s="658">
        <f>IF(AJ$6&gt;$L46,0,AI46*(1-'Interest Rate'!$B$17))</f>
        <v>0</v>
      </c>
      <c r="AK46" s="658">
        <f>IF(AK$6&gt;$L46,0,AJ46*(1-'Interest Rate'!$B$17))</f>
        <v>0</v>
      </c>
      <c r="AL46" s="658">
        <f>IF(AL$6&gt;$L46,0,AK46*(1-'Interest Rate'!$B$17))</f>
        <v>0</v>
      </c>
      <c r="AM46" s="658">
        <f>IF(AM$6&gt;$L46,0,AL46*(1-'Interest Rate'!$B$17))</f>
        <v>0</v>
      </c>
      <c r="AN46" s="658">
        <f>IF(AN$6&gt;$L46,0,AM46*(1-'Interest Rate'!$B$17))</f>
        <v>0</v>
      </c>
      <c r="AO46" s="658">
        <f>IF(AO$6&gt;$L46,0,AN46*(1-'Interest Rate'!$B$17))</f>
        <v>0</v>
      </c>
      <c r="AP46" s="658">
        <f>IF(AP$6&gt;$L46,0,AO46*(1-'Interest Rate'!$B$17))</f>
        <v>0</v>
      </c>
      <c r="AQ46" s="658">
        <f>IF(AQ$6&gt;$L46,0,AP46*(1-'Interest Rate'!$B$17))</f>
        <v>0</v>
      </c>
      <c r="AR46" s="658">
        <f>IF(AR$6&gt;$L46,0,AQ46*(1-'Interest Rate'!$B$17))</f>
        <v>0</v>
      </c>
      <c r="AS46" s="658">
        <f>IF(AS$6&gt;$L46,0,AR46*(1-'Interest Rate'!$B$17))</f>
        <v>0</v>
      </c>
      <c r="AT46" s="658">
        <f>IF(AT$6&gt;$L46,0,AS46*(1-'Interest Rate'!$B$17))</f>
        <v>0</v>
      </c>
      <c r="AU46" s="658">
        <f>IF(AU$6&gt;$L46,0,AT46*(1-'Interest Rate'!$B$17))</f>
        <v>0</v>
      </c>
      <c r="AV46" s="658">
        <f>IF(AV$6&gt;$L46,0,AU46*(1-'Interest Rate'!$B$17))</f>
        <v>0</v>
      </c>
      <c r="AW46" s="658">
        <f>IF(AW$6&gt;$L46,0,AV46*(1-'Interest Rate'!$B$17))</f>
        <v>0</v>
      </c>
      <c r="AX46" s="658">
        <f>IF(AX$6&gt;$L46,0,AW46*(1-'Interest Rate'!$B$17))</f>
        <v>0</v>
      </c>
      <c r="AY46" s="658">
        <f>IF(AY$6&gt;$L46,0,AX46*(1-'Interest Rate'!$B$17))</f>
        <v>0</v>
      </c>
      <c r="AZ46" s="658">
        <f>IF(AZ$6&gt;$L46,0,AY46*(1-'Interest Rate'!$B$17))</f>
        <v>0</v>
      </c>
      <c r="BA46" s="658">
        <f>IF(BA$6&gt;$L46,0,AZ46*(1-'Interest Rate'!$B$17))</f>
        <v>0</v>
      </c>
      <c r="BB46" s="658">
        <f>IF(BB$6&gt;$L46,0,BA46*(1-'Interest Rate'!$B$17))</f>
        <v>0</v>
      </c>
      <c r="BC46" s="658">
        <f>IF(BC$6&gt;$L46,0,BB46*(1-'Interest Rate'!$B$17))</f>
        <v>0</v>
      </c>
      <c r="BD46" s="658">
        <f>IF(BD$6&gt;$L46,0,BC46*(1-'Interest Rate'!$B$17))</f>
        <v>0</v>
      </c>
      <c r="BE46" s="658">
        <f>IF(BE$6&gt;$L46,0,BD46*(1-'Interest Rate'!$B$17))</f>
        <v>0</v>
      </c>
      <c r="BF46" s="658">
        <f>IF(BF$6&gt;$L46,0,BE46*(1-'Interest Rate'!$B$17))</f>
        <v>0</v>
      </c>
      <c r="BG46" s="658">
        <f>IF(BG$6&gt;$L46,0,BF46*(1-'Interest Rate'!$B$17))</f>
        <v>0</v>
      </c>
      <c r="BH46" s="658">
        <f>IF(BH$6&gt;$L46,0,BG46*(1-'Interest Rate'!$B$17))</f>
        <v>0</v>
      </c>
      <c r="BI46" s="658">
        <f>IF(BI$6&gt;$L46,0,BH46*(1-'Interest Rate'!$B$17))</f>
        <v>0</v>
      </c>
      <c r="BJ46" s="658">
        <f>IF(BJ$6&gt;$L46,0,BI46*(1-'Interest Rate'!$B$17))</f>
        <v>0</v>
      </c>
      <c r="BK46" s="658">
        <f>IF(BK$6&gt;$L46,0,BJ46*(1-'Interest Rate'!$B$17))</f>
        <v>0</v>
      </c>
      <c r="BL46" s="658">
        <f>IF(BL$6&gt;$L46,0,BK46*(1-'Interest Rate'!$B$17))</f>
        <v>0</v>
      </c>
      <c r="BM46" s="658">
        <f>IF(BM$6&gt;$L46,0,BL46*(1-'Interest Rate'!$B$17))</f>
        <v>0</v>
      </c>
      <c r="BN46" s="658">
        <f>IF(BN$6&gt;$L46,0,BM46*(1-'Interest Rate'!$B$17))</f>
        <v>0</v>
      </c>
      <c r="BO46" s="658">
        <f>IF(BO$6&gt;$L46,0,BN46*(1-'Interest Rate'!$B$17))</f>
        <v>0</v>
      </c>
      <c r="BP46" s="658">
        <f>IF(BP$6&gt;$L46,0,BO46*(1-'Interest Rate'!$B$17))</f>
        <v>0</v>
      </c>
      <c r="BQ46" s="658">
        <f>IF(BQ$6&gt;$L46,0,BP46*(1-'Interest Rate'!$B$17))</f>
        <v>0</v>
      </c>
      <c r="BR46" s="658">
        <f>IF(BR$6&gt;$L46,0,BQ46*(1-'Interest Rate'!$B$17))</f>
        <v>0</v>
      </c>
      <c r="BS46" s="658">
        <f>IF(BS$6&gt;$L46,0,BR46*(1-'Interest Rate'!$B$17))</f>
        <v>0</v>
      </c>
      <c r="BT46" s="658">
        <f>IF(BT$6&gt;$L46,0,BS46*(1-'Interest Rate'!$B$17))</f>
        <v>0</v>
      </c>
      <c r="BU46" s="658">
        <f>IF(BU$6&gt;$L46,0,BT46*(1-'Interest Rate'!$B$17))</f>
        <v>0</v>
      </c>
      <c r="BV46" s="658">
        <f>IF(BV$6&gt;$L46,0,BU46*(1-'Interest Rate'!$B$17))</f>
        <v>0</v>
      </c>
      <c r="BW46" s="658">
        <f>IF(BW$6&gt;$L46,0,BV46*(1-'Interest Rate'!$B$17))</f>
        <v>0</v>
      </c>
      <c r="BX46" s="658">
        <f>IF(BX$6&gt;$L46,0,BW46*(1-'Interest Rate'!$B$17))</f>
        <v>0</v>
      </c>
      <c r="BY46" s="658">
        <f>IF(BY$6&gt;$L46,0,BX46*(1-'Interest Rate'!$B$17))</f>
        <v>0</v>
      </c>
      <c r="BZ46" s="658">
        <f>IF(BZ$6&gt;$L46,0,BY46*(1-'Interest Rate'!$B$17))</f>
        <v>0</v>
      </c>
      <c r="CA46" s="658">
        <f>IF(CA$6&gt;$L46,0,BZ46*(1-'Interest Rate'!$B$17))</f>
        <v>0</v>
      </c>
      <c r="CB46" s="658">
        <f>IF(CB$6&gt;$L46,0,CA46*(1-'Interest Rate'!$B$17))</f>
        <v>0</v>
      </c>
      <c r="CC46" s="658">
        <f>IF(CC$6&gt;$L46,0,CB46*(1-'Interest Rate'!$B$17))</f>
        <v>0</v>
      </c>
      <c r="CD46" s="658">
        <f>IF(CD$6&gt;$L46,0,CC46*(1-'Interest Rate'!$B$17))</f>
        <v>0</v>
      </c>
      <c r="CE46" s="658">
        <f>IF(CE$6&gt;$L46,0,CD46*(1-'Interest Rate'!$B$17))</f>
        <v>0</v>
      </c>
      <c r="CF46" s="658">
        <f>IF(CF$6&gt;$L46,0,CE46*(1-'Interest Rate'!$B$17))</f>
        <v>0</v>
      </c>
      <c r="CG46" s="658">
        <f>IF(CG$6&gt;$L46,0,CF46*(1-'Interest Rate'!$B$17))</f>
        <v>0</v>
      </c>
      <c r="CH46" s="658">
        <f>IF(CH$6&gt;$L46,0,CG46*(1-'Interest Rate'!$B$17))</f>
        <v>0</v>
      </c>
      <c r="CI46" s="658">
        <f>IF(CI$6&gt;$L46,0,CH46*(1-'Interest Rate'!$B$17))</f>
        <v>0</v>
      </c>
      <c r="CJ46" s="658">
        <f>IF(CJ$6&gt;$L46,0,CI46*(1-'Interest Rate'!$B$17))</f>
        <v>0</v>
      </c>
      <c r="CK46" s="658">
        <f>IF(CK$6&gt;$L46,0,CJ46*(1-'Interest Rate'!$B$17))</f>
        <v>0</v>
      </c>
      <c r="CL46" s="658">
        <f>IF(CL$6&gt;$L46,0,CK46*(1-'Interest Rate'!$B$17))</f>
        <v>0</v>
      </c>
      <c r="CM46" s="658">
        <f>IF(CM$6&gt;$L46,0,CL46*(1-'Interest Rate'!$B$17))</f>
        <v>0</v>
      </c>
      <c r="CN46" s="658">
        <f>IF(CN$6&gt;$L46,0,CM46*(1-'Interest Rate'!$B$17))</f>
        <v>0</v>
      </c>
      <c r="CO46" s="658">
        <f>IF(CO$6&gt;$L46,0,CN46*(1-'Interest Rate'!$B$17))</f>
        <v>0</v>
      </c>
      <c r="CP46" s="658">
        <f>IF(CP$6&gt;$L46,0,CO46*(1-'Interest Rate'!$B$17))</f>
        <v>0</v>
      </c>
      <c r="CQ46" s="658">
        <f>IF(CQ$6&gt;$L46,0,CP46*(1-'Interest Rate'!$B$17))</f>
        <v>0</v>
      </c>
      <c r="CR46" s="658">
        <f>IF(CR$6&gt;$L46,0,CQ46*(1-'Interest Rate'!$B$17))</f>
        <v>0</v>
      </c>
      <c r="CS46" s="658">
        <f>IF(CS$6&gt;$L46,0,CR46*(1-'Interest Rate'!$B$17))</f>
        <v>0</v>
      </c>
      <c r="CT46" s="658">
        <f>IF(CT$6&gt;$L46,0,CS46*(1-'Interest Rate'!$B$17))</f>
        <v>0</v>
      </c>
      <c r="CU46" s="658">
        <f>IF(CU$6&gt;$L46,0,CT46*(1-'Interest Rate'!$B$17))</f>
        <v>0</v>
      </c>
      <c r="CV46" s="658">
        <f>IF(CV$6&gt;$L46,0,CU46*(1-'Interest Rate'!$B$17))</f>
        <v>0</v>
      </c>
      <c r="CW46" s="658">
        <f>IF(CW$6&gt;$L46,0,CV46*(1-'Interest Rate'!$B$17))</f>
        <v>0</v>
      </c>
      <c r="CX46" s="658">
        <f>IF(CX$6&gt;$L46,0,CW46*(1-'Interest Rate'!$B$17))</f>
        <v>0</v>
      </c>
      <c r="CY46" s="658">
        <f>IF(CY$6&gt;$L46,0,CX46*(1-'Interest Rate'!$B$17))</f>
        <v>0</v>
      </c>
      <c r="CZ46" s="658">
        <f>IF(CZ$6&gt;$L46,0,CY46*(1-'Interest Rate'!$B$17))</f>
        <v>0</v>
      </c>
      <c r="DA46" s="658">
        <f>IF(DA$6&gt;$L46,0,CZ46*(1-'Interest Rate'!$B$17))</f>
        <v>0</v>
      </c>
      <c r="DB46" s="658">
        <f>IF(DB$6&gt;$L46,0,DA46*(1-'Interest Rate'!$B$17))</f>
        <v>0</v>
      </c>
      <c r="DC46" s="658">
        <f>IF(DC$6&gt;$L46,0,DB46*(1-'Interest Rate'!$B$17))</f>
        <v>0</v>
      </c>
      <c r="DD46" s="658">
        <f>IF(DD$6&gt;$L46,0,DC46*(1-'Interest Rate'!$B$17))</f>
        <v>0</v>
      </c>
      <c r="DE46" s="658">
        <f>IF(DE$6&gt;$L46,0,DD46*(1-'Interest Rate'!$B$17))</f>
        <v>0</v>
      </c>
      <c r="DF46" s="658">
        <f>IF(DF$6&gt;$L46,0,DE46*(1-'Interest Rate'!$B$17))</f>
        <v>0</v>
      </c>
      <c r="DG46" s="658">
        <f>IF(DG$6&gt;$L46,0,DF46*(1-'Interest Rate'!$B$17))</f>
        <v>0</v>
      </c>
      <c r="DH46" s="658">
        <f>IF(DH$6&gt;$L46,0,DG46*(1-'Interest Rate'!$B$17))</f>
        <v>0</v>
      </c>
      <c r="DI46" s="658">
        <f>IF(DI$6&gt;$L46,0,DH46*(1-'Interest Rate'!$B$17))</f>
        <v>0</v>
      </c>
      <c r="DJ46" s="658">
        <f>IF(DJ$6&gt;$L46,0,DI46*(1-'Interest Rate'!$B$17))</f>
        <v>0</v>
      </c>
      <c r="DK46" s="658">
        <f>IF(DK$6&gt;$L46,0,DJ46*(1-'Interest Rate'!$B$17))</f>
        <v>0</v>
      </c>
      <c r="DL46" s="658">
        <f>IF(DL$6&gt;$L46,0,DK46*(1-'Interest Rate'!$B$17))</f>
        <v>0</v>
      </c>
      <c r="DM46" s="658">
        <f>IF(DM$6&gt;$L46,0,DL46*(1-'Interest Rate'!$B$17))</f>
        <v>0</v>
      </c>
      <c r="DN46" s="658">
        <f>IF(DN$6&gt;$L46,0,DM46*(1-'Interest Rate'!$B$17))</f>
        <v>0</v>
      </c>
      <c r="DO46" s="658">
        <f>IF(DO$6&gt;$L46,0,DN46*(1-'Interest Rate'!$B$17))</f>
        <v>0</v>
      </c>
      <c r="DP46" s="658">
        <f>IF(DP$6&gt;$L46,0,DO46*(1-'Interest Rate'!$B$17))</f>
        <v>0</v>
      </c>
      <c r="DQ46" s="658">
        <f>IF(DQ$6&gt;$L46,0,DP46*(1-'Interest Rate'!$B$17))</f>
        <v>0</v>
      </c>
      <c r="DR46" s="658">
        <f>IF(DR$6&gt;$L46,0,DQ46*(1-'Interest Rate'!$B$17))</f>
        <v>0</v>
      </c>
    </row>
    <row r="47" spans="1:122" ht="33" customHeight="1" x14ac:dyDescent="0.3">
      <c r="A47" s="699"/>
      <c r="B47" s="700"/>
      <c r="C47" s="671" t="str">
        <f>'EEM Data Entry'!F123</f>
        <v/>
      </c>
      <c r="D47" s="701"/>
      <c r="E47" s="701"/>
      <c r="F47" s="702"/>
      <c r="G47" s="681"/>
      <c r="H47" s="703"/>
      <c r="I47" s="704"/>
      <c r="J47" s="684"/>
      <c r="K47" s="705"/>
      <c r="N47" s="623"/>
      <c r="O47" s="623"/>
      <c r="V47" s="657"/>
      <c r="W47" s="658"/>
      <c r="X47" s="658"/>
      <c r="Y47" s="658"/>
      <c r="Z47" s="658"/>
      <c r="AA47" s="658"/>
      <c r="AB47" s="658"/>
      <c r="AC47" s="658"/>
      <c r="AD47" s="658"/>
      <c r="AE47" s="658"/>
      <c r="AF47" s="658"/>
      <c r="AG47" s="658"/>
      <c r="AH47" s="658"/>
      <c r="AI47" s="658"/>
      <c r="AJ47" s="658"/>
      <c r="AK47" s="658"/>
      <c r="AL47" s="658"/>
      <c r="AM47" s="658"/>
      <c r="AN47" s="658"/>
      <c r="AO47" s="658"/>
      <c r="AP47" s="658"/>
      <c r="AQ47" s="658"/>
      <c r="AR47" s="658"/>
      <c r="AS47" s="658"/>
      <c r="AT47" s="658"/>
      <c r="AU47" s="658"/>
      <c r="AV47" s="658"/>
      <c r="AW47" s="658"/>
      <c r="AX47" s="658"/>
      <c r="AY47" s="658"/>
      <c r="AZ47" s="658"/>
      <c r="BA47" s="687"/>
      <c r="BB47" s="687"/>
      <c r="BC47" s="706"/>
      <c r="BD47" s="706"/>
      <c r="BE47" s="706"/>
      <c r="BF47" s="706"/>
      <c r="BG47" s="706"/>
      <c r="BH47" s="706"/>
      <c r="BI47" s="706"/>
      <c r="BJ47" s="706"/>
    </row>
    <row r="48" spans="1:122" ht="33" customHeight="1" x14ac:dyDescent="0.4">
      <c r="A48" s="707"/>
      <c r="B48" s="708"/>
      <c r="C48" s="709"/>
      <c r="D48" s="683"/>
      <c r="E48" s="709"/>
      <c r="F48" s="710"/>
      <c r="G48" s="711"/>
      <c r="H48" s="712"/>
      <c r="I48" s="683"/>
      <c r="J48" s="685"/>
      <c r="K48" s="685"/>
      <c r="N48" s="623"/>
      <c r="O48" s="623"/>
      <c r="V48" s="657"/>
      <c r="W48" s="658"/>
      <c r="X48" s="658"/>
      <c r="Y48" s="658"/>
      <c r="Z48" s="658"/>
      <c r="AA48" s="658"/>
      <c r="AB48" s="658"/>
      <c r="AC48" s="658"/>
      <c r="AD48" s="658"/>
      <c r="AE48" s="658"/>
      <c r="AF48" s="658"/>
      <c r="AG48" s="658"/>
      <c r="AH48" s="658"/>
      <c r="AI48" s="658"/>
      <c r="AJ48" s="658"/>
      <c r="AK48" s="658"/>
      <c r="AL48" s="658"/>
      <c r="AM48" s="658"/>
      <c r="AN48" s="658"/>
      <c r="AO48" s="658"/>
      <c r="AP48" s="658"/>
      <c r="AQ48" s="658"/>
      <c r="AR48" s="658"/>
      <c r="AS48" s="658"/>
      <c r="AT48" s="658"/>
      <c r="AU48" s="658"/>
      <c r="AV48" s="658"/>
      <c r="AW48" s="658"/>
      <c r="AX48" s="658"/>
      <c r="AY48" s="658"/>
      <c r="AZ48" s="658"/>
      <c r="BA48" s="687"/>
      <c r="BB48" s="687"/>
      <c r="BC48" s="706"/>
      <c r="BD48" s="706"/>
      <c r="BE48" s="706"/>
      <c r="BF48" s="706"/>
      <c r="BG48" s="706"/>
      <c r="BH48" s="706"/>
      <c r="BI48" s="706"/>
      <c r="BJ48" s="706"/>
    </row>
    <row r="49" spans="1:122" s="610" customFormat="1" ht="33" customHeight="1" x14ac:dyDescent="0.25">
      <c r="A49" s="689" t="s">
        <v>145</v>
      </c>
      <c r="B49" s="690" t="s">
        <v>406</v>
      </c>
      <c r="C49" s="691" t="s">
        <v>35</v>
      </c>
      <c r="D49" s="691" t="s">
        <v>90</v>
      </c>
      <c r="E49" s="691" t="s">
        <v>119</v>
      </c>
      <c r="F49" s="692" t="s">
        <v>118</v>
      </c>
      <c r="G49" s="691" t="s">
        <v>125</v>
      </c>
      <c r="H49" s="691" t="s">
        <v>124</v>
      </c>
      <c r="I49" s="691" t="s">
        <v>72</v>
      </c>
      <c r="J49" s="693" t="s">
        <v>17</v>
      </c>
      <c r="K49" s="694" t="s">
        <v>22</v>
      </c>
      <c r="L49" s="596" t="s">
        <v>157</v>
      </c>
      <c r="M49" s="596" t="s">
        <v>159</v>
      </c>
      <c r="N49" s="596" t="s">
        <v>232</v>
      </c>
      <c r="O49" s="596" t="s">
        <v>231</v>
      </c>
      <c r="V49" s="695"/>
      <c r="W49" s="646">
        <v>1</v>
      </c>
      <c r="X49" s="646">
        <v>2</v>
      </c>
      <c r="Y49" s="646">
        <v>3</v>
      </c>
      <c r="Z49" s="646">
        <v>4</v>
      </c>
      <c r="AA49" s="646">
        <v>5</v>
      </c>
      <c r="AB49" s="646">
        <v>6</v>
      </c>
      <c r="AC49" s="646">
        <v>7</v>
      </c>
      <c r="AD49" s="646">
        <v>8</v>
      </c>
      <c r="AE49" s="646">
        <v>9</v>
      </c>
      <c r="AF49" s="646">
        <v>10</v>
      </c>
      <c r="AG49" s="646">
        <v>11</v>
      </c>
      <c r="AH49" s="646">
        <v>12</v>
      </c>
      <c r="AI49" s="646">
        <v>13</v>
      </c>
      <c r="AJ49" s="646">
        <v>14</v>
      </c>
      <c r="AK49" s="646">
        <v>15</v>
      </c>
      <c r="AL49" s="646">
        <v>16</v>
      </c>
      <c r="AM49" s="646">
        <v>17</v>
      </c>
      <c r="AN49" s="646">
        <v>18</v>
      </c>
      <c r="AO49" s="646">
        <v>19</v>
      </c>
      <c r="AP49" s="646">
        <v>20</v>
      </c>
      <c r="AQ49" s="646">
        <v>21</v>
      </c>
      <c r="AR49" s="646">
        <v>22</v>
      </c>
      <c r="AS49" s="646">
        <v>23</v>
      </c>
      <c r="AT49" s="646">
        <v>24</v>
      </c>
      <c r="AU49" s="646">
        <v>25</v>
      </c>
      <c r="AV49" s="646">
        <v>26</v>
      </c>
      <c r="AW49" s="646">
        <v>27</v>
      </c>
      <c r="AX49" s="646">
        <v>28</v>
      </c>
      <c r="AY49" s="646">
        <v>29</v>
      </c>
      <c r="AZ49" s="646">
        <v>30</v>
      </c>
      <c r="BA49" s="646">
        <v>31</v>
      </c>
      <c r="BB49" s="646">
        <v>32</v>
      </c>
      <c r="BC49" s="646">
        <v>33</v>
      </c>
      <c r="BD49" s="646">
        <v>34</v>
      </c>
      <c r="BE49" s="646">
        <v>35</v>
      </c>
      <c r="BF49" s="646">
        <v>36</v>
      </c>
      <c r="BG49" s="646">
        <v>37</v>
      </c>
      <c r="BH49" s="646">
        <v>38</v>
      </c>
      <c r="BI49" s="646">
        <v>39</v>
      </c>
      <c r="BJ49" s="646">
        <v>40</v>
      </c>
      <c r="BK49" s="646">
        <v>41</v>
      </c>
      <c r="BL49" s="646">
        <v>42</v>
      </c>
      <c r="BM49" s="646">
        <v>43</v>
      </c>
      <c r="BN49" s="646">
        <v>44</v>
      </c>
      <c r="BO49" s="646">
        <v>45</v>
      </c>
      <c r="BP49" s="646">
        <v>46</v>
      </c>
      <c r="BQ49" s="646">
        <v>47</v>
      </c>
      <c r="BR49" s="646">
        <v>48</v>
      </c>
      <c r="BS49" s="646">
        <v>49</v>
      </c>
      <c r="BT49" s="646">
        <v>50</v>
      </c>
      <c r="BU49" s="646">
        <v>51</v>
      </c>
      <c r="BV49" s="646">
        <v>52</v>
      </c>
      <c r="BW49" s="646">
        <v>53</v>
      </c>
      <c r="BX49" s="646">
        <v>54</v>
      </c>
      <c r="BY49" s="646">
        <v>55</v>
      </c>
      <c r="BZ49" s="646">
        <v>56</v>
      </c>
      <c r="CA49" s="646">
        <v>57</v>
      </c>
      <c r="CB49" s="646">
        <v>58</v>
      </c>
      <c r="CC49" s="646">
        <v>59</v>
      </c>
      <c r="CD49" s="646">
        <v>60</v>
      </c>
      <c r="CE49" s="646">
        <v>61</v>
      </c>
      <c r="CF49" s="646">
        <v>62</v>
      </c>
      <c r="CG49" s="646">
        <v>63</v>
      </c>
      <c r="CH49" s="646">
        <v>64</v>
      </c>
      <c r="CI49" s="646">
        <v>65</v>
      </c>
      <c r="CJ49" s="646">
        <v>66</v>
      </c>
      <c r="CK49" s="646">
        <v>67</v>
      </c>
      <c r="CL49" s="646">
        <v>68</v>
      </c>
      <c r="CM49" s="646">
        <v>69</v>
      </c>
      <c r="CN49" s="646">
        <v>70</v>
      </c>
      <c r="CO49" s="646">
        <v>71</v>
      </c>
      <c r="CP49" s="646">
        <v>72</v>
      </c>
      <c r="CQ49" s="646">
        <v>73</v>
      </c>
      <c r="CR49" s="646">
        <v>74</v>
      </c>
      <c r="CS49" s="646">
        <v>75</v>
      </c>
      <c r="CT49" s="646">
        <v>76</v>
      </c>
      <c r="CU49" s="646">
        <v>77</v>
      </c>
      <c r="CV49" s="646">
        <v>78</v>
      </c>
      <c r="CW49" s="646">
        <v>79</v>
      </c>
      <c r="CX49" s="646">
        <v>80</v>
      </c>
      <c r="CY49" s="646">
        <v>81</v>
      </c>
      <c r="CZ49" s="646">
        <v>82</v>
      </c>
      <c r="DA49" s="646">
        <v>83</v>
      </c>
      <c r="DB49" s="646">
        <v>84</v>
      </c>
      <c r="DC49" s="646">
        <v>85</v>
      </c>
      <c r="DD49" s="646">
        <v>86</v>
      </c>
      <c r="DE49" s="646">
        <v>87</v>
      </c>
      <c r="DF49" s="646">
        <v>88</v>
      </c>
      <c r="DG49" s="646">
        <v>89</v>
      </c>
      <c r="DH49" s="646">
        <v>90</v>
      </c>
      <c r="DI49" s="646">
        <v>91</v>
      </c>
      <c r="DJ49" s="646">
        <v>92</v>
      </c>
      <c r="DK49" s="646">
        <v>93</v>
      </c>
      <c r="DL49" s="646">
        <v>94</v>
      </c>
      <c r="DM49" s="646">
        <v>95</v>
      </c>
      <c r="DN49" s="646">
        <v>96</v>
      </c>
      <c r="DO49" s="646">
        <v>97</v>
      </c>
      <c r="DP49" s="646">
        <v>98</v>
      </c>
      <c r="DQ49" s="646">
        <v>99</v>
      </c>
      <c r="DR49" s="646">
        <v>100</v>
      </c>
    </row>
    <row r="50" spans="1:122" ht="33" customHeight="1" x14ac:dyDescent="0.3">
      <c r="A50" s="696" t="str">
        <f>'EEM Data Entry'!A125</f>
        <v/>
      </c>
      <c r="B50" s="697" t="str">
        <f>IF('EEM Data Entry'!B125="  ","  ", 'EEM Data Entry'!B125)</f>
        <v/>
      </c>
      <c r="C50" s="671" t="str">
        <f>'EEM Data Entry'!F125</f>
        <v/>
      </c>
      <c r="D50" s="671">
        <v>0</v>
      </c>
      <c r="E50" s="671" t="e">
        <f>C50-D50</f>
        <v>#VALUE!</v>
      </c>
      <c r="F50" s="650">
        <f>('Cascading Savings'!D50*'Cascading Savings'!D$4)+('Cascading Savings'!F50*'Cascading Savings'!F$4)+('Cascading Savings'!H50*'Cascading Savings'!H$4)+('Cascading Savings'!J50*'Cascading Savings'!J$4)+('Cascading Savings'!L50*'Cascading Savings'!L$4)+('Cascading Savings'!N50*'Cascading Savings'!N$4)+('Cascading Savings'!P50*'Cascading Savings'!P$4)+('Cascading Savings'!R50*'Cascading Savings'!R$4)</f>
        <v>0</v>
      </c>
      <c r="G50" s="698">
        <f>'Cascading Savings'!T50</f>
        <v>0</v>
      </c>
      <c r="H50" s="672" t="e">
        <f>IF(C50=0,"n/a",E50/F50)</f>
        <v>#VALUE!</v>
      </c>
      <c r="I50" s="668" t="e">
        <f>IF(H50=0, "n/a", IF(H50&gt;100, "no",IF(H50&lt;0, "no", "yes")))</f>
        <v>#VALUE!</v>
      </c>
      <c r="J50" s="605" t="e">
        <f t="shared" ref="J50:J64" si="17">IRR(V50:DR50,0.1)</f>
        <v>#NUM!</v>
      </c>
      <c r="K50" s="674" t="e">
        <f>PV('Interest Rate'!$B$17,Table314[[#This Row],[Lifetime]],-Table314[[#This Row],[ANNUAL ENERGY COST SAVINGS]],Table314[[#This Row],[END-OF-LIFE]],0)-Table314[[#This Row],[CAPITAL INVESTMENT]]</f>
        <v>#VALUE!</v>
      </c>
      <c r="L50" s="696" t="str">
        <f>'EEM Data Entry'!C125</f>
        <v/>
      </c>
      <c r="M50" s="656" t="e">
        <f>Table314[[#This Row],[ANNUAL ENERGY COST SAVINGS]]/Table314[[#This Row],[CAPITAL INVESTMENT]]</f>
        <v>#VALUE!</v>
      </c>
      <c r="N50" s="699">
        <f>IF(ISNUMBER(Table314[[#This Row],[NPV]])=TRUE,Table314[[#This Row],[NPV]],0)</f>
        <v>0</v>
      </c>
      <c r="O50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50" s="568" t="str">
        <f>Table314[[#This Row],[Lifetime]]</f>
        <v/>
      </c>
      <c r="V50" s="657" t="str">
        <f t="shared" ref="V50:V64" si="18">IF(ISNUMBER(E50)=TRUE,-E50,"")</f>
        <v/>
      </c>
      <c r="W50" s="658">
        <f>Table314[[#This Row],[ANNUAL ENERGY COST SAVINGS]]</f>
        <v>0</v>
      </c>
      <c r="X50" s="658">
        <f>IF(X$6&gt;$L50,0,W50*(1-'Interest Rate'!$B$17))</f>
        <v>0</v>
      </c>
      <c r="Y50" s="658">
        <f>IF(Y$6&gt;$L50,0,X50*(1-'Interest Rate'!$B$17))</f>
        <v>0</v>
      </c>
      <c r="Z50" s="658">
        <f>IF(Z$6&gt;$L50,0,Y50*(1-'Interest Rate'!$B$17))</f>
        <v>0</v>
      </c>
      <c r="AA50" s="658">
        <f>IF(AA$6&gt;$L50,0,Z50*(1-'Interest Rate'!$B$17))</f>
        <v>0</v>
      </c>
      <c r="AB50" s="658">
        <f>IF(AB$6&gt;$L50,0,AA50*(1-'Interest Rate'!$B$17))</f>
        <v>0</v>
      </c>
      <c r="AC50" s="658">
        <f>IF(AC$6&gt;$L50,0,AB50*(1-'Interest Rate'!$B$17))</f>
        <v>0</v>
      </c>
      <c r="AD50" s="658">
        <f>IF(AD$6&gt;$L50,0,AC50*(1-'Interest Rate'!$B$17))</f>
        <v>0</v>
      </c>
      <c r="AE50" s="658">
        <f>IF(AE$6&gt;$L50,0,AD50*(1-'Interest Rate'!$B$17))</f>
        <v>0</v>
      </c>
      <c r="AF50" s="658">
        <f>IF(AF$6&gt;$L50,0,AE50*(1-'Interest Rate'!$B$17))</f>
        <v>0</v>
      </c>
      <c r="AG50" s="658">
        <f>IF(AG$6&gt;$L50,0,AF50*(1-'Interest Rate'!$B$17))</f>
        <v>0</v>
      </c>
      <c r="AH50" s="658">
        <f>IF(AH$6&gt;$L50,0,AG50*(1-'Interest Rate'!$B$17))</f>
        <v>0</v>
      </c>
      <c r="AI50" s="658">
        <f>IF(AI$6&gt;$L50,0,AH50*(1-'Interest Rate'!$B$17))</f>
        <v>0</v>
      </c>
      <c r="AJ50" s="658">
        <f>IF(AJ$6&gt;$L50,0,AI50*(1-'Interest Rate'!$B$17))</f>
        <v>0</v>
      </c>
      <c r="AK50" s="658">
        <f>IF(AK$6&gt;$L50,0,AJ50*(1-'Interest Rate'!$B$17))</f>
        <v>0</v>
      </c>
      <c r="AL50" s="658">
        <f>IF(AL$6&gt;$L50,0,AK50*(1-'Interest Rate'!$B$17))</f>
        <v>0</v>
      </c>
      <c r="AM50" s="658">
        <f>IF(AM$6&gt;$L50,0,AL50*(1-'Interest Rate'!$B$17))</f>
        <v>0</v>
      </c>
      <c r="AN50" s="658">
        <f>IF(AN$6&gt;$L50,0,AM50*(1-'Interest Rate'!$B$17))</f>
        <v>0</v>
      </c>
      <c r="AO50" s="658">
        <f>IF(AO$6&gt;$L50,0,AN50*(1-'Interest Rate'!$B$17))</f>
        <v>0</v>
      </c>
      <c r="AP50" s="658">
        <f>IF(AP$6&gt;$L50,0,AO50*(1-'Interest Rate'!$B$17))</f>
        <v>0</v>
      </c>
      <c r="AQ50" s="658">
        <f>IF(AQ$6&gt;$L50,0,AP50*(1-'Interest Rate'!$B$17))</f>
        <v>0</v>
      </c>
      <c r="AR50" s="658">
        <f>IF(AR$6&gt;$L50,0,AQ50*(1-'Interest Rate'!$B$17))</f>
        <v>0</v>
      </c>
      <c r="AS50" s="658">
        <f>IF(AS$6&gt;$L50,0,AR50*(1-'Interest Rate'!$B$17))</f>
        <v>0</v>
      </c>
      <c r="AT50" s="658">
        <f>IF(AT$6&gt;$L50,0,AS50*(1-'Interest Rate'!$B$17))</f>
        <v>0</v>
      </c>
      <c r="AU50" s="658">
        <f>IF(AU$6&gt;$L50,0,AT50*(1-'Interest Rate'!$B$17))</f>
        <v>0</v>
      </c>
      <c r="AV50" s="658">
        <f>IF(AV$6&gt;$L50,0,AU50*(1-'Interest Rate'!$B$17))</f>
        <v>0</v>
      </c>
      <c r="AW50" s="658">
        <f>IF(AW$6&gt;$L50,0,AV50*(1-'Interest Rate'!$B$17))</f>
        <v>0</v>
      </c>
      <c r="AX50" s="658">
        <f>IF(AX$6&gt;$L50,0,AW50*(1-'Interest Rate'!$B$17))</f>
        <v>0</v>
      </c>
      <c r="AY50" s="658">
        <f>IF(AY$6&gt;$L50,0,AX50*(1-'Interest Rate'!$B$17))</f>
        <v>0</v>
      </c>
      <c r="AZ50" s="658">
        <f>IF(AZ$6&gt;$L50,0,AY50*(1-'Interest Rate'!$B$17))</f>
        <v>0</v>
      </c>
      <c r="BA50" s="658">
        <f>IF(BA$6&gt;$L50,0,AZ50*(1-'Interest Rate'!$B$17))</f>
        <v>0</v>
      </c>
      <c r="BB50" s="658">
        <f>IF(BB$6&gt;$L50,0,BA50*(1-'Interest Rate'!$B$17))</f>
        <v>0</v>
      </c>
      <c r="BC50" s="658">
        <f>IF(BC$6&gt;$L50,0,BB50*(1-'Interest Rate'!$B$17))</f>
        <v>0</v>
      </c>
      <c r="BD50" s="658">
        <f>IF(BD$6&gt;$L50,0,BC50*(1-'Interest Rate'!$B$17))</f>
        <v>0</v>
      </c>
      <c r="BE50" s="658">
        <f>IF(BE$6&gt;$L50,0,BD50*(1-'Interest Rate'!$B$17))</f>
        <v>0</v>
      </c>
      <c r="BF50" s="658">
        <f>IF(BF$6&gt;$L50,0,BE50*(1-'Interest Rate'!$B$17))</f>
        <v>0</v>
      </c>
      <c r="BG50" s="658">
        <f>IF(BG$6&gt;$L50,0,BF50*(1-'Interest Rate'!$B$17))</f>
        <v>0</v>
      </c>
      <c r="BH50" s="658">
        <f>IF(BH$6&gt;$L50,0,BG50*(1-'Interest Rate'!$B$17))</f>
        <v>0</v>
      </c>
      <c r="BI50" s="658">
        <f>IF(BI$6&gt;$L50,0,BH50*(1-'Interest Rate'!$B$17))</f>
        <v>0</v>
      </c>
      <c r="BJ50" s="658">
        <f>IF(BJ$6&gt;$L50,0,BI50*(1-'Interest Rate'!$B$17))</f>
        <v>0</v>
      </c>
      <c r="BK50" s="658">
        <f>IF(BK$6&gt;$L50,0,BJ50*(1-'Interest Rate'!$B$17))</f>
        <v>0</v>
      </c>
      <c r="BL50" s="658">
        <f>IF(BL$6&gt;$L50,0,BK50*(1-'Interest Rate'!$B$17))</f>
        <v>0</v>
      </c>
      <c r="BM50" s="658">
        <f>IF(BM$6&gt;$L50,0,BL50*(1-'Interest Rate'!$B$17))</f>
        <v>0</v>
      </c>
      <c r="BN50" s="658">
        <f>IF(BN$6&gt;$L50,0,BM50*(1-'Interest Rate'!$B$17))</f>
        <v>0</v>
      </c>
      <c r="BO50" s="658">
        <f>IF(BO$6&gt;$L50,0,BN50*(1-'Interest Rate'!$B$17))</f>
        <v>0</v>
      </c>
      <c r="BP50" s="658">
        <f>IF(BP$6&gt;$L50,0,BO50*(1-'Interest Rate'!$B$17))</f>
        <v>0</v>
      </c>
      <c r="BQ50" s="658">
        <f>IF(BQ$6&gt;$L50,0,BP50*(1-'Interest Rate'!$B$17))</f>
        <v>0</v>
      </c>
      <c r="BR50" s="658">
        <f>IF(BR$6&gt;$L50,0,BQ50*(1-'Interest Rate'!$B$17))</f>
        <v>0</v>
      </c>
      <c r="BS50" s="658">
        <f>IF(BS$6&gt;$L50,0,BR50*(1-'Interest Rate'!$B$17))</f>
        <v>0</v>
      </c>
      <c r="BT50" s="658">
        <f>IF(BT$6&gt;$L50,0,BS50*(1-'Interest Rate'!$B$17))</f>
        <v>0</v>
      </c>
      <c r="BU50" s="658">
        <f>IF(BU$6&gt;$L50,0,BT50*(1-'Interest Rate'!$B$17))</f>
        <v>0</v>
      </c>
      <c r="BV50" s="658">
        <f>IF(BV$6&gt;$L50,0,BU50*(1-'Interest Rate'!$B$17))</f>
        <v>0</v>
      </c>
      <c r="BW50" s="658">
        <f>IF(BW$6&gt;$L50,0,BV50*(1-'Interest Rate'!$B$17))</f>
        <v>0</v>
      </c>
      <c r="BX50" s="658">
        <f>IF(BX$6&gt;$L50,0,BW50*(1-'Interest Rate'!$B$17))</f>
        <v>0</v>
      </c>
      <c r="BY50" s="658">
        <f>IF(BY$6&gt;$L50,0,BX50*(1-'Interest Rate'!$B$17))</f>
        <v>0</v>
      </c>
      <c r="BZ50" s="658">
        <f>IF(BZ$6&gt;$L50,0,BY50*(1-'Interest Rate'!$B$17))</f>
        <v>0</v>
      </c>
      <c r="CA50" s="658">
        <f>IF(CA$6&gt;$L50,0,BZ50*(1-'Interest Rate'!$B$17))</f>
        <v>0</v>
      </c>
      <c r="CB50" s="658">
        <f>IF(CB$6&gt;$L50,0,CA50*(1-'Interest Rate'!$B$17))</f>
        <v>0</v>
      </c>
      <c r="CC50" s="658">
        <f>IF(CC$6&gt;$L50,0,CB50*(1-'Interest Rate'!$B$17))</f>
        <v>0</v>
      </c>
      <c r="CD50" s="658">
        <f>IF(CD$6&gt;$L50,0,CC50*(1-'Interest Rate'!$B$17))</f>
        <v>0</v>
      </c>
      <c r="CE50" s="658">
        <f>IF(CE$6&gt;$L50,0,CD50*(1-'Interest Rate'!$B$17))</f>
        <v>0</v>
      </c>
      <c r="CF50" s="658">
        <f>IF(CF$6&gt;$L50,0,CE50*(1-'Interest Rate'!$B$17))</f>
        <v>0</v>
      </c>
      <c r="CG50" s="658">
        <f>IF(CG$6&gt;$L50,0,CF50*(1-'Interest Rate'!$B$17))</f>
        <v>0</v>
      </c>
      <c r="CH50" s="658">
        <f>IF(CH$6&gt;$L50,0,CG50*(1-'Interest Rate'!$B$17))</f>
        <v>0</v>
      </c>
      <c r="CI50" s="658">
        <f>IF(CI$6&gt;$L50,0,CH50*(1-'Interest Rate'!$B$17))</f>
        <v>0</v>
      </c>
      <c r="CJ50" s="658">
        <f>IF(CJ$6&gt;$L50,0,CI50*(1-'Interest Rate'!$B$17))</f>
        <v>0</v>
      </c>
      <c r="CK50" s="658">
        <f>IF(CK$6&gt;$L50,0,CJ50*(1-'Interest Rate'!$B$17))</f>
        <v>0</v>
      </c>
      <c r="CL50" s="658">
        <f>IF(CL$6&gt;$L50,0,CK50*(1-'Interest Rate'!$B$17))</f>
        <v>0</v>
      </c>
      <c r="CM50" s="658">
        <f>IF(CM$6&gt;$L50,0,CL50*(1-'Interest Rate'!$B$17))</f>
        <v>0</v>
      </c>
      <c r="CN50" s="658">
        <f>IF(CN$6&gt;$L50,0,CM50*(1-'Interest Rate'!$B$17))</f>
        <v>0</v>
      </c>
      <c r="CO50" s="658">
        <f>IF(CO$6&gt;$L50,0,CN50*(1-'Interest Rate'!$B$17))</f>
        <v>0</v>
      </c>
      <c r="CP50" s="658">
        <f>IF(CP$6&gt;$L50,0,CO50*(1-'Interest Rate'!$B$17))</f>
        <v>0</v>
      </c>
      <c r="CQ50" s="658">
        <f>IF(CQ$6&gt;$L50,0,CP50*(1-'Interest Rate'!$B$17))</f>
        <v>0</v>
      </c>
      <c r="CR50" s="658">
        <f>IF(CR$6&gt;$L50,0,CQ50*(1-'Interest Rate'!$B$17))</f>
        <v>0</v>
      </c>
      <c r="CS50" s="658">
        <f>IF(CS$6&gt;$L50,0,CR50*(1-'Interest Rate'!$B$17))</f>
        <v>0</v>
      </c>
      <c r="CT50" s="658">
        <f>IF(CT$6&gt;$L50,0,CS50*(1-'Interest Rate'!$B$17))</f>
        <v>0</v>
      </c>
      <c r="CU50" s="658">
        <f>IF(CU$6&gt;$L50,0,CT50*(1-'Interest Rate'!$B$17))</f>
        <v>0</v>
      </c>
      <c r="CV50" s="658">
        <f>IF(CV$6&gt;$L50,0,CU50*(1-'Interest Rate'!$B$17))</f>
        <v>0</v>
      </c>
      <c r="CW50" s="658">
        <f>IF(CW$6&gt;$L50,0,CV50*(1-'Interest Rate'!$B$17))</f>
        <v>0</v>
      </c>
      <c r="CX50" s="658">
        <f>IF(CX$6&gt;$L50,0,CW50*(1-'Interest Rate'!$B$17))</f>
        <v>0</v>
      </c>
      <c r="CY50" s="658">
        <f>IF(CY$6&gt;$L50,0,CX50*(1-'Interest Rate'!$B$17))</f>
        <v>0</v>
      </c>
      <c r="CZ50" s="658">
        <f>IF(CZ$6&gt;$L50,0,CY50*(1-'Interest Rate'!$B$17))</f>
        <v>0</v>
      </c>
      <c r="DA50" s="658">
        <f>IF(DA$6&gt;$L50,0,CZ50*(1-'Interest Rate'!$B$17))</f>
        <v>0</v>
      </c>
      <c r="DB50" s="658">
        <f>IF(DB$6&gt;$L50,0,DA50*(1-'Interest Rate'!$B$17))</f>
        <v>0</v>
      </c>
      <c r="DC50" s="658">
        <f>IF(DC$6&gt;$L50,0,DB50*(1-'Interest Rate'!$B$17))</f>
        <v>0</v>
      </c>
      <c r="DD50" s="658">
        <f>IF(DD$6&gt;$L50,0,DC50*(1-'Interest Rate'!$B$17))</f>
        <v>0</v>
      </c>
      <c r="DE50" s="658">
        <f>IF(DE$6&gt;$L50,0,DD50*(1-'Interest Rate'!$B$17))</f>
        <v>0</v>
      </c>
      <c r="DF50" s="658">
        <f>IF(DF$6&gt;$L50,0,DE50*(1-'Interest Rate'!$B$17))</f>
        <v>0</v>
      </c>
      <c r="DG50" s="658">
        <f>IF(DG$6&gt;$L50,0,DF50*(1-'Interest Rate'!$B$17))</f>
        <v>0</v>
      </c>
      <c r="DH50" s="658">
        <f>IF(DH$6&gt;$L50,0,DG50*(1-'Interest Rate'!$B$17))</f>
        <v>0</v>
      </c>
      <c r="DI50" s="658">
        <f>IF(DI$6&gt;$L50,0,DH50*(1-'Interest Rate'!$B$17))</f>
        <v>0</v>
      </c>
      <c r="DJ50" s="658">
        <f>IF(DJ$6&gt;$L50,0,DI50*(1-'Interest Rate'!$B$17))</f>
        <v>0</v>
      </c>
      <c r="DK50" s="658">
        <f>IF(DK$6&gt;$L50,0,DJ50*(1-'Interest Rate'!$B$17))</f>
        <v>0</v>
      </c>
      <c r="DL50" s="658">
        <f>IF(DL$6&gt;$L50,0,DK50*(1-'Interest Rate'!$B$17))</f>
        <v>0</v>
      </c>
      <c r="DM50" s="658">
        <f>IF(DM$6&gt;$L50,0,DL50*(1-'Interest Rate'!$B$17))</f>
        <v>0</v>
      </c>
      <c r="DN50" s="658">
        <f>IF(DN$6&gt;$L50,0,DM50*(1-'Interest Rate'!$B$17))</f>
        <v>0</v>
      </c>
      <c r="DO50" s="658">
        <f>IF(DO$6&gt;$L50,0,DN50*(1-'Interest Rate'!$B$17))</f>
        <v>0</v>
      </c>
      <c r="DP50" s="658">
        <f>IF(DP$6&gt;$L50,0,DO50*(1-'Interest Rate'!$B$17))</f>
        <v>0</v>
      </c>
      <c r="DQ50" s="658">
        <f>IF(DQ$6&gt;$L50,0,DP50*(1-'Interest Rate'!$B$17))</f>
        <v>0</v>
      </c>
      <c r="DR50" s="658">
        <f>IF(DR$6&gt;$L50,0,DQ50*(1-'Interest Rate'!$B$17))</f>
        <v>0</v>
      </c>
    </row>
    <row r="51" spans="1:122" ht="33" customHeight="1" x14ac:dyDescent="0.3">
      <c r="A51" s="696" t="str">
        <f>'EEM Data Entry'!A126</f>
        <v/>
      </c>
      <c r="B51" s="697" t="str">
        <f>IF('EEM Data Entry'!B126="  ","  ", 'EEM Data Entry'!B126)</f>
        <v/>
      </c>
      <c r="C51" s="671" t="str">
        <f>'EEM Data Entry'!F126</f>
        <v/>
      </c>
      <c r="D51" s="671">
        <v>0</v>
      </c>
      <c r="E51" s="671" t="e">
        <f t="shared" ref="E51:E64" si="19">C51-D51</f>
        <v>#VALUE!</v>
      </c>
      <c r="F51" s="662">
        <f>('Cascading Savings'!D51*'Cascading Savings'!D$4)+('Cascading Savings'!F51*'Cascading Savings'!F$4)+('Cascading Savings'!H51*'Cascading Savings'!H$4)+('Cascading Savings'!J51*'Cascading Savings'!J$4)+('Cascading Savings'!L51*'Cascading Savings'!L$4)+('Cascading Savings'!N51*'Cascading Savings'!N$4)+('Cascading Savings'!P51*'Cascading Savings'!P$4)+('Cascading Savings'!R51*'Cascading Savings'!R$4)</f>
        <v>0</v>
      </c>
      <c r="G51" s="698">
        <f>'Cascading Savings'!T51</f>
        <v>0</v>
      </c>
      <c r="H51" s="672" t="e">
        <f t="shared" ref="H51:H64" si="20">IF(C51=0,"n/a",E51/F51)</f>
        <v>#VALUE!</v>
      </c>
      <c r="I51" s="668" t="e">
        <f t="shared" ref="I51:I64" si="21">IF(H51=0, "n/a", IF(H51&gt;100, "no",IF(H51&lt;0, "no", "yes")))</f>
        <v>#VALUE!</v>
      </c>
      <c r="J51" s="673" t="e">
        <f t="shared" si="17"/>
        <v>#NUM!</v>
      </c>
      <c r="K51" s="674" t="e">
        <f>PV('Interest Rate'!$B$17,Table314[[#This Row],[Lifetime]],-Table314[[#This Row],[ANNUAL ENERGY COST SAVINGS]],Table314[[#This Row],[END-OF-LIFE]],0)-Table314[[#This Row],[CAPITAL INVESTMENT]]</f>
        <v>#VALUE!</v>
      </c>
      <c r="L51" s="696" t="str">
        <f>'EEM Data Entry'!C126</f>
        <v/>
      </c>
      <c r="M51" s="669" t="e">
        <f>Table314[[#This Row],[ANNUAL ENERGY COST SAVINGS]]/Table314[[#This Row],[CAPITAL INVESTMENT]]</f>
        <v>#VALUE!</v>
      </c>
      <c r="N51" s="699">
        <f>IF(ISNUMBER(Table314[[#This Row],[NPV]])=TRUE,Table314[[#This Row],[NPV]],0)</f>
        <v>0</v>
      </c>
      <c r="O51" s="727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51" s="568" t="str">
        <f>Table314[[#This Row],[Lifetime]]</f>
        <v/>
      </c>
      <c r="V51" s="657" t="str">
        <f t="shared" si="18"/>
        <v/>
      </c>
      <c r="W51" s="658">
        <f>Table314[[#This Row],[ANNUAL ENERGY COST SAVINGS]]</f>
        <v>0</v>
      </c>
      <c r="X51" s="658">
        <f>IF(X$6&gt;$L51,0,W51*(1-'Interest Rate'!$B$17))</f>
        <v>0</v>
      </c>
      <c r="Y51" s="658">
        <f>IF(Y$6&gt;$L51,0,X51*(1-'Interest Rate'!$B$17))</f>
        <v>0</v>
      </c>
      <c r="Z51" s="658">
        <f>IF(Z$6&gt;$L51,0,Y51*(1-'Interest Rate'!$B$17))</f>
        <v>0</v>
      </c>
      <c r="AA51" s="658">
        <f>IF(AA$6&gt;$L51,0,Z51*(1-'Interest Rate'!$B$17))</f>
        <v>0</v>
      </c>
      <c r="AB51" s="658">
        <f>IF(AB$6&gt;$L51,0,AA51*(1-'Interest Rate'!$B$17))</f>
        <v>0</v>
      </c>
      <c r="AC51" s="658">
        <f>IF(AC$6&gt;$L51,0,AB51*(1-'Interest Rate'!$B$17))</f>
        <v>0</v>
      </c>
      <c r="AD51" s="658">
        <f>IF(AD$6&gt;$L51,0,AC51*(1-'Interest Rate'!$B$17))</f>
        <v>0</v>
      </c>
      <c r="AE51" s="658">
        <f>IF(AE$6&gt;$L51,0,AD51*(1-'Interest Rate'!$B$17))</f>
        <v>0</v>
      </c>
      <c r="AF51" s="658">
        <f>IF(AF$6&gt;$L51,0,AE51*(1-'Interest Rate'!$B$17))</f>
        <v>0</v>
      </c>
      <c r="AG51" s="658">
        <f>IF(AG$6&gt;$L51,0,AF51*(1-'Interest Rate'!$B$17))</f>
        <v>0</v>
      </c>
      <c r="AH51" s="658">
        <f>IF(AH$6&gt;$L51,0,AG51*(1-'Interest Rate'!$B$17))</f>
        <v>0</v>
      </c>
      <c r="AI51" s="658">
        <f>IF(AI$6&gt;$L51,0,AH51*(1-'Interest Rate'!$B$17))</f>
        <v>0</v>
      </c>
      <c r="AJ51" s="658">
        <f>IF(AJ$6&gt;$L51,0,AI51*(1-'Interest Rate'!$B$17))</f>
        <v>0</v>
      </c>
      <c r="AK51" s="658">
        <f>IF(AK$6&gt;$L51,0,AJ51*(1-'Interest Rate'!$B$17))</f>
        <v>0</v>
      </c>
      <c r="AL51" s="658">
        <f>IF(AL$6&gt;$L51,0,AK51*(1-'Interest Rate'!$B$17))</f>
        <v>0</v>
      </c>
      <c r="AM51" s="658">
        <f>IF(AM$6&gt;$L51,0,AL51*(1-'Interest Rate'!$B$17))</f>
        <v>0</v>
      </c>
      <c r="AN51" s="658">
        <f>IF(AN$6&gt;$L51,0,AM51*(1-'Interest Rate'!$B$17))</f>
        <v>0</v>
      </c>
      <c r="AO51" s="658">
        <f>IF(AO$6&gt;$L51,0,AN51*(1-'Interest Rate'!$B$17))</f>
        <v>0</v>
      </c>
      <c r="AP51" s="658">
        <f>IF(AP$6&gt;$L51,0,AO51*(1-'Interest Rate'!$B$17))</f>
        <v>0</v>
      </c>
      <c r="AQ51" s="658">
        <f>IF(AQ$6&gt;$L51,0,AP51*(1-'Interest Rate'!$B$17))</f>
        <v>0</v>
      </c>
      <c r="AR51" s="658">
        <f>IF(AR$6&gt;$L51,0,AQ51*(1-'Interest Rate'!$B$17))</f>
        <v>0</v>
      </c>
      <c r="AS51" s="658">
        <f>IF(AS$6&gt;$L51,0,AR51*(1-'Interest Rate'!$B$17))</f>
        <v>0</v>
      </c>
      <c r="AT51" s="658">
        <f>IF(AT$6&gt;$L51,0,AS51*(1-'Interest Rate'!$B$17))</f>
        <v>0</v>
      </c>
      <c r="AU51" s="658">
        <f>IF(AU$6&gt;$L51,0,AT51*(1-'Interest Rate'!$B$17))</f>
        <v>0</v>
      </c>
      <c r="AV51" s="658">
        <f>IF(AV$6&gt;$L51,0,AU51*(1-'Interest Rate'!$B$17))</f>
        <v>0</v>
      </c>
      <c r="AW51" s="658">
        <f>IF(AW$6&gt;$L51,0,AV51*(1-'Interest Rate'!$B$17))</f>
        <v>0</v>
      </c>
      <c r="AX51" s="658">
        <f>IF(AX$6&gt;$L51,0,AW51*(1-'Interest Rate'!$B$17))</f>
        <v>0</v>
      </c>
      <c r="AY51" s="658">
        <f>IF(AY$6&gt;$L51,0,AX51*(1-'Interest Rate'!$B$17))</f>
        <v>0</v>
      </c>
      <c r="AZ51" s="658">
        <f>IF(AZ$6&gt;$L51,0,AY51*(1-'Interest Rate'!$B$17))</f>
        <v>0</v>
      </c>
      <c r="BA51" s="658">
        <f>IF(BA$6&gt;$L51,0,AZ51*(1-'Interest Rate'!$B$17))</f>
        <v>0</v>
      </c>
      <c r="BB51" s="658">
        <f>IF(BB$6&gt;$L51,0,BA51*(1-'Interest Rate'!$B$17))</f>
        <v>0</v>
      </c>
      <c r="BC51" s="658">
        <f>IF(BC$6&gt;$L51,0,BB51*(1-'Interest Rate'!$B$17))</f>
        <v>0</v>
      </c>
      <c r="BD51" s="658">
        <f>IF(BD$6&gt;$L51,0,BC51*(1-'Interest Rate'!$B$17))</f>
        <v>0</v>
      </c>
      <c r="BE51" s="658">
        <f>IF(BE$6&gt;$L51,0,BD51*(1-'Interest Rate'!$B$17))</f>
        <v>0</v>
      </c>
      <c r="BF51" s="658">
        <f>IF(BF$6&gt;$L51,0,BE51*(1-'Interest Rate'!$B$17))</f>
        <v>0</v>
      </c>
      <c r="BG51" s="658">
        <f>IF(BG$6&gt;$L51,0,BF51*(1-'Interest Rate'!$B$17))</f>
        <v>0</v>
      </c>
      <c r="BH51" s="658">
        <f>IF(BH$6&gt;$L51,0,BG51*(1-'Interest Rate'!$B$17))</f>
        <v>0</v>
      </c>
      <c r="BI51" s="658">
        <f>IF(BI$6&gt;$L51,0,BH51*(1-'Interest Rate'!$B$17))</f>
        <v>0</v>
      </c>
      <c r="BJ51" s="658">
        <f>IF(BJ$6&gt;$L51,0,BI51*(1-'Interest Rate'!$B$17))</f>
        <v>0</v>
      </c>
      <c r="BK51" s="658">
        <f>IF(BK$6&gt;$L51,0,BJ51*(1-'Interest Rate'!$B$17))</f>
        <v>0</v>
      </c>
      <c r="BL51" s="658">
        <f>IF(BL$6&gt;$L51,0,BK51*(1-'Interest Rate'!$B$17))</f>
        <v>0</v>
      </c>
      <c r="BM51" s="658">
        <f>IF(BM$6&gt;$L51,0,BL51*(1-'Interest Rate'!$B$17))</f>
        <v>0</v>
      </c>
      <c r="BN51" s="658">
        <f>IF(BN$6&gt;$L51,0,BM51*(1-'Interest Rate'!$B$17))</f>
        <v>0</v>
      </c>
      <c r="BO51" s="658">
        <f>IF(BO$6&gt;$L51,0,BN51*(1-'Interest Rate'!$B$17))</f>
        <v>0</v>
      </c>
      <c r="BP51" s="658">
        <f>IF(BP$6&gt;$L51,0,BO51*(1-'Interest Rate'!$B$17))</f>
        <v>0</v>
      </c>
      <c r="BQ51" s="658">
        <f>IF(BQ$6&gt;$L51,0,BP51*(1-'Interest Rate'!$B$17))</f>
        <v>0</v>
      </c>
      <c r="BR51" s="658">
        <f>IF(BR$6&gt;$L51,0,BQ51*(1-'Interest Rate'!$B$17))</f>
        <v>0</v>
      </c>
      <c r="BS51" s="658">
        <f>IF(BS$6&gt;$L51,0,BR51*(1-'Interest Rate'!$B$17))</f>
        <v>0</v>
      </c>
      <c r="BT51" s="658">
        <f>IF(BT$6&gt;$L51,0,BS51*(1-'Interest Rate'!$B$17))</f>
        <v>0</v>
      </c>
      <c r="BU51" s="658">
        <f>IF(BU$6&gt;$L51,0,BT51*(1-'Interest Rate'!$B$17))</f>
        <v>0</v>
      </c>
      <c r="BV51" s="658">
        <f>IF(BV$6&gt;$L51,0,BU51*(1-'Interest Rate'!$B$17))</f>
        <v>0</v>
      </c>
      <c r="BW51" s="658">
        <f>IF(BW$6&gt;$L51,0,BV51*(1-'Interest Rate'!$B$17))</f>
        <v>0</v>
      </c>
      <c r="BX51" s="658">
        <f>IF(BX$6&gt;$L51,0,BW51*(1-'Interest Rate'!$B$17))</f>
        <v>0</v>
      </c>
      <c r="BY51" s="658">
        <f>IF(BY$6&gt;$L51,0,BX51*(1-'Interest Rate'!$B$17))</f>
        <v>0</v>
      </c>
      <c r="BZ51" s="658">
        <f>IF(BZ$6&gt;$L51,0,BY51*(1-'Interest Rate'!$B$17))</f>
        <v>0</v>
      </c>
      <c r="CA51" s="658">
        <f>IF(CA$6&gt;$L51,0,BZ51*(1-'Interest Rate'!$B$17))</f>
        <v>0</v>
      </c>
      <c r="CB51" s="658">
        <f>IF(CB$6&gt;$L51,0,CA51*(1-'Interest Rate'!$B$17))</f>
        <v>0</v>
      </c>
      <c r="CC51" s="658">
        <f>IF(CC$6&gt;$L51,0,CB51*(1-'Interest Rate'!$B$17))</f>
        <v>0</v>
      </c>
      <c r="CD51" s="658">
        <f>IF(CD$6&gt;$L51,0,CC51*(1-'Interest Rate'!$B$17))</f>
        <v>0</v>
      </c>
      <c r="CE51" s="658">
        <f>IF(CE$6&gt;$L51,0,CD51*(1-'Interest Rate'!$B$17))</f>
        <v>0</v>
      </c>
      <c r="CF51" s="658">
        <f>IF(CF$6&gt;$L51,0,CE51*(1-'Interest Rate'!$B$17))</f>
        <v>0</v>
      </c>
      <c r="CG51" s="658">
        <f>IF(CG$6&gt;$L51,0,CF51*(1-'Interest Rate'!$B$17))</f>
        <v>0</v>
      </c>
      <c r="CH51" s="658">
        <f>IF(CH$6&gt;$L51,0,CG51*(1-'Interest Rate'!$B$17))</f>
        <v>0</v>
      </c>
      <c r="CI51" s="658">
        <f>IF(CI$6&gt;$L51,0,CH51*(1-'Interest Rate'!$B$17))</f>
        <v>0</v>
      </c>
      <c r="CJ51" s="658">
        <f>IF(CJ$6&gt;$L51,0,CI51*(1-'Interest Rate'!$B$17))</f>
        <v>0</v>
      </c>
      <c r="CK51" s="658">
        <f>IF(CK$6&gt;$L51,0,CJ51*(1-'Interest Rate'!$B$17))</f>
        <v>0</v>
      </c>
      <c r="CL51" s="658">
        <f>IF(CL$6&gt;$L51,0,CK51*(1-'Interest Rate'!$B$17))</f>
        <v>0</v>
      </c>
      <c r="CM51" s="658">
        <f>IF(CM$6&gt;$L51,0,CL51*(1-'Interest Rate'!$B$17))</f>
        <v>0</v>
      </c>
      <c r="CN51" s="658">
        <f>IF(CN$6&gt;$L51,0,CM51*(1-'Interest Rate'!$B$17))</f>
        <v>0</v>
      </c>
      <c r="CO51" s="658">
        <f>IF(CO$6&gt;$L51,0,CN51*(1-'Interest Rate'!$B$17))</f>
        <v>0</v>
      </c>
      <c r="CP51" s="658">
        <f>IF(CP$6&gt;$L51,0,CO51*(1-'Interest Rate'!$B$17))</f>
        <v>0</v>
      </c>
      <c r="CQ51" s="658">
        <f>IF(CQ$6&gt;$L51,0,CP51*(1-'Interest Rate'!$B$17))</f>
        <v>0</v>
      </c>
      <c r="CR51" s="658">
        <f>IF(CR$6&gt;$L51,0,CQ51*(1-'Interest Rate'!$B$17))</f>
        <v>0</v>
      </c>
      <c r="CS51" s="658">
        <f>IF(CS$6&gt;$L51,0,CR51*(1-'Interest Rate'!$B$17))</f>
        <v>0</v>
      </c>
      <c r="CT51" s="658">
        <f>IF(CT$6&gt;$L51,0,CS51*(1-'Interest Rate'!$B$17))</f>
        <v>0</v>
      </c>
      <c r="CU51" s="658">
        <f>IF(CU$6&gt;$L51,0,CT51*(1-'Interest Rate'!$B$17))</f>
        <v>0</v>
      </c>
      <c r="CV51" s="658">
        <f>IF(CV$6&gt;$L51,0,CU51*(1-'Interest Rate'!$B$17))</f>
        <v>0</v>
      </c>
      <c r="CW51" s="658">
        <f>IF(CW$6&gt;$L51,0,CV51*(1-'Interest Rate'!$B$17))</f>
        <v>0</v>
      </c>
      <c r="CX51" s="658">
        <f>IF(CX$6&gt;$L51,0,CW51*(1-'Interest Rate'!$B$17))</f>
        <v>0</v>
      </c>
      <c r="CY51" s="658">
        <f>IF(CY$6&gt;$L51,0,CX51*(1-'Interest Rate'!$B$17))</f>
        <v>0</v>
      </c>
      <c r="CZ51" s="658">
        <f>IF(CZ$6&gt;$L51,0,CY51*(1-'Interest Rate'!$B$17))</f>
        <v>0</v>
      </c>
      <c r="DA51" s="658">
        <f>IF(DA$6&gt;$L51,0,CZ51*(1-'Interest Rate'!$B$17))</f>
        <v>0</v>
      </c>
      <c r="DB51" s="658">
        <f>IF(DB$6&gt;$L51,0,DA51*(1-'Interest Rate'!$B$17))</f>
        <v>0</v>
      </c>
      <c r="DC51" s="658">
        <f>IF(DC$6&gt;$L51,0,DB51*(1-'Interest Rate'!$B$17))</f>
        <v>0</v>
      </c>
      <c r="DD51" s="658">
        <f>IF(DD$6&gt;$L51,0,DC51*(1-'Interest Rate'!$B$17))</f>
        <v>0</v>
      </c>
      <c r="DE51" s="658">
        <f>IF(DE$6&gt;$L51,0,DD51*(1-'Interest Rate'!$B$17))</f>
        <v>0</v>
      </c>
      <c r="DF51" s="658">
        <f>IF(DF$6&gt;$L51,0,DE51*(1-'Interest Rate'!$B$17))</f>
        <v>0</v>
      </c>
      <c r="DG51" s="658">
        <f>IF(DG$6&gt;$L51,0,DF51*(1-'Interest Rate'!$B$17))</f>
        <v>0</v>
      </c>
      <c r="DH51" s="658">
        <f>IF(DH$6&gt;$L51,0,DG51*(1-'Interest Rate'!$B$17))</f>
        <v>0</v>
      </c>
      <c r="DI51" s="658">
        <f>IF(DI$6&gt;$L51,0,DH51*(1-'Interest Rate'!$B$17))</f>
        <v>0</v>
      </c>
      <c r="DJ51" s="658">
        <f>IF(DJ$6&gt;$L51,0,DI51*(1-'Interest Rate'!$B$17))</f>
        <v>0</v>
      </c>
      <c r="DK51" s="658">
        <f>IF(DK$6&gt;$L51,0,DJ51*(1-'Interest Rate'!$B$17))</f>
        <v>0</v>
      </c>
      <c r="DL51" s="658">
        <f>IF(DL$6&gt;$L51,0,DK51*(1-'Interest Rate'!$B$17))</f>
        <v>0</v>
      </c>
      <c r="DM51" s="658">
        <f>IF(DM$6&gt;$L51,0,DL51*(1-'Interest Rate'!$B$17))</f>
        <v>0</v>
      </c>
      <c r="DN51" s="658">
        <f>IF(DN$6&gt;$L51,0,DM51*(1-'Interest Rate'!$B$17))</f>
        <v>0</v>
      </c>
      <c r="DO51" s="658">
        <f>IF(DO$6&gt;$L51,0,DN51*(1-'Interest Rate'!$B$17))</f>
        <v>0</v>
      </c>
      <c r="DP51" s="658">
        <f>IF(DP$6&gt;$L51,0,DO51*(1-'Interest Rate'!$B$17))</f>
        <v>0</v>
      </c>
      <c r="DQ51" s="658">
        <f>IF(DQ$6&gt;$L51,0,DP51*(1-'Interest Rate'!$B$17))</f>
        <v>0</v>
      </c>
      <c r="DR51" s="658">
        <f>IF(DR$6&gt;$L51,0,DQ51*(1-'Interest Rate'!$B$17))</f>
        <v>0</v>
      </c>
    </row>
    <row r="52" spans="1:122" ht="33" customHeight="1" x14ac:dyDescent="0.3">
      <c r="A52" s="696" t="str">
        <f>'EEM Data Entry'!A127</f>
        <v/>
      </c>
      <c r="B52" s="697" t="str">
        <f>IF('EEM Data Entry'!B127="  ","  ", 'EEM Data Entry'!B127)</f>
        <v/>
      </c>
      <c r="C52" s="671" t="str">
        <f>'EEM Data Entry'!F127</f>
        <v/>
      </c>
      <c r="D52" s="671">
        <v>0</v>
      </c>
      <c r="E52" s="671" t="e">
        <f t="shared" si="19"/>
        <v>#VALUE!</v>
      </c>
      <c r="F52" s="650">
        <f>('Cascading Savings'!D52*'Cascading Savings'!D$4)+('Cascading Savings'!F52*'Cascading Savings'!F$4)+('Cascading Savings'!H52*'Cascading Savings'!H$4)+('Cascading Savings'!J52*'Cascading Savings'!J$4)+('Cascading Savings'!L52*'Cascading Savings'!L$4)+('Cascading Savings'!N52*'Cascading Savings'!N$4)+('Cascading Savings'!P52*'Cascading Savings'!P$4)+('Cascading Savings'!R52*'Cascading Savings'!R$4)</f>
        <v>0</v>
      </c>
      <c r="G52" s="698">
        <f>'Cascading Savings'!T52</f>
        <v>0</v>
      </c>
      <c r="H52" s="672" t="e">
        <f t="shared" si="20"/>
        <v>#VALUE!</v>
      </c>
      <c r="I52" s="668" t="e">
        <f t="shared" si="21"/>
        <v>#VALUE!</v>
      </c>
      <c r="J52" s="673" t="e">
        <f t="shared" si="17"/>
        <v>#NUM!</v>
      </c>
      <c r="K52" s="674" t="e">
        <f>PV('Interest Rate'!$B$17,Table314[[#This Row],[Lifetime]],-Table314[[#This Row],[ANNUAL ENERGY COST SAVINGS]],Table314[[#This Row],[END-OF-LIFE]],0)-Table314[[#This Row],[CAPITAL INVESTMENT]]</f>
        <v>#VALUE!</v>
      </c>
      <c r="L52" s="696" t="str">
        <f>'EEM Data Entry'!C127</f>
        <v/>
      </c>
      <c r="M52" s="669" t="e">
        <f>Table314[[#This Row],[ANNUAL ENERGY COST SAVINGS]]/Table314[[#This Row],[CAPITAL INVESTMENT]]</f>
        <v>#VALUE!</v>
      </c>
      <c r="N52" s="699">
        <f>IF(ISNUMBER(Table314[[#This Row],[NPV]])=TRUE,Table314[[#This Row],[NPV]],0)</f>
        <v>0</v>
      </c>
      <c r="O52" s="727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52" s="568" t="str">
        <f>Table314[[#This Row],[Lifetime]]</f>
        <v/>
      </c>
      <c r="V52" s="657" t="str">
        <f t="shared" si="18"/>
        <v/>
      </c>
      <c r="W52" s="658">
        <f>Table314[[#This Row],[ANNUAL ENERGY COST SAVINGS]]</f>
        <v>0</v>
      </c>
      <c r="X52" s="658">
        <f>IF(X$6&gt;$L52,0,W52*(1-'Interest Rate'!$B$17))</f>
        <v>0</v>
      </c>
      <c r="Y52" s="658">
        <f>IF(Y$6&gt;$L52,0,X52*(1-'Interest Rate'!$B$17))</f>
        <v>0</v>
      </c>
      <c r="Z52" s="658">
        <f>IF(Z$6&gt;$L52,0,Y52*(1-'Interest Rate'!$B$17))</f>
        <v>0</v>
      </c>
      <c r="AA52" s="658">
        <f>IF(AA$6&gt;$L52,0,Z52*(1-'Interest Rate'!$B$17))</f>
        <v>0</v>
      </c>
      <c r="AB52" s="658">
        <f>IF(AB$6&gt;$L52,0,AA52*(1-'Interest Rate'!$B$17))</f>
        <v>0</v>
      </c>
      <c r="AC52" s="658">
        <f>IF(AC$6&gt;$L52,0,AB52*(1-'Interest Rate'!$B$17))</f>
        <v>0</v>
      </c>
      <c r="AD52" s="658">
        <f>IF(AD$6&gt;$L52,0,AC52*(1-'Interest Rate'!$B$17))</f>
        <v>0</v>
      </c>
      <c r="AE52" s="658">
        <f>IF(AE$6&gt;$L52,0,AD52*(1-'Interest Rate'!$B$17))</f>
        <v>0</v>
      </c>
      <c r="AF52" s="658">
        <f>IF(AF$6&gt;$L52,0,AE52*(1-'Interest Rate'!$B$17))</f>
        <v>0</v>
      </c>
      <c r="AG52" s="658">
        <f>IF(AG$6&gt;$L52,0,AF52*(1-'Interest Rate'!$B$17))</f>
        <v>0</v>
      </c>
      <c r="AH52" s="658">
        <f>IF(AH$6&gt;$L52,0,AG52*(1-'Interest Rate'!$B$17))</f>
        <v>0</v>
      </c>
      <c r="AI52" s="658">
        <f>IF(AI$6&gt;$L52,0,AH52*(1-'Interest Rate'!$B$17))</f>
        <v>0</v>
      </c>
      <c r="AJ52" s="658">
        <f>IF(AJ$6&gt;$L52,0,AI52*(1-'Interest Rate'!$B$17))</f>
        <v>0</v>
      </c>
      <c r="AK52" s="658">
        <f>IF(AK$6&gt;$L52,0,AJ52*(1-'Interest Rate'!$B$17))</f>
        <v>0</v>
      </c>
      <c r="AL52" s="658">
        <f>IF(AL$6&gt;$L52,0,AK52*(1-'Interest Rate'!$B$17))</f>
        <v>0</v>
      </c>
      <c r="AM52" s="658">
        <f>IF(AM$6&gt;$L52,0,AL52*(1-'Interest Rate'!$B$17))</f>
        <v>0</v>
      </c>
      <c r="AN52" s="658">
        <f>IF(AN$6&gt;$L52,0,AM52*(1-'Interest Rate'!$B$17))</f>
        <v>0</v>
      </c>
      <c r="AO52" s="658">
        <f>IF(AO$6&gt;$L52,0,AN52*(1-'Interest Rate'!$B$17))</f>
        <v>0</v>
      </c>
      <c r="AP52" s="658">
        <f>IF(AP$6&gt;$L52,0,AO52*(1-'Interest Rate'!$B$17))</f>
        <v>0</v>
      </c>
      <c r="AQ52" s="658">
        <f>IF(AQ$6&gt;$L52,0,AP52*(1-'Interest Rate'!$B$17))</f>
        <v>0</v>
      </c>
      <c r="AR52" s="658">
        <f>IF(AR$6&gt;$L52,0,AQ52*(1-'Interest Rate'!$B$17))</f>
        <v>0</v>
      </c>
      <c r="AS52" s="658">
        <f>IF(AS$6&gt;$L52,0,AR52*(1-'Interest Rate'!$B$17))</f>
        <v>0</v>
      </c>
      <c r="AT52" s="658">
        <f>IF(AT$6&gt;$L52,0,AS52*(1-'Interest Rate'!$B$17))</f>
        <v>0</v>
      </c>
      <c r="AU52" s="658">
        <f>IF(AU$6&gt;$L52,0,AT52*(1-'Interest Rate'!$B$17))</f>
        <v>0</v>
      </c>
      <c r="AV52" s="658">
        <f>IF(AV$6&gt;$L52,0,AU52*(1-'Interest Rate'!$B$17))</f>
        <v>0</v>
      </c>
      <c r="AW52" s="658">
        <f>IF(AW$6&gt;$L52,0,AV52*(1-'Interest Rate'!$B$17))</f>
        <v>0</v>
      </c>
      <c r="AX52" s="658">
        <f>IF(AX$6&gt;$L52,0,AW52*(1-'Interest Rate'!$B$17))</f>
        <v>0</v>
      </c>
      <c r="AY52" s="658">
        <f>IF(AY$6&gt;$L52,0,AX52*(1-'Interest Rate'!$B$17))</f>
        <v>0</v>
      </c>
      <c r="AZ52" s="658">
        <f>IF(AZ$6&gt;$L52,0,AY52*(1-'Interest Rate'!$B$17))</f>
        <v>0</v>
      </c>
      <c r="BA52" s="658">
        <f>IF(BA$6&gt;$L52,0,AZ52*(1-'Interest Rate'!$B$17))</f>
        <v>0</v>
      </c>
      <c r="BB52" s="658">
        <f>IF(BB$6&gt;$L52,0,BA52*(1-'Interest Rate'!$B$17))</f>
        <v>0</v>
      </c>
      <c r="BC52" s="658">
        <f>IF(BC$6&gt;$L52,0,BB52*(1-'Interest Rate'!$B$17))</f>
        <v>0</v>
      </c>
      <c r="BD52" s="658">
        <f>IF(BD$6&gt;$L52,0,BC52*(1-'Interest Rate'!$B$17))</f>
        <v>0</v>
      </c>
      <c r="BE52" s="658">
        <f>IF(BE$6&gt;$L52,0,BD52*(1-'Interest Rate'!$B$17))</f>
        <v>0</v>
      </c>
      <c r="BF52" s="658">
        <f>IF(BF$6&gt;$L52,0,BE52*(1-'Interest Rate'!$B$17))</f>
        <v>0</v>
      </c>
      <c r="BG52" s="658">
        <f>IF(BG$6&gt;$L52,0,BF52*(1-'Interest Rate'!$B$17))</f>
        <v>0</v>
      </c>
      <c r="BH52" s="658">
        <f>IF(BH$6&gt;$L52,0,BG52*(1-'Interest Rate'!$B$17))</f>
        <v>0</v>
      </c>
      <c r="BI52" s="658">
        <f>IF(BI$6&gt;$L52,0,BH52*(1-'Interest Rate'!$B$17))</f>
        <v>0</v>
      </c>
      <c r="BJ52" s="658">
        <f>IF(BJ$6&gt;$L52,0,BI52*(1-'Interest Rate'!$B$17))</f>
        <v>0</v>
      </c>
      <c r="BK52" s="658">
        <f>IF(BK$6&gt;$L52,0,BJ52*(1-'Interest Rate'!$B$17))</f>
        <v>0</v>
      </c>
      <c r="BL52" s="658">
        <f>IF(BL$6&gt;$L52,0,BK52*(1-'Interest Rate'!$B$17))</f>
        <v>0</v>
      </c>
      <c r="BM52" s="658">
        <f>IF(BM$6&gt;$L52,0,BL52*(1-'Interest Rate'!$B$17))</f>
        <v>0</v>
      </c>
      <c r="BN52" s="658">
        <f>IF(BN$6&gt;$L52,0,BM52*(1-'Interest Rate'!$B$17))</f>
        <v>0</v>
      </c>
      <c r="BO52" s="658">
        <f>IF(BO$6&gt;$L52,0,BN52*(1-'Interest Rate'!$B$17))</f>
        <v>0</v>
      </c>
      <c r="BP52" s="658">
        <f>IF(BP$6&gt;$L52,0,BO52*(1-'Interest Rate'!$B$17))</f>
        <v>0</v>
      </c>
      <c r="BQ52" s="658">
        <f>IF(BQ$6&gt;$L52,0,BP52*(1-'Interest Rate'!$B$17))</f>
        <v>0</v>
      </c>
      <c r="BR52" s="658">
        <f>IF(BR$6&gt;$L52,0,BQ52*(1-'Interest Rate'!$B$17))</f>
        <v>0</v>
      </c>
      <c r="BS52" s="658">
        <f>IF(BS$6&gt;$L52,0,BR52*(1-'Interest Rate'!$B$17))</f>
        <v>0</v>
      </c>
      <c r="BT52" s="658">
        <f>IF(BT$6&gt;$L52,0,BS52*(1-'Interest Rate'!$B$17))</f>
        <v>0</v>
      </c>
      <c r="BU52" s="658">
        <f>IF(BU$6&gt;$L52,0,BT52*(1-'Interest Rate'!$B$17))</f>
        <v>0</v>
      </c>
      <c r="BV52" s="658">
        <f>IF(BV$6&gt;$L52,0,BU52*(1-'Interest Rate'!$B$17))</f>
        <v>0</v>
      </c>
      <c r="BW52" s="658">
        <f>IF(BW$6&gt;$L52,0,BV52*(1-'Interest Rate'!$B$17))</f>
        <v>0</v>
      </c>
      <c r="BX52" s="658">
        <f>IF(BX$6&gt;$L52,0,BW52*(1-'Interest Rate'!$B$17))</f>
        <v>0</v>
      </c>
      <c r="BY52" s="658">
        <f>IF(BY$6&gt;$L52,0,BX52*(1-'Interest Rate'!$B$17))</f>
        <v>0</v>
      </c>
      <c r="BZ52" s="658">
        <f>IF(BZ$6&gt;$L52,0,BY52*(1-'Interest Rate'!$B$17))</f>
        <v>0</v>
      </c>
      <c r="CA52" s="658">
        <f>IF(CA$6&gt;$L52,0,BZ52*(1-'Interest Rate'!$B$17))</f>
        <v>0</v>
      </c>
      <c r="CB52" s="658">
        <f>IF(CB$6&gt;$L52,0,CA52*(1-'Interest Rate'!$B$17))</f>
        <v>0</v>
      </c>
      <c r="CC52" s="658">
        <f>IF(CC$6&gt;$L52,0,CB52*(1-'Interest Rate'!$B$17))</f>
        <v>0</v>
      </c>
      <c r="CD52" s="658">
        <f>IF(CD$6&gt;$L52,0,CC52*(1-'Interest Rate'!$B$17))</f>
        <v>0</v>
      </c>
      <c r="CE52" s="658">
        <f>IF(CE$6&gt;$L52,0,CD52*(1-'Interest Rate'!$B$17))</f>
        <v>0</v>
      </c>
      <c r="CF52" s="658">
        <f>IF(CF$6&gt;$L52,0,CE52*(1-'Interest Rate'!$B$17))</f>
        <v>0</v>
      </c>
      <c r="CG52" s="658">
        <f>IF(CG$6&gt;$L52,0,CF52*(1-'Interest Rate'!$B$17))</f>
        <v>0</v>
      </c>
      <c r="CH52" s="658">
        <f>IF(CH$6&gt;$L52,0,CG52*(1-'Interest Rate'!$B$17))</f>
        <v>0</v>
      </c>
      <c r="CI52" s="658">
        <f>IF(CI$6&gt;$L52,0,CH52*(1-'Interest Rate'!$B$17))</f>
        <v>0</v>
      </c>
      <c r="CJ52" s="658">
        <f>IF(CJ$6&gt;$L52,0,CI52*(1-'Interest Rate'!$B$17))</f>
        <v>0</v>
      </c>
      <c r="CK52" s="658">
        <f>IF(CK$6&gt;$L52,0,CJ52*(1-'Interest Rate'!$B$17))</f>
        <v>0</v>
      </c>
      <c r="CL52" s="658">
        <f>IF(CL$6&gt;$L52,0,CK52*(1-'Interest Rate'!$B$17))</f>
        <v>0</v>
      </c>
      <c r="CM52" s="658">
        <f>IF(CM$6&gt;$L52,0,CL52*(1-'Interest Rate'!$B$17))</f>
        <v>0</v>
      </c>
      <c r="CN52" s="658">
        <f>IF(CN$6&gt;$L52,0,CM52*(1-'Interest Rate'!$B$17))</f>
        <v>0</v>
      </c>
      <c r="CO52" s="658">
        <f>IF(CO$6&gt;$L52,0,CN52*(1-'Interest Rate'!$B$17))</f>
        <v>0</v>
      </c>
      <c r="CP52" s="658">
        <f>IF(CP$6&gt;$L52,0,CO52*(1-'Interest Rate'!$B$17))</f>
        <v>0</v>
      </c>
      <c r="CQ52" s="658">
        <f>IF(CQ$6&gt;$L52,0,CP52*(1-'Interest Rate'!$B$17))</f>
        <v>0</v>
      </c>
      <c r="CR52" s="658">
        <f>IF(CR$6&gt;$L52,0,CQ52*(1-'Interest Rate'!$B$17))</f>
        <v>0</v>
      </c>
      <c r="CS52" s="658">
        <f>IF(CS$6&gt;$L52,0,CR52*(1-'Interest Rate'!$B$17))</f>
        <v>0</v>
      </c>
      <c r="CT52" s="658">
        <f>IF(CT$6&gt;$L52,0,CS52*(1-'Interest Rate'!$B$17))</f>
        <v>0</v>
      </c>
      <c r="CU52" s="658">
        <f>IF(CU$6&gt;$L52,0,CT52*(1-'Interest Rate'!$B$17))</f>
        <v>0</v>
      </c>
      <c r="CV52" s="658">
        <f>IF(CV$6&gt;$L52,0,CU52*(1-'Interest Rate'!$B$17))</f>
        <v>0</v>
      </c>
      <c r="CW52" s="658">
        <f>IF(CW$6&gt;$L52,0,CV52*(1-'Interest Rate'!$B$17))</f>
        <v>0</v>
      </c>
      <c r="CX52" s="658">
        <f>IF(CX$6&gt;$L52,0,CW52*(1-'Interest Rate'!$B$17))</f>
        <v>0</v>
      </c>
      <c r="CY52" s="658">
        <f>IF(CY$6&gt;$L52,0,CX52*(1-'Interest Rate'!$B$17))</f>
        <v>0</v>
      </c>
      <c r="CZ52" s="658">
        <f>IF(CZ$6&gt;$L52,0,CY52*(1-'Interest Rate'!$B$17))</f>
        <v>0</v>
      </c>
      <c r="DA52" s="658">
        <f>IF(DA$6&gt;$L52,0,CZ52*(1-'Interest Rate'!$B$17))</f>
        <v>0</v>
      </c>
      <c r="DB52" s="658">
        <f>IF(DB$6&gt;$L52,0,DA52*(1-'Interest Rate'!$B$17))</f>
        <v>0</v>
      </c>
      <c r="DC52" s="658">
        <f>IF(DC$6&gt;$L52,0,DB52*(1-'Interest Rate'!$B$17))</f>
        <v>0</v>
      </c>
      <c r="DD52" s="658">
        <f>IF(DD$6&gt;$L52,0,DC52*(1-'Interest Rate'!$B$17))</f>
        <v>0</v>
      </c>
      <c r="DE52" s="658">
        <f>IF(DE$6&gt;$L52,0,DD52*(1-'Interest Rate'!$B$17))</f>
        <v>0</v>
      </c>
      <c r="DF52" s="658">
        <f>IF(DF$6&gt;$L52,0,DE52*(1-'Interest Rate'!$B$17))</f>
        <v>0</v>
      </c>
      <c r="DG52" s="658">
        <f>IF(DG$6&gt;$L52,0,DF52*(1-'Interest Rate'!$B$17))</f>
        <v>0</v>
      </c>
      <c r="DH52" s="658">
        <f>IF(DH$6&gt;$L52,0,DG52*(1-'Interest Rate'!$B$17))</f>
        <v>0</v>
      </c>
      <c r="DI52" s="658">
        <f>IF(DI$6&gt;$L52,0,DH52*(1-'Interest Rate'!$B$17))</f>
        <v>0</v>
      </c>
      <c r="DJ52" s="658">
        <f>IF(DJ$6&gt;$L52,0,DI52*(1-'Interest Rate'!$B$17))</f>
        <v>0</v>
      </c>
      <c r="DK52" s="658">
        <f>IF(DK$6&gt;$L52,0,DJ52*(1-'Interest Rate'!$B$17))</f>
        <v>0</v>
      </c>
      <c r="DL52" s="658">
        <f>IF(DL$6&gt;$L52,0,DK52*(1-'Interest Rate'!$B$17))</f>
        <v>0</v>
      </c>
      <c r="DM52" s="658">
        <f>IF(DM$6&gt;$L52,0,DL52*(1-'Interest Rate'!$B$17))</f>
        <v>0</v>
      </c>
      <c r="DN52" s="658">
        <f>IF(DN$6&gt;$L52,0,DM52*(1-'Interest Rate'!$B$17))</f>
        <v>0</v>
      </c>
      <c r="DO52" s="658">
        <f>IF(DO$6&gt;$L52,0,DN52*(1-'Interest Rate'!$B$17))</f>
        <v>0</v>
      </c>
      <c r="DP52" s="658">
        <f>IF(DP$6&gt;$L52,0,DO52*(1-'Interest Rate'!$B$17))</f>
        <v>0</v>
      </c>
      <c r="DQ52" s="658">
        <f>IF(DQ$6&gt;$L52,0,DP52*(1-'Interest Rate'!$B$17))</f>
        <v>0</v>
      </c>
      <c r="DR52" s="658">
        <f>IF(DR$6&gt;$L52,0,DQ52*(1-'Interest Rate'!$B$17))</f>
        <v>0</v>
      </c>
    </row>
    <row r="53" spans="1:122" ht="33" customHeight="1" x14ac:dyDescent="0.3">
      <c r="A53" s="696" t="str">
        <f>'EEM Data Entry'!A128</f>
        <v/>
      </c>
      <c r="B53" s="697" t="str">
        <f>IF('EEM Data Entry'!B128="  ","  ", 'EEM Data Entry'!B128)</f>
        <v/>
      </c>
      <c r="C53" s="671" t="str">
        <f>'EEM Data Entry'!F128</f>
        <v/>
      </c>
      <c r="D53" s="671">
        <v>0</v>
      </c>
      <c r="E53" s="671" t="e">
        <f t="shared" si="19"/>
        <v>#VALUE!</v>
      </c>
      <c r="F53" s="662">
        <f>('Cascading Savings'!D53*'Cascading Savings'!D$4)+('Cascading Savings'!F53*'Cascading Savings'!F$4)+('Cascading Savings'!H53*'Cascading Savings'!H$4)+('Cascading Savings'!J53*'Cascading Savings'!J$4)+('Cascading Savings'!L53*'Cascading Savings'!L$4)+('Cascading Savings'!N53*'Cascading Savings'!N$4)+('Cascading Savings'!P53*'Cascading Savings'!P$4)+('Cascading Savings'!R53*'Cascading Savings'!R$4)</f>
        <v>0</v>
      </c>
      <c r="G53" s="698">
        <f>'Cascading Savings'!T53</f>
        <v>0</v>
      </c>
      <c r="H53" s="672" t="e">
        <f>IF(C53=0,"n/a",E53/F53)</f>
        <v>#VALUE!</v>
      </c>
      <c r="I53" s="668" t="e">
        <f t="shared" si="21"/>
        <v>#VALUE!</v>
      </c>
      <c r="J53" s="673" t="e">
        <f t="shared" si="17"/>
        <v>#NUM!</v>
      </c>
      <c r="K53" s="674" t="e">
        <f>PV('Interest Rate'!$B$17,Table314[[#This Row],[Lifetime]],-Table314[[#This Row],[ANNUAL ENERGY COST SAVINGS]],Table314[[#This Row],[END-OF-LIFE]],0)-Table314[[#This Row],[CAPITAL INVESTMENT]]</f>
        <v>#VALUE!</v>
      </c>
      <c r="L53" s="696" t="str">
        <f>'EEM Data Entry'!C128</f>
        <v/>
      </c>
      <c r="M53" s="669" t="e">
        <f>Table314[[#This Row],[ANNUAL ENERGY COST SAVINGS]]/Table314[[#This Row],[CAPITAL INVESTMENT]]</f>
        <v>#VALUE!</v>
      </c>
      <c r="N53" s="699">
        <f>IF(ISNUMBER(Table314[[#This Row],[NPV]])=TRUE,Table314[[#This Row],[NPV]],0)</f>
        <v>0</v>
      </c>
      <c r="O53" s="727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53" s="568" t="str">
        <f>Table314[[#This Row],[Lifetime]]</f>
        <v/>
      </c>
      <c r="V53" s="657" t="str">
        <f t="shared" si="18"/>
        <v/>
      </c>
      <c r="W53" s="658">
        <f>Table314[[#This Row],[ANNUAL ENERGY COST SAVINGS]]</f>
        <v>0</v>
      </c>
      <c r="X53" s="658">
        <f>IF(X$6&gt;$L53,0,W53*(1-'Interest Rate'!$B$17))</f>
        <v>0</v>
      </c>
      <c r="Y53" s="658">
        <f>IF(Y$6&gt;$L53,0,X53*(1-'Interest Rate'!$B$17))</f>
        <v>0</v>
      </c>
      <c r="Z53" s="658">
        <f>IF(Z$6&gt;$L53,0,Y53*(1-'Interest Rate'!$B$17))</f>
        <v>0</v>
      </c>
      <c r="AA53" s="658">
        <f>IF(AA$6&gt;$L53,0,Z53*(1-'Interest Rate'!$B$17))</f>
        <v>0</v>
      </c>
      <c r="AB53" s="658">
        <f>IF(AB$6&gt;$L53,0,AA53*(1-'Interest Rate'!$B$17))</f>
        <v>0</v>
      </c>
      <c r="AC53" s="658">
        <f>IF(AC$6&gt;$L53,0,AB53*(1-'Interest Rate'!$B$17))</f>
        <v>0</v>
      </c>
      <c r="AD53" s="658">
        <f>IF(AD$6&gt;$L53,0,AC53*(1-'Interest Rate'!$B$17))</f>
        <v>0</v>
      </c>
      <c r="AE53" s="658">
        <f>IF(AE$6&gt;$L53,0,AD53*(1-'Interest Rate'!$B$17))</f>
        <v>0</v>
      </c>
      <c r="AF53" s="658">
        <f>IF(AF$6&gt;$L53,0,AE53*(1-'Interest Rate'!$B$17))</f>
        <v>0</v>
      </c>
      <c r="AG53" s="658">
        <f>IF(AG$6&gt;$L53,0,AF53*(1-'Interest Rate'!$B$17))</f>
        <v>0</v>
      </c>
      <c r="AH53" s="658">
        <f>IF(AH$6&gt;$L53,0,AG53*(1-'Interest Rate'!$B$17))</f>
        <v>0</v>
      </c>
      <c r="AI53" s="658">
        <f>IF(AI$6&gt;$L53,0,AH53*(1-'Interest Rate'!$B$17))</f>
        <v>0</v>
      </c>
      <c r="AJ53" s="658">
        <f>IF(AJ$6&gt;$L53,0,AI53*(1-'Interest Rate'!$B$17))</f>
        <v>0</v>
      </c>
      <c r="AK53" s="658">
        <f>IF(AK$6&gt;$L53,0,AJ53*(1-'Interest Rate'!$B$17))</f>
        <v>0</v>
      </c>
      <c r="AL53" s="658">
        <f>IF(AL$6&gt;$L53,0,AK53*(1-'Interest Rate'!$B$17))</f>
        <v>0</v>
      </c>
      <c r="AM53" s="658">
        <f>IF(AM$6&gt;$L53,0,AL53*(1-'Interest Rate'!$B$17))</f>
        <v>0</v>
      </c>
      <c r="AN53" s="658">
        <f>IF(AN$6&gt;$L53,0,AM53*(1-'Interest Rate'!$B$17))</f>
        <v>0</v>
      </c>
      <c r="AO53" s="658">
        <f>IF(AO$6&gt;$L53,0,AN53*(1-'Interest Rate'!$B$17))</f>
        <v>0</v>
      </c>
      <c r="AP53" s="658">
        <f>IF(AP$6&gt;$L53,0,AO53*(1-'Interest Rate'!$B$17))</f>
        <v>0</v>
      </c>
      <c r="AQ53" s="658">
        <f>IF(AQ$6&gt;$L53,0,AP53*(1-'Interest Rate'!$B$17))</f>
        <v>0</v>
      </c>
      <c r="AR53" s="658">
        <f>IF(AR$6&gt;$L53,0,AQ53*(1-'Interest Rate'!$B$17))</f>
        <v>0</v>
      </c>
      <c r="AS53" s="658">
        <f>IF(AS$6&gt;$L53,0,AR53*(1-'Interest Rate'!$B$17))</f>
        <v>0</v>
      </c>
      <c r="AT53" s="658">
        <f>IF(AT$6&gt;$L53,0,AS53*(1-'Interest Rate'!$B$17))</f>
        <v>0</v>
      </c>
      <c r="AU53" s="658">
        <f>IF(AU$6&gt;$L53,0,AT53*(1-'Interest Rate'!$B$17))</f>
        <v>0</v>
      </c>
      <c r="AV53" s="658">
        <f>IF(AV$6&gt;$L53,0,AU53*(1-'Interest Rate'!$B$17))</f>
        <v>0</v>
      </c>
      <c r="AW53" s="658">
        <f>IF(AW$6&gt;$L53,0,AV53*(1-'Interest Rate'!$B$17))</f>
        <v>0</v>
      </c>
      <c r="AX53" s="658">
        <f>IF(AX$6&gt;$L53,0,AW53*(1-'Interest Rate'!$B$17))</f>
        <v>0</v>
      </c>
      <c r="AY53" s="658">
        <f>IF(AY$6&gt;$L53,0,AX53*(1-'Interest Rate'!$B$17))</f>
        <v>0</v>
      </c>
      <c r="AZ53" s="658">
        <f>IF(AZ$6&gt;$L53,0,AY53*(1-'Interest Rate'!$B$17))</f>
        <v>0</v>
      </c>
      <c r="BA53" s="658">
        <f>IF(BA$6&gt;$L53,0,AZ53*(1-'Interest Rate'!$B$17))</f>
        <v>0</v>
      </c>
      <c r="BB53" s="658">
        <f>IF(BB$6&gt;$L53,0,BA53*(1-'Interest Rate'!$B$17))</f>
        <v>0</v>
      </c>
      <c r="BC53" s="658">
        <f>IF(BC$6&gt;$L53,0,BB53*(1-'Interest Rate'!$B$17))</f>
        <v>0</v>
      </c>
      <c r="BD53" s="658">
        <f>IF(BD$6&gt;$L53,0,BC53*(1-'Interest Rate'!$B$17))</f>
        <v>0</v>
      </c>
      <c r="BE53" s="658">
        <f>IF(BE$6&gt;$L53,0,BD53*(1-'Interest Rate'!$B$17))</f>
        <v>0</v>
      </c>
      <c r="BF53" s="658">
        <f>IF(BF$6&gt;$L53,0,BE53*(1-'Interest Rate'!$B$17))</f>
        <v>0</v>
      </c>
      <c r="BG53" s="658">
        <f>IF(BG$6&gt;$L53,0,BF53*(1-'Interest Rate'!$B$17))</f>
        <v>0</v>
      </c>
      <c r="BH53" s="658">
        <f>IF(BH$6&gt;$L53,0,BG53*(1-'Interest Rate'!$B$17))</f>
        <v>0</v>
      </c>
      <c r="BI53" s="658">
        <f>IF(BI$6&gt;$L53,0,BH53*(1-'Interest Rate'!$B$17))</f>
        <v>0</v>
      </c>
      <c r="BJ53" s="658">
        <f>IF(BJ$6&gt;$L53,0,BI53*(1-'Interest Rate'!$B$17))</f>
        <v>0</v>
      </c>
      <c r="BK53" s="658">
        <f>IF(BK$6&gt;$L53,0,BJ53*(1-'Interest Rate'!$B$17))</f>
        <v>0</v>
      </c>
      <c r="BL53" s="658">
        <f>IF(BL$6&gt;$L53,0,BK53*(1-'Interest Rate'!$B$17))</f>
        <v>0</v>
      </c>
      <c r="BM53" s="658">
        <f>IF(BM$6&gt;$L53,0,BL53*(1-'Interest Rate'!$B$17))</f>
        <v>0</v>
      </c>
      <c r="BN53" s="658">
        <f>IF(BN$6&gt;$L53,0,BM53*(1-'Interest Rate'!$B$17))</f>
        <v>0</v>
      </c>
      <c r="BO53" s="658">
        <f>IF(BO$6&gt;$L53,0,BN53*(1-'Interest Rate'!$B$17))</f>
        <v>0</v>
      </c>
      <c r="BP53" s="658">
        <f>IF(BP$6&gt;$L53,0,BO53*(1-'Interest Rate'!$B$17))</f>
        <v>0</v>
      </c>
      <c r="BQ53" s="658">
        <f>IF(BQ$6&gt;$L53,0,BP53*(1-'Interest Rate'!$B$17))</f>
        <v>0</v>
      </c>
      <c r="BR53" s="658">
        <f>IF(BR$6&gt;$L53,0,BQ53*(1-'Interest Rate'!$B$17))</f>
        <v>0</v>
      </c>
      <c r="BS53" s="658">
        <f>IF(BS$6&gt;$L53,0,BR53*(1-'Interest Rate'!$B$17))</f>
        <v>0</v>
      </c>
      <c r="BT53" s="658">
        <f>IF(BT$6&gt;$L53,0,BS53*(1-'Interest Rate'!$B$17))</f>
        <v>0</v>
      </c>
      <c r="BU53" s="658">
        <f>IF(BU$6&gt;$L53,0,BT53*(1-'Interest Rate'!$B$17))</f>
        <v>0</v>
      </c>
      <c r="BV53" s="658">
        <f>IF(BV$6&gt;$L53,0,BU53*(1-'Interest Rate'!$B$17))</f>
        <v>0</v>
      </c>
      <c r="BW53" s="658">
        <f>IF(BW$6&gt;$L53,0,BV53*(1-'Interest Rate'!$B$17))</f>
        <v>0</v>
      </c>
      <c r="BX53" s="658">
        <f>IF(BX$6&gt;$L53,0,BW53*(1-'Interest Rate'!$B$17))</f>
        <v>0</v>
      </c>
      <c r="BY53" s="658">
        <f>IF(BY$6&gt;$L53,0,BX53*(1-'Interest Rate'!$B$17))</f>
        <v>0</v>
      </c>
      <c r="BZ53" s="658">
        <f>IF(BZ$6&gt;$L53,0,BY53*(1-'Interest Rate'!$B$17))</f>
        <v>0</v>
      </c>
      <c r="CA53" s="658">
        <f>IF(CA$6&gt;$L53,0,BZ53*(1-'Interest Rate'!$B$17))</f>
        <v>0</v>
      </c>
      <c r="CB53" s="658">
        <f>IF(CB$6&gt;$L53,0,CA53*(1-'Interest Rate'!$B$17))</f>
        <v>0</v>
      </c>
      <c r="CC53" s="658">
        <f>IF(CC$6&gt;$L53,0,CB53*(1-'Interest Rate'!$B$17))</f>
        <v>0</v>
      </c>
      <c r="CD53" s="658">
        <f>IF(CD$6&gt;$L53,0,CC53*(1-'Interest Rate'!$B$17))</f>
        <v>0</v>
      </c>
      <c r="CE53" s="658">
        <f>IF(CE$6&gt;$L53,0,CD53*(1-'Interest Rate'!$B$17))</f>
        <v>0</v>
      </c>
      <c r="CF53" s="658">
        <f>IF(CF$6&gt;$L53,0,CE53*(1-'Interest Rate'!$B$17))</f>
        <v>0</v>
      </c>
      <c r="CG53" s="658">
        <f>IF(CG$6&gt;$L53,0,CF53*(1-'Interest Rate'!$B$17))</f>
        <v>0</v>
      </c>
      <c r="CH53" s="658">
        <f>IF(CH$6&gt;$L53,0,CG53*(1-'Interest Rate'!$B$17))</f>
        <v>0</v>
      </c>
      <c r="CI53" s="658">
        <f>IF(CI$6&gt;$L53,0,CH53*(1-'Interest Rate'!$B$17))</f>
        <v>0</v>
      </c>
      <c r="CJ53" s="658">
        <f>IF(CJ$6&gt;$L53,0,CI53*(1-'Interest Rate'!$B$17))</f>
        <v>0</v>
      </c>
      <c r="CK53" s="658">
        <f>IF(CK$6&gt;$L53,0,CJ53*(1-'Interest Rate'!$B$17))</f>
        <v>0</v>
      </c>
      <c r="CL53" s="658">
        <f>IF(CL$6&gt;$L53,0,CK53*(1-'Interest Rate'!$B$17))</f>
        <v>0</v>
      </c>
      <c r="CM53" s="658">
        <f>IF(CM$6&gt;$L53,0,CL53*(1-'Interest Rate'!$B$17))</f>
        <v>0</v>
      </c>
      <c r="CN53" s="658">
        <f>IF(CN$6&gt;$L53,0,CM53*(1-'Interest Rate'!$B$17))</f>
        <v>0</v>
      </c>
      <c r="CO53" s="658">
        <f>IF(CO$6&gt;$L53,0,CN53*(1-'Interest Rate'!$B$17))</f>
        <v>0</v>
      </c>
      <c r="CP53" s="658">
        <f>IF(CP$6&gt;$L53,0,CO53*(1-'Interest Rate'!$B$17))</f>
        <v>0</v>
      </c>
      <c r="CQ53" s="658">
        <f>IF(CQ$6&gt;$L53,0,CP53*(1-'Interest Rate'!$B$17))</f>
        <v>0</v>
      </c>
      <c r="CR53" s="658">
        <f>IF(CR$6&gt;$L53,0,CQ53*(1-'Interest Rate'!$B$17))</f>
        <v>0</v>
      </c>
      <c r="CS53" s="658">
        <f>IF(CS$6&gt;$L53,0,CR53*(1-'Interest Rate'!$B$17))</f>
        <v>0</v>
      </c>
      <c r="CT53" s="658">
        <f>IF(CT$6&gt;$L53,0,CS53*(1-'Interest Rate'!$B$17))</f>
        <v>0</v>
      </c>
      <c r="CU53" s="658">
        <f>IF(CU$6&gt;$L53,0,CT53*(1-'Interest Rate'!$B$17))</f>
        <v>0</v>
      </c>
      <c r="CV53" s="658">
        <f>IF(CV$6&gt;$L53,0,CU53*(1-'Interest Rate'!$B$17))</f>
        <v>0</v>
      </c>
      <c r="CW53" s="658">
        <f>IF(CW$6&gt;$L53,0,CV53*(1-'Interest Rate'!$B$17))</f>
        <v>0</v>
      </c>
      <c r="CX53" s="658">
        <f>IF(CX$6&gt;$L53,0,CW53*(1-'Interest Rate'!$B$17))</f>
        <v>0</v>
      </c>
      <c r="CY53" s="658">
        <f>IF(CY$6&gt;$L53,0,CX53*(1-'Interest Rate'!$B$17))</f>
        <v>0</v>
      </c>
      <c r="CZ53" s="658">
        <f>IF(CZ$6&gt;$L53,0,CY53*(1-'Interest Rate'!$B$17))</f>
        <v>0</v>
      </c>
      <c r="DA53" s="658">
        <f>IF(DA$6&gt;$L53,0,CZ53*(1-'Interest Rate'!$B$17))</f>
        <v>0</v>
      </c>
      <c r="DB53" s="658">
        <f>IF(DB$6&gt;$L53,0,DA53*(1-'Interest Rate'!$B$17))</f>
        <v>0</v>
      </c>
      <c r="DC53" s="658">
        <f>IF(DC$6&gt;$L53,0,DB53*(1-'Interest Rate'!$B$17))</f>
        <v>0</v>
      </c>
      <c r="DD53" s="658">
        <f>IF(DD$6&gt;$L53,0,DC53*(1-'Interest Rate'!$B$17))</f>
        <v>0</v>
      </c>
      <c r="DE53" s="658">
        <f>IF(DE$6&gt;$L53,0,DD53*(1-'Interest Rate'!$B$17))</f>
        <v>0</v>
      </c>
      <c r="DF53" s="658">
        <f>IF(DF$6&gt;$L53,0,DE53*(1-'Interest Rate'!$B$17))</f>
        <v>0</v>
      </c>
      <c r="DG53" s="658">
        <f>IF(DG$6&gt;$L53,0,DF53*(1-'Interest Rate'!$B$17))</f>
        <v>0</v>
      </c>
      <c r="DH53" s="658">
        <f>IF(DH$6&gt;$L53,0,DG53*(1-'Interest Rate'!$B$17))</f>
        <v>0</v>
      </c>
      <c r="DI53" s="658">
        <f>IF(DI$6&gt;$L53,0,DH53*(1-'Interest Rate'!$B$17))</f>
        <v>0</v>
      </c>
      <c r="DJ53" s="658">
        <f>IF(DJ$6&gt;$L53,0,DI53*(1-'Interest Rate'!$B$17))</f>
        <v>0</v>
      </c>
      <c r="DK53" s="658">
        <f>IF(DK$6&gt;$L53,0,DJ53*(1-'Interest Rate'!$B$17))</f>
        <v>0</v>
      </c>
      <c r="DL53" s="658">
        <f>IF(DL$6&gt;$L53,0,DK53*(1-'Interest Rate'!$B$17))</f>
        <v>0</v>
      </c>
      <c r="DM53" s="658">
        <f>IF(DM$6&gt;$L53,0,DL53*(1-'Interest Rate'!$B$17))</f>
        <v>0</v>
      </c>
      <c r="DN53" s="658">
        <f>IF(DN$6&gt;$L53,0,DM53*(1-'Interest Rate'!$B$17))</f>
        <v>0</v>
      </c>
      <c r="DO53" s="658">
        <f>IF(DO$6&gt;$L53,0,DN53*(1-'Interest Rate'!$B$17))</f>
        <v>0</v>
      </c>
      <c r="DP53" s="658">
        <f>IF(DP$6&gt;$L53,0,DO53*(1-'Interest Rate'!$B$17))</f>
        <v>0</v>
      </c>
      <c r="DQ53" s="658">
        <f>IF(DQ$6&gt;$L53,0,DP53*(1-'Interest Rate'!$B$17))</f>
        <v>0</v>
      </c>
      <c r="DR53" s="658">
        <f>IF(DR$6&gt;$L53,0,DQ53*(1-'Interest Rate'!$B$17))</f>
        <v>0</v>
      </c>
    </row>
    <row r="54" spans="1:122" ht="33" customHeight="1" x14ac:dyDescent="0.3">
      <c r="A54" s="696" t="str">
        <f>'EEM Data Entry'!A129</f>
        <v/>
      </c>
      <c r="B54" s="697" t="str">
        <f>IF('EEM Data Entry'!B129="  ","  ", 'EEM Data Entry'!B129)</f>
        <v/>
      </c>
      <c r="C54" s="671" t="str">
        <f>'EEM Data Entry'!F129</f>
        <v/>
      </c>
      <c r="D54" s="671">
        <v>0</v>
      </c>
      <c r="E54" s="671" t="e">
        <f t="shared" si="19"/>
        <v>#VALUE!</v>
      </c>
      <c r="F54" s="650">
        <f>('Cascading Savings'!D54*'Cascading Savings'!D$4)+('Cascading Savings'!F54*'Cascading Savings'!F$4)+('Cascading Savings'!H54*'Cascading Savings'!H$4)+('Cascading Savings'!J54*'Cascading Savings'!J$4)+('Cascading Savings'!L54*'Cascading Savings'!L$4)+('Cascading Savings'!N54*'Cascading Savings'!N$4)+('Cascading Savings'!P54*'Cascading Savings'!P$4)+('Cascading Savings'!R54*'Cascading Savings'!R$4)</f>
        <v>0</v>
      </c>
      <c r="G54" s="698">
        <f>'Cascading Savings'!T54</f>
        <v>0</v>
      </c>
      <c r="H54" s="672" t="e">
        <f>IF(C54=0,"n/a",E54/F54)</f>
        <v>#VALUE!</v>
      </c>
      <c r="I54" s="668" t="e">
        <f>IF(H54=0, "n/a", IF(H54&gt;100, "no",IF(H54&lt;0, "no", "yes")))</f>
        <v>#VALUE!</v>
      </c>
      <c r="J54" s="673" t="e">
        <f t="shared" si="17"/>
        <v>#NUM!</v>
      </c>
      <c r="K54" s="674" t="e">
        <f>PV('Interest Rate'!$B$17,Table314[[#This Row],[Lifetime]],-Table314[[#This Row],[ANNUAL ENERGY COST SAVINGS]],Table314[[#This Row],[END-OF-LIFE]],0)-Table314[[#This Row],[CAPITAL INVESTMENT]]</f>
        <v>#VALUE!</v>
      </c>
      <c r="L54" s="696" t="str">
        <f>'EEM Data Entry'!C129</f>
        <v/>
      </c>
      <c r="M54" s="669" t="e">
        <f>Table314[[#This Row],[ANNUAL ENERGY COST SAVINGS]]/Table314[[#This Row],[CAPITAL INVESTMENT]]</f>
        <v>#VALUE!</v>
      </c>
      <c r="N54" s="699">
        <f>IF(ISNUMBER(Table314[[#This Row],[NPV]])=TRUE,Table314[[#This Row],[NPV]],0)</f>
        <v>0</v>
      </c>
      <c r="O54" s="727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54" s="568" t="str">
        <f>Table314[[#This Row],[Lifetime]]</f>
        <v/>
      </c>
      <c r="V54" s="657" t="str">
        <f t="shared" si="18"/>
        <v/>
      </c>
      <c r="W54" s="658">
        <f>Table314[[#This Row],[ANNUAL ENERGY COST SAVINGS]]</f>
        <v>0</v>
      </c>
      <c r="X54" s="658">
        <f>IF(X$6&gt;$L54,0,W54*(1-'Interest Rate'!$B$17))</f>
        <v>0</v>
      </c>
      <c r="Y54" s="658">
        <f>IF(Y$6&gt;$L54,0,X54*(1-'Interest Rate'!$B$17))</f>
        <v>0</v>
      </c>
      <c r="Z54" s="658">
        <f>IF(Z$6&gt;$L54,0,Y54*(1-'Interest Rate'!$B$17))</f>
        <v>0</v>
      </c>
      <c r="AA54" s="658">
        <f>IF(AA$6&gt;$L54,0,Z54*(1-'Interest Rate'!$B$17))</f>
        <v>0</v>
      </c>
      <c r="AB54" s="658">
        <f>IF(AB$6&gt;$L54,0,AA54*(1-'Interest Rate'!$B$17))</f>
        <v>0</v>
      </c>
      <c r="AC54" s="658">
        <f>IF(AC$6&gt;$L54,0,AB54*(1-'Interest Rate'!$B$17))</f>
        <v>0</v>
      </c>
      <c r="AD54" s="658">
        <f>IF(AD$6&gt;$L54,0,AC54*(1-'Interest Rate'!$B$17))</f>
        <v>0</v>
      </c>
      <c r="AE54" s="658">
        <f>IF(AE$6&gt;$L54,0,AD54*(1-'Interest Rate'!$B$17))</f>
        <v>0</v>
      </c>
      <c r="AF54" s="658">
        <f>IF(AF$6&gt;$L54,0,AE54*(1-'Interest Rate'!$B$17))</f>
        <v>0</v>
      </c>
      <c r="AG54" s="658">
        <f>IF(AG$6&gt;$L54,0,AF54*(1-'Interest Rate'!$B$17))</f>
        <v>0</v>
      </c>
      <c r="AH54" s="658">
        <f>IF(AH$6&gt;$L54,0,AG54*(1-'Interest Rate'!$B$17))</f>
        <v>0</v>
      </c>
      <c r="AI54" s="658">
        <f>IF(AI$6&gt;$L54,0,AH54*(1-'Interest Rate'!$B$17))</f>
        <v>0</v>
      </c>
      <c r="AJ54" s="658">
        <f>IF(AJ$6&gt;$L54,0,AI54*(1-'Interest Rate'!$B$17))</f>
        <v>0</v>
      </c>
      <c r="AK54" s="658">
        <f>IF(AK$6&gt;$L54,0,AJ54*(1-'Interest Rate'!$B$17))</f>
        <v>0</v>
      </c>
      <c r="AL54" s="658">
        <f>IF(AL$6&gt;$L54,0,AK54*(1-'Interest Rate'!$B$17))</f>
        <v>0</v>
      </c>
      <c r="AM54" s="658">
        <f>IF(AM$6&gt;$L54,0,AL54*(1-'Interest Rate'!$B$17))</f>
        <v>0</v>
      </c>
      <c r="AN54" s="658">
        <f>IF(AN$6&gt;$L54,0,AM54*(1-'Interest Rate'!$B$17))</f>
        <v>0</v>
      </c>
      <c r="AO54" s="658">
        <f>IF(AO$6&gt;$L54,0,AN54*(1-'Interest Rate'!$B$17))</f>
        <v>0</v>
      </c>
      <c r="AP54" s="658">
        <f>IF(AP$6&gt;$L54,0,AO54*(1-'Interest Rate'!$B$17))</f>
        <v>0</v>
      </c>
      <c r="AQ54" s="658">
        <f>IF(AQ$6&gt;$L54,0,AP54*(1-'Interest Rate'!$B$17))</f>
        <v>0</v>
      </c>
      <c r="AR54" s="658">
        <f>IF(AR$6&gt;$L54,0,AQ54*(1-'Interest Rate'!$B$17))</f>
        <v>0</v>
      </c>
      <c r="AS54" s="658">
        <f>IF(AS$6&gt;$L54,0,AR54*(1-'Interest Rate'!$B$17))</f>
        <v>0</v>
      </c>
      <c r="AT54" s="658">
        <f>IF(AT$6&gt;$L54,0,AS54*(1-'Interest Rate'!$B$17))</f>
        <v>0</v>
      </c>
      <c r="AU54" s="658">
        <f>IF(AU$6&gt;$L54,0,AT54*(1-'Interest Rate'!$B$17))</f>
        <v>0</v>
      </c>
      <c r="AV54" s="658">
        <f>IF(AV$6&gt;$L54,0,AU54*(1-'Interest Rate'!$B$17))</f>
        <v>0</v>
      </c>
      <c r="AW54" s="658">
        <f>IF(AW$6&gt;$L54,0,AV54*(1-'Interest Rate'!$B$17))</f>
        <v>0</v>
      </c>
      <c r="AX54" s="658">
        <f>IF(AX$6&gt;$L54,0,AW54*(1-'Interest Rate'!$B$17))</f>
        <v>0</v>
      </c>
      <c r="AY54" s="658">
        <f>IF(AY$6&gt;$L54,0,AX54*(1-'Interest Rate'!$B$17))</f>
        <v>0</v>
      </c>
      <c r="AZ54" s="658">
        <f>IF(AZ$6&gt;$L54,0,AY54*(1-'Interest Rate'!$B$17))</f>
        <v>0</v>
      </c>
      <c r="BA54" s="658">
        <f>IF(BA$6&gt;$L54,0,AZ54*(1-'Interest Rate'!$B$17))</f>
        <v>0</v>
      </c>
      <c r="BB54" s="658">
        <f>IF(BB$6&gt;$L54,0,BA54*(1-'Interest Rate'!$B$17))</f>
        <v>0</v>
      </c>
      <c r="BC54" s="658">
        <f>IF(BC$6&gt;$L54,0,BB54*(1-'Interest Rate'!$B$17))</f>
        <v>0</v>
      </c>
      <c r="BD54" s="658">
        <f>IF(BD$6&gt;$L54,0,BC54*(1-'Interest Rate'!$B$17))</f>
        <v>0</v>
      </c>
      <c r="BE54" s="658">
        <f>IF(BE$6&gt;$L54,0,BD54*(1-'Interest Rate'!$B$17))</f>
        <v>0</v>
      </c>
      <c r="BF54" s="658">
        <f>IF(BF$6&gt;$L54,0,BE54*(1-'Interest Rate'!$B$17))</f>
        <v>0</v>
      </c>
      <c r="BG54" s="658">
        <f>IF(BG$6&gt;$L54,0,BF54*(1-'Interest Rate'!$B$17))</f>
        <v>0</v>
      </c>
      <c r="BH54" s="658">
        <f>IF(BH$6&gt;$L54,0,BG54*(1-'Interest Rate'!$B$17))</f>
        <v>0</v>
      </c>
      <c r="BI54" s="658">
        <f>IF(BI$6&gt;$L54,0,BH54*(1-'Interest Rate'!$B$17))</f>
        <v>0</v>
      </c>
      <c r="BJ54" s="658">
        <f>IF(BJ$6&gt;$L54,0,BI54*(1-'Interest Rate'!$B$17))</f>
        <v>0</v>
      </c>
      <c r="BK54" s="658">
        <f>IF(BK$6&gt;$L54,0,BJ54*(1-'Interest Rate'!$B$17))</f>
        <v>0</v>
      </c>
      <c r="BL54" s="658">
        <f>IF(BL$6&gt;$L54,0,BK54*(1-'Interest Rate'!$B$17))</f>
        <v>0</v>
      </c>
      <c r="BM54" s="658">
        <f>IF(BM$6&gt;$L54,0,BL54*(1-'Interest Rate'!$B$17))</f>
        <v>0</v>
      </c>
      <c r="BN54" s="658">
        <f>IF(BN$6&gt;$L54,0,BM54*(1-'Interest Rate'!$B$17))</f>
        <v>0</v>
      </c>
      <c r="BO54" s="658">
        <f>IF(BO$6&gt;$L54,0,BN54*(1-'Interest Rate'!$B$17))</f>
        <v>0</v>
      </c>
      <c r="BP54" s="658">
        <f>IF(BP$6&gt;$L54,0,BO54*(1-'Interest Rate'!$B$17))</f>
        <v>0</v>
      </c>
      <c r="BQ54" s="658">
        <f>IF(BQ$6&gt;$L54,0,BP54*(1-'Interest Rate'!$B$17))</f>
        <v>0</v>
      </c>
      <c r="BR54" s="658">
        <f>IF(BR$6&gt;$L54,0,BQ54*(1-'Interest Rate'!$B$17))</f>
        <v>0</v>
      </c>
      <c r="BS54" s="658">
        <f>IF(BS$6&gt;$L54,0,BR54*(1-'Interest Rate'!$B$17))</f>
        <v>0</v>
      </c>
      <c r="BT54" s="658">
        <f>IF(BT$6&gt;$L54,0,BS54*(1-'Interest Rate'!$B$17))</f>
        <v>0</v>
      </c>
      <c r="BU54" s="658">
        <f>IF(BU$6&gt;$L54,0,BT54*(1-'Interest Rate'!$B$17))</f>
        <v>0</v>
      </c>
      <c r="BV54" s="658">
        <f>IF(BV$6&gt;$L54,0,BU54*(1-'Interest Rate'!$B$17))</f>
        <v>0</v>
      </c>
      <c r="BW54" s="658">
        <f>IF(BW$6&gt;$L54,0,BV54*(1-'Interest Rate'!$B$17))</f>
        <v>0</v>
      </c>
      <c r="BX54" s="658">
        <f>IF(BX$6&gt;$L54,0,BW54*(1-'Interest Rate'!$B$17))</f>
        <v>0</v>
      </c>
      <c r="BY54" s="658">
        <f>IF(BY$6&gt;$L54,0,BX54*(1-'Interest Rate'!$B$17))</f>
        <v>0</v>
      </c>
      <c r="BZ54" s="658">
        <f>IF(BZ$6&gt;$L54,0,BY54*(1-'Interest Rate'!$B$17))</f>
        <v>0</v>
      </c>
      <c r="CA54" s="658">
        <f>IF(CA$6&gt;$L54,0,BZ54*(1-'Interest Rate'!$B$17))</f>
        <v>0</v>
      </c>
      <c r="CB54" s="658">
        <f>IF(CB$6&gt;$L54,0,CA54*(1-'Interest Rate'!$B$17))</f>
        <v>0</v>
      </c>
      <c r="CC54" s="658">
        <f>IF(CC$6&gt;$L54,0,CB54*(1-'Interest Rate'!$B$17))</f>
        <v>0</v>
      </c>
      <c r="CD54" s="658">
        <f>IF(CD$6&gt;$L54,0,CC54*(1-'Interest Rate'!$B$17))</f>
        <v>0</v>
      </c>
      <c r="CE54" s="658">
        <f>IF(CE$6&gt;$L54,0,CD54*(1-'Interest Rate'!$B$17))</f>
        <v>0</v>
      </c>
      <c r="CF54" s="658">
        <f>IF(CF$6&gt;$L54,0,CE54*(1-'Interest Rate'!$B$17))</f>
        <v>0</v>
      </c>
      <c r="CG54" s="658">
        <f>IF(CG$6&gt;$L54,0,CF54*(1-'Interest Rate'!$B$17))</f>
        <v>0</v>
      </c>
      <c r="CH54" s="658">
        <f>IF(CH$6&gt;$L54,0,CG54*(1-'Interest Rate'!$B$17))</f>
        <v>0</v>
      </c>
      <c r="CI54" s="658">
        <f>IF(CI$6&gt;$L54,0,CH54*(1-'Interest Rate'!$B$17))</f>
        <v>0</v>
      </c>
      <c r="CJ54" s="658">
        <f>IF(CJ$6&gt;$L54,0,CI54*(1-'Interest Rate'!$B$17))</f>
        <v>0</v>
      </c>
      <c r="CK54" s="658">
        <f>IF(CK$6&gt;$L54,0,CJ54*(1-'Interest Rate'!$B$17))</f>
        <v>0</v>
      </c>
      <c r="CL54" s="658">
        <f>IF(CL$6&gt;$L54,0,CK54*(1-'Interest Rate'!$B$17))</f>
        <v>0</v>
      </c>
      <c r="CM54" s="658">
        <f>IF(CM$6&gt;$L54,0,CL54*(1-'Interest Rate'!$B$17))</f>
        <v>0</v>
      </c>
      <c r="CN54" s="658">
        <f>IF(CN$6&gt;$L54,0,CM54*(1-'Interest Rate'!$B$17))</f>
        <v>0</v>
      </c>
      <c r="CO54" s="658">
        <f>IF(CO$6&gt;$L54,0,CN54*(1-'Interest Rate'!$B$17))</f>
        <v>0</v>
      </c>
      <c r="CP54" s="658">
        <f>IF(CP$6&gt;$L54,0,CO54*(1-'Interest Rate'!$B$17))</f>
        <v>0</v>
      </c>
      <c r="CQ54" s="658">
        <f>IF(CQ$6&gt;$L54,0,CP54*(1-'Interest Rate'!$B$17))</f>
        <v>0</v>
      </c>
      <c r="CR54" s="658">
        <f>IF(CR$6&gt;$L54,0,CQ54*(1-'Interest Rate'!$B$17))</f>
        <v>0</v>
      </c>
      <c r="CS54" s="658">
        <f>IF(CS$6&gt;$L54,0,CR54*(1-'Interest Rate'!$B$17))</f>
        <v>0</v>
      </c>
      <c r="CT54" s="658">
        <f>IF(CT$6&gt;$L54,0,CS54*(1-'Interest Rate'!$B$17))</f>
        <v>0</v>
      </c>
      <c r="CU54" s="658">
        <f>IF(CU$6&gt;$L54,0,CT54*(1-'Interest Rate'!$B$17))</f>
        <v>0</v>
      </c>
      <c r="CV54" s="658">
        <f>IF(CV$6&gt;$L54,0,CU54*(1-'Interest Rate'!$B$17))</f>
        <v>0</v>
      </c>
      <c r="CW54" s="658">
        <f>IF(CW$6&gt;$L54,0,CV54*(1-'Interest Rate'!$B$17))</f>
        <v>0</v>
      </c>
      <c r="CX54" s="658">
        <f>IF(CX$6&gt;$L54,0,CW54*(1-'Interest Rate'!$B$17))</f>
        <v>0</v>
      </c>
      <c r="CY54" s="658">
        <f>IF(CY$6&gt;$L54,0,CX54*(1-'Interest Rate'!$B$17))</f>
        <v>0</v>
      </c>
      <c r="CZ54" s="658">
        <f>IF(CZ$6&gt;$L54,0,CY54*(1-'Interest Rate'!$B$17))</f>
        <v>0</v>
      </c>
      <c r="DA54" s="658">
        <f>IF(DA$6&gt;$L54,0,CZ54*(1-'Interest Rate'!$B$17))</f>
        <v>0</v>
      </c>
      <c r="DB54" s="658">
        <f>IF(DB$6&gt;$L54,0,DA54*(1-'Interest Rate'!$B$17))</f>
        <v>0</v>
      </c>
      <c r="DC54" s="658">
        <f>IF(DC$6&gt;$L54,0,DB54*(1-'Interest Rate'!$B$17))</f>
        <v>0</v>
      </c>
      <c r="DD54" s="658">
        <f>IF(DD$6&gt;$L54,0,DC54*(1-'Interest Rate'!$B$17))</f>
        <v>0</v>
      </c>
      <c r="DE54" s="658">
        <f>IF(DE$6&gt;$L54,0,DD54*(1-'Interest Rate'!$B$17))</f>
        <v>0</v>
      </c>
      <c r="DF54" s="658">
        <f>IF(DF$6&gt;$L54,0,DE54*(1-'Interest Rate'!$B$17))</f>
        <v>0</v>
      </c>
      <c r="DG54" s="658">
        <f>IF(DG$6&gt;$L54,0,DF54*(1-'Interest Rate'!$B$17))</f>
        <v>0</v>
      </c>
      <c r="DH54" s="658">
        <f>IF(DH$6&gt;$L54,0,DG54*(1-'Interest Rate'!$B$17))</f>
        <v>0</v>
      </c>
      <c r="DI54" s="658">
        <f>IF(DI$6&gt;$L54,0,DH54*(1-'Interest Rate'!$B$17))</f>
        <v>0</v>
      </c>
      <c r="DJ54" s="658">
        <f>IF(DJ$6&gt;$L54,0,DI54*(1-'Interest Rate'!$B$17))</f>
        <v>0</v>
      </c>
      <c r="DK54" s="658">
        <f>IF(DK$6&gt;$L54,0,DJ54*(1-'Interest Rate'!$B$17))</f>
        <v>0</v>
      </c>
      <c r="DL54" s="658">
        <f>IF(DL$6&gt;$L54,0,DK54*(1-'Interest Rate'!$B$17))</f>
        <v>0</v>
      </c>
      <c r="DM54" s="658">
        <f>IF(DM$6&gt;$L54,0,DL54*(1-'Interest Rate'!$B$17))</f>
        <v>0</v>
      </c>
      <c r="DN54" s="658">
        <f>IF(DN$6&gt;$L54,0,DM54*(1-'Interest Rate'!$B$17))</f>
        <v>0</v>
      </c>
      <c r="DO54" s="658">
        <f>IF(DO$6&gt;$L54,0,DN54*(1-'Interest Rate'!$B$17))</f>
        <v>0</v>
      </c>
      <c r="DP54" s="658">
        <f>IF(DP$6&gt;$L54,0,DO54*(1-'Interest Rate'!$B$17))</f>
        <v>0</v>
      </c>
      <c r="DQ54" s="658">
        <f>IF(DQ$6&gt;$L54,0,DP54*(1-'Interest Rate'!$B$17))</f>
        <v>0</v>
      </c>
      <c r="DR54" s="658">
        <f>IF(DR$6&gt;$L54,0,DQ54*(1-'Interest Rate'!$B$17))</f>
        <v>0</v>
      </c>
    </row>
    <row r="55" spans="1:122" ht="33" customHeight="1" x14ac:dyDescent="0.3">
      <c r="A55" s="696" t="str">
        <f>'EEM Data Entry'!A130</f>
        <v/>
      </c>
      <c r="B55" s="697" t="str">
        <f>IF('EEM Data Entry'!B130="  ","  ", 'EEM Data Entry'!B130)</f>
        <v/>
      </c>
      <c r="C55" s="671" t="str">
        <f>'EEM Data Entry'!F130</f>
        <v/>
      </c>
      <c r="D55" s="671">
        <v>0</v>
      </c>
      <c r="E55" s="671" t="e">
        <f t="shared" si="19"/>
        <v>#VALUE!</v>
      </c>
      <c r="F55" s="662">
        <f>('Cascading Savings'!D55*'Cascading Savings'!D$4)+('Cascading Savings'!F55*'Cascading Savings'!F$4)+('Cascading Savings'!H55*'Cascading Savings'!H$4)+('Cascading Savings'!J55*'Cascading Savings'!J$4)+('Cascading Savings'!L55*'Cascading Savings'!L$4)+('Cascading Savings'!N55*'Cascading Savings'!N$4)+('Cascading Savings'!P55*'Cascading Savings'!P$4)+('Cascading Savings'!R55*'Cascading Savings'!R$4)</f>
        <v>0</v>
      </c>
      <c r="G55" s="698">
        <f>'Cascading Savings'!T55</f>
        <v>0</v>
      </c>
      <c r="H55" s="672" t="e">
        <f t="shared" si="20"/>
        <v>#VALUE!</v>
      </c>
      <c r="I55" s="668" t="e">
        <f>IF(H55=0, "n/a", IF(H55&gt;100, "no",IF(H55&lt;0, "no", "yes")))</f>
        <v>#VALUE!</v>
      </c>
      <c r="J55" s="673" t="e">
        <f t="shared" si="17"/>
        <v>#NUM!</v>
      </c>
      <c r="K55" s="674" t="e">
        <f>PV('Interest Rate'!$B$17,Table314[[#This Row],[Lifetime]],-Table314[[#This Row],[ANNUAL ENERGY COST SAVINGS]],Table314[[#This Row],[END-OF-LIFE]],0)-Table314[[#This Row],[CAPITAL INVESTMENT]]</f>
        <v>#VALUE!</v>
      </c>
      <c r="L55" s="696" t="str">
        <f>'EEM Data Entry'!C130</f>
        <v/>
      </c>
      <c r="M55" s="669" t="e">
        <f>Table314[[#This Row],[ANNUAL ENERGY COST SAVINGS]]/Table314[[#This Row],[CAPITAL INVESTMENT]]</f>
        <v>#VALUE!</v>
      </c>
      <c r="N55" s="699">
        <f>IF(ISNUMBER(Table314[[#This Row],[NPV]])=TRUE,Table314[[#This Row],[NPV]],0)</f>
        <v>0</v>
      </c>
      <c r="O55" s="727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55" s="568" t="str">
        <f>Table314[[#This Row],[Lifetime]]</f>
        <v/>
      </c>
      <c r="V55" s="657" t="str">
        <f t="shared" si="18"/>
        <v/>
      </c>
      <c r="W55" s="658">
        <f>Table314[[#This Row],[ANNUAL ENERGY COST SAVINGS]]</f>
        <v>0</v>
      </c>
      <c r="X55" s="658">
        <f>IF(X$6&gt;$L55,0,W55*(1-'Interest Rate'!$B$17))</f>
        <v>0</v>
      </c>
      <c r="Y55" s="658">
        <f>IF(Y$6&gt;$L55,0,X55*(1-'Interest Rate'!$B$17))</f>
        <v>0</v>
      </c>
      <c r="Z55" s="658">
        <f>IF(Z$6&gt;$L55,0,Y55*(1-'Interest Rate'!$B$17))</f>
        <v>0</v>
      </c>
      <c r="AA55" s="658">
        <f>IF(AA$6&gt;$L55,0,Z55*(1-'Interest Rate'!$B$17))</f>
        <v>0</v>
      </c>
      <c r="AB55" s="658">
        <f>IF(AB$6&gt;$L55,0,AA55*(1-'Interest Rate'!$B$17))</f>
        <v>0</v>
      </c>
      <c r="AC55" s="658">
        <f>IF(AC$6&gt;$L55,0,AB55*(1-'Interest Rate'!$B$17))</f>
        <v>0</v>
      </c>
      <c r="AD55" s="658">
        <f>IF(AD$6&gt;$L55,0,AC55*(1-'Interest Rate'!$B$17))</f>
        <v>0</v>
      </c>
      <c r="AE55" s="658">
        <f>IF(AE$6&gt;$L55,0,AD55*(1-'Interest Rate'!$B$17))</f>
        <v>0</v>
      </c>
      <c r="AF55" s="658">
        <f>IF(AF$6&gt;$L55,0,AE55*(1-'Interest Rate'!$B$17))</f>
        <v>0</v>
      </c>
      <c r="AG55" s="658">
        <f>IF(AG$6&gt;$L55,0,AF55*(1-'Interest Rate'!$B$17))</f>
        <v>0</v>
      </c>
      <c r="AH55" s="658">
        <f>IF(AH$6&gt;$L55,0,AG55*(1-'Interest Rate'!$B$17))</f>
        <v>0</v>
      </c>
      <c r="AI55" s="658">
        <f>IF(AI$6&gt;$L55,0,AH55*(1-'Interest Rate'!$B$17))</f>
        <v>0</v>
      </c>
      <c r="AJ55" s="658">
        <f>IF(AJ$6&gt;$L55,0,AI55*(1-'Interest Rate'!$B$17))</f>
        <v>0</v>
      </c>
      <c r="AK55" s="658">
        <f>IF(AK$6&gt;$L55,0,AJ55*(1-'Interest Rate'!$B$17))</f>
        <v>0</v>
      </c>
      <c r="AL55" s="658">
        <f>IF(AL$6&gt;$L55,0,AK55*(1-'Interest Rate'!$B$17))</f>
        <v>0</v>
      </c>
      <c r="AM55" s="658">
        <f>IF(AM$6&gt;$L55,0,AL55*(1-'Interest Rate'!$B$17))</f>
        <v>0</v>
      </c>
      <c r="AN55" s="658">
        <f>IF(AN$6&gt;$L55,0,AM55*(1-'Interest Rate'!$B$17))</f>
        <v>0</v>
      </c>
      <c r="AO55" s="658">
        <f>IF(AO$6&gt;$L55,0,AN55*(1-'Interest Rate'!$B$17))</f>
        <v>0</v>
      </c>
      <c r="AP55" s="658">
        <f>IF(AP$6&gt;$L55,0,AO55*(1-'Interest Rate'!$B$17))</f>
        <v>0</v>
      </c>
      <c r="AQ55" s="658">
        <f>IF(AQ$6&gt;$L55,0,AP55*(1-'Interest Rate'!$B$17))</f>
        <v>0</v>
      </c>
      <c r="AR55" s="658">
        <f>IF(AR$6&gt;$L55,0,AQ55*(1-'Interest Rate'!$B$17))</f>
        <v>0</v>
      </c>
      <c r="AS55" s="658">
        <f>IF(AS$6&gt;$L55,0,AR55*(1-'Interest Rate'!$B$17))</f>
        <v>0</v>
      </c>
      <c r="AT55" s="658">
        <f>IF(AT$6&gt;$L55,0,AS55*(1-'Interest Rate'!$B$17))</f>
        <v>0</v>
      </c>
      <c r="AU55" s="658">
        <f>IF(AU$6&gt;$L55,0,AT55*(1-'Interest Rate'!$B$17))</f>
        <v>0</v>
      </c>
      <c r="AV55" s="658">
        <f>IF(AV$6&gt;$L55,0,AU55*(1-'Interest Rate'!$B$17))</f>
        <v>0</v>
      </c>
      <c r="AW55" s="658">
        <f>IF(AW$6&gt;$L55,0,AV55*(1-'Interest Rate'!$B$17))</f>
        <v>0</v>
      </c>
      <c r="AX55" s="658">
        <f>IF(AX$6&gt;$L55,0,AW55*(1-'Interest Rate'!$B$17))</f>
        <v>0</v>
      </c>
      <c r="AY55" s="658">
        <f>IF(AY$6&gt;$L55,0,AX55*(1-'Interest Rate'!$B$17))</f>
        <v>0</v>
      </c>
      <c r="AZ55" s="658">
        <f>IF(AZ$6&gt;$L55,0,AY55*(1-'Interest Rate'!$B$17))</f>
        <v>0</v>
      </c>
      <c r="BA55" s="658">
        <f>IF(BA$6&gt;$L55,0,AZ55*(1-'Interest Rate'!$B$17))</f>
        <v>0</v>
      </c>
      <c r="BB55" s="658">
        <f>IF(BB$6&gt;$L55,0,BA55*(1-'Interest Rate'!$B$17))</f>
        <v>0</v>
      </c>
      <c r="BC55" s="658">
        <f>IF(BC$6&gt;$L55,0,BB55*(1-'Interest Rate'!$B$17))</f>
        <v>0</v>
      </c>
      <c r="BD55" s="658">
        <f>IF(BD$6&gt;$L55,0,BC55*(1-'Interest Rate'!$B$17))</f>
        <v>0</v>
      </c>
      <c r="BE55" s="658">
        <f>IF(BE$6&gt;$L55,0,BD55*(1-'Interest Rate'!$B$17))</f>
        <v>0</v>
      </c>
      <c r="BF55" s="658">
        <f>IF(BF$6&gt;$L55,0,BE55*(1-'Interest Rate'!$B$17))</f>
        <v>0</v>
      </c>
      <c r="BG55" s="658">
        <f>IF(BG$6&gt;$L55,0,BF55*(1-'Interest Rate'!$B$17))</f>
        <v>0</v>
      </c>
      <c r="BH55" s="658">
        <f>IF(BH$6&gt;$L55,0,BG55*(1-'Interest Rate'!$B$17))</f>
        <v>0</v>
      </c>
      <c r="BI55" s="658">
        <f>IF(BI$6&gt;$L55,0,BH55*(1-'Interest Rate'!$B$17))</f>
        <v>0</v>
      </c>
      <c r="BJ55" s="658">
        <f>IF(BJ$6&gt;$L55,0,BI55*(1-'Interest Rate'!$B$17))</f>
        <v>0</v>
      </c>
      <c r="BK55" s="658">
        <f>IF(BK$6&gt;$L55,0,BJ55*(1-'Interest Rate'!$B$17))</f>
        <v>0</v>
      </c>
      <c r="BL55" s="658">
        <f>IF(BL$6&gt;$L55,0,BK55*(1-'Interest Rate'!$B$17))</f>
        <v>0</v>
      </c>
      <c r="BM55" s="658">
        <f>IF(BM$6&gt;$L55,0,BL55*(1-'Interest Rate'!$B$17))</f>
        <v>0</v>
      </c>
      <c r="BN55" s="658">
        <f>IF(BN$6&gt;$L55,0,BM55*(1-'Interest Rate'!$B$17))</f>
        <v>0</v>
      </c>
      <c r="BO55" s="658">
        <f>IF(BO$6&gt;$L55,0,BN55*(1-'Interest Rate'!$B$17))</f>
        <v>0</v>
      </c>
      <c r="BP55" s="658">
        <f>IF(BP$6&gt;$L55,0,BO55*(1-'Interest Rate'!$B$17))</f>
        <v>0</v>
      </c>
      <c r="BQ55" s="658">
        <f>IF(BQ$6&gt;$L55,0,BP55*(1-'Interest Rate'!$B$17))</f>
        <v>0</v>
      </c>
      <c r="BR55" s="658">
        <f>IF(BR$6&gt;$L55,0,BQ55*(1-'Interest Rate'!$B$17))</f>
        <v>0</v>
      </c>
      <c r="BS55" s="658">
        <f>IF(BS$6&gt;$L55,0,BR55*(1-'Interest Rate'!$B$17))</f>
        <v>0</v>
      </c>
      <c r="BT55" s="658">
        <f>IF(BT$6&gt;$L55,0,BS55*(1-'Interest Rate'!$B$17))</f>
        <v>0</v>
      </c>
      <c r="BU55" s="658">
        <f>IF(BU$6&gt;$L55,0,BT55*(1-'Interest Rate'!$B$17))</f>
        <v>0</v>
      </c>
      <c r="BV55" s="658">
        <f>IF(BV$6&gt;$L55,0,BU55*(1-'Interest Rate'!$B$17))</f>
        <v>0</v>
      </c>
      <c r="BW55" s="658">
        <f>IF(BW$6&gt;$L55,0,BV55*(1-'Interest Rate'!$B$17))</f>
        <v>0</v>
      </c>
      <c r="BX55" s="658">
        <f>IF(BX$6&gt;$L55,0,BW55*(1-'Interest Rate'!$B$17))</f>
        <v>0</v>
      </c>
      <c r="BY55" s="658">
        <f>IF(BY$6&gt;$L55,0,BX55*(1-'Interest Rate'!$B$17))</f>
        <v>0</v>
      </c>
      <c r="BZ55" s="658">
        <f>IF(BZ$6&gt;$L55,0,BY55*(1-'Interest Rate'!$B$17))</f>
        <v>0</v>
      </c>
      <c r="CA55" s="658">
        <f>IF(CA$6&gt;$L55,0,BZ55*(1-'Interest Rate'!$B$17))</f>
        <v>0</v>
      </c>
      <c r="CB55" s="658">
        <f>IF(CB$6&gt;$L55,0,CA55*(1-'Interest Rate'!$B$17))</f>
        <v>0</v>
      </c>
      <c r="CC55" s="658">
        <f>IF(CC$6&gt;$L55,0,CB55*(1-'Interest Rate'!$B$17))</f>
        <v>0</v>
      </c>
      <c r="CD55" s="658">
        <f>IF(CD$6&gt;$L55,0,CC55*(1-'Interest Rate'!$B$17))</f>
        <v>0</v>
      </c>
      <c r="CE55" s="658">
        <f>IF(CE$6&gt;$L55,0,CD55*(1-'Interest Rate'!$B$17))</f>
        <v>0</v>
      </c>
      <c r="CF55" s="658">
        <f>IF(CF$6&gt;$L55,0,CE55*(1-'Interest Rate'!$B$17))</f>
        <v>0</v>
      </c>
      <c r="CG55" s="658">
        <f>IF(CG$6&gt;$L55,0,CF55*(1-'Interest Rate'!$B$17))</f>
        <v>0</v>
      </c>
      <c r="CH55" s="658">
        <f>IF(CH$6&gt;$L55,0,CG55*(1-'Interest Rate'!$B$17))</f>
        <v>0</v>
      </c>
      <c r="CI55" s="658">
        <f>IF(CI$6&gt;$L55,0,CH55*(1-'Interest Rate'!$B$17))</f>
        <v>0</v>
      </c>
      <c r="CJ55" s="658">
        <f>IF(CJ$6&gt;$L55,0,CI55*(1-'Interest Rate'!$B$17))</f>
        <v>0</v>
      </c>
      <c r="CK55" s="658">
        <f>IF(CK$6&gt;$L55,0,CJ55*(1-'Interest Rate'!$B$17))</f>
        <v>0</v>
      </c>
      <c r="CL55" s="658">
        <f>IF(CL$6&gt;$L55,0,CK55*(1-'Interest Rate'!$B$17))</f>
        <v>0</v>
      </c>
      <c r="CM55" s="658">
        <f>IF(CM$6&gt;$L55,0,CL55*(1-'Interest Rate'!$B$17))</f>
        <v>0</v>
      </c>
      <c r="CN55" s="658">
        <f>IF(CN$6&gt;$L55,0,CM55*(1-'Interest Rate'!$B$17))</f>
        <v>0</v>
      </c>
      <c r="CO55" s="658">
        <f>IF(CO$6&gt;$L55,0,CN55*(1-'Interest Rate'!$B$17))</f>
        <v>0</v>
      </c>
      <c r="CP55" s="658">
        <f>IF(CP$6&gt;$L55,0,CO55*(1-'Interest Rate'!$B$17))</f>
        <v>0</v>
      </c>
      <c r="CQ55" s="658">
        <f>IF(CQ$6&gt;$L55,0,CP55*(1-'Interest Rate'!$B$17))</f>
        <v>0</v>
      </c>
      <c r="CR55" s="658">
        <f>IF(CR$6&gt;$L55,0,CQ55*(1-'Interest Rate'!$B$17))</f>
        <v>0</v>
      </c>
      <c r="CS55" s="658">
        <f>IF(CS$6&gt;$L55,0,CR55*(1-'Interest Rate'!$B$17))</f>
        <v>0</v>
      </c>
      <c r="CT55" s="658">
        <f>IF(CT$6&gt;$L55,0,CS55*(1-'Interest Rate'!$B$17))</f>
        <v>0</v>
      </c>
      <c r="CU55" s="658">
        <f>IF(CU$6&gt;$L55,0,CT55*(1-'Interest Rate'!$B$17))</f>
        <v>0</v>
      </c>
      <c r="CV55" s="658">
        <f>IF(CV$6&gt;$L55,0,CU55*(1-'Interest Rate'!$B$17))</f>
        <v>0</v>
      </c>
      <c r="CW55" s="658">
        <f>IF(CW$6&gt;$L55,0,CV55*(1-'Interest Rate'!$B$17))</f>
        <v>0</v>
      </c>
      <c r="CX55" s="658">
        <f>IF(CX$6&gt;$L55,0,CW55*(1-'Interest Rate'!$B$17))</f>
        <v>0</v>
      </c>
      <c r="CY55" s="658">
        <f>IF(CY$6&gt;$L55,0,CX55*(1-'Interest Rate'!$B$17))</f>
        <v>0</v>
      </c>
      <c r="CZ55" s="658">
        <f>IF(CZ$6&gt;$L55,0,CY55*(1-'Interest Rate'!$B$17))</f>
        <v>0</v>
      </c>
      <c r="DA55" s="658">
        <f>IF(DA$6&gt;$L55,0,CZ55*(1-'Interest Rate'!$B$17))</f>
        <v>0</v>
      </c>
      <c r="DB55" s="658">
        <f>IF(DB$6&gt;$L55,0,DA55*(1-'Interest Rate'!$B$17))</f>
        <v>0</v>
      </c>
      <c r="DC55" s="658">
        <f>IF(DC$6&gt;$L55,0,DB55*(1-'Interest Rate'!$B$17))</f>
        <v>0</v>
      </c>
      <c r="DD55" s="658">
        <f>IF(DD$6&gt;$L55,0,DC55*(1-'Interest Rate'!$B$17))</f>
        <v>0</v>
      </c>
      <c r="DE55" s="658">
        <f>IF(DE$6&gt;$L55,0,DD55*(1-'Interest Rate'!$B$17))</f>
        <v>0</v>
      </c>
      <c r="DF55" s="658">
        <f>IF(DF$6&gt;$L55,0,DE55*(1-'Interest Rate'!$B$17))</f>
        <v>0</v>
      </c>
      <c r="DG55" s="658">
        <f>IF(DG$6&gt;$L55,0,DF55*(1-'Interest Rate'!$B$17))</f>
        <v>0</v>
      </c>
      <c r="DH55" s="658">
        <f>IF(DH$6&gt;$L55,0,DG55*(1-'Interest Rate'!$B$17))</f>
        <v>0</v>
      </c>
      <c r="DI55" s="658">
        <f>IF(DI$6&gt;$L55,0,DH55*(1-'Interest Rate'!$B$17))</f>
        <v>0</v>
      </c>
      <c r="DJ55" s="658">
        <f>IF(DJ$6&gt;$L55,0,DI55*(1-'Interest Rate'!$B$17))</f>
        <v>0</v>
      </c>
      <c r="DK55" s="658">
        <f>IF(DK$6&gt;$L55,0,DJ55*(1-'Interest Rate'!$B$17))</f>
        <v>0</v>
      </c>
      <c r="DL55" s="658">
        <f>IF(DL$6&gt;$L55,0,DK55*(1-'Interest Rate'!$B$17))</f>
        <v>0</v>
      </c>
      <c r="DM55" s="658">
        <f>IF(DM$6&gt;$L55,0,DL55*(1-'Interest Rate'!$B$17))</f>
        <v>0</v>
      </c>
      <c r="DN55" s="658">
        <f>IF(DN$6&gt;$L55,0,DM55*(1-'Interest Rate'!$B$17))</f>
        <v>0</v>
      </c>
      <c r="DO55" s="658">
        <f>IF(DO$6&gt;$L55,0,DN55*(1-'Interest Rate'!$B$17))</f>
        <v>0</v>
      </c>
      <c r="DP55" s="658">
        <f>IF(DP$6&gt;$L55,0,DO55*(1-'Interest Rate'!$B$17))</f>
        <v>0</v>
      </c>
      <c r="DQ55" s="658">
        <f>IF(DQ$6&gt;$L55,0,DP55*(1-'Interest Rate'!$B$17))</f>
        <v>0</v>
      </c>
      <c r="DR55" s="658">
        <f>IF(DR$6&gt;$L55,0,DQ55*(1-'Interest Rate'!$B$17))</f>
        <v>0</v>
      </c>
    </row>
    <row r="56" spans="1:122" ht="33" customHeight="1" x14ac:dyDescent="0.3">
      <c r="A56" s="696" t="str">
        <f>'EEM Data Entry'!A131</f>
        <v/>
      </c>
      <c r="B56" s="697" t="str">
        <f>IF('EEM Data Entry'!B131="  ","  ", 'EEM Data Entry'!B131)</f>
        <v/>
      </c>
      <c r="C56" s="671" t="str">
        <f>'EEM Data Entry'!F131</f>
        <v/>
      </c>
      <c r="D56" s="671">
        <v>0</v>
      </c>
      <c r="E56" s="671" t="e">
        <f t="shared" si="19"/>
        <v>#VALUE!</v>
      </c>
      <c r="F56" s="650">
        <f>('Cascading Savings'!D56*'Cascading Savings'!D$4)+('Cascading Savings'!F56*'Cascading Savings'!F$4)+('Cascading Savings'!H56*'Cascading Savings'!H$4)+('Cascading Savings'!J56*'Cascading Savings'!J$4)+('Cascading Savings'!L56*'Cascading Savings'!L$4)+('Cascading Savings'!N56*'Cascading Savings'!N$4)+('Cascading Savings'!P56*'Cascading Savings'!P$4)+('Cascading Savings'!R56*'Cascading Savings'!R$4)</f>
        <v>0</v>
      </c>
      <c r="G56" s="698">
        <f>'Cascading Savings'!T56</f>
        <v>0</v>
      </c>
      <c r="H56" s="672" t="e">
        <f t="shared" si="20"/>
        <v>#VALUE!</v>
      </c>
      <c r="I56" s="668" t="e">
        <f>IF(H56=0, "n/a", IF(H56&gt;100, "no",IF(H56&lt;0, "no", "yes")))</f>
        <v>#VALUE!</v>
      </c>
      <c r="J56" s="673" t="e">
        <f t="shared" si="17"/>
        <v>#NUM!</v>
      </c>
      <c r="K56" s="674" t="e">
        <f>PV('Interest Rate'!$B$17,Table314[[#This Row],[Lifetime]],-Table314[[#This Row],[ANNUAL ENERGY COST SAVINGS]],Table314[[#This Row],[END-OF-LIFE]],0)-Table314[[#This Row],[CAPITAL INVESTMENT]]</f>
        <v>#VALUE!</v>
      </c>
      <c r="L56" s="696" t="str">
        <f>'EEM Data Entry'!C131</f>
        <v/>
      </c>
      <c r="M56" s="669" t="e">
        <f>Table314[[#This Row],[ANNUAL ENERGY COST SAVINGS]]/Table314[[#This Row],[CAPITAL INVESTMENT]]</f>
        <v>#VALUE!</v>
      </c>
      <c r="N56" s="699">
        <f>IF(ISNUMBER(Table314[[#This Row],[NPV]])=TRUE,Table314[[#This Row],[NPV]],0)</f>
        <v>0</v>
      </c>
      <c r="O56" s="727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56" s="568" t="str">
        <f>Table314[[#This Row],[Lifetime]]</f>
        <v/>
      </c>
      <c r="V56" s="657" t="str">
        <f t="shared" si="18"/>
        <v/>
      </c>
      <c r="W56" s="658">
        <f>Table314[[#This Row],[ANNUAL ENERGY COST SAVINGS]]</f>
        <v>0</v>
      </c>
      <c r="X56" s="658">
        <f>IF(X$6&gt;$L56,0,W56*(1-'Interest Rate'!$B$17))</f>
        <v>0</v>
      </c>
      <c r="Y56" s="658">
        <f>IF(Y$6&gt;$L56,0,X56*(1-'Interest Rate'!$B$17))</f>
        <v>0</v>
      </c>
      <c r="Z56" s="658">
        <f>IF(Z$6&gt;$L56,0,Y56*(1-'Interest Rate'!$B$17))</f>
        <v>0</v>
      </c>
      <c r="AA56" s="658">
        <f>IF(AA$6&gt;$L56,0,Z56*(1-'Interest Rate'!$B$17))</f>
        <v>0</v>
      </c>
      <c r="AB56" s="658">
        <f>IF(AB$6&gt;$L56,0,AA56*(1-'Interest Rate'!$B$17))</f>
        <v>0</v>
      </c>
      <c r="AC56" s="658">
        <f>IF(AC$6&gt;$L56,0,AB56*(1-'Interest Rate'!$B$17))</f>
        <v>0</v>
      </c>
      <c r="AD56" s="658">
        <f>IF(AD$6&gt;$L56,0,AC56*(1-'Interest Rate'!$B$17))</f>
        <v>0</v>
      </c>
      <c r="AE56" s="658">
        <f>IF(AE$6&gt;$L56,0,AD56*(1-'Interest Rate'!$B$17))</f>
        <v>0</v>
      </c>
      <c r="AF56" s="658">
        <f>IF(AF$6&gt;$L56,0,AE56*(1-'Interest Rate'!$B$17))</f>
        <v>0</v>
      </c>
      <c r="AG56" s="658">
        <f>IF(AG$6&gt;$L56,0,AF56*(1-'Interest Rate'!$B$17))</f>
        <v>0</v>
      </c>
      <c r="AH56" s="658">
        <f>IF(AH$6&gt;$L56,0,AG56*(1-'Interest Rate'!$B$17))</f>
        <v>0</v>
      </c>
      <c r="AI56" s="658">
        <f>IF(AI$6&gt;$L56,0,AH56*(1-'Interest Rate'!$B$17))</f>
        <v>0</v>
      </c>
      <c r="AJ56" s="658">
        <f>IF(AJ$6&gt;$L56,0,AI56*(1-'Interest Rate'!$B$17))</f>
        <v>0</v>
      </c>
      <c r="AK56" s="658">
        <f>IF(AK$6&gt;$L56,0,AJ56*(1-'Interest Rate'!$B$17))</f>
        <v>0</v>
      </c>
      <c r="AL56" s="658">
        <f>IF(AL$6&gt;$L56,0,AK56*(1-'Interest Rate'!$B$17))</f>
        <v>0</v>
      </c>
      <c r="AM56" s="658">
        <f>IF(AM$6&gt;$L56,0,AL56*(1-'Interest Rate'!$B$17))</f>
        <v>0</v>
      </c>
      <c r="AN56" s="658">
        <f>IF(AN$6&gt;$L56,0,AM56*(1-'Interest Rate'!$B$17))</f>
        <v>0</v>
      </c>
      <c r="AO56" s="658">
        <f>IF(AO$6&gt;$L56,0,AN56*(1-'Interest Rate'!$B$17))</f>
        <v>0</v>
      </c>
      <c r="AP56" s="658">
        <f>IF(AP$6&gt;$L56,0,AO56*(1-'Interest Rate'!$B$17))</f>
        <v>0</v>
      </c>
      <c r="AQ56" s="658">
        <f>IF(AQ$6&gt;$L56,0,AP56*(1-'Interest Rate'!$B$17))</f>
        <v>0</v>
      </c>
      <c r="AR56" s="658">
        <f>IF(AR$6&gt;$L56,0,AQ56*(1-'Interest Rate'!$B$17))</f>
        <v>0</v>
      </c>
      <c r="AS56" s="658">
        <f>IF(AS$6&gt;$L56,0,AR56*(1-'Interest Rate'!$B$17))</f>
        <v>0</v>
      </c>
      <c r="AT56" s="658">
        <f>IF(AT$6&gt;$L56,0,AS56*(1-'Interest Rate'!$B$17))</f>
        <v>0</v>
      </c>
      <c r="AU56" s="658">
        <f>IF(AU$6&gt;$L56,0,AT56*(1-'Interest Rate'!$B$17))</f>
        <v>0</v>
      </c>
      <c r="AV56" s="658">
        <f>IF(AV$6&gt;$L56,0,AU56*(1-'Interest Rate'!$B$17))</f>
        <v>0</v>
      </c>
      <c r="AW56" s="658">
        <f>IF(AW$6&gt;$L56,0,AV56*(1-'Interest Rate'!$B$17))</f>
        <v>0</v>
      </c>
      <c r="AX56" s="658">
        <f>IF(AX$6&gt;$L56,0,AW56*(1-'Interest Rate'!$B$17))</f>
        <v>0</v>
      </c>
      <c r="AY56" s="658">
        <f>IF(AY$6&gt;$L56,0,AX56*(1-'Interest Rate'!$B$17))</f>
        <v>0</v>
      </c>
      <c r="AZ56" s="658">
        <f>IF(AZ$6&gt;$L56,0,AY56*(1-'Interest Rate'!$B$17))</f>
        <v>0</v>
      </c>
      <c r="BA56" s="658">
        <f>IF(BA$6&gt;$L56,0,AZ56*(1-'Interest Rate'!$B$17))</f>
        <v>0</v>
      </c>
      <c r="BB56" s="658">
        <f>IF(BB$6&gt;$L56,0,BA56*(1-'Interest Rate'!$B$17))</f>
        <v>0</v>
      </c>
      <c r="BC56" s="658">
        <f>IF(BC$6&gt;$L56,0,BB56*(1-'Interest Rate'!$B$17))</f>
        <v>0</v>
      </c>
      <c r="BD56" s="658">
        <f>IF(BD$6&gt;$L56,0,BC56*(1-'Interest Rate'!$B$17))</f>
        <v>0</v>
      </c>
      <c r="BE56" s="658">
        <f>IF(BE$6&gt;$L56,0,BD56*(1-'Interest Rate'!$B$17))</f>
        <v>0</v>
      </c>
      <c r="BF56" s="658">
        <f>IF(BF$6&gt;$L56,0,BE56*(1-'Interest Rate'!$B$17))</f>
        <v>0</v>
      </c>
      <c r="BG56" s="658">
        <f>IF(BG$6&gt;$L56,0,BF56*(1-'Interest Rate'!$B$17))</f>
        <v>0</v>
      </c>
      <c r="BH56" s="658">
        <f>IF(BH$6&gt;$L56,0,BG56*(1-'Interest Rate'!$B$17))</f>
        <v>0</v>
      </c>
      <c r="BI56" s="658">
        <f>IF(BI$6&gt;$L56,0,BH56*(1-'Interest Rate'!$B$17))</f>
        <v>0</v>
      </c>
      <c r="BJ56" s="658">
        <f>IF(BJ$6&gt;$L56,0,BI56*(1-'Interest Rate'!$B$17))</f>
        <v>0</v>
      </c>
      <c r="BK56" s="658">
        <f>IF(BK$6&gt;$L56,0,BJ56*(1-'Interest Rate'!$B$17))</f>
        <v>0</v>
      </c>
      <c r="BL56" s="658">
        <f>IF(BL$6&gt;$L56,0,BK56*(1-'Interest Rate'!$B$17))</f>
        <v>0</v>
      </c>
      <c r="BM56" s="658">
        <f>IF(BM$6&gt;$L56,0,BL56*(1-'Interest Rate'!$B$17))</f>
        <v>0</v>
      </c>
      <c r="BN56" s="658">
        <f>IF(BN$6&gt;$L56,0,BM56*(1-'Interest Rate'!$B$17))</f>
        <v>0</v>
      </c>
      <c r="BO56" s="658">
        <f>IF(BO$6&gt;$L56,0,BN56*(1-'Interest Rate'!$B$17))</f>
        <v>0</v>
      </c>
      <c r="BP56" s="658">
        <f>IF(BP$6&gt;$L56,0,BO56*(1-'Interest Rate'!$B$17))</f>
        <v>0</v>
      </c>
      <c r="BQ56" s="658">
        <f>IF(BQ$6&gt;$L56,0,BP56*(1-'Interest Rate'!$B$17))</f>
        <v>0</v>
      </c>
      <c r="BR56" s="658">
        <f>IF(BR$6&gt;$L56,0,BQ56*(1-'Interest Rate'!$B$17))</f>
        <v>0</v>
      </c>
      <c r="BS56" s="658">
        <f>IF(BS$6&gt;$L56,0,BR56*(1-'Interest Rate'!$B$17))</f>
        <v>0</v>
      </c>
      <c r="BT56" s="658">
        <f>IF(BT$6&gt;$L56,0,BS56*(1-'Interest Rate'!$B$17))</f>
        <v>0</v>
      </c>
      <c r="BU56" s="658">
        <f>IF(BU$6&gt;$L56,0,BT56*(1-'Interest Rate'!$B$17))</f>
        <v>0</v>
      </c>
      <c r="BV56" s="658">
        <f>IF(BV$6&gt;$L56,0,BU56*(1-'Interest Rate'!$B$17))</f>
        <v>0</v>
      </c>
      <c r="BW56" s="658">
        <f>IF(BW$6&gt;$L56,0,BV56*(1-'Interest Rate'!$B$17))</f>
        <v>0</v>
      </c>
      <c r="BX56" s="658">
        <f>IF(BX$6&gt;$L56,0,BW56*(1-'Interest Rate'!$B$17))</f>
        <v>0</v>
      </c>
      <c r="BY56" s="658">
        <f>IF(BY$6&gt;$L56,0,BX56*(1-'Interest Rate'!$B$17))</f>
        <v>0</v>
      </c>
      <c r="BZ56" s="658">
        <f>IF(BZ$6&gt;$L56,0,BY56*(1-'Interest Rate'!$B$17))</f>
        <v>0</v>
      </c>
      <c r="CA56" s="658">
        <f>IF(CA$6&gt;$L56,0,BZ56*(1-'Interest Rate'!$B$17))</f>
        <v>0</v>
      </c>
      <c r="CB56" s="658">
        <f>IF(CB$6&gt;$L56,0,CA56*(1-'Interest Rate'!$B$17))</f>
        <v>0</v>
      </c>
      <c r="CC56" s="658">
        <f>IF(CC$6&gt;$L56,0,CB56*(1-'Interest Rate'!$B$17))</f>
        <v>0</v>
      </c>
      <c r="CD56" s="658">
        <f>IF(CD$6&gt;$L56,0,CC56*(1-'Interest Rate'!$B$17))</f>
        <v>0</v>
      </c>
      <c r="CE56" s="658">
        <f>IF(CE$6&gt;$L56,0,CD56*(1-'Interest Rate'!$B$17))</f>
        <v>0</v>
      </c>
      <c r="CF56" s="658">
        <f>IF(CF$6&gt;$L56,0,CE56*(1-'Interest Rate'!$B$17))</f>
        <v>0</v>
      </c>
      <c r="CG56" s="658">
        <f>IF(CG$6&gt;$L56,0,CF56*(1-'Interest Rate'!$B$17))</f>
        <v>0</v>
      </c>
      <c r="CH56" s="658">
        <f>IF(CH$6&gt;$L56,0,CG56*(1-'Interest Rate'!$B$17))</f>
        <v>0</v>
      </c>
      <c r="CI56" s="658">
        <f>IF(CI$6&gt;$L56,0,CH56*(1-'Interest Rate'!$B$17))</f>
        <v>0</v>
      </c>
      <c r="CJ56" s="658">
        <f>IF(CJ$6&gt;$L56,0,CI56*(1-'Interest Rate'!$B$17))</f>
        <v>0</v>
      </c>
      <c r="CK56" s="658">
        <f>IF(CK$6&gt;$L56,0,CJ56*(1-'Interest Rate'!$B$17))</f>
        <v>0</v>
      </c>
      <c r="CL56" s="658">
        <f>IF(CL$6&gt;$L56,0,CK56*(1-'Interest Rate'!$B$17))</f>
        <v>0</v>
      </c>
      <c r="CM56" s="658">
        <f>IF(CM$6&gt;$L56,0,CL56*(1-'Interest Rate'!$B$17))</f>
        <v>0</v>
      </c>
      <c r="CN56" s="658">
        <f>IF(CN$6&gt;$L56,0,CM56*(1-'Interest Rate'!$B$17))</f>
        <v>0</v>
      </c>
      <c r="CO56" s="658">
        <f>IF(CO$6&gt;$L56,0,CN56*(1-'Interest Rate'!$B$17))</f>
        <v>0</v>
      </c>
      <c r="CP56" s="658">
        <f>IF(CP$6&gt;$L56,0,CO56*(1-'Interest Rate'!$B$17))</f>
        <v>0</v>
      </c>
      <c r="CQ56" s="658">
        <f>IF(CQ$6&gt;$L56,0,CP56*(1-'Interest Rate'!$B$17))</f>
        <v>0</v>
      </c>
      <c r="CR56" s="658">
        <f>IF(CR$6&gt;$L56,0,CQ56*(1-'Interest Rate'!$B$17))</f>
        <v>0</v>
      </c>
      <c r="CS56" s="658">
        <f>IF(CS$6&gt;$L56,0,CR56*(1-'Interest Rate'!$B$17))</f>
        <v>0</v>
      </c>
      <c r="CT56" s="658">
        <f>IF(CT$6&gt;$L56,0,CS56*(1-'Interest Rate'!$B$17))</f>
        <v>0</v>
      </c>
      <c r="CU56" s="658">
        <f>IF(CU$6&gt;$L56,0,CT56*(1-'Interest Rate'!$B$17))</f>
        <v>0</v>
      </c>
      <c r="CV56" s="658">
        <f>IF(CV$6&gt;$L56,0,CU56*(1-'Interest Rate'!$B$17))</f>
        <v>0</v>
      </c>
      <c r="CW56" s="658">
        <f>IF(CW$6&gt;$L56,0,CV56*(1-'Interest Rate'!$B$17))</f>
        <v>0</v>
      </c>
      <c r="CX56" s="658">
        <f>IF(CX$6&gt;$L56,0,CW56*(1-'Interest Rate'!$B$17))</f>
        <v>0</v>
      </c>
      <c r="CY56" s="658">
        <f>IF(CY$6&gt;$L56,0,CX56*(1-'Interest Rate'!$B$17))</f>
        <v>0</v>
      </c>
      <c r="CZ56" s="658">
        <f>IF(CZ$6&gt;$L56,0,CY56*(1-'Interest Rate'!$B$17))</f>
        <v>0</v>
      </c>
      <c r="DA56" s="658">
        <f>IF(DA$6&gt;$L56,0,CZ56*(1-'Interest Rate'!$B$17))</f>
        <v>0</v>
      </c>
      <c r="DB56" s="658">
        <f>IF(DB$6&gt;$L56,0,DA56*(1-'Interest Rate'!$B$17))</f>
        <v>0</v>
      </c>
      <c r="DC56" s="658">
        <f>IF(DC$6&gt;$L56,0,DB56*(1-'Interest Rate'!$B$17))</f>
        <v>0</v>
      </c>
      <c r="DD56" s="658">
        <f>IF(DD$6&gt;$L56,0,DC56*(1-'Interest Rate'!$B$17))</f>
        <v>0</v>
      </c>
      <c r="DE56" s="658">
        <f>IF(DE$6&gt;$L56,0,DD56*(1-'Interest Rate'!$B$17))</f>
        <v>0</v>
      </c>
      <c r="DF56" s="658">
        <f>IF(DF$6&gt;$L56,0,DE56*(1-'Interest Rate'!$B$17))</f>
        <v>0</v>
      </c>
      <c r="DG56" s="658">
        <f>IF(DG$6&gt;$L56,0,DF56*(1-'Interest Rate'!$B$17))</f>
        <v>0</v>
      </c>
      <c r="DH56" s="658">
        <f>IF(DH$6&gt;$L56,0,DG56*(1-'Interest Rate'!$B$17))</f>
        <v>0</v>
      </c>
      <c r="DI56" s="658">
        <f>IF(DI$6&gt;$L56,0,DH56*(1-'Interest Rate'!$B$17))</f>
        <v>0</v>
      </c>
      <c r="DJ56" s="658">
        <f>IF(DJ$6&gt;$L56,0,DI56*(1-'Interest Rate'!$B$17))</f>
        <v>0</v>
      </c>
      <c r="DK56" s="658">
        <f>IF(DK$6&gt;$L56,0,DJ56*(1-'Interest Rate'!$B$17))</f>
        <v>0</v>
      </c>
      <c r="DL56" s="658">
        <f>IF(DL$6&gt;$L56,0,DK56*(1-'Interest Rate'!$B$17))</f>
        <v>0</v>
      </c>
      <c r="DM56" s="658">
        <f>IF(DM$6&gt;$L56,0,DL56*(1-'Interest Rate'!$B$17))</f>
        <v>0</v>
      </c>
      <c r="DN56" s="658">
        <f>IF(DN$6&gt;$L56,0,DM56*(1-'Interest Rate'!$B$17))</f>
        <v>0</v>
      </c>
      <c r="DO56" s="658">
        <f>IF(DO$6&gt;$L56,0,DN56*(1-'Interest Rate'!$B$17))</f>
        <v>0</v>
      </c>
      <c r="DP56" s="658">
        <f>IF(DP$6&gt;$L56,0,DO56*(1-'Interest Rate'!$B$17))</f>
        <v>0</v>
      </c>
      <c r="DQ56" s="658">
        <f>IF(DQ$6&gt;$L56,0,DP56*(1-'Interest Rate'!$B$17))</f>
        <v>0</v>
      </c>
      <c r="DR56" s="658">
        <f>IF(DR$6&gt;$L56,0,DQ56*(1-'Interest Rate'!$B$17))</f>
        <v>0</v>
      </c>
    </row>
    <row r="57" spans="1:122" ht="33" customHeight="1" x14ac:dyDescent="0.3">
      <c r="A57" s="696" t="str">
        <f>'EEM Data Entry'!A132</f>
        <v/>
      </c>
      <c r="B57" s="697" t="str">
        <f>IF('EEM Data Entry'!B132="  ","  ", 'EEM Data Entry'!B132)</f>
        <v/>
      </c>
      <c r="C57" s="671" t="str">
        <f>'EEM Data Entry'!F132</f>
        <v/>
      </c>
      <c r="D57" s="671">
        <v>0</v>
      </c>
      <c r="E57" s="671" t="e">
        <f t="shared" si="19"/>
        <v>#VALUE!</v>
      </c>
      <c r="F57" s="662">
        <f>('Cascading Savings'!D57*'Cascading Savings'!D$4)+('Cascading Savings'!F57*'Cascading Savings'!F$4)+('Cascading Savings'!H57*'Cascading Savings'!H$4)+('Cascading Savings'!J57*'Cascading Savings'!J$4)+('Cascading Savings'!L57*'Cascading Savings'!L$4)+('Cascading Savings'!N57*'Cascading Savings'!N$4)+('Cascading Savings'!P57*'Cascading Savings'!P$4)+('Cascading Savings'!R57*'Cascading Savings'!R$4)</f>
        <v>0</v>
      </c>
      <c r="G57" s="698">
        <f>'Cascading Savings'!T57</f>
        <v>0</v>
      </c>
      <c r="H57" s="672" t="e">
        <f t="shared" si="20"/>
        <v>#VALUE!</v>
      </c>
      <c r="I57" s="668" t="e">
        <f>IF(H57=0, "n/a", IF(H57&gt;100, "no",IF(H57&lt;0, "no", "yes")))</f>
        <v>#VALUE!</v>
      </c>
      <c r="J57" s="673" t="e">
        <f t="shared" si="17"/>
        <v>#NUM!</v>
      </c>
      <c r="K57" s="674" t="e">
        <f>PV('Interest Rate'!$B$17,Table314[[#This Row],[Lifetime]],-Table314[[#This Row],[ANNUAL ENERGY COST SAVINGS]],Table314[[#This Row],[END-OF-LIFE]],0)-Table314[[#This Row],[CAPITAL INVESTMENT]]</f>
        <v>#VALUE!</v>
      </c>
      <c r="L57" s="696" t="str">
        <f>'EEM Data Entry'!C132</f>
        <v/>
      </c>
      <c r="M57" s="669" t="e">
        <f>Table314[[#This Row],[ANNUAL ENERGY COST SAVINGS]]/Table314[[#This Row],[CAPITAL INVESTMENT]]</f>
        <v>#VALUE!</v>
      </c>
      <c r="N57" s="699">
        <f>IF(ISNUMBER(Table314[[#This Row],[NPV]])=TRUE,Table314[[#This Row],[NPV]],0)</f>
        <v>0</v>
      </c>
      <c r="O57" s="727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57" s="568" t="str">
        <f>Table314[[#This Row],[Lifetime]]</f>
        <v/>
      </c>
      <c r="V57" s="657" t="str">
        <f t="shared" si="18"/>
        <v/>
      </c>
      <c r="W57" s="658">
        <f>Table314[[#This Row],[ANNUAL ENERGY COST SAVINGS]]</f>
        <v>0</v>
      </c>
      <c r="X57" s="658">
        <f>IF(X$6&gt;$L57,0,W57*(1-'Interest Rate'!$B$17))</f>
        <v>0</v>
      </c>
      <c r="Y57" s="658">
        <f>IF(Y$6&gt;$L57,0,X57*(1-'Interest Rate'!$B$17))</f>
        <v>0</v>
      </c>
      <c r="Z57" s="658">
        <f>IF(Z$6&gt;$L57,0,Y57*(1-'Interest Rate'!$B$17))</f>
        <v>0</v>
      </c>
      <c r="AA57" s="658">
        <f>IF(AA$6&gt;$L57,0,Z57*(1-'Interest Rate'!$B$17))</f>
        <v>0</v>
      </c>
      <c r="AB57" s="658">
        <f>IF(AB$6&gt;$L57,0,AA57*(1-'Interest Rate'!$B$17))</f>
        <v>0</v>
      </c>
      <c r="AC57" s="658">
        <f>IF(AC$6&gt;$L57,0,AB57*(1-'Interest Rate'!$B$17))</f>
        <v>0</v>
      </c>
      <c r="AD57" s="658">
        <f>IF(AD$6&gt;$L57,0,AC57*(1-'Interest Rate'!$B$17))</f>
        <v>0</v>
      </c>
      <c r="AE57" s="658">
        <f>IF(AE$6&gt;$L57,0,AD57*(1-'Interest Rate'!$B$17))</f>
        <v>0</v>
      </c>
      <c r="AF57" s="658">
        <f>IF(AF$6&gt;$L57,0,AE57*(1-'Interest Rate'!$B$17))</f>
        <v>0</v>
      </c>
      <c r="AG57" s="658">
        <f>IF(AG$6&gt;$L57,0,AF57*(1-'Interest Rate'!$B$17))</f>
        <v>0</v>
      </c>
      <c r="AH57" s="658">
        <f>IF(AH$6&gt;$L57,0,AG57*(1-'Interest Rate'!$B$17))</f>
        <v>0</v>
      </c>
      <c r="AI57" s="658">
        <f>IF(AI$6&gt;$L57,0,AH57*(1-'Interest Rate'!$B$17))</f>
        <v>0</v>
      </c>
      <c r="AJ57" s="658">
        <f>IF(AJ$6&gt;$L57,0,AI57*(1-'Interest Rate'!$B$17))</f>
        <v>0</v>
      </c>
      <c r="AK57" s="658">
        <f>IF(AK$6&gt;$L57,0,AJ57*(1-'Interest Rate'!$B$17))</f>
        <v>0</v>
      </c>
      <c r="AL57" s="658">
        <f>IF(AL$6&gt;$L57,0,AK57*(1-'Interest Rate'!$B$17))</f>
        <v>0</v>
      </c>
      <c r="AM57" s="658">
        <f>IF(AM$6&gt;$L57,0,AL57*(1-'Interest Rate'!$B$17))</f>
        <v>0</v>
      </c>
      <c r="AN57" s="658">
        <f>IF(AN$6&gt;$L57,0,AM57*(1-'Interest Rate'!$B$17))</f>
        <v>0</v>
      </c>
      <c r="AO57" s="658">
        <f>IF(AO$6&gt;$L57,0,AN57*(1-'Interest Rate'!$B$17))</f>
        <v>0</v>
      </c>
      <c r="AP57" s="658">
        <f>IF(AP$6&gt;$L57,0,AO57*(1-'Interest Rate'!$B$17))</f>
        <v>0</v>
      </c>
      <c r="AQ57" s="658">
        <f>IF(AQ$6&gt;$L57,0,AP57*(1-'Interest Rate'!$B$17))</f>
        <v>0</v>
      </c>
      <c r="AR57" s="658">
        <f>IF(AR$6&gt;$L57,0,AQ57*(1-'Interest Rate'!$B$17))</f>
        <v>0</v>
      </c>
      <c r="AS57" s="658">
        <f>IF(AS$6&gt;$L57,0,AR57*(1-'Interest Rate'!$B$17))</f>
        <v>0</v>
      </c>
      <c r="AT57" s="658">
        <f>IF(AT$6&gt;$L57,0,AS57*(1-'Interest Rate'!$B$17))</f>
        <v>0</v>
      </c>
      <c r="AU57" s="658">
        <f>IF(AU$6&gt;$L57,0,AT57*(1-'Interest Rate'!$B$17))</f>
        <v>0</v>
      </c>
      <c r="AV57" s="658">
        <f>IF(AV$6&gt;$L57,0,AU57*(1-'Interest Rate'!$B$17))</f>
        <v>0</v>
      </c>
      <c r="AW57" s="658">
        <f>IF(AW$6&gt;$L57,0,AV57*(1-'Interest Rate'!$B$17))</f>
        <v>0</v>
      </c>
      <c r="AX57" s="658">
        <f>IF(AX$6&gt;$L57,0,AW57*(1-'Interest Rate'!$B$17))</f>
        <v>0</v>
      </c>
      <c r="AY57" s="658">
        <f>IF(AY$6&gt;$L57,0,AX57*(1-'Interest Rate'!$B$17))</f>
        <v>0</v>
      </c>
      <c r="AZ57" s="658">
        <f>IF(AZ$6&gt;$L57,0,AY57*(1-'Interest Rate'!$B$17))</f>
        <v>0</v>
      </c>
      <c r="BA57" s="658">
        <f>IF(BA$6&gt;$L57,0,AZ57*(1-'Interest Rate'!$B$17))</f>
        <v>0</v>
      </c>
      <c r="BB57" s="658">
        <f>IF(BB$6&gt;$L57,0,BA57*(1-'Interest Rate'!$B$17))</f>
        <v>0</v>
      </c>
      <c r="BC57" s="658">
        <f>IF(BC$6&gt;$L57,0,BB57*(1-'Interest Rate'!$B$17))</f>
        <v>0</v>
      </c>
      <c r="BD57" s="658">
        <f>IF(BD$6&gt;$L57,0,BC57*(1-'Interest Rate'!$B$17))</f>
        <v>0</v>
      </c>
      <c r="BE57" s="658">
        <f>IF(BE$6&gt;$L57,0,BD57*(1-'Interest Rate'!$B$17))</f>
        <v>0</v>
      </c>
      <c r="BF57" s="658">
        <f>IF(BF$6&gt;$L57,0,BE57*(1-'Interest Rate'!$B$17))</f>
        <v>0</v>
      </c>
      <c r="BG57" s="658">
        <f>IF(BG$6&gt;$L57,0,BF57*(1-'Interest Rate'!$B$17))</f>
        <v>0</v>
      </c>
      <c r="BH57" s="658">
        <f>IF(BH$6&gt;$L57,0,BG57*(1-'Interest Rate'!$B$17))</f>
        <v>0</v>
      </c>
      <c r="BI57" s="658">
        <f>IF(BI$6&gt;$L57,0,BH57*(1-'Interest Rate'!$B$17))</f>
        <v>0</v>
      </c>
      <c r="BJ57" s="658">
        <f>IF(BJ$6&gt;$L57,0,BI57*(1-'Interest Rate'!$B$17))</f>
        <v>0</v>
      </c>
      <c r="BK57" s="658">
        <f>IF(BK$6&gt;$L57,0,BJ57*(1-'Interest Rate'!$B$17))</f>
        <v>0</v>
      </c>
      <c r="BL57" s="658">
        <f>IF(BL$6&gt;$L57,0,BK57*(1-'Interest Rate'!$B$17))</f>
        <v>0</v>
      </c>
      <c r="BM57" s="658">
        <f>IF(BM$6&gt;$L57,0,BL57*(1-'Interest Rate'!$B$17))</f>
        <v>0</v>
      </c>
      <c r="BN57" s="658">
        <f>IF(BN$6&gt;$L57,0,BM57*(1-'Interest Rate'!$B$17))</f>
        <v>0</v>
      </c>
      <c r="BO57" s="658">
        <f>IF(BO$6&gt;$L57,0,BN57*(1-'Interest Rate'!$B$17))</f>
        <v>0</v>
      </c>
      <c r="BP57" s="658">
        <f>IF(BP$6&gt;$L57,0,BO57*(1-'Interest Rate'!$B$17))</f>
        <v>0</v>
      </c>
      <c r="BQ57" s="658">
        <f>IF(BQ$6&gt;$L57,0,BP57*(1-'Interest Rate'!$B$17))</f>
        <v>0</v>
      </c>
      <c r="BR57" s="658">
        <f>IF(BR$6&gt;$L57,0,BQ57*(1-'Interest Rate'!$B$17))</f>
        <v>0</v>
      </c>
      <c r="BS57" s="658">
        <f>IF(BS$6&gt;$L57,0,BR57*(1-'Interest Rate'!$B$17))</f>
        <v>0</v>
      </c>
      <c r="BT57" s="658">
        <f>IF(BT$6&gt;$L57,0,BS57*(1-'Interest Rate'!$B$17))</f>
        <v>0</v>
      </c>
      <c r="BU57" s="658">
        <f>IF(BU$6&gt;$L57,0,BT57*(1-'Interest Rate'!$B$17))</f>
        <v>0</v>
      </c>
      <c r="BV57" s="658">
        <f>IF(BV$6&gt;$L57,0,BU57*(1-'Interest Rate'!$B$17))</f>
        <v>0</v>
      </c>
      <c r="BW57" s="658">
        <f>IF(BW$6&gt;$L57,0,BV57*(1-'Interest Rate'!$B$17))</f>
        <v>0</v>
      </c>
      <c r="BX57" s="658">
        <f>IF(BX$6&gt;$L57,0,BW57*(1-'Interest Rate'!$B$17))</f>
        <v>0</v>
      </c>
      <c r="BY57" s="658">
        <f>IF(BY$6&gt;$L57,0,BX57*(1-'Interest Rate'!$B$17))</f>
        <v>0</v>
      </c>
      <c r="BZ57" s="658">
        <f>IF(BZ$6&gt;$L57,0,BY57*(1-'Interest Rate'!$B$17))</f>
        <v>0</v>
      </c>
      <c r="CA57" s="658">
        <f>IF(CA$6&gt;$L57,0,BZ57*(1-'Interest Rate'!$B$17))</f>
        <v>0</v>
      </c>
      <c r="CB57" s="658">
        <f>IF(CB$6&gt;$L57,0,CA57*(1-'Interest Rate'!$B$17))</f>
        <v>0</v>
      </c>
      <c r="CC57" s="658">
        <f>IF(CC$6&gt;$L57,0,CB57*(1-'Interest Rate'!$B$17))</f>
        <v>0</v>
      </c>
      <c r="CD57" s="658">
        <f>IF(CD$6&gt;$L57,0,CC57*(1-'Interest Rate'!$B$17))</f>
        <v>0</v>
      </c>
      <c r="CE57" s="658">
        <f>IF(CE$6&gt;$L57,0,CD57*(1-'Interest Rate'!$B$17))</f>
        <v>0</v>
      </c>
      <c r="CF57" s="658">
        <f>IF(CF$6&gt;$L57,0,CE57*(1-'Interest Rate'!$B$17))</f>
        <v>0</v>
      </c>
      <c r="CG57" s="658">
        <f>IF(CG$6&gt;$L57,0,CF57*(1-'Interest Rate'!$B$17))</f>
        <v>0</v>
      </c>
      <c r="CH57" s="658">
        <f>IF(CH$6&gt;$L57,0,CG57*(1-'Interest Rate'!$B$17))</f>
        <v>0</v>
      </c>
      <c r="CI57" s="658">
        <f>IF(CI$6&gt;$L57,0,CH57*(1-'Interest Rate'!$B$17))</f>
        <v>0</v>
      </c>
      <c r="CJ57" s="658">
        <f>IF(CJ$6&gt;$L57,0,CI57*(1-'Interest Rate'!$B$17))</f>
        <v>0</v>
      </c>
      <c r="CK57" s="658">
        <f>IF(CK$6&gt;$L57,0,CJ57*(1-'Interest Rate'!$B$17))</f>
        <v>0</v>
      </c>
      <c r="CL57" s="658">
        <f>IF(CL$6&gt;$L57,0,CK57*(1-'Interest Rate'!$B$17))</f>
        <v>0</v>
      </c>
      <c r="CM57" s="658">
        <f>IF(CM$6&gt;$L57,0,CL57*(1-'Interest Rate'!$B$17))</f>
        <v>0</v>
      </c>
      <c r="CN57" s="658">
        <f>IF(CN$6&gt;$L57,0,CM57*(1-'Interest Rate'!$B$17))</f>
        <v>0</v>
      </c>
      <c r="CO57" s="658">
        <f>IF(CO$6&gt;$L57,0,CN57*(1-'Interest Rate'!$B$17))</f>
        <v>0</v>
      </c>
      <c r="CP57" s="658">
        <f>IF(CP$6&gt;$L57,0,CO57*(1-'Interest Rate'!$B$17))</f>
        <v>0</v>
      </c>
      <c r="CQ57" s="658">
        <f>IF(CQ$6&gt;$L57,0,CP57*(1-'Interest Rate'!$B$17))</f>
        <v>0</v>
      </c>
      <c r="CR57" s="658">
        <f>IF(CR$6&gt;$L57,0,CQ57*(1-'Interest Rate'!$B$17))</f>
        <v>0</v>
      </c>
      <c r="CS57" s="658">
        <f>IF(CS$6&gt;$L57,0,CR57*(1-'Interest Rate'!$B$17))</f>
        <v>0</v>
      </c>
      <c r="CT57" s="658">
        <f>IF(CT$6&gt;$L57,0,CS57*(1-'Interest Rate'!$B$17))</f>
        <v>0</v>
      </c>
      <c r="CU57" s="658">
        <f>IF(CU$6&gt;$L57,0,CT57*(1-'Interest Rate'!$B$17))</f>
        <v>0</v>
      </c>
      <c r="CV57" s="658">
        <f>IF(CV$6&gt;$L57,0,CU57*(1-'Interest Rate'!$B$17))</f>
        <v>0</v>
      </c>
      <c r="CW57" s="658">
        <f>IF(CW$6&gt;$L57,0,CV57*(1-'Interest Rate'!$B$17))</f>
        <v>0</v>
      </c>
      <c r="CX57" s="658">
        <f>IF(CX$6&gt;$L57,0,CW57*(1-'Interest Rate'!$B$17))</f>
        <v>0</v>
      </c>
      <c r="CY57" s="658">
        <f>IF(CY$6&gt;$L57,0,CX57*(1-'Interest Rate'!$B$17))</f>
        <v>0</v>
      </c>
      <c r="CZ57" s="658">
        <f>IF(CZ$6&gt;$L57,0,CY57*(1-'Interest Rate'!$B$17))</f>
        <v>0</v>
      </c>
      <c r="DA57" s="658">
        <f>IF(DA$6&gt;$L57,0,CZ57*(1-'Interest Rate'!$B$17))</f>
        <v>0</v>
      </c>
      <c r="DB57" s="658">
        <f>IF(DB$6&gt;$L57,0,DA57*(1-'Interest Rate'!$B$17))</f>
        <v>0</v>
      </c>
      <c r="DC57" s="658">
        <f>IF(DC$6&gt;$L57,0,DB57*(1-'Interest Rate'!$B$17))</f>
        <v>0</v>
      </c>
      <c r="DD57" s="658">
        <f>IF(DD$6&gt;$L57,0,DC57*(1-'Interest Rate'!$B$17))</f>
        <v>0</v>
      </c>
      <c r="DE57" s="658">
        <f>IF(DE$6&gt;$L57,0,DD57*(1-'Interest Rate'!$B$17))</f>
        <v>0</v>
      </c>
      <c r="DF57" s="658">
        <f>IF(DF$6&gt;$L57,0,DE57*(1-'Interest Rate'!$B$17))</f>
        <v>0</v>
      </c>
      <c r="DG57" s="658">
        <f>IF(DG$6&gt;$L57,0,DF57*(1-'Interest Rate'!$B$17))</f>
        <v>0</v>
      </c>
      <c r="DH57" s="658">
        <f>IF(DH$6&gt;$L57,0,DG57*(1-'Interest Rate'!$B$17))</f>
        <v>0</v>
      </c>
      <c r="DI57" s="658">
        <f>IF(DI$6&gt;$L57,0,DH57*(1-'Interest Rate'!$B$17))</f>
        <v>0</v>
      </c>
      <c r="DJ57" s="658">
        <f>IF(DJ$6&gt;$L57,0,DI57*(1-'Interest Rate'!$B$17))</f>
        <v>0</v>
      </c>
      <c r="DK57" s="658">
        <f>IF(DK$6&gt;$L57,0,DJ57*(1-'Interest Rate'!$B$17))</f>
        <v>0</v>
      </c>
      <c r="DL57" s="658">
        <f>IF(DL$6&gt;$L57,0,DK57*(1-'Interest Rate'!$B$17))</f>
        <v>0</v>
      </c>
      <c r="DM57" s="658">
        <f>IF(DM$6&gt;$L57,0,DL57*(1-'Interest Rate'!$B$17))</f>
        <v>0</v>
      </c>
      <c r="DN57" s="658">
        <f>IF(DN$6&gt;$L57,0,DM57*(1-'Interest Rate'!$B$17))</f>
        <v>0</v>
      </c>
      <c r="DO57" s="658">
        <f>IF(DO$6&gt;$L57,0,DN57*(1-'Interest Rate'!$B$17))</f>
        <v>0</v>
      </c>
      <c r="DP57" s="658">
        <f>IF(DP$6&gt;$L57,0,DO57*(1-'Interest Rate'!$B$17))</f>
        <v>0</v>
      </c>
      <c r="DQ57" s="658">
        <f>IF(DQ$6&gt;$L57,0,DP57*(1-'Interest Rate'!$B$17))</f>
        <v>0</v>
      </c>
      <c r="DR57" s="658">
        <f>IF(DR$6&gt;$L57,0,DQ57*(1-'Interest Rate'!$B$17))</f>
        <v>0</v>
      </c>
    </row>
    <row r="58" spans="1:122" ht="33" customHeight="1" x14ac:dyDescent="0.3">
      <c r="A58" s="696" t="str">
        <f>'EEM Data Entry'!A133</f>
        <v/>
      </c>
      <c r="B58" s="697" t="str">
        <f>IF('EEM Data Entry'!B133="  ","  ", 'EEM Data Entry'!B133)</f>
        <v/>
      </c>
      <c r="C58" s="671" t="str">
        <f>'EEM Data Entry'!F133</f>
        <v/>
      </c>
      <c r="D58" s="671">
        <v>0</v>
      </c>
      <c r="E58" s="671" t="e">
        <f t="shared" si="19"/>
        <v>#VALUE!</v>
      </c>
      <c r="F58" s="650">
        <f>('Cascading Savings'!D58*'Cascading Savings'!D$4)+('Cascading Savings'!F58*'Cascading Savings'!F$4)+('Cascading Savings'!H58*'Cascading Savings'!H$4)+('Cascading Savings'!J58*'Cascading Savings'!J$4)+('Cascading Savings'!L58*'Cascading Savings'!L$4)+('Cascading Savings'!N58*'Cascading Savings'!N$4)+('Cascading Savings'!P58*'Cascading Savings'!P$4)+('Cascading Savings'!R58*'Cascading Savings'!R$4)</f>
        <v>0</v>
      </c>
      <c r="G58" s="698">
        <f>'Cascading Savings'!T58</f>
        <v>0</v>
      </c>
      <c r="H58" s="672" t="e">
        <f t="shared" si="20"/>
        <v>#VALUE!</v>
      </c>
      <c r="I58" s="668" t="e">
        <f>IF(H58=0, "n/a", IF(H58&gt;100, "no",IF(H58&lt;0, "no", "yes")))</f>
        <v>#VALUE!</v>
      </c>
      <c r="J58" s="673" t="e">
        <f t="shared" si="17"/>
        <v>#NUM!</v>
      </c>
      <c r="K58" s="674" t="e">
        <f>PV('Interest Rate'!$B$17,Table314[[#This Row],[Lifetime]],-Table314[[#This Row],[ANNUAL ENERGY COST SAVINGS]],Table314[[#This Row],[END-OF-LIFE]],0)-Table314[[#This Row],[CAPITAL INVESTMENT]]</f>
        <v>#VALUE!</v>
      </c>
      <c r="L58" s="696" t="str">
        <f>'EEM Data Entry'!C133</f>
        <v/>
      </c>
      <c r="M58" s="669" t="e">
        <f>Table314[[#This Row],[ANNUAL ENERGY COST SAVINGS]]/Table314[[#This Row],[CAPITAL INVESTMENT]]</f>
        <v>#VALUE!</v>
      </c>
      <c r="N58" s="699">
        <f>IF(ISNUMBER(Table314[[#This Row],[NPV]])=TRUE,Table314[[#This Row],[NPV]],0)</f>
        <v>0</v>
      </c>
      <c r="O58" s="727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58" s="568" t="str">
        <f>Table314[[#This Row],[Lifetime]]</f>
        <v/>
      </c>
      <c r="V58" s="657" t="str">
        <f t="shared" si="18"/>
        <v/>
      </c>
      <c r="W58" s="658">
        <f>Table314[[#This Row],[ANNUAL ENERGY COST SAVINGS]]</f>
        <v>0</v>
      </c>
      <c r="X58" s="658">
        <f>IF(X$6&gt;$L58,0,W58*(1-'Interest Rate'!$B$17))</f>
        <v>0</v>
      </c>
      <c r="Y58" s="658">
        <f>IF(Y$6&gt;$L58,0,X58*(1-'Interest Rate'!$B$17))</f>
        <v>0</v>
      </c>
      <c r="Z58" s="658">
        <f>IF(Z$6&gt;$L58,0,Y58*(1-'Interest Rate'!$B$17))</f>
        <v>0</v>
      </c>
      <c r="AA58" s="658">
        <f>IF(AA$6&gt;$L58,0,Z58*(1-'Interest Rate'!$B$17))</f>
        <v>0</v>
      </c>
      <c r="AB58" s="658">
        <f>IF(AB$6&gt;$L58,0,AA58*(1-'Interest Rate'!$B$17))</f>
        <v>0</v>
      </c>
      <c r="AC58" s="658">
        <f>IF(AC$6&gt;$L58,0,AB58*(1-'Interest Rate'!$B$17))</f>
        <v>0</v>
      </c>
      <c r="AD58" s="658">
        <f>IF(AD$6&gt;$L58,0,AC58*(1-'Interest Rate'!$B$17))</f>
        <v>0</v>
      </c>
      <c r="AE58" s="658">
        <f>IF(AE$6&gt;$L58,0,AD58*(1-'Interest Rate'!$B$17))</f>
        <v>0</v>
      </c>
      <c r="AF58" s="658">
        <f>IF(AF$6&gt;$L58,0,AE58*(1-'Interest Rate'!$B$17))</f>
        <v>0</v>
      </c>
      <c r="AG58" s="658">
        <f>IF(AG$6&gt;$L58,0,AF58*(1-'Interest Rate'!$B$17))</f>
        <v>0</v>
      </c>
      <c r="AH58" s="658">
        <f>IF(AH$6&gt;$L58,0,AG58*(1-'Interest Rate'!$B$17))</f>
        <v>0</v>
      </c>
      <c r="AI58" s="658">
        <f>IF(AI$6&gt;$L58,0,AH58*(1-'Interest Rate'!$B$17))</f>
        <v>0</v>
      </c>
      <c r="AJ58" s="658">
        <f>IF(AJ$6&gt;$L58,0,AI58*(1-'Interest Rate'!$B$17))</f>
        <v>0</v>
      </c>
      <c r="AK58" s="658">
        <f>IF(AK$6&gt;$L58,0,AJ58*(1-'Interest Rate'!$B$17))</f>
        <v>0</v>
      </c>
      <c r="AL58" s="658">
        <f>IF(AL$6&gt;$L58,0,AK58*(1-'Interest Rate'!$B$17))</f>
        <v>0</v>
      </c>
      <c r="AM58" s="658">
        <f>IF(AM$6&gt;$L58,0,AL58*(1-'Interest Rate'!$B$17))</f>
        <v>0</v>
      </c>
      <c r="AN58" s="658">
        <f>IF(AN$6&gt;$L58,0,AM58*(1-'Interest Rate'!$B$17))</f>
        <v>0</v>
      </c>
      <c r="AO58" s="658">
        <f>IF(AO$6&gt;$L58,0,AN58*(1-'Interest Rate'!$B$17))</f>
        <v>0</v>
      </c>
      <c r="AP58" s="658">
        <f>IF(AP$6&gt;$L58,0,AO58*(1-'Interest Rate'!$B$17))</f>
        <v>0</v>
      </c>
      <c r="AQ58" s="658">
        <f>IF(AQ$6&gt;$L58,0,AP58*(1-'Interest Rate'!$B$17))</f>
        <v>0</v>
      </c>
      <c r="AR58" s="658">
        <f>IF(AR$6&gt;$L58,0,AQ58*(1-'Interest Rate'!$B$17))</f>
        <v>0</v>
      </c>
      <c r="AS58" s="658">
        <f>IF(AS$6&gt;$L58,0,AR58*(1-'Interest Rate'!$B$17))</f>
        <v>0</v>
      </c>
      <c r="AT58" s="658">
        <f>IF(AT$6&gt;$L58,0,AS58*(1-'Interest Rate'!$B$17))</f>
        <v>0</v>
      </c>
      <c r="AU58" s="658">
        <f>IF(AU$6&gt;$L58,0,AT58*(1-'Interest Rate'!$B$17))</f>
        <v>0</v>
      </c>
      <c r="AV58" s="658">
        <f>IF(AV$6&gt;$L58,0,AU58*(1-'Interest Rate'!$B$17))</f>
        <v>0</v>
      </c>
      <c r="AW58" s="658">
        <f>IF(AW$6&gt;$L58,0,AV58*(1-'Interest Rate'!$B$17))</f>
        <v>0</v>
      </c>
      <c r="AX58" s="658">
        <f>IF(AX$6&gt;$L58,0,AW58*(1-'Interest Rate'!$B$17))</f>
        <v>0</v>
      </c>
      <c r="AY58" s="658">
        <f>IF(AY$6&gt;$L58,0,AX58*(1-'Interest Rate'!$B$17))</f>
        <v>0</v>
      </c>
      <c r="AZ58" s="658">
        <f>IF(AZ$6&gt;$L58,0,AY58*(1-'Interest Rate'!$B$17))</f>
        <v>0</v>
      </c>
      <c r="BA58" s="658">
        <f>IF(BA$6&gt;$L58,0,AZ58*(1-'Interest Rate'!$B$17))</f>
        <v>0</v>
      </c>
      <c r="BB58" s="658">
        <f>IF(BB$6&gt;$L58,0,BA58*(1-'Interest Rate'!$B$17))</f>
        <v>0</v>
      </c>
      <c r="BC58" s="658">
        <f>IF(BC$6&gt;$L58,0,BB58*(1-'Interest Rate'!$B$17))</f>
        <v>0</v>
      </c>
      <c r="BD58" s="658">
        <f>IF(BD$6&gt;$L58,0,BC58*(1-'Interest Rate'!$B$17))</f>
        <v>0</v>
      </c>
      <c r="BE58" s="658">
        <f>IF(BE$6&gt;$L58,0,BD58*(1-'Interest Rate'!$B$17))</f>
        <v>0</v>
      </c>
      <c r="BF58" s="658">
        <f>IF(BF$6&gt;$L58,0,BE58*(1-'Interest Rate'!$B$17))</f>
        <v>0</v>
      </c>
      <c r="BG58" s="658">
        <f>IF(BG$6&gt;$L58,0,BF58*(1-'Interest Rate'!$B$17))</f>
        <v>0</v>
      </c>
      <c r="BH58" s="658">
        <f>IF(BH$6&gt;$L58,0,BG58*(1-'Interest Rate'!$B$17))</f>
        <v>0</v>
      </c>
      <c r="BI58" s="658">
        <f>IF(BI$6&gt;$L58,0,BH58*(1-'Interest Rate'!$B$17))</f>
        <v>0</v>
      </c>
      <c r="BJ58" s="658">
        <f>IF(BJ$6&gt;$L58,0,BI58*(1-'Interest Rate'!$B$17))</f>
        <v>0</v>
      </c>
      <c r="BK58" s="658">
        <f>IF(BK$6&gt;$L58,0,BJ58*(1-'Interest Rate'!$B$17))</f>
        <v>0</v>
      </c>
      <c r="BL58" s="658">
        <f>IF(BL$6&gt;$L58,0,BK58*(1-'Interest Rate'!$B$17))</f>
        <v>0</v>
      </c>
      <c r="BM58" s="658">
        <f>IF(BM$6&gt;$L58,0,BL58*(1-'Interest Rate'!$B$17))</f>
        <v>0</v>
      </c>
      <c r="BN58" s="658">
        <f>IF(BN$6&gt;$L58,0,BM58*(1-'Interest Rate'!$B$17))</f>
        <v>0</v>
      </c>
      <c r="BO58" s="658">
        <f>IF(BO$6&gt;$L58,0,BN58*(1-'Interest Rate'!$B$17))</f>
        <v>0</v>
      </c>
      <c r="BP58" s="658">
        <f>IF(BP$6&gt;$L58,0,BO58*(1-'Interest Rate'!$B$17))</f>
        <v>0</v>
      </c>
      <c r="BQ58" s="658">
        <f>IF(BQ$6&gt;$L58,0,BP58*(1-'Interest Rate'!$B$17))</f>
        <v>0</v>
      </c>
      <c r="BR58" s="658">
        <f>IF(BR$6&gt;$L58,0,BQ58*(1-'Interest Rate'!$B$17))</f>
        <v>0</v>
      </c>
      <c r="BS58" s="658">
        <f>IF(BS$6&gt;$L58,0,BR58*(1-'Interest Rate'!$B$17))</f>
        <v>0</v>
      </c>
      <c r="BT58" s="658">
        <f>IF(BT$6&gt;$L58,0,BS58*(1-'Interest Rate'!$B$17))</f>
        <v>0</v>
      </c>
      <c r="BU58" s="658">
        <f>IF(BU$6&gt;$L58,0,BT58*(1-'Interest Rate'!$B$17))</f>
        <v>0</v>
      </c>
      <c r="BV58" s="658">
        <f>IF(BV$6&gt;$L58,0,BU58*(1-'Interest Rate'!$B$17))</f>
        <v>0</v>
      </c>
      <c r="BW58" s="658">
        <f>IF(BW$6&gt;$L58,0,BV58*(1-'Interest Rate'!$B$17))</f>
        <v>0</v>
      </c>
      <c r="BX58" s="658">
        <f>IF(BX$6&gt;$L58,0,BW58*(1-'Interest Rate'!$B$17))</f>
        <v>0</v>
      </c>
      <c r="BY58" s="658">
        <f>IF(BY$6&gt;$L58,0,BX58*(1-'Interest Rate'!$B$17))</f>
        <v>0</v>
      </c>
      <c r="BZ58" s="658">
        <f>IF(BZ$6&gt;$L58,0,BY58*(1-'Interest Rate'!$B$17))</f>
        <v>0</v>
      </c>
      <c r="CA58" s="658">
        <f>IF(CA$6&gt;$L58,0,BZ58*(1-'Interest Rate'!$B$17))</f>
        <v>0</v>
      </c>
      <c r="CB58" s="658">
        <f>IF(CB$6&gt;$L58,0,CA58*(1-'Interest Rate'!$B$17))</f>
        <v>0</v>
      </c>
      <c r="CC58" s="658">
        <f>IF(CC$6&gt;$L58,0,CB58*(1-'Interest Rate'!$B$17))</f>
        <v>0</v>
      </c>
      <c r="CD58" s="658">
        <f>IF(CD$6&gt;$L58,0,CC58*(1-'Interest Rate'!$B$17))</f>
        <v>0</v>
      </c>
      <c r="CE58" s="658">
        <f>IF(CE$6&gt;$L58,0,CD58*(1-'Interest Rate'!$B$17))</f>
        <v>0</v>
      </c>
      <c r="CF58" s="658">
        <f>IF(CF$6&gt;$L58,0,CE58*(1-'Interest Rate'!$B$17))</f>
        <v>0</v>
      </c>
      <c r="CG58" s="658">
        <f>IF(CG$6&gt;$L58,0,CF58*(1-'Interest Rate'!$B$17))</f>
        <v>0</v>
      </c>
      <c r="CH58" s="658">
        <f>IF(CH$6&gt;$L58,0,CG58*(1-'Interest Rate'!$B$17))</f>
        <v>0</v>
      </c>
      <c r="CI58" s="658">
        <f>IF(CI$6&gt;$L58,0,CH58*(1-'Interest Rate'!$B$17))</f>
        <v>0</v>
      </c>
      <c r="CJ58" s="658">
        <f>IF(CJ$6&gt;$L58,0,CI58*(1-'Interest Rate'!$B$17))</f>
        <v>0</v>
      </c>
      <c r="CK58" s="658">
        <f>IF(CK$6&gt;$L58,0,CJ58*(1-'Interest Rate'!$B$17))</f>
        <v>0</v>
      </c>
      <c r="CL58" s="658">
        <f>IF(CL$6&gt;$L58,0,CK58*(1-'Interest Rate'!$B$17))</f>
        <v>0</v>
      </c>
      <c r="CM58" s="658">
        <f>IF(CM$6&gt;$L58,0,CL58*(1-'Interest Rate'!$B$17))</f>
        <v>0</v>
      </c>
      <c r="CN58" s="658">
        <f>IF(CN$6&gt;$L58,0,CM58*(1-'Interest Rate'!$B$17))</f>
        <v>0</v>
      </c>
      <c r="CO58" s="658">
        <f>IF(CO$6&gt;$L58,0,CN58*(1-'Interest Rate'!$B$17))</f>
        <v>0</v>
      </c>
      <c r="CP58" s="658">
        <f>IF(CP$6&gt;$L58,0,CO58*(1-'Interest Rate'!$B$17))</f>
        <v>0</v>
      </c>
      <c r="CQ58" s="658">
        <f>IF(CQ$6&gt;$L58,0,CP58*(1-'Interest Rate'!$B$17))</f>
        <v>0</v>
      </c>
      <c r="CR58" s="658">
        <f>IF(CR$6&gt;$L58,0,CQ58*(1-'Interest Rate'!$B$17))</f>
        <v>0</v>
      </c>
      <c r="CS58" s="658">
        <f>IF(CS$6&gt;$L58,0,CR58*(1-'Interest Rate'!$B$17))</f>
        <v>0</v>
      </c>
      <c r="CT58" s="658">
        <f>IF(CT$6&gt;$L58,0,CS58*(1-'Interest Rate'!$B$17))</f>
        <v>0</v>
      </c>
      <c r="CU58" s="658">
        <f>IF(CU$6&gt;$L58,0,CT58*(1-'Interest Rate'!$B$17))</f>
        <v>0</v>
      </c>
      <c r="CV58" s="658">
        <f>IF(CV$6&gt;$L58,0,CU58*(1-'Interest Rate'!$B$17))</f>
        <v>0</v>
      </c>
      <c r="CW58" s="658">
        <f>IF(CW$6&gt;$L58,0,CV58*(1-'Interest Rate'!$B$17))</f>
        <v>0</v>
      </c>
      <c r="CX58" s="658">
        <f>IF(CX$6&gt;$L58,0,CW58*(1-'Interest Rate'!$B$17))</f>
        <v>0</v>
      </c>
      <c r="CY58" s="658">
        <f>IF(CY$6&gt;$L58,0,CX58*(1-'Interest Rate'!$B$17))</f>
        <v>0</v>
      </c>
      <c r="CZ58" s="658">
        <f>IF(CZ$6&gt;$L58,0,CY58*(1-'Interest Rate'!$B$17))</f>
        <v>0</v>
      </c>
      <c r="DA58" s="658">
        <f>IF(DA$6&gt;$L58,0,CZ58*(1-'Interest Rate'!$B$17))</f>
        <v>0</v>
      </c>
      <c r="DB58" s="658">
        <f>IF(DB$6&gt;$L58,0,DA58*(1-'Interest Rate'!$B$17))</f>
        <v>0</v>
      </c>
      <c r="DC58" s="658">
        <f>IF(DC$6&gt;$L58,0,DB58*(1-'Interest Rate'!$B$17))</f>
        <v>0</v>
      </c>
      <c r="DD58" s="658">
        <f>IF(DD$6&gt;$L58,0,DC58*(1-'Interest Rate'!$B$17))</f>
        <v>0</v>
      </c>
      <c r="DE58" s="658">
        <f>IF(DE$6&gt;$L58,0,DD58*(1-'Interest Rate'!$B$17))</f>
        <v>0</v>
      </c>
      <c r="DF58" s="658">
        <f>IF(DF$6&gt;$L58,0,DE58*(1-'Interest Rate'!$B$17))</f>
        <v>0</v>
      </c>
      <c r="DG58" s="658">
        <f>IF(DG$6&gt;$L58,0,DF58*(1-'Interest Rate'!$B$17))</f>
        <v>0</v>
      </c>
      <c r="DH58" s="658">
        <f>IF(DH$6&gt;$L58,0,DG58*(1-'Interest Rate'!$B$17))</f>
        <v>0</v>
      </c>
      <c r="DI58" s="658">
        <f>IF(DI$6&gt;$L58,0,DH58*(1-'Interest Rate'!$B$17))</f>
        <v>0</v>
      </c>
      <c r="DJ58" s="658">
        <f>IF(DJ$6&gt;$L58,0,DI58*(1-'Interest Rate'!$B$17))</f>
        <v>0</v>
      </c>
      <c r="DK58" s="658">
        <f>IF(DK$6&gt;$L58,0,DJ58*(1-'Interest Rate'!$B$17))</f>
        <v>0</v>
      </c>
      <c r="DL58" s="658">
        <f>IF(DL$6&gt;$L58,0,DK58*(1-'Interest Rate'!$B$17))</f>
        <v>0</v>
      </c>
      <c r="DM58" s="658">
        <f>IF(DM$6&gt;$L58,0,DL58*(1-'Interest Rate'!$B$17))</f>
        <v>0</v>
      </c>
      <c r="DN58" s="658">
        <f>IF(DN$6&gt;$L58,0,DM58*(1-'Interest Rate'!$B$17))</f>
        <v>0</v>
      </c>
      <c r="DO58" s="658">
        <f>IF(DO$6&gt;$L58,0,DN58*(1-'Interest Rate'!$B$17))</f>
        <v>0</v>
      </c>
      <c r="DP58" s="658">
        <f>IF(DP$6&gt;$L58,0,DO58*(1-'Interest Rate'!$B$17))</f>
        <v>0</v>
      </c>
      <c r="DQ58" s="658">
        <f>IF(DQ$6&gt;$L58,0,DP58*(1-'Interest Rate'!$B$17))</f>
        <v>0</v>
      </c>
      <c r="DR58" s="658">
        <f>IF(DR$6&gt;$L58,0,DQ58*(1-'Interest Rate'!$B$17))</f>
        <v>0</v>
      </c>
    </row>
    <row r="59" spans="1:122" ht="33" customHeight="1" x14ac:dyDescent="0.3">
      <c r="A59" s="696" t="str">
        <f>'EEM Data Entry'!A134</f>
        <v/>
      </c>
      <c r="B59" s="697" t="str">
        <f>IF('EEM Data Entry'!B134="  ","  ", 'EEM Data Entry'!B134)</f>
        <v/>
      </c>
      <c r="C59" s="671" t="str">
        <f>'EEM Data Entry'!F134</f>
        <v/>
      </c>
      <c r="D59" s="671">
        <v>0</v>
      </c>
      <c r="E59" s="671" t="e">
        <f t="shared" si="19"/>
        <v>#VALUE!</v>
      </c>
      <c r="F59" s="662">
        <f>('Cascading Savings'!D59*'Cascading Savings'!D$4)+('Cascading Savings'!F59*'Cascading Savings'!F$4)+('Cascading Savings'!H59*'Cascading Savings'!H$4)+('Cascading Savings'!J59*'Cascading Savings'!J$4)+('Cascading Savings'!L59*'Cascading Savings'!L$4)+('Cascading Savings'!N59*'Cascading Savings'!N$4)+('Cascading Savings'!P59*'Cascading Savings'!P$4)+('Cascading Savings'!R59*'Cascading Savings'!R$4)</f>
        <v>0</v>
      </c>
      <c r="G59" s="698">
        <f>'Cascading Savings'!T59</f>
        <v>0</v>
      </c>
      <c r="H59" s="672" t="e">
        <f t="shared" si="20"/>
        <v>#VALUE!</v>
      </c>
      <c r="I59" s="668" t="e">
        <f t="shared" si="21"/>
        <v>#VALUE!</v>
      </c>
      <c r="J59" s="673" t="e">
        <f t="shared" si="17"/>
        <v>#NUM!</v>
      </c>
      <c r="K59" s="674" t="e">
        <f>PV('Interest Rate'!$B$17,Table314[[#This Row],[Lifetime]],-Table314[[#This Row],[ANNUAL ENERGY COST SAVINGS]],Table314[[#This Row],[END-OF-LIFE]],0)-Table314[[#This Row],[CAPITAL INVESTMENT]]</f>
        <v>#VALUE!</v>
      </c>
      <c r="L59" s="696" t="str">
        <f>'EEM Data Entry'!C134</f>
        <v/>
      </c>
      <c r="M59" s="669" t="e">
        <f>Table314[[#This Row],[ANNUAL ENERGY COST SAVINGS]]/Table314[[#This Row],[CAPITAL INVESTMENT]]</f>
        <v>#VALUE!</v>
      </c>
      <c r="N59" s="699">
        <f>IF(ISNUMBER(Table314[[#This Row],[NPV]])=TRUE,Table314[[#This Row],[NPV]],0)</f>
        <v>0</v>
      </c>
      <c r="O59" s="727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59" s="568" t="str">
        <f>Table314[[#This Row],[Lifetime]]</f>
        <v/>
      </c>
      <c r="V59" s="657" t="str">
        <f t="shared" si="18"/>
        <v/>
      </c>
      <c r="W59" s="658">
        <f>Table314[[#This Row],[ANNUAL ENERGY COST SAVINGS]]</f>
        <v>0</v>
      </c>
      <c r="X59" s="658">
        <f>IF(X$6&gt;$L59,0,W59*(1-'Interest Rate'!$B$17))</f>
        <v>0</v>
      </c>
      <c r="Y59" s="658">
        <f>IF(Y$6&gt;$L59,0,X59*(1-'Interest Rate'!$B$17))</f>
        <v>0</v>
      </c>
      <c r="Z59" s="658">
        <f>IF(Z$6&gt;$L59,0,Y59*(1-'Interest Rate'!$B$17))</f>
        <v>0</v>
      </c>
      <c r="AA59" s="658">
        <f>IF(AA$6&gt;$L59,0,Z59*(1-'Interest Rate'!$B$17))</f>
        <v>0</v>
      </c>
      <c r="AB59" s="658">
        <f>IF(AB$6&gt;$L59,0,AA59*(1-'Interest Rate'!$B$17))</f>
        <v>0</v>
      </c>
      <c r="AC59" s="658">
        <f>IF(AC$6&gt;$L59,0,AB59*(1-'Interest Rate'!$B$17))</f>
        <v>0</v>
      </c>
      <c r="AD59" s="658">
        <f>IF(AD$6&gt;$L59,0,AC59*(1-'Interest Rate'!$B$17))</f>
        <v>0</v>
      </c>
      <c r="AE59" s="658">
        <f>IF(AE$6&gt;$L59,0,AD59*(1-'Interest Rate'!$B$17))</f>
        <v>0</v>
      </c>
      <c r="AF59" s="658">
        <f>IF(AF$6&gt;$L59,0,AE59*(1-'Interest Rate'!$B$17))</f>
        <v>0</v>
      </c>
      <c r="AG59" s="658">
        <f>IF(AG$6&gt;$L59,0,AF59*(1-'Interest Rate'!$B$17))</f>
        <v>0</v>
      </c>
      <c r="AH59" s="658">
        <f>IF(AH$6&gt;$L59,0,AG59*(1-'Interest Rate'!$B$17))</f>
        <v>0</v>
      </c>
      <c r="AI59" s="658">
        <f>IF(AI$6&gt;$L59,0,AH59*(1-'Interest Rate'!$B$17))</f>
        <v>0</v>
      </c>
      <c r="AJ59" s="658">
        <f>IF(AJ$6&gt;$L59,0,AI59*(1-'Interest Rate'!$B$17))</f>
        <v>0</v>
      </c>
      <c r="AK59" s="658">
        <f>IF(AK$6&gt;$L59,0,AJ59*(1-'Interest Rate'!$B$17))</f>
        <v>0</v>
      </c>
      <c r="AL59" s="658">
        <f>IF(AL$6&gt;$L59,0,AK59*(1-'Interest Rate'!$B$17))</f>
        <v>0</v>
      </c>
      <c r="AM59" s="658">
        <f>IF(AM$6&gt;$L59,0,AL59*(1-'Interest Rate'!$B$17))</f>
        <v>0</v>
      </c>
      <c r="AN59" s="658">
        <f>IF(AN$6&gt;$L59,0,AM59*(1-'Interest Rate'!$B$17))</f>
        <v>0</v>
      </c>
      <c r="AO59" s="658">
        <f>IF(AO$6&gt;$L59,0,AN59*(1-'Interest Rate'!$B$17))</f>
        <v>0</v>
      </c>
      <c r="AP59" s="658">
        <f>IF(AP$6&gt;$L59,0,AO59*(1-'Interest Rate'!$B$17))</f>
        <v>0</v>
      </c>
      <c r="AQ59" s="658">
        <f>IF(AQ$6&gt;$L59,0,AP59*(1-'Interest Rate'!$B$17))</f>
        <v>0</v>
      </c>
      <c r="AR59" s="658">
        <f>IF(AR$6&gt;$L59,0,AQ59*(1-'Interest Rate'!$B$17))</f>
        <v>0</v>
      </c>
      <c r="AS59" s="658">
        <f>IF(AS$6&gt;$L59,0,AR59*(1-'Interest Rate'!$B$17))</f>
        <v>0</v>
      </c>
      <c r="AT59" s="658">
        <f>IF(AT$6&gt;$L59,0,AS59*(1-'Interest Rate'!$B$17))</f>
        <v>0</v>
      </c>
      <c r="AU59" s="658">
        <f>IF(AU$6&gt;$L59,0,AT59*(1-'Interest Rate'!$B$17))</f>
        <v>0</v>
      </c>
      <c r="AV59" s="658">
        <f>IF(AV$6&gt;$L59,0,AU59*(1-'Interest Rate'!$B$17))</f>
        <v>0</v>
      </c>
      <c r="AW59" s="658">
        <f>IF(AW$6&gt;$L59,0,AV59*(1-'Interest Rate'!$B$17))</f>
        <v>0</v>
      </c>
      <c r="AX59" s="658">
        <f>IF(AX$6&gt;$L59,0,AW59*(1-'Interest Rate'!$B$17))</f>
        <v>0</v>
      </c>
      <c r="AY59" s="658">
        <f>IF(AY$6&gt;$L59,0,AX59*(1-'Interest Rate'!$B$17))</f>
        <v>0</v>
      </c>
      <c r="AZ59" s="658">
        <f>IF(AZ$6&gt;$L59,0,AY59*(1-'Interest Rate'!$B$17))</f>
        <v>0</v>
      </c>
      <c r="BA59" s="658">
        <f>IF(BA$6&gt;$L59,0,AZ59*(1-'Interest Rate'!$B$17))</f>
        <v>0</v>
      </c>
      <c r="BB59" s="658">
        <f>IF(BB$6&gt;$L59,0,BA59*(1-'Interest Rate'!$B$17))</f>
        <v>0</v>
      </c>
      <c r="BC59" s="658">
        <f>IF(BC$6&gt;$L59,0,BB59*(1-'Interest Rate'!$B$17))</f>
        <v>0</v>
      </c>
      <c r="BD59" s="658">
        <f>IF(BD$6&gt;$L59,0,BC59*(1-'Interest Rate'!$B$17))</f>
        <v>0</v>
      </c>
      <c r="BE59" s="658">
        <f>IF(BE$6&gt;$L59,0,BD59*(1-'Interest Rate'!$B$17))</f>
        <v>0</v>
      </c>
      <c r="BF59" s="658">
        <f>IF(BF$6&gt;$L59,0,BE59*(1-'Interest Rate'!$B$17))</f>
        <v>0</v>
      </c>
      <c r="BG59" s="658">
        <f>IF(BG$6&gt;$L59,0,BF59*(1-'Interest Rate'!$B$17))</f>
        <v>0</v>
      </c>
      <c r="BH59" s="658">
        <f>IF(BH$6&gt;$L59,0,BG59*(1-'Interest Rate'!$B$17))</f>
        <v>0</v>
      </c>
      <c r="BI59" s="658">
        <f>IF(BI$6&gt;$L59,0,BH59*(1-'Interest Rate'!$B$17))</f>
        <v>0</v>
      </c>
      <c r="BJ59" s="658">
        <f>IF(BJ$6&gt;$L59,0,BI59*(1-'Interest Rate'!$B$17))</f>
        <v>0</v>
      </c>
      <c r="BK59" s="658">
        <f>IF(BK$6&gt;$L59,0,BJ59*(1-'Interest Rate'!$B$17))</f>
        <v>0</v>
      </c>
      <c r="BL59" s="658">
        <f>IF(BL$6&gt;$L59,0,BK59*(1-'Interest Rate'!$B$17))</f>
        <v>0</v>
      </c>
      <c r="BM59" s="658">
        <f>IF(BM$6&gt;$L59,0,BL59*(1-'Interest Rate'!$B$17))</f>
        <v>0</v>
      </c>
      <c r="BN59" s="658">
        <f>IF(BN$6&gt;$L59,0,BM59*(1-'Interest Rate'!$B$17))</f>
        <v>0</v>
      </c>
      <c r="BO59" s="658">
        <f>IF(BO$6&gt;$L59,0,BN59*(1-'Interest Rate'!$B$17))</f>
        <v>0</v>
      </c>
      <c r="BP59" s="658">
        <f>IF(BP$6&gt;$L59,0,BO59*(1-'Interest Rate'!$B$17))</f>
        <v>0</v>
      </c>
      <c r="BQ59" s="658">
        <f>IF(BQ$6&gt;$L59,0,BP59*(1-'Interest Rate'!$B$17))</f>
        <v>0</v>
      </c>
      <c r="BR59" s="658">
        <f>IF(BR$6&gt;$L59,0,BQ59*(1-'Interest Rate'!$B$17))</f>
        <v>0</v>
      </c>
      <c r="BS59" s="658">
        <f>IF(BS$6&gt;$L59,0,BR59*(1-'Interest Rate'!$B$17))</f>
        <v>0</v>
      </c>
      <c r="BT59" s="658">
        <f>IF(BT$6&gt;$L59,0,BS59*(1-'Interest Rate'!$B$17))</f>
        <v>0</v>
      </c>
      <c r="BU59" s="658">
        <f>IF(BU$6&gt;$L59,0,BT59*(1-'Interest Rate'!$B$17))</f>
        <v>0</v>
      </c>
      <c r="BV59" s="658">
        <f>IF(BV$6&gt;$L59,0,BU59*(1-'Interest Rate'!$B$17))</f>
        <v>0</v>
      </c>
      <c r="BW59" s="658">
        <f>IF(BW$6&gt;$L59,0,BV59*(1-'Interest Rate'!$B$17))</f>
        <v>0</v>
      </c>
      <c r="BX59" s="658">
        <f>IF(BX$6&gt;$L59,0,BW59*(1-'Interest Rate'!$B$17))</f>
        <v>0</v>
      </c>
      <c r="BY59" s="658">
        <f>IF(BY$6&gt;$L59,0,BX59*(1-'Interest Rate'!$B$17))</f>
        <v>0</v>
      </c>
      <c r="BZ59" s="658">
        <f>IF(BZ$6&gt;$L59,0,BY59*(1-'Interest Rate'!$B$17))</f>
        <v>0</v>
      </c>
      <c r="CA59" s="658">
        <f>IF(CA$6&gt;$L59,0,BZ59*(1-'Interest Rate'!$B$17))</f>
        <v>0</v>
      </c>
      <c r="CB59" s="658">
        <f>IF(CB$6&gt;$L59,0,CA59*(1-'Interest Rate'!$B$17))</f>
        <v>0</v>
      </c>
      <c r="CC59" s="658">
        <f>IF(CC$6&gt;$L59,0,CB59*(1-'Interest Rate'!$B$17))</f>
        <v>0</v>
      </c>
      <c r="CD59" s="658">
        <f>IF(CD$6&gt;$L59,0,CC59*(1-'Interest Rate'!$B$17))</f>
        <v>0</v>
      </c>
      <c r="CE59" s="658">
        <f>IF(CE$6&gt;$L59,0,CD59*(1-'Interest Rate'!$B$17))</f>
        <v>0</v>
      </c>
      <c r="CF59" s="658">
        <f>IF(CF$6&gt;$L59,0,CE59*(1-'Interest Rate'!$B$17))</f>
        <v>0</v>
      </c>
      <c r="CG59" s="658">
        <f>IF(CG$6&gt;$L59,0,CF59*(1-'Interest Rate'!$B$17))</f>
        <v>0</v>
      </c>
      <c r="CH59" s="658">
        <f>IF(CH$6&gt;$L59,0,CG59*(1-'Interest Rate'!$B$17))</f>
        <v>0</v>
      </c>
      <c r="CI59" s="658">
        <f>IF(CI$6&gt;$L59,0,CH59*(1-'Interest Rate'!$B$17))</f>
        <v>0</v>
      </c>
      <c r="CJ59" s="658">
        <f>IF(CJ$6&gt;$L59,0,CI59*(1-'Interest Rate'!$B$17))</f>
        <v>0</v>
      </c>
      <c r="CK59" s="658">
        <f>IF(CK$6&gt;$L59,0,CJ59*(1-'Interest Rate'!$B$17))</f>
        <v>0</v>
      </c>
      <c r="CL59" s="658">
        <f>IF(CL$6&gt;$L59,0,CK59*(1-'Interest Rate'!$B$17))</f>
        <v>0</v>
      </c>
      <c r="CM59" s="658">
        <f>IF(CM$6&gt;$L59,0,CL59*(1-'Interest Rate'!$B$17))</f>
        <v>0</v>
      </c>
      <c r="CN59" s="658">
        <f>IF(CN$6&gt;$L59,0,CM59*(1-'Interest Rate'!$B$17))</f>
        <v>0</v>
      </c>
      <c r="CO59" s="658">
        <f>IF(CO$6&gt;$L59,0,CN59*(1-'Interest Rate'!$B$17))</f>
        <v>0</v>
      </c>
      <c r="CP59" s="658">
        <f>IF(CP$6&gt;$L59,0,CO59*(1-'Interest Rate'!$B$17))</f>
        <v>0</v>
      </c>
      <c r="CQ59" s="658">
        <f>IF(CQ$6&gt;$L59,0,CP59*(1-'Interest Rate'!$B$17))</f>
        <v>0</v>
      </c>
      <c r="CR59" s="658">
        <f>IF(CR$6&gt;$L59,0,CQ59*(1-'Interest Rate'!$B$17))</f>
        <v>0</v>
      </c>
      <c r="CS59" s="658">
        <f>IF(CS$6&gt;$L59,0,CR59*(1-'Interest Rate'!$B$17))</f>
        <v>0</v>
      </c>
      <c r="CT59" s="658">
        <f>IF(CT$6&gt;$L59,0,CS59*(1-'Interest Rate'!$B$17))</f>
        <v>0</v>
      </c>
      <c r="CU59" s="658">
        <f>IF(CU$6&gt;$L59,0,CT59*(1-'Interest Rate'!$B$17))</f>
        <v>0</v>
      </c>
      <c r="CV59" s="658">
        <f>IF(CV$6&gt;$L59,0,CU59*(1-'Interest Rate'!$B$17))</f>
        <v>0</v>
      </c>
      <c r="CW59" s="658">
        <f>IF(CW$6&gt;$L59,0,CV59*(1-'Interest Rate'!$B$17))</f>
        <v>0</v>
      </c>
      <c r="CX59" s="658">
        <f>IF(CX$6&gt;$L59,0,CW59*(1-'Interest Rate'!$B$17))</f>
        <v>0</v>
      </c>
      <c r="CY59" s="658">
        <f>IF(CY$6&gt;$L59,0,CX59*(1-'Interest Rate'!$B$17))</f>
        <v>0</v>
      </c>
      <c r="CZ59" s="658">
        <f>IF(CZ$6&gt;$L59,0,CY59*(1-'Interest Rate'!$B$17))</f>
        <v>0</v>
      </c>
      <c r="DA59" s="658">
        <f>IF(DA$6&gt;$L59,0,CZ59*(1-'Interest Rate'!$B$17))</f>
        <v>0</v>
      </c>
      <c r="DB59" s="658">
        <f>IF(DB$6&gt;$L59,0,DA59*(1-'Interest Rate'!$B$17))</f>
        <v>0</v>
      </c>
      <c r="DC59" s="658">
        <f>IF(DC$6&gt;$L59,0,DB59*(1-'Interest Rate'!$B$17))</f>
        <v>0</v>
      </c>
      <c r="DD59" s="658">
        <f>IF(DD$6&gt;$L59,0,DC59*(1-'Interest Rate'!$B$17))</f>
        <v>0</v>
      </c>
      <c r="DE59" s="658">
        <f>IF(DE$6&gt;$L59,0,DD59*(1-'Interest Rate'!$B$17))</f>
        <v>0</v>
      </c>
      <c r="DF59" s="658">
        <f>IF(DF$6&gt;$L59,0,DE59*(1-'Interest Rate'!$B$17))</f>
        <v>0</v>
      </c>
      <c r="DG59" s="658">
        <f>IF(DG$6&gt;$L59,0,DF59*(1-'Interest Rate'!$B$17))</f>
        <v>0</v>
      </c>
      <c r="DH59" s="658">
        <f>IF(DH$6&gt;$L59,0,DG59*(1-'Interest Rate'!$B$17))</f>
        <v>0</v>
      </c>
      <c r="DI59" s="658">
        <f>IF(DI$6&gt;$L59,0,DH59*(1-'Interest Rate'!$B$17))</f>
        <v>0</v>
      </c>
      <c r="DJ59" s="658">
        <f>IF(DJ$6&gt;$L59,0,DI59*(1-'Interest Rate'!$B$17))</f>
        <v>0</v>
      </c>
      <c r="DK59" s="658">
        <f>IF(DK$6&gt;$L59,0,DJ59*(1-'Interest Rate'!$B$17))</f>
        <v>0</v>
      </c>
      <c r="DL59" s="658">
        <f>IF(DL$6&gt;$L59,0,DK59*(1-'Interest Rate'!$B$17))</f>
        <v>0</v>
      </c>
      <c r="DM59" s="658">
        <f>IF(DM$6&gt;$L59,0,DL59*(1-'Interest Rate'!$B$17))</f>
        <v>0</v>
      </c>
      <c r="DN59" s="658">
        <f>IF(DN$6&gt;$L59,0,DM59*(1-'Interest Rate'!$B$17))</f>
        <v>0</v>
      </c>
      <c r="DO59" s="658">
        <f>IF(DO$6&gt;$L59,0,DN59*(1-'Interest Rate'!$B$17))</f>
        <v>0</v>
      </c>
      <c r="DP59" s="658">
        <f>IF(DP$6&gt;$L59,0,DO59*(1-'Interest Rate'!$B$17))</f>
        <v>0</v>
      </c>
      <c r="DQ59" s="658">
        <f>IF(DQ$6&gt;$L59,0,DP59*(1-'Interest Rate'!$B$17))</f>
        <v>0</v>
      </c>
      <c r="DR59" s="658">
        <f>IF(DR$6&gt;$L59,0,DQ59*(1-'Interest Rate'!$B$17))</f>
        <v>0</v>
      </c>
    </row>
    <row r="60" spans="1:122" ht="33" customHeight="1" x14ac:dyDescent="0.3">
      <c r="A60" s="696" t="str">
        <f>'EEM Data Entry'!A135</f>
        <v/>
      </c>
      <c r="B60" s="697" t="str">
        <f>IF('EEM Data Entry'!B135="  ","  ", 'EEM Data Entry'!B135)</f>
        <v/>
      </c>
      <c r="C60" s="671" t="str">
        <f>'EEM Data Entry'!F135</f>
        <v/>
      </c>
      <c r="D60" s="671">
        <v>0</v>
      </c>
      <c r="E60" s="671" t="e">
        <f t="shared" si="19"/>
        <v>#VALUE!</v>
      </c>
      <c r="F60" s="650">
        <f>('Cascading Savings'!D60*'Cascading Savings'!D$4)+('Cascading Savings'!F60*'Cascading Savings'!F$4)+('Cascading Savings'!H60*'Cascading Savings'!H$4)+('Cascading Savings'!J60*'Cascading Savings'!J$4)+('Cascading Savings'!L60*'Cascading Savings'!L$4)+('Cascading Savings'!N60*'Cascading Savings'!N$4)+('Cascading Savings'!P60*'Cascading Savings'!P$4)+('Cascading Savings'!R60*'Cascading Savings'!R$4)</f>
        <v>0</v>
      </c>
      <c r="G60" s="698">
        <f>'Cascading Savings'!T60</f>
        <v>0</v>
      </c>
      <c r="H60" s="672" t="e">
        <f t="shared" si="20"/>
        <v>#VALUE!</v>
      </c>
      <c r="I60" s="668" t="e">
        <f t="shared" si="21"/>
        <v>#VALUE!</v>
      </c>
      <c r="J60" s="673" t="e">
        <f t="shared" si="17"/>
        <v>#NUM!</v>
      </c>
      <c r="K60" s="674" t="e">
        <f>PV('Interest Rate'!$B$17,Table314[[#This Row],[Lifetime]],-Table314[[#This Row],[ANNUAL ENERGY COST SAVINGS]],Table314[[#This Row],[END-OF-LIFE]],0)-Table314[[#This Row],[CAPITAL INVESTMENT]]</f>
        <v>#VALUE!</v>
      </c>
      <c r="L60" s="696" t="str">
        <f>'EEM Data Entry'!C135</f>
        <v/>
      </c>
      <c r="M60" s="669" t="e">
        <f>Table314[[#This Row],[ANNUAL ENERGY COST SAVINGS]]/Table314[[#This Row],[CAPITAL INVESTMENT]]</f>
        <v>#VALUE!</v>
      </c>
      <c r="N60" s="699">
        <f>IF(ISNUMBER(Table314[[#This Row],[NPV]])=TRUE,Table314[[#This Row],[NPV]],0)</f>
        <v>0</v>
      </c>
      <c r="O60" s="727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60" s="568" t="str">
        <f>Table314[[#This Row],[Lifetime]]</f>
        <v/>
      </c>
      <c r="V60" s="657" t="str">
        <f t="shared" si="18"/>
        <v/>
      </c>
      <c r="W60" s="658">
        <f>Table314[[#This Row],[ANNUAL ENERGY COST SAVINGS]]</f>
        <v>0</v>
      </c>
      <c r="X60" s="658">
        <f>IF(X$6&gt;$L60,0,W60*(1-'Interest Rate'!$B$17))</f>
        <v>0</v>
      </c>
      <c r="Y60" s="658">
        <f>IF(Y$6&gt;$L60,0,X60*(1-'Interest Rate'!$B$17))</f>
        <v>0</v>
      </c>
      <c r="Z60" s="658">
        <f>IF(Z$6&gt;$L60,0,Y60*(1-'Interest Rate'!$B$17))</f>
        <v>0</v>
      </c>
      <c r="AA60" s="658">
        <f>IF(AA$6&gt;$L60,0,Z60*(1-'Interest Rate'!$B$17))</f>
        <v>0</v>
      </c>
      <c r="AB60" s="658">
        <f>IF(AB$6&gt;$L60,0,AA60*(1-'Interest Rate'!$B$17))</f>
        <v>0</v>
      </c>
      <c r="AC60" s="658">
        <f>IF(AC$6&gt;$L60,0,AB60*(1-'Interest Rate'!$B$17))</f>
        <v>0</v>
      </c>
      <c r="AD60" s="658">
        <f>IF(AD$6&gt;$L60,0,AC60*(1-'Interest Rate'!$B$17))</f>
        <v>0</v>
      </c>
      <c r="AE60" s="658">
        <f>IF(AE$6&gt;$L60,0,AD60*(1-'Interest Rate'!$B$17))</f>
        <v>0</v>
      </c>
      <c r="AF60" s="658">
        <f>IF(AF$6&gt;$L60,0,AE60*(1-'Interest Rate'!$B$17))</f>
        <v>0</v>
      </c>
      <c r="AG60" s="658">
        <f>IF(AG$6&gt;$L60,0,AF60*(1-'Interest Rate'!$B$17))</f>
        <v>0</v>
      </c>
      <c r="AH60" s="658">
        <f>IF(AH$6&gt;$L60,0,AG60*(1-'Interest Rate'!$B$17))</f>
        <v>0</v>
      </c>
      <c r="AI60" s="658">
        <f>IF(AI$6&gt;$L60,0,AH60*(1-'Interest Rate'!$B$17))</f>
        <v>0</v>
      </c>
      <c r="AJ60" s="658">
        <f>IF(AJ$6&gt;$L60,0,AI60*(1-'Interest Rate'!$B$17))</f>
        <v>0</v>
      </c>
      <c r="AK60" s="658">
        <f>IF(AK$6&gt;$L60,0,AJ60*(1-'Interest Rate'!$B$17))</f>
        <v>0</v>
      </c>
      <c r="AL60" s="658">
        <f>IF(AL$6&gt;$L60,0,AK60*(1-'Interest Rate'!$B$17))</f>
        <v>0</v>
      </c>
      <c r="AM60" s="658">
        <f>IF(AM$6&gt;$L60,0,AL60*(1-'Interest Rate'!$B$17))</f>
        <v>0</v>
      </c>
      <c r="AN60" s="658">
        <f>IF(AN$6&gt;$L60,0,AM60*(1-'Interest Rate'!$B$17))</f>
        <v>0</v>
      </c>
      <c r="AO60" s="658">
        <f>IF(AO$6&gt;$L60,0,AN60*(1-'Interest Rate'!$B$17))</f>
        <v>0</v>
      </c>
      <c r="AP60" s="658">
        <f>IF(AP$6&gt;$L60,0,AO60*(1-'Interest Rate'!$B$17))</f>
        <v>0</v>
      </c>
      <c r="AQ60" s="658">
        <f>IF(AQ$6&gt;$L60,0,AP60*(1-'Interest Rate'!$B$17))</f>
        <v>0</v>
      </c>
      <c r="AR60" s="658">
        <f>IF(AR$6&gt;$L60,0,AQ60*(1-'Interest Rate'!$B$17))</f>
        <v>0</v>
      </c>
      <c r="AS60" s="658">
        <f>IF(AS$6&gt;$L60,0,AR60*(1-'Interest Rate'!$B$17))</f>
        <v>0</v>
      </c>
      <c r="AT60" s="658">
        <f>IF(AT$6&gt;$L60,0,AS60*(1-'Interest Rate'!$B$17))</f>
        <v>0</v>
      </c>
      <c r="AU60" s="658">
        <f>IF(AU$6&gt;$L60,0,AT60*(1-'Interest Rate'!$B$17))</f>
        <v>0</v>
      </c>
      <c r="AV60" s="658">
        <f>IF(AV$6&gt;$L60,0,AU60*(1-'Interest Rate'!$B$17))</f>
        <v>0</v>
      </c>
      <c r="AW60" s="658">
        <f>IF(AW$6&gt;$L60,0,AV60*(1-'Interest Rate'!$B$17))</f>
        <v>0</v>
      </c>
      <c r="AX60" s="658">
        <f>IF(AX$6&gt;$L60,0,AW60*(1-'Interest Rate'!$B$17))</f>
        <v>0</v>
      </c>
      <c r="AY60" s="658">
        <f>IF(AY$6&gt;$L60,0,AX60*(1-'Interest Rate'!$B$17))</f>
        <v>0</v>
      </c>
      <c r="AZ60" s="658">
        <f>IF(AZ$6&gt;$L60,0,AY60*(1-'Interest Rate'!$B$17))</f>
        <v>0</v>
      </c>
      <c r="BA60" s="658">
        <f>IF(BA$6&gt;$L60,0,AZ60*(1-'Interest Rate'!$B$17))</f>
        <v>0</v>
      </c>
      <c r="BB60" s="658">
        <f>IF(BB$6&gt;$L60,0,BA60*(1-'Interest Rate'!$B$17))</f>
        <v>0</v>
      </c>
      <c r="BC60" s="658">
        <f>IF(BC$6&gt;$L60,0,BB60*(1-'Interest Rate'!$B$17))</f>
        <v>0</v>
      </c>
      <c r="BD60" s="658">
        <f>IF(BD$6&gt;$L60,0,BC60*(1-'Interest Rate'!$B$17))</f>
        <v>0</v>
      </c>
      <c r="BE60" s="658">
        <f>IF(BE$6&gt;$L60,0,BD60*(1-'Interest Rate'!$B$17))</f>
        <v>0</v>
      </c>
      <c r="BF60" s="658">
        <f>IF(BF$6&gt;$L60,0,BE60*(1-'Interest Rate'!$B$17))</f>
        <v>0</v>
      </c>
      <c r="BG60" s="658">
        <f>IF(BG$6&gt;$L60,0,BF60*(1-'Interest Rate'!$B$17))</f>
        <v>0</v>
      </c>
      <c r="BH60" s="658">
        <f>IF(BH$6&gt;$L60,0,BG60*(1-'Interest Rate'!$B$17))</f>
        <v>0</v>
      </c>
      <c r="BI60" s="658">
        <f>IF(BI$6&gt;$L60,0,BH60*(1-'Interest Rate'!$B$17))</f>
        <v>0</v>
      </c>
      <c r="BJ60" s="658">
        <f>IF(BJ$6&gt;$L60,0,BI60*(1-'Interest Rate'!$B$17))</f>
        <v>0</v>
      </c>
      <c r="BK60" s="658">
        <f>IF(BK$6&gt;$L60,0,BJ60*(1-'Interest Rate'!$B$17))</f>
        <v>0</v>
      </c>
      <c r="BL60" s="658">
        <f>IF(BL$6&gt;$L60,0,BK60*(1-'Interest Rate'!$B$17))</f>
        <v>0</v>
      </c>
      <c r="BM60" s="658">
        <f>IF(BM$6&gt;$L60,0,BL60*(1-'Interest Rate'!$B$17))</f>
        <v>0</v>
      </c>
      <c r="BN60" s="658">
        <f>IF(BN$6&gt;$L60,0,BM60*(1-'Interest Rate'!$B$17))</f>
        <v>0</v>
      </c>
      <c r="BO60" s="658">
        <f>IF(BO$6&gt;$L60,0,BN60*(1-'Interest Rate'!$B$17))</f>
        <v>0</v>
      </c>
      <c r="BP60" s="658">
        <f>IF(BP$6&gt;$L60,0,BO60*(1-'Interest Rate'!$B$17))</f>
        <v>0</v>
      </c>
      <c r="BQ60" s="658">
        <f>IF(BQ$6&gt;$L60,0,BP60*(1-'Interest Rate'!$B$17))</f>
        <v>0</v>
      </c>
      <c r="BR60" s="658">
        <f>IF(BR$6&gt;$L60,0,BQ60*(1-'Interest Rate'!$B$17))</f>
        <v>0</v>
      </c>
      <c r="BS60" s="658">
        <f>IF(BS$6&gt;$L60,0,BR60*(1-'Interest Rate'!$B$17))</f>
        <v>0</v>
      </c>
      <c r="BT60" s="658">
        <f>IF(BT$6&gt;$L60,0,BS60*(1-'Interest Rate'!$B$17))</f>
        <v>0</v>
      </c>
      <c r="BU60" s="658">
        <f>IF(BU$6&gt;$L60,0,BT60*(1-'Interest Rate'!$B$17))</f>
        <v>0</v>
      </c>
      <c r="BV60" s="658">
        <f>IF(BV$6&gt;$L60,0,BU60*(1-'Interest Rate'!$B$17))</f>
        <v>0</v>
      </c>
      <c r="BW60" s="658">
        <f>IF(BW$6&gt;$L60,0,BV60*(1-'Interest Rate'!$B$17))</f>
        <v>0</v>
      </c>
      <c r="BX60" s="658">
        <f>IF(BX$6&gt;$L60,0,BW60*(1-'Interest Rate'!$B$17))</f>
        <v>0</v>
      </c>
      <c r="BY60" s="658">
        <f>IF(BY$6&gt;$L60,0,BX60*(1-'Interest Rate'!$B$17))</f>
        <v>0</v>
      </c>
      <c r="BZ60" s="658">
        <f>IF(BZ$6&gt;$L60,0,BY60*(1-'Interest Rate'!$B$17))</f>
        <v>0</v>
      </c>
      <c r="CA60" s="658">
        <f>IF(CA$6&gt;$L60,0,BZ60*(1-'Interest Rate'!$B$17))</f>
        <v>0</v>
      </c>
      <c r="CB60" s="658">
        <f>IF(CB$6&gt;$L60,0,CA60*(1-'Interest Rate'!$B$17))</f>
        <v>0</v>
      </c>
      <c r="CC60" s="658">
        <f>IF(CC$6&gt;$L60,0,CB60*(1-'Interest Rate'!$B$17))</f>
        <v>0</v>
      </c>
      <c r="CD60" s="658">
        <f>IF(CD$6&gt;$L60,0,CC60*(1-'Interest Rate'!$B$17))</f>
        <v>0</v>
      </c>
      <c r="CE60" s="658">
        <f>IF(CE$6&gt;$L60,0,CD60*(1-'Interest Rate'!$B$17))</f>
        <v>0</v>
      </c>
      <c r="CF60" s="658">
        <f>IF(CF$6&gt;$L60,0,CE60*(1-'Interest Rate'!$B$17))</f>
        <v>0</v>
      </c>
      <c r="CG60" s="658">
        <f>IF(CG$6&gt;$L60,0,CF60*(1-'Interest Rate'!$B$17))</f>
        <v>0</v>
      </c>
      <c r="CH60" s="658">
        <f>IF(CH$6&gt;$L60,0,CG60*(1-'Interest Rate'!$B$17))</f>
        <v>0</v>
      </c>
      <c r="CI60" s="658">
        <f>IF(CI$6&gt;$L60,0,CH60*(1-'Interest Rate'!$B$17))</f>
        <v>0</v>
      </c>
      <c r="CJ60" s="658">
        <f>IF(CJ$6&gt;$L60,0,CI60*(1-'Interest Rate'!$B$17))</f>
        <v>0</v>
      </c>
      <c r="CK60" s="658">
        <f>IF(CK$6&gt;$L60,0,CJ60*(1-'Interest Rate'!$B$17))</f>
        <v>0</v>
      </c>
      <c r="CL60" s="658">
        <f>IF(CL$6&gt;$L60,0,CK60*(1-'Interest Rate'!$B$17))</f>
        <v>0</v>
      </c>
      <c r="CM60" s="658">
        <f>IF(CM$6&gt;$L60,0,CL60*(1-'Interest Rate'!$B$17))</f>
        <v>0</v>
      </c>
      <c r="CN60" s="658">
        <f>IF(CN$6&gt;$L60,0,CM60*(1-'Interest Rate'!$B$17))</f>
        <v>0</v>
      </c>
      <c r="CO60" s="658">
        <f>IF(CO$6&gt;$L60,0,CN60*(1-'Interest Rate'!$B$17))</f>
        <v>0</v>
      </c>
      <c r="CP60" s="658">
        <f>IF(CP$6&gt;$L60,0,CO60*(1-'Interest Rate'!$B$17))</f>
        <v>0</v>
      </c>
      <c r="CQ60" s="658">
        <f>IF(CQ$6&gt;$L60,0,CP60*(1-'Interest Rate'!$B$17))</f>
        <v>0</v>
      </c>
      <c r="CR60" s="658">
        <f>IF(CR$6&gt;$L60,0,CQ60*(1-'Interest Rate'!$B$17))</f>
        <v>0</v>
      </c>
      <c r="CS60" s="658">
        <f>IF(CS$6&gt;$L60,0,CR60*(1-'Interest Rate'!$B$17))</f>
        <v>0</v>
      </c>
      <c r="CT60" s="658">
        <f>IF(CT$6&gt;$L60,0,CS60*(1-'Interest Rate'!$B$17))</f>
        <v>0</v>
      </c>
      <c r="CU60" s="658">
        <f>IF(CU$6&gt;$L60,0,CT60*(1-'Interest Rate'!$B$17))</f>
        <v>0</v>
      </c>
      <c r="CV60" s="658">
        <f>IF(CV$6&gt;$L60,0,CU60*(1-'Interest Rate'!$B$17))</f>
        <v>0</v>
      </c>
      <c r="CW60" s="658">
        <f>IF(CW$6&gt;$L60,0,CV60*(1-'Interest Rate'!$B$17))</f>
        <v>0</v>
      </c>
      <c r="CX60" s="658">
        <f>IF(CX$6&gt;$L60,0,CW60*(1-'Interest Rate'!$B$17))</f>
        <v>0</v>
      </c>
      <c r="CY60" s="658">
        <f>IF(CY$6&gt;$L60,0,CX60*(1-'Interest Rate'!$B$17))</f>
        <v>0</v>
      </c>
      <c r="CZ60" s="658">
        <f>IF(CZ$6&gt;$L60,0,CY60*(1-'Interest Rate'!$B$17))</f>
        <v>0</v>
      </c>
      <c r="DA60" s="658">
        <f>IF(DA$6&gt;$L60,0,CZ60*(1-'Interest Rate'!$B$17))</f>
        <v>0</v>
      </c>
      <c r="DB60" s="658">
        <f>IF(DB$6&gt;$L60,0,DA60*(1-'Interest Rate'!$B$17))</f>
        <v>0</v>
      </c>
      <c r="DC60" s="658">
        <f>IF(DC$6&gt;$L60,0,DB60*(1-'Interest Rate'!$B$17))</f>
        <v>0</v>
      </c>
      <c r="DD60" s="658">
        <f>IF(DD$6&gt;$L60,0,DC60*(1-'Interest Rate'!$B$17))</f>
        <v>0</v>
      </c>
      <c r="DE60" s="658">
        <f>IF(DE$6&gt;$L60,0,DD60*(1-'Interest Rate'!$B$17))</f>
        <v>0</v>
      </c>
      <c r="DF60" s="658">
        <f>IF(DF$6&gt;$L60,0,DE60*(1-'Interest Rate'!$B$17))</f>
        <v>0</v>
      </c>
      <c r="DG60" s="658">
        <f>IF(DG$6&gt;$L60,0,DF60*(1-'Interest Rate'!$B$17))</f>
        <v>0</v>
      </c>
      <c r="DH60" s="658">
        <f>IF(DH$6&gt;$L60,0,DG60*(1-'Interest Rate'!$B$17))</f>
        <v>0</v>
      </c>
      <c r="DI60" s="658">
        <f>IF(DI$6&gt;$L60,0,DH60*(1-'Interest Rate'!$B$17))</f>
        <v>0</v>
      </c>
      <c r="DJ60" s="658">
        <f>IF(DJ$6&gt;$L60,0,DI60*(1-'Interest Rate'!$B$17))</f>
        <v>0</v>
      </c>
      <c r="DK60" s="658">
        <f>IF(DK$6&gt;$L60,0,DJ60*(1-'Interest Rate'!$B$17))</f>
        <v>0</v>
      </c>
      <c r="DL60" s="658">
        <f>IF(DL$6&gt;$L60,0,DK60*(1-'Interest Rate'!$B$17))</f>
        <v>0</v>
      </c>
      <c r="DM60" s="658">
        <f>IF(DM$6&gt;$L60,0,DL60*(1-'Interest Rate'!$B$17))</f>
        <v>0</v>
      </c>
      <c r="DN60" s="658">
        <f>IF(DN$6&gt;$L60,0,DM60*(1-'Interest Rate'!$B$17))</f>
        <v>0</v>
      </c>
      <c r="DO60" s="658">
        <f>IF(DO$6&gt;$L60,0,DN60*(1-'Interest Rate'!$B$17))</f>
        <v>0</v>
      </c>
      <c r="DP60" s="658">
        <f>IF(DP$6&gt;$L60,0,DO60*(1-'Interest Rate'!$B$17))</f>
        <v>0</v>
      </c>
      <c r="DQ60" s="658">
        <f>IF(DQ$6&gt;$L60,0,DP60*(1-'Interest Rate'!$B$17))</f>
        <v>0</v>
      </c>
      <c r="DR60" s="658">
        <f>IF(DR$6&gt;$L60,0,DQ60*(1-'Interest Rate'!$B$17))</f>
        <v>0</v>
      </c>
    </row>
    <row r="61" spans="1:122" ht="33" customHeight="1" x14ac:dyDescent="0.3">
      <c r="A61" s="696" t="str">
        <f>'EEM Data Entry'!A136</f>
        <v/>
      </c>
      <c r="B61" s="697" t="str">
        <f>IF('EEM Data Entry'!B136="  ","  ", 'EEM Data Entry'!B136)</f>
        <v/>
      </c>
      <c r="C61" s="671" t="str">
        <f>'EEM Data Entry'!F136</f>
        <v/>
      </c>
      <c r="D61" s="671">
        <v>0</v>
      </c>
      <c r="E61" s="671" t="e">
        <f t="shared" si="19"/>
        <v>#VALUE!</v>
      </c>
      <c r="F61" s="662">
        <f>('Cascading Savings'!D61*'Cascading Savings'!D$4)+('Cascading Savings'!F61*'Cascading Savings'!F$4)+('Cascading Savings'!H61*'Cascading Savings'!H$4)+('Cascading Savings'!J61*'Cascading Savings'!J$4)+('Cascading Savings'!L61*'Cascading Savings'!L$4)+('Cascading Savings'!N61*'Cascading Savings'!N$4)+('Cascading Savings'!P61*'Cascading Savings'!P$4)+('Cascading Savings'!R61*'Cascading Savings'!R$4)</f>
        <v>0</v>
      </c>
      <c r="G61" s="698">
        <f>'Cascading Savings'!T61</f>
        <v>0</v>
      </c>
      <c r="H61" s="672" t="e">
        <f t="shared" si="20"/>
        <v>#VALUE!</v>
      </c>
      <c r="I61" s="668" t="e">
        <f t="shared" si="21"/>
        <v>#VALUE!</v>
      </c>
      <c r="J61" s="673" t="e">
        <f t="shared" si="17"/>
        <v>#NUM!</v>
      </c>
      <c r="K61" s="674" t="e">
        <f>PV('Interest Rate'!$B$17,Table314[[#This Row],[Lifetime]],-Table314[[#This Row],[ANNUAL ENERGY COST SAVINGS]],Table314[[#This Row],[END-OF-LIFE]],0)-Table314[[#This Row],[CAPITAL INVESTMENT]]</f>
        <v>#VALUE!</v>
      </c>
      <c r="L61" s="696" t="str">
        <f>'EEM Data Entry'!C136</f>
        <v/>
      </c>
      <c r="M61" s="669" t="e">
        <f>Table314[[#This Row],[ANNUAL ENERGY COST SAVINGS]]/Table314[[#This Row],[CAPITAL INVESTMENT]]</f>
        <v>#VALUE!</v>
      </c>
      <c r="N61" s="699">
        <f>IF(ISNUMBER(Table314[[#This Row],[NPV]])=TRUE,Table314[[#This Row],[NPV]],0)</f>
        <v>0</v>
      </c>
      <c r="O61" s="727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61" s="568" t="str">
        <f>Table314[[#This Row],[Lifetime]]</f>
        <v/>
      </c>
      <c r="V61" s="657" t="str">
        <f t="shared" si="18"/>
        <v/>
      </c>
      <c r="W61" s="658">
        <f>Table314[[#This Row],[ANNUAL ENERGY COST SAVINGS]]</f>
        <v>0</v>
      </c>
      <c r="X61" s="658">
        <f>IF(X$6&gt;$L61,0,W61*(1-'Interest Rate'!$B$17))</f>
        <v>0</v>
      </c>
      <c r="Y61" s="658">
        <f>IF(Y$6&gt;$L61,0,X61*(1-'Interest Rate'!$B$17))</f>
        <v>0</v>
      </c>
      <c r="Z61" s="658">
        <f>IF(Z$6&gt;$L61,0,Y61*(1-'Interest Rate'!$B$17))</f>
        <v>0</v>
      </c>
      <c r="AA61" s="658">
        <f>IF(AA$6&gt;$L61,0,Z61*(1-'Interest Rate'!$B$17))</f>
        <v>0</v>
      </c>
      <c r="AB61" s="658">
        <f>IF(AB$6&gt;$L61,0,AA61*(1-'Interest Rate'!$B$17))</f>
        <v>0</v>
      </c>
      <c r="AC61" s="658">
        <f>IF(AC$6&gt;$L61,0,AB61*(1-'Interest Rate'!$B$17))</f>
        <v>0</v>
      </c>
      <c r="AD61" s="658">
        <f>IF(AD$6&gt;$L61,0,AC61*(1-'Interest Rate'!$B$17))</f>
        <v>0</v>
      </c>
      <c r="AE61" s="658">
        <f>IF(AE$6&gt;$L61,0,AD61*(1-'Interest Rate'!$B$17))</f>
        <v>0</v>
      </c>
      <c r="AF61" s="658">
        <f>IF(AF$6&gt;$L61,0,AE61*(1-'Interest Rate'!$B$17))</f>
        <v>0</v>
      </c>
      <c r="AG61" s="658">
        <f>IF(AG$6&gt;$L61,0,AF61*(1-'Interest Rate'!$B$17))</f>
        <v>0</v>
      </c>
      <c r="AH61" s="658">
        <f>IF(AH$6&gt;$L61,0,AG61*(1-'Interest Rate'!$B$17))</f>
        <v>0</v>
      </c>
      <c r="AI61" s="658">
        <f>IF(AI$6&gt;$L61,0,AH61*(1-'Interest Rate'!$B$17))</f>
        <v>0</v>
      </c>
      <c r="AJ61" s="658">
        <f>IF(AJ$6&gt;$L61,0,AI61*(1-'Interest Rate'!$B$17))</f>
        <v>0</v>
      </c>
      <c r="AK61" s="658">
        <f>IF(AK$6&gt;$L61,0,AJ61*(1-'Interest Rate'!$B$17))</f>
        <v>0</v>
      </c>
      <c r="AL61" s="658">
        <f>IF(AL$6&gt;$L61,0,AK61*(1-'Interest Rate'!$B$17))</f>
        <v>0</v>
      </c>
      <c r="AM61" s="658">
        <f>IF(AM$6&gt;$L61,0,AL61*(1-'Interest Rate'!$B$17))</f>
        <v>0</v>
      </c>
      <c r="AN61" s="658">
        <f>IF(AN$6&gt;$L61,0,AM61*(1-'Interest Rate'!$B$17))</f>
        <v>0</v>
      </c>
      <c r="AO61" s="658">
        <f>IF(AO$6&gt;$L61,0,AN61*(1-'Interest Rate'!$B$17))</f>
        <v>0</v>
      </c>
      <c r="AP61" s="658">
        <f>IF(AP$6&gt;$L61,0,AO61*(1-'Interest Rate'!$B$17))</f>
        <v>0</v>
      </c>
      <c r="AQ61" s="658">
        <f>IF(AQ$6&gt;$L61,0,AP61*(1-'Interest Rate'!$B$17))</f>
        <v>0</v>
      </c>
      <c r="AR61" s="658">
        <f>IF(AR$6&gt;$L61,0,AQ61*(1-'Interest Rate'!$B$17))</f>
        <v>0</v>
      </c>
      <c r="AS61" s="658">
        <f>IF(AS$6&gt;$L61,0,AR61*(1-'Interest Rate'!$B$17))</f>
        <v>0</v>
      </c>
      <c r="AT61" s="658">
        <f>IF(AT$6&gt;$L61,0,AS61*(1-'Interest Rate'!$B$17))</f>
        <v>0</v>
      </c>
      <c r="AU61" s="658">
        <f>IF(AU$6&gt;$L61,0,AT61*(1-'Interest Rate'!$B$17))</f>
        <v>0</v>
      </c>
      <c r="AV61" s="658">
        <f>IF(AV$6&gt;$L61,0,AU61*(1-'Interest Rate'!$B$17))</f>
        <v>0</v>
      </c>
      <c r="AW61" s="658">
        <f>IF(AW$6&gt;$L61,0,AV61*(1-'Interest Rate'!$B$17))</f>
        <v>0</v>
      </c>
      <c r="AX61" s="658">
        <f>IF(AX$6&gt;$L61,0,AW61*(1-'Interest Rate'!$B$17))</f>
        <v>0</v>
      </c>
      <c r="AY61" s="658">
        <f>IF(AY$6&gt;$L61,0,AX61*(1-'Interest Rate'!$B$17))</f>
        <v>0</v>
      </c>
      <c r="AZ61" s="658">
        <f>IF(AZ$6&gt;$L61,0,AY61*(1-'Interest Rate'!$B$17))</f>
        <v>0</v>
      </c>
      <c r="BA61" s="658">
        <f>IF(BA$6&gt;$L61,0,AZ61*(1-'Interest Rate'!$B$17))</f>
        <v>0</v>
      </c>
      <c r="BB61" s="658">
        <f>IF(BB$6&gt;$L61,0,BA61*(1-'Interest Rate'!$B$17))</f>
        <v>0</v>
      </c>
      <c r="BC61" s="658">
        <f>IF(BC$6&gt;$L61,0,BB61*(1-'Interest Rate'!$B$17))</f>
        <v>0</v>
      </c>
      <c r="BD61" s="658">
        <f>IF(BD$6&gt;$L61,0,BC61*(1-'Interest Rate'!$B$17))</f>
        <v>0</v>
      </c>
      <c r="BE61" s="658">
        <f>IF(BE$6&gt;$L61,0,BD61*(1-'Interest Rate'!$B$17))</f>
        <v>0</v>
      </c>
      <c r="BF61" s="658">
        <f>IF(BF$6&gt;$L61,0,BE61*(1-'Interest Rate'!$B$17))</f>
        <v>0</v>
      </c>
      <c r="BG61" s="658">
        <f>IF(BG$6&gt;$L61,0,BF61*(1-'Interest Rate'!$B$17))</f>
        <v>0</v>
      </c>
      <c r="BH61" s="658">
        <f>IF(BH$6&gt;$L61,0,BG61*(1-'Interest Rate'!$B$17))</f>
        <v>0</v>
      </c>
      <c r="BI61" s="658">
        <f>IF(BI$6&gt;$L61,0,BH61*(1-'Interest Rate'!$B$17))</f>
        <v>0</v>
      </c>
      <c r="BJ61" s="658">
        <f>IF(BJ$6&gt;$L61,0,BI61*(1-'Interest Rate'!$B$17))</f>
        <v>0</v>
      </c>
      <c r="BK61" s="658">
        <f>IF(BK$6&gt;$L61,0,BJ61*(1-'Interest Rate'!$B$17))</f>
        <v>0</v>
      </c>
      <c r="BL61" s="658">
        <f>IF(BL$6&gt;$L61,0,BK61*(1-'Interest Rate'!$B$17))</f>
        <v>0</v>
      </c>
      <c r="BM61" s="658">
        <f>IF(BM$6&gt;$L61,0,BL61*(1-'Interest Rate'!$B$17))</f>
        <v>0</v>
      </c>
      <c r="BN61" s="658">
        <f>IF(BN$6&gt;$L61,0,BM61*(1-'Interest Rate'!$B$17))</f>
        <v>0</v>
      </c>
      <c r="BO61" s="658">
        <f>IF(BO$6&gt;$L61,0,BN61*(1-'Interest Rate'!$B$17))</f>
        <v>0</v>
      </c>
      <c r="BP61" s="658">
        <f>IF(BP$6&gt;$L61,0,BO61*(1-'Interest Rate'!$B$17))</f>
        <v>0</v>
      </c>
      <c r="BQ61" s="658">
        <f>IF(BQ$6&gt;$L61,0,BP61*(1-'Interest Rate'!$B$17))</f>
        <v>0</v>
      </c>
      <c r="BR61" s="658">
        <f>IF(BR$6&gt;$L61,0,BQ61*(1-'Interest Rate'!$B$17))</f>
        <v>0</v>
      </c>
      <c r="BS61" s="658">
        <f>IF(BS$6&gt;$L61,0,BR61*(1-'Interest Rate'!$B$17))</f>
        <v>0</v>
      </c>
      <c r="BT61" s="658">
        <f>IF(BT$6&gt;$L61,0,BS61*(1-'Interest Rate'!$B$17))</f>
        <v>0</v>
      </c>
      <c r="BU61" s="658">
        <f>IF(BU$6&gt;$L61,0,BT61*(1-'Interest Rate'!$B$17))</f>
        <v>0</v>
      </c>
      <c r="BV61" s="658">
        <f>IF(BV$6&gt;$L61,0,BU61*(1-'Interest Rate'!$B$17))</f>
        <v>0</v>
      </c>
      <c r="BW61" s="658">
        <f>IF(BW$6&gt;$L61,0,BV61*(1-'Interest Rate'!$B$17))</f>
        <v>0</v>
      </c>
      <c r="BX61" s="658">
        <f>IF(BX$6&gt;$L61,0,BW61*(1-'Interest Rate'!$B$17))</f>
        <v>0</v>
      </c>
      <c r="BY61" s="658">
        <f>IF(BY$6&gt;$L61,0,BX61*(1-'Interest Rate'!$B$17))</f>
        <v>0</v>
      </c>
      <c r="BZ61" s="658">
        <f>IF(BZ$6&gt;$L61,0,BY61*(1-'Interest Rate'!$B$17))</f>
        <v>0</v>
      </c>
      <c r="CA61" s="658">
        <f>IF(CA$6&gt;$L61,0,BZ61*(1-'Interest Rate'!$B$17))</f>
        <v>0</v>
      </c>
      <c r="CB61" s="658">
        <f>IF(CB$6&gt;$L61,0,CA61*(1-'Interest Rate'!$B$17))</f>
        <v>0</v>
      </c>
      <c r="CC61" s="658">
        <f>IF(CC$6&gt;$L61,0,CB61*(1-'Interest Rate'!$B$17))</f>
        <v>0</v>
      </c>
      <c r="CD61" s="658">
        <f>IF(CD$6&gt;$L61,0,CC61*(1-'Interest Rate'!$B$17))</f>
        <v>0</v>
      </c>
      <c r="CE61" s="658">
        <f>IF(CE$6&gt;$L61,0,CD61*(1-'Interest Rate'!$B$17))</f>
        <v>0</v>
      </c>
      <c r="CF61" s="658">
        <f>IF(CF$6&gt;$L61,0,CE61*(1-'Interest Rate'!$B$17))</f>
        <v>0</v>
      </c>
      <c r="CG61" s="658">
        <f>IF(CG$6&gt;$L61,0,CF61*(1-'Interest Rate'!$B$17))</f>
        <v>0</v>
      </c>
      <c r="CH61" s="658">
        <f>IF(CH$6&gt;$L61,0,CG61*(1-'Interest Rate'!$B$17))</f>
        <v>0</v>
      </c>
      <c r="CI61" s="658">
        <f>IF(CI$6&gt;$L61,0,CH61*(1-'Interest Rate'!$B$17))</f>
        <v>0</v>
      </c>
      <c r="CJ61" s="658">
        <f>IF(CJ$6&gt;$L61,0,CI61*(1-'Interest Rate'!$B$17))</f>
        <v>0</v>
      </c>
      <c r="CK61" s="658">
        <f>IF(CK$6&gt;$L61,0,CJ61*(1-'Interest Rate'!$B$17))</f>
        <v>0</v>
      </c>
      <c r="CL61" s="658">
        <f>IF(CL$6&gt;$L61,0,CK61*(1-'Interest Rate'!$B$17))</f>
        <v>0</v>
      </c>
      <c r="CM61" s="658">
        <f>IF(CM$6&gt;$L61,0,CL61*(1-'Interest Rate'!$B$17))</f>
        <v>0</v>
      </c>
      <c r="CN61" s="658">
        <f>IF(CN$6&gt;$L61,0,CM61*(1-'Interest Rate'!$B$17))</f>
        <v>0</v>
      </c>
      <c r="CO61" s="658">
        <f>IF(CO$6&gt;$L61,0,CN61*(1-'Interest Rate'!$B$17))</f>
        <v>0</v>
      </c>
      <c r="CP61" s="658">
        <f>IF(CP$6&gt;$L61,0,CO61*(1-'Interest Rate'!$B$17))</f>
        <v>0</v>
      </c>
      <c r="CQ61" s="658">
        <f>IF(CQ$6&gt;$L61,0,CP61*(1-'Interest Rate'!$B$17))</f>
        <v>0</v>
      </c>
      <c r="CR61" s="658">
        <f>IF(CR$6&gt;$L61,0,CQ61*(1-'Interest Rate'!$B$17))</f>
        <v>0</v>
      </c>
      <c r="CS61" s="658">
        <f>IF(CS$6&gt;$L61,0,CR61*(1-'Interest Rate'!$B$17))</f>
        <v>0</v>
      </c>
      <c r="CT61" s="658">
        <f>IF(CT$6&gt;$L61,0,CS61*(1-'Interest Rate'!$B$17))</f>
        <v>0</v>
      </c>
      <c r="CU61" s="658">
        <f>IF(CU$6&gt;$L61,0,CT61*(1-'Interest Rate'!$B$17))</f>
        <v>0</v>
      </c>
      <c r="CV61" s="658">
        <f>IF(CV$6&gt;$L61,0,CU61*(1-'Interest Rate'!$B$17))</f>
        <v>0</v>
      </c>
      <c r="CW61" s="658">
        <f>IF(CW$6&gt;$L61,0,CV61*(1-'Interest Rate'!$B$17))</f>
        <v>0</v>
      </c>
      <c r="CX61" s="658">
        <f>IF(CX$6&gt;$L61,0,CW61*(1-'Interest Rate'!$B$17))</f>
        <v>0</v>
      </c>
      <c r="CY61" s="658">
        <f>IF(CY$6&gt;$L61,0,CX61*(1-'Interest Rate'!$B$17))</f>
        <v>0</v>
      </c>
      <c r="CZ61" s="658">
        <f>IF(CZ$6&gt;$L61,0,CY61*(1-'Interest Rate'!$B$17))</f>
        <v>0</v>
      </c>
      <c r="DA61" s="658">
        <f>IF(DA$6&gt;$L61,0,CZ61*(1-'Interest Rate'!$B$17))</f>
        <v>0</v>
      </c>
      <c r="DB61" s="658">
        <f>IF(DB$6&gt;$L61,0,DA61*(1-'Interest Rate'!$B$17))</f>
        <v>0</v>
      </c>
      <c r="DC61" s="658">
        <f>IF(DC$6&gt;$L61,0,DB61*(1-'Interest Rate'!$B$17))</f>
        <v>0</v>
      </c>
      <c r="DD61" s="658">
        <f>IF(DD$6&gt;$L61,0,DC61*(1-'Interest Rate'!$B$17))</f>
        <v>0</v>
      </c>
      <c r="DE61" s="658">
        <f>IF(DE$6&gt;$L61,0,DD61*(1-'Interest Rate'!$B$17))</f>
        <v>0</v>
      </c>
      <c r="DF61" s="658">
        <f>IF(DF$6&gt;$L61,0,DE61*(1-'Interest Rate'!$B$17))</f>
        <v>0</v>
      </c>
      <c r="DG61" s="658">
        <f>IF(DG$6&gt;$L61,0,DF61*(1-'Interest Rate'!$B$17))</f>
        <v>0</v>
      </c>
      <c r="DH61" s="658">
        <f>IF(DH$6&gt;$L61,0,DG61*(1-'Interest Rate'!$B$17))</f>
        <v>0</v>
      </c>
      <c r="DI61" s="658">
        <f>IF(DI$6&gt;$L61,0,DH61*(1-'Interest Rate'!$B$17))</f>
        <v>0</v>
      </c>
      <c r="DJ61" s="658">
        <f>IF(DJ$6&gt;$L61,0,DI61*(1-'Interest Rate'!$B$17))</f>
        <v>0</v>
      </c>
      <c r="DK61" s="658">
        <f>IF(DK$6&gt;$L61,0,DJ61*(1-'Interest Rate'!$B$17))</f>
        <v>0</v>
      </c>
      <c r="DL61" s="658">
        <f>IF(DL$6&gt;$L61,0,DK61*(1-'Interest Rate'!$B$17))</f>
        <v>0</v>
      </c>
      <c r="DM61" s="658">
        <f>IF(DM$6&gt;$L61,0,DL61*(1-'Interest Rate'!$B$17))</f>
        <v>0</v>
      </c>
      <c r="DN61" s="658">
        <f>IF(DN$6&gt;$L61,0,DM61*(1-'Interest Rate'!$B$17))</f>
        <v>0</v>
      </c>
      <c r="DO61" s="658">
        <f>IF(DO$6&gt;$L61,0,DN61*(1-'Interest Rate'!$B$17))</f>
        <v>0</v>
      </c>
      <c r="DP61" s="658">
        <f>IF(DP$6&gt;$L61,0,DO61*(1-'Interest Rate'!$B$17))</f>
        <v>0</v>
      </c>
      <c r="DQ61" s="658">
        <f>IF(DQ$6&gt;$L61,0,DP61*(1-'Interest Rate'!$B$17))</f>
        <v>0</v>
      </c>
      <c r="DR61" s="658">
        <f>IF(DR$6&gt;$L61,0,DQ61*(1-'Interest Rate'!$B$17))</f>
        <v>0</v>
      </c>
    </row>
    <row r="62" spans="1:122" ht="33" customHeight="1" x14ac:dyDescent="0.3">
      <c r="A62" s="696" t="str">
        <f>'EEM Data Entry'!A137</f>
        <v/>
      </c>
      <c r="B62" s="697" t="str">
        <f>IF('EEM Data Entry'!B137="  ","  ", 'EEM Data Entry'!B137)</f>
        <v/>
      </c>
      <c r="C62" s="671" t="str">
        <f>'EEM Data Entry'!F137</f>
        <v/>
      </c>
      <c r="D62" s="671">
        <v>0</v>
      </c>
      <c r="E62" s="671" t="e">
        <f t="shared" si="19"/>
        <v>#VALUE!</v>
      </c>
      <c r="F62" s="650">
        <f>('Cascading Savings'!D62*'Cascading Savings'!D$4)+('Cascading Savings'!F62*'Cascading Savings'!F$4)+('Cascading Savings'!H62*'Cascading Savings'!H$4)+('Cascading Savings'!J62*'Cascading Savings'!J$4)+('Cascading Savings'!L62*'Cascading Savings'!L$4)+('Cascading Savings'!N62*'Cascading Savings'!N$4)+('Cascading Savings'!P62*'Cascading Savings'!P$4)+('Cascading Savings'!R62*'Cascading Savings'!R$4)</f>
        <v>0</v>
      </c>
      <c r="G62" s="698">
        <f>'Cascading Savings'!T62</f>
        <v>0</v>
      </c>
      <c r="H62" s="672" t="e">
        <f t="shared" si="20"/>
        <v>#VALUE!</v>
      </c>
      <c r="I62" s="668" t="e">
        <f t="shared" si="21"/>
        <v>#VALUE!</v>
      </c>
      <c r="J62" s="673" t="e">
        <f t="shared" si="17"/>
        <v>#NUM!</v>
      </c>
      <c r="K62" s="674" t="e">
        <f>PV('Interest Rate'!$B$17,Table314[[#This Row],[Lifetime]],-Table314[[#This Row],[ANNUAL ENERGY COST SAVINGS]],Table314[[#This Row],[END-OF-LIFE]],0)-Table314[[#This Row],[CAPITAL INVESTMENT]]</f>
        <v>#VALUE!</v>
      </c>
      <c r="L62" s="696" t="str">
        <f>'EEM Data Entry'!C137</f>
        <v/>
      </c>
      <c r="M62" s="669" t="e">
        <f>Table314[[#This Row],[ANNUAL ENERGY COST SAVINGS]]/Table314[[#This Row],[CAPITAL INVESTMENT]]</f>
        <v>#VALUE!</v>
      </c>
      <c r="N62" s="699">
        <f>IF(ISNUMBER(Table314[[#This Row],[NPV]])=TRUE,Table314[[#This Row],[NPV]],0)</f>
        <v>0</v>
      </c>
      <c r="O62" s="727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62" s="568" t="str">
        <f>Table314[[#This Row],[Lifetime]]</f>
        <v/>
      </c>
      <c r="V62" s="657" t="str">
        <f t="shared" si="18"/>
        <v/>
      </c>
      <c r="W62" s="658">
        <f>Table314[[#This Row],[ANNUAL ENERGY COST SAVINGS]]</f>
        <v>0</v>
      </c>
      <c r="X62" s="658">
        <f>IF(X$6&gt;$L62,0,W62*(1-'Interest Rate'!$B$17))</f>
        <v>0</v>
      </c>
      <c r="Y62" s="658">
        <f>IF(Y$6&gt;$L62,0,X62*(1-'Interest Rate'!$B$17))</f>
        <v>0</v>
      </c>
      <c r="Z62" s="658">
        <f>IF(Z$6&gt;$L62,0,Y62*(1-'Interest Rate'!$B$17))</f>
        <v>0</v>
      </c>
      <c r="AA62" s="658">
        <f>IF(AA$6&gt;$L62,0,Z62*(1-'Interest Rate'!$B$17))</f>
        <v>0</v>
      </c>
      <c r="AB62" s="658">
        <f>IF(AB$6&gt;$L62,0,AA62*(1-'Interest Rate'!$B$17))</f>
        <v>0</v>
      </c>
      <c r="AC62" s="658">
        <f>IF(AC$6&gt;$L62,0,AB62*(1-'Interest Rate'!$B$17))</f>
        <v>0</v>
      </c>
      <c r="AD62" s="658">
        <f>IF(AD$6&gt;$L62,0,AC62*(1-'Interest Rate'!$B$17))</f>
        <v>0</v>
      </c>
      <c r="AE62" s="658">
        <f>IF(AE$6&gt;$L62,0,AD62*(1-'Interest Rate'!$B$17))</f>
        <v>0</v>
      </c>
      <c r="AF62" s="658">
        <f>IF(AF$6&gt;$L62,0,AE62*(1-'Interest Rate'!$B$17))</f>
        <v>0</v>
      </c>
      <c r="AG62" s="658">
        <f>IF(AG$6&gt;$L62,0,AF62*(1-'Interest Rate'!$B$17))</f>
        <v>0</v>
      </c>
      <c r="AH62" s="658">
        <f>IF(AH$6&gt;$L62,0,AG62*(1-'Interest Rate'!$B$17))</f>
        <v>0</v>
      </c>
      <c r="AI62" s="658">
        <f>IF(AI$6&gt;$L62,0,AH62*(1-'Interest Rate'!$B$17))</f>
        <v>0</v>
      </c>
      <c r="AJ62" s="658">
        <f>IF(AJ$6&gt;$L62,0,AI62*(1-'Interest Rate'!$B$17))</f>
        <v>0</v>
      </c>
      <c r="AK62" s="658">
        <f>IF(AK$6&gt;$L62,0,AJ62*(1-'Interest Rate'!$B$17))</f>
        <v>0</v>
      </c>
      <c r="AL62" s="658">
        <f>IF(AL$6&gt;$L62,0,AK62*(1-'Interest Rate'!$B$17))</f>
        <v>0</v>
      </c>
      <c r="AM62" s="658">
        <f>IF(AM$6&gt;$L62,0,AL62*(1-'Interest Rate'!$B$17))</f>
        <v>0</v>
      </c>
      <c r="AN62" s="658">
        <f>IF(AN$6&gt;$L62,0,AM62*(1-'Interest Rate'!$B$17))</f>
        <v>0</v>
      </c>
      <c r="AO62" s="658">
        <f>IF(AO$6&gt;$L62,0,AN62*(1-'Interest Rate'!$B$17))</f>
        <v>0</v>
      </c>
      <c r="AP62" s="658">
        <f>IF(AP$6&gt;$L62,0,AO62*(1-'Interest Rate'!$B$17))</f>
        <v>0</v>
      </c>
      <c r="AQ62" s="658">
        <f>IF(AQ$6&gt;$L62,0,AP62*(1-'Interest Rate'!$B$17))</f>
        <v>0</v>
      </c>
      <c r="AR62" s="658">
        <f>IF(AR$6&gt;$L62,0,AQ62*(1-'Interest Rate'!$B$17))</f>
        <v>0</v>
      </c>
      <c r="AS62" s="658">
        <f>IF(AS$6&gt;$L62,0,AR62*(1-'Interest Rate'!$B$17))</f>
        <v>0</v>
      </c>
      <c r="AT62" s="658">
        <f>IF(AT$6&gt;$L62,0,AS62*(1-'Interest Rate'!$B$17))</f>
        <v>0</v>
      </c>
      <c r="AU62" s="658">
        <f>IF(AU$6&gt;$L62,0,AT62*(1-'Interest Rate'!$B$17))</f>
        <v>0</v>
      </c>
      <c r="AV62" s="658">
        <f>IF(AV$6&gt;$L62,0,AU62*(1-'Interest Rate'!$B$17))</f>
        <v>0</v>
      </c>
      <c r="AW62" s="658">
        <f>IF(AW$6&gt;$L62,0,AV62*(1-'Interest Rate'!$B$17))</f>
        <v>0</v>
      </c>
      <c r="AX62" s="658">
        <f>IF(AX$6&gt;$L62,0,AW62*(1-'Interest Rate'!$B$17))</f>
        <v>0</v>
      </c>
      <c r="AY62" s="658">
        <f>IF(AY$6&gt;$L62,0,AX62*(1-'Interest Rate'!$B$17))</f>
        <v>0</v>
      </c>
      <c r="AZ62" s="658">
        <f>IF(AZ$6&gt;$L62,0,AY62*(1-'Interest Rate'!$B$17))</f>
        <v>0</v>
      </c>
      <c r="BA62" s="658">
        <f>IF(BA$6&gt;$L62,0,AZ62*(1-'Interest Rate'!$B$17))</f>
        <v>0</v>
      </c>
      <c r="BB62" s="658">
        <f>IF(BB$6&gt;$L62,0,BA62*(1-'Interest Rate'!$B$17))</f>
        <v>0</v>
      </c>
      <c r="BC62" s="658">
        <f>IF(BC$6&gt;$L62,0,BB62*(1-'Interest Rate'!$B$17))</f>
        <v>0</v>
      </c>
      <c r="BD62" s="658">
        <f>IF(BD$6&gt;$L62,0,BC62*(1-'Interest Rate'!$B$17))</f>
        <v>0</v>
      </c>
      <c r="BE62" s="658">
        <f>IF(BE$6&gt;$L62,0,BD62*(1-'Interest Rate'!$B$17))</f>
        <v>0</v>
      </c>
      <c r="BF62" s="658">
        <f>IF(BF$6&gt;$L62,0,BE62*(1-'Interest Rate'!$B$17))</f>
        <v>0</v>
      </c>
      <c r="BG62" s="658">
        <f>IF(BG$6&gt;$L62,0,BF62*(1-'Interest Rate'!$B$17))</f>
        <v>0</v>
      </c>
      <c r="BH62" s="658">
        <f>IF(BH$6&gt;$L62,0,BG62*(1-'Interest Rate'!$B$17))</f>
        <v>0</v>
      </c>
      <c r="BI62" s="658">
        <f>IF(BI$6&gt;$L62,0,BH62*(1-'Interest Rate'!$B$17))</f>
        <v>0</v>
      </c>
      <c r="BJ62" s="658">
        <f>IF(BJ$6&gt;$L62,0,BI62*(1-'Interest Rate'!$B$17))</f>
        <v>0</v>
      </c>
      <c r="BK62" s="658">
        <f>IF(BK$6&gt;$L62,0,BJ62*(1-'Interest Rate'!$B$17))</f>
        <v>0</v>
      </c>
      <c r="BL62" s="658">
        <f>IF(BL$6&gt;$L62,0,BK62*(1-'Interest Rate'!$B$17))</f>
        <v>0</v>
      </c>
      <c r="BM62" s="658">
        <f>IF(BM$6&gt;$L62,0,BL62*(1-'Interest Rate'!$B$17))</f>
        <v>0</v>
      </c>
      <c r="BN62" s="658">
        <f>IF(BN$6&gt;$L62,0,BM62*(1-'Interest Rate'!$B$17))</f>
        <v>0</v>
      </c>
      <c r="BO62" s="658">
        <f>IF(BO$6&gt;$L62,0,BN62*(1-'Interest Rate'!$B$17))</f>
        <v>0</v>
      </c>
      <c r="BP62" s="658">
        <f>IF(BP$6&gt;$L62,0,BO62*(1-'Interest Rate'!$B$17))</f>
        <v>0</v>
      </c>
      <c r="BQ62" s="658">
        <f>IF(BQ$6&gt;$L62,0,BP62*(1-'Interest Rate'!$B$17))</f>
        <v>0</v>
      </c>
      <c r="BR62" s="658">
        <f>IF(BR$6&gt;$L62,0,BQ62*(1-'Interest Rate'!$B$17))</f>
        <v>0</v>
      </c>
      <c r="BS62" s="658">
        <f>IF(BS$6&gt;$L62,0,BR62*(1-'Interest Rate'!$B$17))</f>
        <v>0</v>
      </c>
      <c r="BT62" s="658">
        <f>IF(BT$6&gt;$L62,0,BS62*(1-'Interest Rate'!$B$17))</f>
        <v>0</v>
      </c>
      <c r="BU62" s="658">
        <f>IF(BU$6&gt;$L62,0,BT62*(1-'Interest Rate'!$B$17))</f>
        <v>0</v>
      </c>
      <c r="BV62" s="658">
        <f>IF(BV$6&gt;$L62,0,BU62*(1-'Interest Rate'!$B$17))</f>
        <v>0</v>
      </c>
      <c r="BW62" s="658">
        <f>IF(BW$6&gt;$L62,0,BV62*(1-'Interest Rate'!$B$17))</f>
        <v>0</v>
      </c>
      <c r="BX62" s="658">
        <f>IF(BX$6&gt;$L62,0,BW62*(1-'Interest Rate'!$B$17))</f>
        <v>0</v>
      </c>
      <c r="BY62" s="658">
        <f>IF(BY$6&gt;$L62,0,BX62*(1-'Interest Rate'!$B$17))</f>
        <v>0</v>
      </c>
      <c r="BZ62" s="658">
        <f>IF(BZ$6&gt;$L62,0,BY62*(1-'Interest Rate'!$B$17))</f>
        <v>0</v>
      </c>
      <c r="CA62" s="658">
        <f>IF(CA$6&gt;$L62,0,BZ62*(1-'Interest Rate'!$B$17))</f>
        <v>0</v>
      </c>
      <c r="CB62" s="658">
        <f>IF(CB$6&gt;$L62,0,CA62*(1-'Interest Rate'!$B$17))</f>
        <v>0</v>
      </c>
      <c r="CC62" s="658">
        <f>IF(CC$6&gt;$L62,0,CB62*(1-'Interest Rate'!$B$17))</f>
        <v>0</v>
      </c>
      <c r="CD62" s="658">
        <f>IF(CD$6&gt;$L62,0,CC62*(1-'Interest Rate'!$B$17))</f>
        <v>0</v>
      </c>
      <c r="CE62" s="658">
        <f>IF(CE$6&gt;$L62,0,CD62*(1-'Interest Rate'!$B$17))</f>
        <v>0</v>
      </c>
      <c r="CF62" s="658">
        <f>IF(CF$6&gt;$L62,0,CE62*(1-'Interest Rate'!$B$17))</f>
        <v>0</v>
      </c>
      <c r="CG62" s="658">
        <f>IF(CG$6&gt;$L62,0,CF62*(1-'Interest Rate'!$B$17))</f>
        <v>0</v>
      </c>
      <c r="CH62" s="658">
        <f>IF(CH$6&gt;$L62,0,CG62*(1-'Interest Rate'!$B$17))</f>
        <v>0</v>
      </c>
      <c r="CI62" s="658">
        <f>IF(CI$6&gt;$L62,0,CH62*(1-'Interest Rate'!$B$17))</f>
        <v>0</v>
      </c>
      <c r="CJ62" s="658">
        <f>IF(CJ$6&gt;$L62,0,CI62*(1-'Interest Rate'!$B$17))</f>
        <v>0</v>
      </c>
      <c r="CK62" s="658">
        <f>IF(CK$6&gt;$L62,0,CJ62*(1-'Interest Rate'!$B$17))</f>
        <v>0</v>
      </c>
      <c r="CL62" s="658">
        <f>IF(CL$6&gt;$L62,0,CK62*(1-'Interest Rate'!$B$17))</f>
        <v>0</v>
      </c>
      <c r="CM62" s="658">
        <f>IF(CM$6&gt;$L62,0,CL62*(1-'Interest Rate'!$B$17))</f>
        <v>0</v>
      </c>
      <c r="CN62" s="658">
        <f>IF(CN$6&gt;$L62,0,CM62*(1-'Interest Rate'!$B$17))</f>
        <v>0</v>
      </c>
      <c r="CO62" s="658">
        <f>IF(CO$6&gt;$L62,0,CN62*(1-'Interest Rate'!$B$17))</f>
        <v>0</v>
      </c>
      <c r="CP62" s="658">
        <f>IF(CP$6&gt;$L62,0,CO62*(1-'Interest Rate'!$B$17))</f>
        <v>0</v>
      </c>
      <c r="CQ62" s="658">
        <f>IF(CQ$6&gt;$L62,0,CP62*(1-'Interest Rate'!$B$17))</f>
        <v>0</v>
      </c>
      <c r="CR62" s="658">
        <f>IF(CR$6&gt;$L62,0,CQ62*(1-'Interest Rate'!$B$17))</f>
        <v>0</v>
      </c>
      <c r="CS62" s="658">
        <f>IF(CS$6&gt;$L62,0,CR62*(1-'Interest Rate'!$B$17))</f>
        <v>0</v>
      </c>
      <c r="CT62" s="658">
        <f>IF(CT$6&gt;$L62,0,CS62*(1-'Interest Rate'!$B$17))</f>
        <v>0</v>
      </c>
      <c r="CU62" s="658">
        <f>IF(CU$6&gt;$L62,0,CT62*(1-'Interest Rate'!$B$17))</f>
        <v>0</v>
      </c>
      <c r="CV62" s="658">
        <f>IF(CV$6&gt;$L62,0,CU62*(1-'Interest Rate'!$B$17))</f>
        <v>0</v>
      </c>
      <c r="CW62" s="658">
        <f>IF(CW$6&gt;$L62,0,CV62*(1-'Interest Rate'!$B$17))</f>
        <v>0</v>
      </c>
      <c r="CX62" s="658">
        <f>IF(CX$6&gt;$L62,0,CW62*(1-'Interest Rate'!$B$17))</f>
        <v>0</v>
      </c>
      <c r="CY62" s="658">
        <f>IF(CY$6&gt;$L62,0,CX62*(1-'Interest Rate'!$B$17))</f>
        <v>0</v>
      </c>
      <c r="CZ62" s="658">
        <f>IF(CZ$6&gt;$L62,0,CY62*(1-'Interest Rate'!$B$17))</f>
        <v>0</v>
      </c>
      <c r="DA62" s="658">
        <f>IF(DA$6&gt;$L62,0,CZ62*(1-'Interest Rate'!$B$17))</f>
        <v>0</v>
      </c>
      <c r="DB62" s="658">
        <f>IF(DB$6&gt;$L62,0,DA62*(1-'Interest Rate'!$B$17))</f>
        <v>0</v>
      </c>
      <c r="DC62" s="658">
        <f>IF(DC$6&gt;$L62,0,DB62*(1-'Interest Rate'!$B$17))</f>
        <v>0</v>
      </c>
      <c r="DD62" s="658">
        <f>IF(DD$6&gt;$L62,0,DC62*(1-'Interest Rate'!$B$17))</f>
        <v>0</v>
      </c>
      <c r="DE62" s="658">
        <f>IF(DE$6&gt;$L62,0,DD62*(1-'Interest Rate'!$B$17))</f>
        <v>0</v>
      </c>
      <c r="DF62" s="658">
        <f>IF(DF$6&gt;$L62,0,DE62*(1-'Interest Rate'!$B$17))</f>
        <v>0</v>
      </c>
      <c r="DG62" s="658">
        <f>IF(DG$6&gt;$L62,0,DF62*(1-'Interest Rate'!$B$17))</f>
        <v>0</v>
      </c>
      <c r="DH62" s="658">
        <f>IF(DH$6&gt;$L62,0,DG62*(1-'Interest Rate'!$B$17))</f>
        <v>0</v>
      </c>
      <c r="DI62" s="658">
        <f>IF(DI$6&gt;$L62,0,DH62*(1-'Interest Rate'!$B$17))</f>
        <v>0</v>
      </c>
      <c r="DJ62" s="658">
        <f>IF(DJ$6&gt;$L62,0,DI62*(1-'Interest Rate'!$B$17))</f>
        <v>0</v>
      </c>
      <c r="DK62" s="658">
        <f>IF(DK$6&gt;$L62,0,DJ62*(1-'Interest Rate'!$B$17))</f>
        <v>0</v>
      </c>
      <c r="DL62" s="658">
        <f>IF(DL$6&gt;$L62,0,DK62*(1-'Interest Rate'!$B$17))</f>
        <v>0</v>
      </c>
      <c r="DM62" s="658">
        <f>IF(DM$6&gt;$L62,0,DL62*(1-'Interest Rate'!$B$17))</f>
        <v>0</v>
      </c>
      <c r="DN62" s="658">
        <f>IF(DN$6&gt;$L62,0,DM62*(1-'Interest Rate'!$B$17))</f>
        <v>0</v>
      </c>
      <c r="DO62" s="658">
        <f>IF(DO$6&gt;$L62,0,DN62*(1-'Interest Rate'!$B$17))</f>
        <v>0</v>
      </c>
      <c r="DP62" s="658">
        <f>IF(DP$6&gt;$L62,0,DO62*(1-'Interest Rate'!$B$17))</f>
        <v>0</v>
      </c>
      <c r="DQ62" s="658">
        <f>IF(DQ$6&gt;$L62,0,DP62*(1-'Interest Rate'!$B$17))</f>
        <v>0</v>
      </c>
      <c r="DR62" s="658">
        <f>IF(DR$6&gt;$L62,0,DQ62*(1-'Interest Rate'!$B$17))</f>
        <v>0</v>
      </c>
    </row>
    <row r="63" spans="1:122" ht="33" customHeight="1" x14ac:dyDescent="0.3">
      <c r="A63" s="696" t="str">
        <f>'EEM Data Entry'!A138</f>
        <v/>
      </c>
      <c r="B63" s="697" t="str">
        <f>IF('EEM Data Entry'!B138="  ","  ", 'EEM Data Entry'!B138)</f>
        <v/>
      </c>
      <c r="C63" s="671" t="str">
        <f>'EEM Data Entry'!F138</f>
        <v/>
      </c>
      <c r="D63" s="671">
        <v>0</v>
      </c>
      <c r="E63" s="671" t="e">
        <f t="shared" si="19"/>
        <v>#VALUE!</v>
      </c>
      <c r="F63" s="662">
        <f>('Cascading Savings'!D63*'Cascading Savings'!D$4)+('Cascading Savings'!F63*'Cascading Savings'!F$4)+('Cascading Savings'!H63*'Cascading Savings'!H$4)+('Cascading Savings'!J63*'Cascading Savings'!J$4)+('Cascading Savings'!L63*'Cascading Savings'!L$4)+('Cascading Savings'!N63*'Cascading Savings'!N$4)+('Cascading Savings'!P63*'Cascading Savings'!P$4)+('Cascading Savings'!R63*'Cascading Savings'!R$4)</f>
        <v>0</v>
      </c>
      <c r="G63" s="698">
        <f>'Cascading Savings'!T63</f>
        <v>0</v>
      </c>
      <c r="H63" s="672" t="e">
        <f t="shared" si="20"/>
        <v>#VALUE!</v>
      </c>
      <c r="I63" s="668" t="e">
        <f t="shared" si="21"/>
        <v>#VALUE!</v>
      </c>
      <c r="J63" s="673" t="e">
        <f t="shared" si="17"/>
        <v>#NUM!</v>
      </c>
      <c r="K63" s="674" t="e">
        <f>PV('Interest Rate'!$B$17,Table314[[#This Row],[Lifetime]],-Table314[[#This Row],[ANNUAL ENERGY COST SAVINGS]],Table314[[#This Row],[END-OF-LIFE]],0)-Table314[[#This Row],[CAPITAL INVESTMENT]]</f>
        <v>#VALUE!</v>
      </c>
      <c r="L63" s="696" t="str">
        <f>'EEM Data Entry'!C138</f>
        <v/>
      </c>
      <c r="M63" s="669" t="e">
        <f>Table314[[#This Row],[ANNUAL ENERGY COST SAVINGS]]/Table314[[#This Row],[CAPITAL INVESTMENT]]</f>
        <v>#VALUE!</v>
      </c>
      <c r="N63" s="699">
        <f>IF(ISNUMBER(Table314[[#This Row],[NPV]])=TRUE,Table314[[#This Row],[NPV]],0)</f>
        <v>0</v>
      </c>
      <c r="O63" s="727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63" s="568" t="str">
        <f>Table314[[#This Row],[Lifetime]]</f>
        <v/>
      </c>
      <c r="V63" s="657" t="str">
        <f t="shared" si="18"/>
        <v/>
      </c>
      <c r="W63" s="658">
        <f>Table314[[#This Row],[ANNUAL ENERGY COST SAVINGS]]</f>
        <v>0</v>
      </c>
      <c r="X63" s="658">
        <f>IF(X$6&gt;$L63,0,W63*(1-'Interest Rate'!$B$17))</f>
        <v>0</v>
      </c>
      <c r="Y63" s="658">
        <f>IF(Y$6&gt;$L63,0,X63*(1-'Interest Rate'!$B$17))</f>
        <v>0</v>
      </c>
      <c r="Z63" s="658">
        <f>IF(Z$6&gt;$L63,0,Y63*(1-'Interest Rate'!$B$17))</f>
        <v>0</v>
      </c>
      <c r="AA63" s="658">
        <f>IF(AA$6&gt;$L63,0,Z63*(1-'Interest Rate'!$B$17))</f>
        <v>0</v>
      </c>
      <c r="AB63" s="658">
        <f>IF(AB$6&gt;$L63,0,AA63*(1-'Interest Rate'!$B$17))</f>
        <v>0</v>
      </c>
      <c r="AC63" s="658">
        <f>IF(AC$6&gt;$L63,0,AB63*(1-'Interest Rate'!$B$17))</f>
        <v>0</v>
      </c>
      <c r="AD63" s="658">
        <f>IF(AD$6&gt;$L63,0,AC63*(1-'Interest Rate'!$B$17))</f>
        <v>0</v>
      </c>
      <c r="AE63" s="658">
        <f>IF(AE$6&gt;$L63,0,AD63*(1-'Interest Rate'!$B$17))</f>
        <v>0</v>
      </c>
      <c r="AF63" s="658">
        <f>IF(AF$6&gt;$L63,0,AE63*(1-'Interest Rate'!$B$17))</f>
        <v>0</v>
      </c>
      <c r="AG63" s="658">
        <f>IF(AG$6&gt;$L63,0,AF63*(1-'Interest Rate'!$B$17))</f>
        <v>0</v>
      </c>
      <c r="AH63" s="658">
        <f>IF(AH$6&gt;$L63,0,AG63*(1-'Interest Rate'!$B$17))</f>
        <v>0</v>
      </c>
      <c r="AI63" s="658">
        <f>IF(AI$6&gt;$L63,0,AH63*(1-'Interest Rate'!$B$17))</f>
        <v>0</v>
      </c>
      <c r="AJ63" s="658">
        <f>IF(AJ$6&gt;$L63,0,AI63*(1-'Interest Rate'!$B$17))</f>
        <v>0</v>
      </c>
      <c r="AK63" s="658">
        <f>IF(AK$6&gt;$L63,0,AJ63*(1-'Interest Rate'!$B$17))</f>
        <v>0</v>
      </c>
      <c r="AL63" s="658">
        <f>IF(AL$6&gt;$L63,0,AK63*(1-'Interest Rate'!$B$17))</f>
        <v>0</v>
      </c>
      <c r="AM63" s="658">
        <f>IF(AM$6&gt;$L63,0,AL63*(1-'Interest Rate'!$B$17))</f>
        <v>0</v>
      </c>
      <c r="AN63" s="658">
        <f>IF(AN$6&gt;$L63,0,AM63*(1-'Interest Rate'!$B$17))</f>
        <v>0</v>
      </c>
      <c r="AO63" s="658">
        <f>IF(AO$6&gt;$L63,0,AN63*(1-'Interest Rate'!$B$17))</f>
        <v>0</v>
      </c>
      <c r="AP63" s="658">
        <f>IF(AP$6&gt;$L63,0,AO63*(1-'Interest Rate'!$B$17))</f>
        <v>0</v>
      </c>
      <c r="AQ63" s="658">
        <f>IF(AQ$6&gt;$L63,0,AP63*(1-'Interest Rate'!$B$17))</f>
        <v>0</v>
      </c>
      <c r="AR63" s="658">
        <f>IF(AR$6&gt;$L63,0,AQ63*(1-'Interest Rate'!$B$17))</f>
        <v>0</v>
      </c>
      <c r="AS63" s="658">
        <f>IF(AS$6&gt;$L63,0,AR63*(1-'Interest Rate'!$B$17))</f>
        <v>0</v>
      </c>
      <c r="AT63" s="658">
        <f>IF(AT$6&gt;$L63,0,AS63*(1-'Interest Rate'!$B$17))</f>
        <v>0</v>
      </c>
      <c r="AU63" s="658">
        <f>IF(AU$6&gt;$L63,0,AT63*(1-'Interest Rate'!$B$17))</f>
        <v>0</v>
      </c>
      <c r="AV63" s="658">
        <f>IF(AV$6&gt;$L63,0,AU63*(1-'Interest Rate'!$B$17))</f>
        <v>0</v>
      </c>
      <c r="AW63" s="658">
        <f>IF(AW$6&gt;$L63,0,AV63*(1-'Interest Rate'!$B$17))</f>
        <v>0</v>
      </c>
      <c r="AX63" s="658">
        <f>IF(AX$6&gt;$L63,0,AW63*(1-'Interest Rate'!$B$17))</f>
        <v>0</v>
      </c>
      <c r="AY63" s="658">
        <f>IF(AY$6&gt;$L63,0,AX63*(1-'Interest Rate'!$B$17))</f>
        <v>0</v>
      </c>
      <c r="AZ63" s="658">
        <f>IF(AZ$6&gt;$L63,0,AY63*(1-'Interest Rate'!$B$17))</f>
        <v>0</v>
      </c>
      <c r="BA63" s="658">
        <f>IF(BA$6&gt;$L63,0,AZ63*(1-'Interest Rate'!$B$17))</f>
        <v>0</v>
      </c>
      <c r="BB63" s="658">
        <f>IF(BB$6&gt;$L63,0,BA63*(1-'Interest Rate'!$B$17))</f>
        <v>0</v>
      </c>
      <c r="BC63" s="658">
        <f>IF(BC$6&gt;$L63,0,BB63*(1-'Interest Rate'!$B$17))</f>
        <v>0</v>
      </c>
      <c r="BD63" s="658">
        <f>IF(BD$6&gt;$L63,0,BC63*(1-'Interest Rate'!$B$17))</f>
        <v>0</v>
      </c>
      <c r="BE63" s="658">
        <f>IF(BE$6&gt;$L63,0,BD63*(1-'Interest Rate'!$B$17))</f>
        <v>0</v>
      </c>
      <c r="BF63" s="658">
        <f>IF(BF$6&gt;$L63,0,BE63*(1-'Interest Rate'!$B$17))</f>
        <v>0</v>
      </c>
      <c r="BG63" s="658">
        <f>IF(BG$6&gt;$L63,0,BF63*(1-'Interest Rate'!$B$17))</f>
        <v>0</v>
      </c>
      <c r="BH63" s="658">
        <f>IF(BH$6&gt;$L63,0,BG63*(1-'Interest Rate'!$B$17))</f>
        <v>0</v>
      </c>
      <c r="BI63" s="658">
        <f>IF(BI$6&gt;$L63,0,BH63*(1-'Interest Rate'!$B$17))</f>
        <v>0</v>
      </c>
      <c r="BJ63" s="658">
        <f>IF(BJ$6&gt;$L63,0,BI63*(1-'Interest Rate'!$B$17))</f>
        <v>0</v>
      </c>
      <c r="BK63" s="658">
        <f>IF(BK$6&gt;$L63,0,BJ63*(1-'Interest Rate'!$B$17))</f>
        <v>0</v>
      </c>
      <c r="BL63" s="658">
        <f>IF(BL$6&gt;$L63,0,BK63*(1-'Interest Rate'!$B$17))</f>
        <v>0</v>
      </c>
      <c r="BM63" s="658">
        <f>IF(BM$6&gt;$L63,0,BL63*(1-'Interest Rate'!$B$17))</f>
        <v>0</v>
      </c>
      <c r="BN63" s="658">
        <f>IF(BN$6&gt;$L63,0,BM63*(1-'Interest Rate'!$B$17))</f>
        <v>0</v>
      </c>
      <c r="BO63" s="658">
        <f>IF(BO$6&gt;$L63,0,BN63*(1-'Interest Rate'!$B$17))</f>
        <v>0</v>
      </c>
      <c r="BP63" s="658">
        <f>IF(BP$6&gt;$L63,0,BO63*(1-'Interest Rate'!$B$17))</f>
        <v>0</v>
      </c>
      <c r="BQ63" s="658">
        <f>IF(BQ$6&gt;$L63,0,BP63*(1-'Interest Rate'!$B$17))</f>
        <v>0</v>
      </c>
      <c r="BR63" s="658">
        <f>IF(BR$6&gt;$L63,0,BQ63*(1-'Interest Rate'!$B$17))</f>
        <v>0</v>
      </c>
      <c r="BS63" s="658">
        <f>IF(BS$6&gt;$L63,0,BR63*(1-'Interest Rate'!$B$17))</f>
        <v>0</v>
      </c>
      <c r="BT63" s="658">
        <f>IF(BT$6&gt;$L63,0,BS63*(1-'Interest Rate'!$B$17))</f>
        <v>0</v>
      </c>
      <c r="BU63" s="658">
        <f>IF(BU$6&gt;$L63,0,BT63*(1-'Interest Rate'!$B$17))</f>
        <v>0</v>
      </c>
      <c r="BV63" s="658">
        <f>IF(BV$6&gt;$L63,0,BU63*(1-'Interest Rate'!$B$17))</f>
        <v>0</v>
      </c>
      <c r="BW63" s="658">
        <f>IF(BW$6&gt;$L63,0,BV63*(1-'Interest Rate'!$B$17))</f>
        <v>0</v>
      </c>
      <c r="BX63" s="658">
        <f>IF(BX$6&gt;$L63,0,BW63*(1-'Interest Rate'!$B$17))</f>
        <v>0</v>
      </c>
      <c r="BY63" s="658">
        <f>IF(BY$6&gt;$L63,0,BX63*(1-'Interest Rate'!$B$17))</f>
        <v>0</v>
      </c>
      <c r="BZ63" s="658">
        <f>IF(BZ$6&gt;$L63,0,BY63*(1-'Interest Rate'!$B$17))</f>
        <v>0</v>
      </c>
      <c r="CA63" s="658">
        <f>IF(CA$6&gt;$L63,0,BZ63*(1-'Interest Rate'!$B$17))</f>
        <v>0</v>
      </c>
      <c r="CB63" s="658">
        <f>IF(CB$6&gt;$L63,0,CA63*(1-'Interest Rate'!$B$17))</f>
        <v>0</v>
      </c>
      <c r="CC63" s="658">
        <f>IF(CC$6&gt;$L63,0,CB63*(1-'Interest Rate'!$B$17))</f>
        <v>0</v>
      </c>
      <c r="CD63" s="658">
        <f>IF(CD$6&gt;$L63,0,CC63*(1-'Interest Rate'!$B$17))</f>
        <v>0</v>
      </c>
      <c r="CE63" s="658">
        <f>IF(CE$6&gt;$L63,0,CD63*(1-'Interest Rate'!$B$17))</f>
        <v>0</v>
      </c>
      <c r="CF63" s="658">
        <f>IF(CF$6&gt;$L63,0,CE63*(1-'Interest Rate'!$B$17))</f>
        <v>0</v>
      </c>
      <c r="CG63" s="658">
        <f>IF(CG$6&gt;$L63,0,CF63*(1-'Interest Rate'!$B$17))</f>
        <v>0</v>
      </c>
      <c r="CH63" s="658">
        <f>IF(CH$6&gt;$L63,0,CG63*(1-'Interest Rate'!$B$17))</f>
        <v>0</v>
      </c>
      <c r="CI63" s="658">
        <f>IF(CI$6&gt;$L63,0,CH63*(1-'Interest Rate'!$B$17))</f>
        <v>0</v>
      </c>
      <c r="CJ63" s="658">
        <f>IF(CJ$6&gt;$L63,0,CI63*(1-'Interest Rate'!$B$17))</f>
        <v>0</v>
      </c>
      <c r="CK63" s="658">
        <f>IF(CK$6&gt;$L63,0,CJ63*(1-'Interest Rate'!$B$17))</f>
        <v>0</v>
      </c>
      <c r="CL63" s="658">
        <f>IF(CL$6&gt;$L63,0,CK63*(1-'Interest Rate'!$B$17))</f>
        <v>0</v>
      </c>
      <c r="CM63" s="658">
        <f>IF(CM$6&gt;$L63,0,CL63*(1-'Interest Rate'!$B$17))</f>
        <v>0</v>
      </c>
      <c r="CN63" s="658">
        <f>IF(CN$6&gt;$L63,0,CM63*(1-'Interest Rate'!$B$17))</f>
        <v>0</v>
      </c>
      <c r="CO63" s="658">
        <f>IF(CO$6&gt;$L63,0,CN63*(1-'Interest Rate'!$B$17))</f>
        <v>0</v>
      </c>
      <c r="CP63" s="658">
        <f>IF(CP$6&gt;$L63,0,CO63*(1-'Interest Rate'!$B$17))</f>
        <v>0</v>
      </c>
      <c r="CQ63" s="658">
        <f>IF(CQ$6&gt;$L63,0,CP63*(1-'Interest Rate'!$B$17))</f>
        <v>0</v>
      </c>
      <c r="CR63" s="658">
        <f>IF(CR$6&gt;$L63,0,CQ63*(1-'Interest Rate'!$B$17))</f>
        <v>0</v>
      </c>
      <c r="CS63" s="658">
        <f>IF(CS$6&gt;$L63,0,CR63*(1-'Interest Rate'!$B$17))</f>
        <v>0</v>
      </c>
      <c r="CT63" s="658">
        <f>IF(CT$6&gt;$L63,0,CS63*(1-'Interest Rate'!$B$17))</f>
        <v>0</v>
      </c>
      <c r="CU63" s="658">
        <f>IF(CU$6&gt;$L63,0,CT63*(1-'Interest Rate'!$B$17))</f>
        <v>0</v>
      </c>
      <c r="CV63" s="658">
        <f>IF(CV$6&gt;$L63,0,CU63*(1-'Interest Rate'!$B$17))</f>
        <v>0</v>
      </c>
      <c r="CW63" s="658">
        <f>IF(CW$6&gt;$L63,0,CV63*(1-'Interest Rate'!$B$17))</f>
        <v>0</v>
      </c>
      <c r="CX63" s="658">
        <f>IF(CX$6&gt;$L63,0,CW63*(1-'Interest Rate'!$B$17))</f>
        <v>0</v>
      </c>
      <c r="CY63" s="658">
        <f>IF(CY$6&gt;$L63,0,CX63*(1-'Interest Rate'!$B$17))</f>
        <v>0</v>
      </c>
      <c r="CZ63" s="658">
        <f>IF(CZ$6&gt;$L63,0,CY63*(1-'Interest Rate'!$B$17))</f>
        <v>0</v>
      </c>
      <c r="DA63" s="658">
        <f>IF(DA$6&gt;$L63,0,CZ63*(1-'Interest Rate'!$B$17))</f>
        <v>0</v>
      </c>
      <c r="DB63" s="658">
        <f>IF(DB$6&gt;$L63,0,DA63*(1-'Interest Rate'!$B$17))</f>
        <v>0</v>
      </c>
      <c r="DC63" s="658">
        <f>IF(DC$6&gt;$L63,0,DB63*(1-'Interest Rate'!$B$17))</f>
        <v>0</v>
      </c>
      <c r="DD63" s="658">
        <f>IF(DD$6&gt;$L63,0,DC63*(1-'Interest Rate'!$B$17))</f>
        <v>0</v>
      </c>
      <c r="DE63" s="658">
        <f>IF(DE$6&gt;$L63,0,DD63*(1-'Interest Rate'!$B$17))</f>
        <v>0</v>
      </c>
      <c r="DF63" s="658">
        <f>IF(DF$6&gt;$L63,0,DE63*(1-'Interest Rate'!$B$17))</f>
        <v>0</v>
      </c>
      <c r="DG63" s="658">
        <f>IF(DG$6&gt;$L63,0,DF63*(1-'Interest Rate'!$B$17))</f>
        <v>0</v>
      </c>
      <c r="DH63" s="658">
        <f>IF(DH$6&gt;$L63,0,DG63*(1-'Interest Rate'!$B$17))</f>
        <v>0</v>
      </c>
      <c r="DI63" s="658">
        <f>IF(DI$6&gt;$L63,0,DH63*(1-'Interest Rate'!$B$17))</f>
        <v>0</v>
      </c>
      <c r="DJ63" s="658">
        <f>IF(DJ$6&gt;$L63,0,DI63*(1-'Interest Rate'!$B$17))</f>
        <v>0</v>
      </c>
      <c r="DK63" s="658">
        <f>IF(DK$6&gt;$L63,0,DJ63*(1-'Interest Rate'!$B$17))</f>
        <v>0</v>
      </c>
      <c r="DL63" s="658">
        <f>IF(DL$6&gt;$L63,0,DK63*(1-'Interest Rate'!$B$17))</f>
        <v>0</v>
      </c>
      <c r="DM63" s="658">
        <f>IF(DM$6&gt;$L63,0,DL63*(1-'Interest Rate'!$B$17))</f>
        <v>0</v>
      </c>
      <c r="DN63" s="658">
        <f>IF(DN$6&gt;$L63,0,DM63*(1-'Interest Rate'!$B$17))</f>
        <v>0</v>
      </c>
      <c r="DO63" s="658">
        <f>IF(DO$6&gt;$L63,0,DN63*(1-'Interest Rate'!$B$17))</f>
        <v>0</v>
      </c>
      <c r="DP63" s="658">
        <f>IF(DP$6&gt;$L63,0,DO63*(1-'Interest Rate'!$B$17))</f>
        <v>0</v>
      </c>
      <c r="DQ63" s="658">
        <f>IF(DQ$6&gt;$L63,0,DP63*(1-'Interest Rate'!$B$17))</f>
        <v>0</v>
      </c>
      <c r="DR63" s="658">
        <f>IF(DR$6&gt;$L63,0,DQ63*(1-'Interest Rate'!$B$17))</f>
        <v>0</v>
      </c>
    </row>
    <row r="64" spans="1:122" ht="33" customHeight="1" x14ac:dyDescent="0.3">
      <c r="A64" s="696" t="str">
        <f>'EEM Data Entry'!A139</f>
        <v/>
      </c>
      <c r="B64" s="697" t="str">
        <f>IF('EEM Data Entry'!B139="  ","  ", 'EEM Data Entry'!B139)</f>
        <v/>
      </c>
      <c r="C64" s="671" t="str">
        <f>'EEM Data Entry'!F139</f>
        <v/>
      </c>
      <c r="D64" s="671">
        <v>0</v>
      </c>
      <c r="E64" s="671" t="e">
        <f t="shared" si="19"/>
        <v>#VALUE!</v>
      </c>
      <c r="F64" s="650">
        <f>('Cascading Savings'!D64*'Cascading Savings'!D$4)+('Cascading Savings'!F64*'Cascading Savings'!F$4)+('Cascading Savings'!H64*'Cascading Savings'!H$4)+('Cascading Savings'!J64*'Cascading Savings'!J$4)+('Cascading Savings'!L64*'Cascading Savings'!L$4)+('Cascading Savings'!N64*'Cascading Savings'!N$4)+('Cascading Savings'!P64*'Cascading Savings'!P$4)+('Cascading Savings'!R64*'Cascading Savings'!R$4)</f>
        <v>0</v>
      </c>
      <c r="G64" s="698">
        <f>'Cascading Savings'!T64</f>
        <v>0</v>
      </c>
      <c r="H64" s="672" t="e">
        <f t="shared" si="20"/>
        <v>#VALUE!</v>
      </c>
      <c r="I64" s="668" t="e">
        <f t="shared" si="21"/>
        <v>#VALUE!</v>
      </c>
      <c r="J64" s="673" t="e">
        <f t="shared" si="17"/>
        <v>#NUM!</v>
      </c>
      <c r="K64" s="674" t="e">
        <f>PV('Interest Rate'!$B$17,Table314[[#This Row],[Lifetime]],-Table314[[#This Row],[ANNUAL ENERGY COST SAVINGS]],Table314[[#This Row],[END-OF-LIFE]],0)-Table314[[#This Row],[CAPITAL INVESTMENT]]</f>
        <v>#VALUE!</v>
      </c>
      <c r="L64" s="696" t="str">
        <f>'EEM Data Entry'!C139</f>
        <v/>
      </c>
      <c r="M64" s="669" t="e">
        <f>Table314[[#This Row],[ANNUAL ENERGY COST SAVINGS]]/Table314[[#This Row],[CAPITAL INVESTMENT]]</f>
        <v>#VALUE!</v>
      </c>
      <c r="N64" s="795">
        <f>IF(ISNUMBER(Table314[[#This Row],[NPV]])=TRUE,Table314[[#This Row],[NPV]],0)</f>
        <v>0</v>
      </c>
      <c r="O64" s="727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64" s="568" t="str">
        <f>Table314[[#This Row],[Lifetime]]</f>
        <v/>
      </c>
      <c r="V64" s="657" t="str">
        <f t="shared" si="18"/>
        <v/>
      </c>
      <c r="W64" s="658">
        <f>Table314[[#This Row],[ANNUAL ENERGY COST SAVINGS]]</f>
        <v>0</v>
      </c>
      <c r="X64" s="658">
        <f>IF(X$6&gt;$L64,0,W64*(1-'Interest Rate'!$B$17))</f>
        <v>0</v>
      </c>
      <c r="Y64" s="658">
        <f>IF(Y$6&gt;$L64,0,X64*(1-'Interest Rate'!$B$17))</f>
        <v>0</v>
      </c>
      <c r="Z64" s="658">
        <f>IF(Z$6&gt;$L64,0,Y64*(1-'Interest Rate'!$B$17))</f>
        <v>0</v>
      </c>
      <c r="AA64" s="658">
        <f>IF(AA$6&gt;$L64,0,Z64*(1-'Interest Rate'!$B$17))</f>
        <v>0</v>
      </c>
      <c r="AB64" s="658">
        <f>IF(AB$6&gt;$L64,0,AA64*(1-'Interest Rate'!$B$17))</f>
        <v>0</v>
      </c>
      <c r="AC64" s="658">
        <f>IF(AC$6&gt;$L64,0,AB64*(1-'Interest Rate'!$B$17))</f>
        <v>0</v>
      </c>
      <c r="AD64" s="658">
        <f>IF(AD$6&gt;$L64,0,AC64*(1-'Interest Rate'!$B$17))</f>
        <v>0</v>
      </c>
      <c r="AE64" s="658">
        <f>IF(AE$6&gt;$L64,0,AD64*(1-'Interest Rate'!$B$17))</f>
        <v>0</v>
      </c>
      <c r="AF64" s="658">
        <f>IF(AF$6&gt;$L64,0,AE64*(1-'Interest Rate'!$B$17))</f>
        <v>0</v>
      </c>
      <c r="AG64" s="658">
        <f>IF(AG$6&gt;$L64,0,AF64*(1-'Interest Rate'!$B$17))</f>
        <v>0</v>
      </c>
      <c r="AH64" s="658">
        <f>IF(AH$6&gt;$L64,0,AG64*(1-'Interest Rate'!$B$17))</f>
        <v>0</v>
      </c>
      <c r="AI64" s="658">
        <f>IF(AI$6&gt;$L64,0,AH64*(1-'Interest Rate'!$B$17))</f>
        <v>0</v>
      </c>
      <c r="AJ64" s="658">
        <f>IF(AJ$6&gt;$L64,0,AI64*(1-'Interest Rate'!$B$17))</f>
        <v>0</v>
      </c>
      <c r="AK64" s="658">
        <f>IF(AK$6&gt;$L64,0,AJ64*(1-'Interest Rate'!$B$17))</f>
        <v>0</v>
      </c>
      <c r="AL64" s="658">
        <f>IF(AL$6&gt;$L64,0,AK64*(1-'Interest Rate'!$B$17))</f>
        <v>0</v>
      </c>
      <c r="AM64" s="658">
        <f>IF(AM$6&gt;$L64,0,AL64*(1-'Interest Rate'!$B$17))</f>
        <v>0</v>
      </c>
      <c r="AN64" s="658">
        <f>IF(AN$6&gt;$L64,0,AM64*(1-'Interest Rate'!$B$17))</f>
        <v>0</v>
      </c>
      <c r="AO64" s="658">
        <f>IF(AO$6&gt;$L64,0,AN64*(1-'Interest Rate'!$B$17))</f>
        <v>0</v>
      </c>
      <c r="AP64" s="658">
        <f>IF(AP$6&gt;$L64,0,AO64*(1-'Interest Rate'!$B$17))</f>
        <v>0</v>
      </c>
      <c r="AQ64" s="658">
        <f>IF(AQ$6&gt;$L64,0,AP64*(1-'Interest Rate'!$B$17))</f>
        <v>0</v>
      </c>
      <c r="AR64" s="658">
        <f>IF(AR$6&gt;$L64,0,AQ64*(1-'Interest Rate'!$B$17))</f>
        <v>0</v>
      </c>
      <c r="AS64" s="658">
        <f>IF(AS$6&gt;$L64,0,AR64*(1-'Interest Rate'!$B$17))</f>
        <v>0</v>
      </c>
      <c r="AT64" s="658">
        <f>IF(AT$6&gt;$L64,0,AS64*(1-'Interest Rate'!$B$17))</f>
        <v>0</v>
      </c>
      <c r="AU64" s="658">
        <f>IF(AU$6&gt;$L64,0,AT64*(1-'Interest Rate'!$B$17))</f>
        <v>0</v>
      </c>
      <c r="AV64" s="658">
        <f>IF(AV$6&gt;$L64,0,AU64*(1-'Interest Rate'!$B$17))</f>
        <v>0</v>
      </c>
      <c r="AW64" s="658">
        <f>IF(AW$6&gt;$L64,0,AV64*(1-'Interest Rate'!$B$17))</f>
        <v>0</v>
      </c>
      <c r="AX64" s="658">
        <f>IF(AX$6&gt;$L64,0,AW64*(1-'Interest Rate'!$B$17))</f>
        <v>0</v>
      </c>
      <c r="AY64" s="658">
        <f>IF(AY$6&gt;$L64,0,AX64*(1-'Interest Rate'!$B$17))</f>
        <v>0</v>
      </c>
      <c r="AZ64" s="658">
        <f>IF(AZ$6&gt;$L64,0,AY64*(1-'Interest Rate'!$B$17))</f>
        <v>0</v>
      </c>
      <c r="BA64" s="658">
        <f>IF(BA$6&gt;$L64,0,AZ64*(1-'Interest Rate'!$B$17))</f>
        <v>0</v>
      </c>
      <c r="BB64" s="658">
        <f>IF(BB$6&gt;$L64,0,BA64*(1-'Interest Rate'!$B$17))</f>
        <v>0</v>
      </c>
      <c r="BC64" s="658">
        <f>IF(BC$6&gt;$L64,0,BB64*(1-'Interest Rate'!$B$17))</f>
        <v>0</v>
      </c>
      <c r="BD64" s="658">
        <f>IF(BD$6&gt;$L64,0,BC64*(1-'Interest Rate'!$B$17))</f>
        <v>0</v>
      </c>
      <c r="BE64" s="658">
        <f>IF(BE$6&gt;$L64,0,BD64*(1-'Interest Rate'!$B$17))</f>
        <v>0</v>
      </c>
      <c r="BF64" s="658">
        <f>IF(BF$6&gt;$L64,0,BE64*(1-'Interest Rate'!$B$17))</f>
        <v>0</v>
      </c>
      <c r="BG64" s="658">
        <f>IF(BG$6&gt;$L64,0,BF64*(1-'Interest Rate'!$B$17))</f>
        <v>0</v>
      </c>
      <c r="BH64" s="658">
        <f>IF(BH$6&gt;$L64,0,BG64*(1-'Interest Rate'!$B$17))</f>
        <v>0</v>
      </c>
      <c r="BI64" s="658">
        <f>IF(BI$6&gt;$L64,0,BH64*(1-'Interest Rate'!$B$17))</f>
        <v>0</v>
      </c>
      <c r="BJ64" s="658">
        <f>IF(BJ$6&gt;$L64,0,BI64*(1-'Interest Rate'!$B$17))</f>
        <v>0</v>
      </c>
      <c r="BK64" s="658">
        <f>IF(BK$6&gt;$L64,0,BJ64*(1-'Interest Rate'!$B$17))</f>
        <v>0</v>
      </c>
      <c r="BL64" s="658">
        <f>IF(BL$6&gt;$L64,0,BK64*(1-'Interest Rate'!$B$17))</f>
        <v>0</v>
      </c>
      <c r="BM64" s="658">
        <f>IF(BM$6&gt;$L64,0,BL64*(1-'Interest Rate'!$B$17))</f>
        <v>0</v>
      </c>
      <c r="BN64" s="658">
        <f>IF(BN$6&gt;$L64,0,BM64*(1-'Interest Rate'!$B$17))</f>
        <v>0</v>
      </c>
      <c r="BO64" s="658">
        <f>IF(BO$6&gt;$L64,0,BN64*(1-'Interest Rate'!$B$17))</f>
        <v>0</v>
      </c>
      <c r="BP64" s="658">
        <f>IF(BP$6&gt;$L64,0,BO64*(1-'Interest Rate'!$B$17))</f>
        <v>0</v>
      </c>
      <c r="BQ64" s="658">
        <f>IF(BQ$6&gt;$L64,0,BP64*(1-'Interest Rate'!$B$17))</f>
        <v>0</v>
      </c>
      <c r="BR64" s="658">
        <f>IF(BR$6&gt;$L64,0,BQ64*(1-'Interest Rate'!$B$17))</f>
        <v>0</v>
      </c>
      <c r="BS64" s="658">
        <f>IF(BS$6&gt;$L64,0,BR64*(1-'Interest Rate'!$B$17))</f>
        <v>0</v>
      </c>
      <c r="BT64" s="658">
        <f>IF(BT$6&gt;$L64,0,BS64*(1-'Interest Rate'!$B$17))</f>
        <v>0</v>
      </c>
      <c r="BU64" s="658">
        <f>IF(BU$6&gt;$L64,0,BT64*(1-'Interest Rate'!$B$17))</f>
        <v>0</v>
      </c>
      <c r="BV64" s="658">
        <f>IF(BV$6&gt;$L64,0,BU64*(1-'Interest Rate'!$B$17))</f>
        <v>0</v>
      </c>
      <c r="BW64" s="658">
        <f>IF(BW$6&gt;$L64,0,BV64*(1-'Interest Rate'!$B$17))</f>
        <v>0</v>
      </c>
      <c r="BX64" s="658">
        <f>IF(BX$6&gt;$L64,0,BW64*(1-'Interest Rate'!$B$17))</f>
        <v>0</v>
      </c>
      <c r="BY64" s="658">
        <f>IF(BY$6&gt;$L64,0,BX64*(1-'Interest Rate'!$B$17))</f>
        <v>0</v>
      </c>
      <c r="BZ64" s="658">
        <f>IF(BZ$6&gt;$L64,0,BY64*(1-'Interest Rate'!$B$17))</f>
        <v>0</v>
      </c>
      <c r="CA64" s="658">
        <f>IF(CA$6&gt;$L64,0,BZ64*(1-'Interest Rate'!$B$17))</f>
        <v>0</v>
      </c>
      <c r="CB64" s="658">
        <f>IF(CB$6&gt;$L64,0,CA64*(1-'Interest Rate'!$B$17))</f>
        <v>0</v>
      </c>
      <c r="CC64" s="658">
        <f>IF(CC$6&gt;$L64,0,CB64*(1-'Interest Rate'!$B$17))</f>
        <v>0</v>
      </c>
      <c r="CD64" s="658">
        <f>IF(CD$6&gt;$L64,0,CC64*(1-'Interest Rate'!$B$17))</f>
        <v>0</v>
      </c>
      <c r="CE64" s="658">
        <f>IF(CE$6&gt;$L64,0,CD64*(1-'Interest Rate'!$B$17))</f>
        <v>0</v>
      </c>
      <c r="CF64" s="658">
        <f>IF(CF$6&gt;$L64,0,CE64*(1-'Interest Rate'!$B$17))</f>
        <v>0</v>
      </c>
      <c r="CG64" s="658">
        <f>IF(CG$6&gt;$L64,0,CF64*(1-'Interest Rate'!$B$17))</f>
        <v>0</v>
      </c>
      <c r="CH64" s="658">
        <f>IF(CH$6&gt;$L64,0,CG64*(1-'Interest Rate'!$B$17))</f>
        <v>0</v>
      </c>
      <c r="CI64" s="658">
        <f>IF(CI$6&gt;$L64,0,CH64*(1-'Interest Rate'!$B$17))</f>
        <v>0</v>
      </c>
      <c r="CJ64" s="658">
        <f>IF(CJ$6&gt;$L64,0,CI64*(1-'Interest Rate'!$B$17))</f>
        <v>0</v>
      </c>
      <c r="CK64" s="658">
        <f>IF(CK$6&gt;$L64,0,CJ64*(1-'Interest Rate'!$B$17))</f>
        <v>0</v>
      </c>
      <c r="CL64" s="658">
        <f>IF(CL$6&gt;$L64,0,CK64*(1-'Interest Rate'!$B$17))</f>
        <v>0</v>
      </c>
      <c r="CM64" s="658">
        <f>IF(CM$6&gt;$L64,0,CL64*(1-'Interest Rate'!$B$17))</f>
        <v>0</v>
      </c>
      <c r="CN64" s="658">
        <f>IF(CN$6&gt;$L64,0,CM64*(1-'Interest Rate'!$B$17))</f>
        <v>0</v>
      </c>
      <c r="CO64" s="658">
        <f>IF(CO$6&gt;$L64,0,CN64*(1-'Interest Rate'!$B$17))</f>
        <v>0</v>
      </c>
      <c r="CP64" s="658">
        <f>IF(CP$6&gt;$L64,0,CO64*(1-'Interest Rate'!$B$17))</f>
        <v>0</v>
      </c>
      <c r="CQ64" s="658">
        <f>IF(CQ$6&gt;$L64,0,CP64*(1-'Interest Rate'!$B$17))</f>
        <v>0</v>
      </c>
      <c r="CR64" s="658">
        <f>IF(CR$6&gt;$L64,0,CQ64*(1-'Interest Rate'!$B$17))</f>
        <v>0</v>
      </c>
      <c r="CS64" s="658">
        <f>IF(CS$6&gt;$L64,0,CR64*(1-'Interest Rate'!$B$17))</f>
        <v>0</v>
      </c>
      <c r="CT64" s="658">
        <f>IF(CT$6&gt;$L64,0,CS64*(1-'Interest Rate'!$B$17))</f>
        <v>0</v>
      </c>
      <c r="CU64" s="658">
        <f>IF(CU$6&gt;$L64,0,CT64*(1-'Interest Rate'!$B$17))</f>
        <v>0</v>
      </c>
      <c r="CV64" s="658">
        <f>IF(CV$6&gt;$L64,0,CU64*(1-'Interest Rate'!$B$17))</f>
        <v>0</v>
      </c>
      <c r="CW64" s="658">
        <f>IF(CW$6&gt;$L64,0,CV64*(1-'Interest Rate'!$B$17))</f>
        <v>0</v>
      </c>
      <c r="CX64" s="658">
        <f>IF(CX$6&gt;$L64,0,CW64*(1-'Interest Rate'!$B$17))</f>
        <v>0</v>
      </c>
      <c r="CY64" s="658">
        <f>IF(CY$6&gt;$L64,0,CX64*(1-'Interest Rate'!$B$17))</f>
        <v>0</v>
      </c>
      <c r="CZ64" s="658">
        <f>IF(CZ$6&gt;$L64,0,CY64*(1-'Interest Rate'!$B$17))</f>
        <v>0</v>
      </c>
      <c r="DA64" s="658">
        <f>IF(DA$6&gt;$L64,0,CZ64*(1-'Interest Rate'!$B$17))</f>
        <v>0</v>
      </c>
      <c r="DB64" s="658">
        <f>IF(DB$6&gt;$L64,0,DA64*(1-'Interest Rate'!$B$17))</f>
        <v>0</v>
      </c>
      <c r="DC64" s="658">
        <f>IF(DC$6&gt;$L64,0,DB64*(1-'Interest Rate'!$B$17))</f>
        <v>0</v>
      </c>
      <c r="DD64" s="658">
        <f>IF(DD$6&gt;$L64,0,DC64*(1-'Interest Rate'!$B$17))</f>
        <v>0</v>
      </c>
      <c r="DE64" s="658">
        <f>IF(DE$6&gt;$L64,0,DD64*(1-'Interest Rate'!$B$17))</f>
        <v>0</v>
      </c>
      <c r="DF64" s="658">
        <f>IF(DF$6&gt;$L64,0,DE64*(1-'Interest Rate'!$B$17))</f>
        <v>0</v>
      </c>
      <c r="DG64" s="658">
        <f>IF(DG$6&gt;$L64,0,DF64*(1-'Interest Rate'!$B$17))</f>
        <v>0</v>
      </c>
      <c r="DH64" s="658">
        <f>IF(DH$6&gt;$L64,0,DG64*(1-'Interest Rate'!$B$17))</f>
        <v>0</v>
      </c>
      <c r="DI64" s="658">
        <f>IF(DI$6&gt;$L64,0,DH64*(1-'Interest Rate'!$B$17))</f>
        <v>0</v>
      </c>
      <c r="DJ64" s="658">
        <f>IF(DJ$6&gt;$L64,0,DI64*(1-'Interest Rate'!$B$17))</f>
        <v>0</v>
      </c>
      <c r="DK64" s="658">
        <f>IF(DK$6&gt;$L64,0,DJ64*(1-'Interest Rate'!$B$17))</f>
        <v>0</v>
      </c>
      <c r="DL64" s="658">
        <f>IF(DL$6&gt;$L64,0,DK64*(1-'Interest Rate'!$B$17))</f>
        <v>0</v>
      </c>
      <c r="DM64" s="658">
        <f>IF(DM$6&gt;$L64,0,DL64*(1-'Interest Rate'!$B$17))</f>
        <v>0</v>
      </c>
      <c r="DN64" s="658">
        <f>IF(DN$6&gt;$L64,0,DM64*(1-'Interest Rate'!$B$17))</f>
        <v>0</v>
      </c>
      <c r="DO64" s="658">
        <f>IF(DO$6&gt;$L64,0,DN64*(1-'Interest Rate'!$B$17))</f>
        <v>0</v>
      </c>
      <c r="DP64" s="658">
        <f>IF(DP$6&gt;$L64,0,DO64*(1-'Interest Rate'!$B$17))</f>
        <v>0</v>
      </c>
      <c r="DQ64" s="658">
        <f>IF(DQ$6&gt;$L64,0,DP64*(1-'Interest Rate'!$B$17))</f>
        <v>0</v>
      </c>
      <c r="DR64" s="658">
        <f>IF(DR$6&gt;$L64,0,DQ64*(1-'Interest Rate'!$B$17))</f>
        <v>0</v>
      </c>
    </row>
    <row r="65" spans="1:122" ht="33" customHeight="1" x14ac:dyDescent="0.4">
      <c r="A65" s="713"/>
      <c r="B65" s="714"/>
      <c r="C65" s="683"/>
      <c r="D65" s="683"/>
      <c r="E65" s="683"/>
      <c r="F65" s="715"/>
      <c r="G65" s="683"/>
      <c r="H65" s="683"/>
      <c r="I65" s="683"/>
      <c r="J65" s="716"/>
      <c r="K65" s="717"/>
      <c r="N65" s="623"/>
      <c r="O65" s="623"/>
      <c r="V65" s="695"/>
      <c r="W65" s="687"/>
      <c r="X65" s="687"/>
      <c r="Y65" s="687"/>
      <c r="Z65" s="687"/>
      <c r="AA65" s="687"/>
      <c r="AB65" s="687"/>
      <c r="AC65" s="687"/>
      <c r="AD65" s="687"/>
      <c r="AE65" s="687"/>
      <c r="AF65" s="687"/>
      <c r="AG65" s="687"/>
      <c r="AH65" s="687"/>
      <c r="AI65" s="687"/>
      <c r="AJ65" s="687"/>
      <c r="AK65" s="687"/>
      <c r="AL65" s="687"/>
      <c r="AM65" s="687"/>
      <c r="AN65" s="687"/>
      <c r="AO65" s="687"/>
      <c r="AP65" s="687"/>
      <c r="AQ65" s="687"/>
      <c r="AR65" s="687"/>
      <c r="AS65" s="687"/>
      <c r="AT65" s="687"/>
      <c r="AU65" s="687"/>
      <c r="AV65" s="687"/>
      <c r="AW65" s="687"/>
      <c r="AX65" s="687"/>
      <c r="AY65" s="687"/>
      <c r="AZ65" s="687"/>
      <c r="BA65" s="687"/>
      <c r="BB65" s="687"/>
      <c r="BC65" s="706"/>
      <c r="BD65" s="706"/>
      <c r="BE65" s="706"/>
      <c r="BF65" s="706"/>
      <c r="BG65" s="706"/>
      <c r="BH65" s="706"/>
      <c r="BI65" s="706"/>
      <c r="BJ65" s="706"/>
    </row>
    <row r="66" spans="1:122" ht="33" customHeight="1" x14ac:dyDescent="0.3">
      <c r="A66" s="689" t="s">
        <v>145</v>
      </c>
      <c r="B66" s="690" t="s">
        <v>73</v>
      </c>
      <c r="C66" s="691" t="s">
        <v>122</v>
      </c>
      <c r="D66" s="691" t="s">
        <v>90</v>
      </c>
      <c r="E66" s="691" t="s">
        <v>123</v>
      </c>
      <c r="F66" s="692" t="s">
        <v>118</v>
      </c>
      <c r="G66" s="718" t="s">
        <v>125</v>
      </c>
      <c r="H66" s="718" t="s">
        <v>124</v>
      </c>
      <c r="I66" s="691" t="s">
        <v>72</v>
      </c>
      <c r="J66" s="693" t="s">
        <v>17</v>
      </c>
      <c r="K66" s="694" t="s">
        <v>22</v>
      </c>
      <c r="L66" s="596" t="s">
        <v>157</v>
      </c>
      <c r="M66" s="596" t="s">
        <v>159</v>
      </c>
      <c r="N66" s="596" t="s">
        <v>232</v>
      </c>
      <c r="O66" s="596" t="s">
        <v>231</v>
      </c>
      <c r="V66" s="695"/>
      <c r="W66" s="646">
        <v>1</v>
      </c>
      <c r="X66" s="646">
        <v>2</v>
      </c>
      <c r="Y66" s="646">
        <v>3</v>
      </c>
      <c r="Z66" s="646">
        <v>4</v>
      </c>
      <c r="AA66" s="646">
        <v>5</v>
      </c>
      <c r="AB66" s="646">
        <v>6</v>
      </c>
      <c r="AC66" s="646">
        <v>7</v>
      </c>
      <c r="AD66" s="646">
        <v>8</v>
      </c>
      <c r="AE66" s="646">
        <v>9</v>
      </c>
      <c r="AF66" s="646">
        <v>10</v>
      </c>
      <c r="AG66" s="646">
        <v>11</v>
      </c>
      <c r="AH66" s="646">
        <v>12</v>
      </c>
      <c r="AI66" s="646">
        <v>13</v>
      </c>
      <c r="AJ66" s="646">
        <v>14</v>
      </c>
      <c r="AK66" s="646">
        <v>15</v>
      </c>
      <c r="AL66" s="646">
        <v>16</v>
      </c>
      <c r="AM66" s="646">
        <v>17</v>
      </c>
      <c r="AN66" s="646">
        <v>18</v>
      </c>
      <c r="AO66" s="646">
        <v>19</v>
      </c>
      <c r="AP66" s="646">
        <v>20</v>
      </c>
      <c r="AQ66" s="646">
        <v>21</v>
      </c>
      <c r="AR66" s="646">
        <v>22</v>
      </c>
      <c r="AS66" s="646">
        <v>23</v>
      </c>
      <c r="AT66" s="646">
        <v>24</v>
      </c>
      <c r="AU66" s="646">
        <v>25</v>
      </c>
      <c r="AV66" s="646">
        <v>26</v>
      </c>
      <c r="AW66" s="646">
        <v>27</v>
      </c>
      <c r="AX66" s="646">
        <v>28</v>
      </c>
      <c r="AY66" s="646">
        <v>29</v>
      </c>
      <c r="AZ66" s="646">
        <v>30</v>
      </c>
      <c r="BA66" s="646">
        <v>31</v>
      </c>
      <c r="BB66" s="646">
        <v>32</v>
      </c>
      <c r="BC66" s="646">
        <v>33</v>
      </c>
      <c r="BD66" s="646">
        <v>34</v>
      </c>
      <c r="BE66" s="646">
        <v>35</v>
      </c>
      <c r="BF66" s="646">
        <v>36</v>
      </c>
      <c r="BG66" s="646">
        <v>37</v>
      </c>
      <c r="BH66" s="646">
        <v>38</v>
      </c>
      <c r="BI66" s="646">
        <v>39</v>
      </c>
      <c r="BJ66" s="646">
        <v>40</v>
      </c>
      <c r="BK66" s="646">
        <v>41</v>
      </c>
      <c r="BL66" s="646">
        <v>42</v>
      </c>
      <c r="BM66" s="646">
        <v>43</v>
      </c>
      <c r="BN66" s="646">
        <v>44</v>
      </c>
      <c r="BO66" s="646">
        <v>45</v>
      </c>
      <c r="BP66" s="646">
        <v>46</v>
      </c>
      <c r="BQ66" s="646">
        <v>47</v>
      </c>
      <c r="BR66" s="646">
        <v>48</v>
      </c>
      <c r="BS66" s="646">
        <v>49</v>
      </c>
      <c r="BT66" s="646">
        <v>50</v>
      </c>
      <c r="BU66" s="646">
        <v>51</v>
      </c>
      <c r="BV66" s="646">
        <v>52</v>
      </c>
      <c r="BW66" s="646">
        <v>53</v>
      </c>
      <c r="BX66" s="646">
        <v>54</v>
      </c>
      <c r="BY66" s="646">
        <v>55</v>
      </c>
      <c r="BZ66" s="646">
        <v>56</v>
      </c>
      <c r="CA66" s="646">
        <v>57</v>
      </c>
      <c r="CB66" s="646">
        <v>58</v>
      </c>
      <c r="CC66" s="646">
        <v>59</v>
      </c>
      <c r="CD66" s="646">
        <v>60</v>
      </c>
      <c r="CE66" s="646">
        <v>61</v>
      </c>
      <c r="CF66" s="646">
        <v>62</v>
      </c>
      <c r="CG66" s="646">
        <v>63</v>
      </c>
      <c r="CH66" s="646">
        <v>64</v>
      </c>
      <c r="CI66" s="646">
        <v>65</v>
      </c>
      <c r="CJ66" s="646">
        <v>66</v>
      </c>
      <c r="CK66" s="646">
        <v>67</v>
      </c>
      <c r="CL66" s="646">
        <v>68</v>
      </c>
      <c r="CM66" s="646">
        <v>69</v>
      </c>
      <c r="CN66" s="646">
        <v>70</v>
      </c>
      <c r="CO66" s="646">
        <v>71</v>
      </c>
      <c r="CP66" s="646">
        <v>72</v>
      </c>
      <c r="CQ66" s="646">
        <v>73</v>
      </c>
      <c r="CR66" s="646">
        <v>74</v>
      </c>
      <c r="CS66" s="646">
        <v>75</v>
      </c>
      <c r="CT66" s="646">
        <v>76</v>
      </c>
      <c r="CU66" s="646">
        <v>77</v>
      </c>
      <c r="CV66" s="646">
        <v>78</v>
      </c>
      <c r="CW66" s="646">
        <v>79</v>
      </c>
      <c r="CX66" s="646">
        <v>80</v>
      </c>
      <c r="CY66" s="646">
        <v>81</v>
      </c>
      <c r="CZ66" s="646">
        <v>82</v>
      </c>
      <c r="DA66" s="646">
        <v>83</v>
      </c>
      <c r="DB66" s="646">
        <v>84</v>
      </c>
      <c r="DC66" s="646">
        <v>85</v>
      </c>
      <c r="DD66" s="646">
        <v>86</v>
      </c>
      <c r="DE66" s="646">
        <v>87</v>
      </c>
      <c r="DF66" s="646">
        <v>88</v>
      </c>
      <c r="DG66" s="646">
        <v>89</v>
      </c>
      <c r="DH66" s="646">
        <v>90</v>
      </c>
      <c r="DI66" s="646">
        <v>91</v>
      </c>
      <c r="DJ66" s="646">
        <v>92</v>
      </c>
      <c r="DK66" s="646">
        <v>93</v>
      </c>
      <c r="DL66" s="646">
        <v>94</v>
      </c>
      <c r="DM66" s="646">
        <v>95</v>
      </c>
      <c r="DN66" s="646">
        <v>96</v>
      </c>
      <c r="DO66" s="646">
        <v>97</v>
      </c>
      <c r="DP66" s="646">
        <v>98</v>
      </c>
      <c r="DQ66" s="646">
        <v>99</v>
      </c>
      <c r="DR66" s="646">
        <v>100</v>
      </c>
    </row>
    <row r="67" spans="1:122" ht="33" customHeight="1" x14ac:dyDescent="0.3">
      <c r="A67" s="696" t="str">
        <f>'EEM Data Entry'!A141</f>
        <v/>
      </c>
      <c r="B67" s="697" t="str">
        <f>IF('Packaged EEMs'!B57="  ","  ", 'EEM Data Entry'!B141)</f>
        <v/>
      </c>
      <c r="C67" s="671" t="str">
        <f>'EEM Data Entry'!F141</f>
        <v/>
      </c>
      <c r="D67" s="671">
        <v>0</v>
      </c>
      <c r="E67" s="671" t="e">
        <f>C67-D67</f>
        <v>#VALUE!</v>
      </c>
      <c r="F67" s="650">
        <f>('Cascading Savings'!D69*'Cascading Savings'!D$4)+('Cascading Savings'!F69*'Cascading Savings'!F$4)+('Cascading Savings'!H69*'Cascading Savings'!H$4)+('Cascading Savings'!J69*'Cascading Savings'!J$4)+('Cascading Savings'!L69*'Cascading Savings'!L$4)+('Cascading Savings'!N69*'Cascading Savings'!N$4)+('Cascading Savings'!P69*'Cascading Savings'!P$4)+('Cascading Savings'!R69*'Cascading Savings'!R$4)</f>
        <v>0</v>
      </c>
      <c r="G67" s="719">
        <f>'Savings Summary'!T69</f>
        <v>0</v>
      </c>
      <c r="H67" s="672" t="e">
        <f>IF(C67=0,"n/a",E67/F67)</f>
        <v>#VALUE!</v>
      </c>
      <c r="I67" s="668" t="e">
        <f t="shared" ref="I67:I80" si="22">IF(H67=0, "n/a", IF(H67&gt;100, "no",IF(H67&lt;0, "no", "yes")))</f>
        <v>#VALUE!</v>
      </c>
      <c r="J67" s="605" t="e">
        <f t="shared" ref="J67:J80" si="23">IRR(V67:DR67,0.1)</f>
        <v>#NUM!</v>
      </c>
      <c r="K67" s="674" t="e">
        <f>PV('Interest Rate'!$B$17,Table415[[#This Row],[Lifetime]],-Table415[[#This Row],[ANNUAL ENERGY COST SAVINGS]],Table415[[#This Row],[END-OF-LIFE]],0)-Table415[[#This Row],[ CAPITAL INVESTMENT]]</f>
        <v>#VALUE!</v>
      </c>
      <c r="L67" s="668" t="str">
        <f>'EEM Data Entry'!C141</f>
        <v/>
      </c>
      <c r="M67" s="656" t="e">
        <f>Table415[[#This Row],[ANNUAL ENERGY COST SAVINGS]]/Table415[[#This Row],[ CAPITAL INVESTMENT]]</f>
        <v>#VALUE!</v>
      </c>
      <c r="N67" s="704">
        <f>IF(ISNUMBER(Table415[[#This Row],[NPV]])=TRUE,Table415[[#This Row],[NPV]],0)</f>
        <v>0</v>
      </c>
      <c r="O67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67" s="568" t="str">
        <f>Table415[[#This Row],[Lifetime]]</f>
        <v/>
      </c>
      <c r="V67" s="657" t="str">
        <f t="shared" ref="V67:V80" si="24">IF(ISNUMBER(E67)=TRUE,-E67,"")</f>
        <v/>
      </c>
      <c r="W67" s="658">
        <f t="shared" ref="W67:W80" si="25">F67</f>
        <v>0</v>
      </c>
      <c r="X67" s="658">
        <f>IF(X$6&gt;$L67,0,W67*(1-'Interest Rate'!$B$17))</f>
        <v>0</v>
      </c>
      <c r="Y67" s="658">
        <f>IF(Y$6&gt;$L67,0,X67*(1-'Interest Rate'!$B$17))</f>
        <v>0</v>
      </c>
      <c r="Z67" s="658">
        <f>IF(Z$6&gt;$L67,0,Y67*(1-'Interest Rate'!$B$17))</f>
        <v>0</v>
      </c>
      <c r="AA67" s="658">
        <f>IF(AA$6&gt;$L67,0,Z67*(1-'Interest Rate'!$B$17))</f>
        <v>0</v>
      </c>
      <c r="AB67" s="658">
        <f>IF(AB$6&gt;$L67,0,AA67*(1-'Interest Rate'!$B$17))</f>
        <v>0</v>
      </c>
      <c r="AC67" s="658">
        <f>IF(AC$6&gt;$L67,0,AB67*(1-'Interest Rate'!$B$17))</f>
        <v>0</v>
      </c>
      <c r="AD67" s="658">
        <f>IF(AD$6&gt;$L67,0,AC67*(1-'Interest Rate'!$B$17))</f>
        <v>0</v>
      </c>
      <c r="AE67" s="658">
        <f>IF(AE$6&gt;$L67,0,AD67*(1-'Interest Rate'!$B$17))</f>
        <v>0</v>
      </c>
      <c r="AF67" s="658">
        <f>IF(AF$6&gt;$L67,0,AE67*(1-'Interest Rate'!$B$17))</f>
        <v>0</v>
      </c>
      <c r="AG67" s="658">
        <f>IF(AG$6&gt;$L67,0,AF67*(1-'Interest Rate'!$B$17))</f>
        <v>0</v>
      </c>
      <c r="AH67" s="658">
        <f>IF(AH$6&gt;$L67,0,AG67*(1-'Interest Rate'!$B$17))</f>
        <v>0</v>
      </c>
      <c r="AI67" s="658">
        <f>IF(AI$6&gt;$L67,0,AH67*(1-'Interest Rate'!$B$17))</f>
        <v>0</v>
      </c>
      <c r="AJ67" s="658">
        <f>IF(AJ$6&gt;$L67,0,AI67*(1-'Interest Rate'!$B$17))</f>
        <v>0</v>
      </c>
      <c r="AK67" s="658">
        <f>IF(AK$6&gt;$L67,0,AJ67*(1-'Interest Rate'!$B$17))</f>
        <v>0</v>
      </c>
      <c r="AL67" s="658">
        <f>IF(AL$6&gt;$L67,0,AK67*(1-'Interest Rate'!$B$17))</f>
        <v>0</v>
      </c>
      <c r="AM67" s="658">
        <f>IF(AM$6&gt;$L67,0,AL67*(1-'Interest Rate'!$B$17))</f>
        <v>0</v>
      </c>
      <c r="AN67" s="658">
        <f>IF(AN$6&gt;$L67,0,AM67*(1-'Interest Rate'!$B$17))</f>
        <v>0</v>
      </c>
      <c r="AO67" s="658">
        <f>IF(AO$6&gt;$L67,0,AN67*(1-'Interest Rate'!$B$17))</f>
        <v>0</v>
      </c>
      <c r="AP67" s="658">
        <f>IF(AP$6&gt;$L67,0,AO67*(1-'Interest Rate'!$B$17))</f>
        <v>0</v>
      </c>
      <c r="AQ67" s="658">
        <f>IF(AQ$6&gt;$L67,0,AP67*(1-'Interest Rate'!$B$17))</f>
        <v>0</v>
      </c>
      <c r="AR67" s="658">
        <f>IF(AR$6&gt;$L67,0,AQ67*(1-'Interest Rate'!$B$17))</f>
        <v>0</v>
      </c>
      <c r="AS67" s="658">
        <f>IF(AS$6&gt;$L67,0,AR67*(1-'Interest Rate'!$B$17))</f>
        <v>0</v>
      </c>
      <c r="AT67" s="658">
        <f>IF(AT$6&gt;$L67,0,AS67*(1-'Interest Rate'!$B$17))</f>
        <v>0</v>
      </c>
      <c r="AU67" s="658">
        <f>IF(AU$6&gt;$L67,0,AT67*(1-'Interest Rate'!$B$17))</f>
        <v>0</v>
      </c>
      <c r="AV67" s="658">
        <f>IF(AV$6&gt;$L67,0,AU67*(1-'Interest Rate'!$B$17))</f>
        <v>0</v>
      </c>
      <c r="AW67" s="658">
        <f>IF(AW$6&gt;$L67,0,AV67*(1-'Interest Rate'!$B$17))</f>
        <v>0</v>
      </c>
      <c r="AX67" s="658">
        <f>IF(AX$6&gt;$L67,0,AW67*(1-'Interest Rate'!$B$17))</f>
        <v>0</v>
      </c>
      <c r="AY67" s="658">
        <f>IF(AY$6&gt;$L67,0,AX67*(1-'Interest Rate'!$B$17))</f>
        <v>0</v>
      </c>
      <c r="AZ67" s="658">
        <f>IF(AZ$6&gt;$L67,0,AY67*(1-'Interest Rate'!$B$17))</f>
        <v>0</v>
      </c>
      <c r="BA67" s="658">
        <f>IF(BA$6&gt;$L67,0,AZ67*(1-'Interest Rate'!$B$17))</f>
        <v>0</v>
      </c>
      <c r="BB67" s="658">
        <f>IF(BB$6&gt;$L67,0,BA67*(1-'Interest Rate'!$B$17))</f>
        <v>0</v>
      </c>
      <c r="BC67" s="658">
        <f>IF(BC$6&gt;$L67,0,BB67*(1-'Interest Rate'!$B$17))</f>
        <v>0</v>
      </c>
      <c r="BD67" s="658">
        <f>IF(BD$6&gt;$L67,0,BC67*(1-'Interest Rate'!$B$17))</f>
        <v>0</v>
      </c>
      <c r="BE67" s="658">
        <f>IF(BE$6&gt;$L67,0,BD67*(1-'Interest Rate'!$B$17))</f>
        <v>0</v>
      </c>
      <c r="BF67" s="658">
        <f>IF(BF$6&gt;$L67,0,BE67*(1-'Interest Rate'!$B$17))</f>
        <v>0</v>
      </c>
      <c r="BG67" s="658">
        <f>IF(BG$6&gt;$L67,0,BF67*(1-'Interest Rate'!$B$17))</f>
        <v>0</v>
      </c>
      <c r="BH67" s="658">
        <f>IF(BH$6&gt;$L67,0,BG67*(1-'Interest Rate'!$B$17))</f>
        <v>0</v>
      </c>
      <c r="BI67" s="658">
        <f>IF(BI$6&gt;$L67,0,BH67*(1-'Interest Rate'!$B$17))</f>
        <v>0</v>
      </c>
      <c r="BJ67" s="658">
        <f>IF(BJ$6&gt;$L67,0,BI67*(1-'Interest Rate'!$B$17))</f>
        <v>0</v>
      </c>
      <c r="BK67" s="658">
        <f>IF(BK$6&gt;$L67,0,BJ67*(1-'Interest Rate'!$B$17))</f>
        <v>0</v>
      </c>
      <c r="BL67" s="658">
        <f>IF(BL$6&gt;$L67,0,BK67*(1-'Interest Rate'!$B$17))</f>
        <v>0</v>
      </c>
      <c r="BM67" s="658">
        <f>IF(BM$6&gt;$L67,0,BL67*(1-'Interest Rate'!$B$17))</f>
        <v>0</v>
      </c>
      <c r="BN67" s="658">
        <f>IF(BN$6&gt;$L67,0,BM67*(1-'Interest Rate'!$B$17))</f>
        <v>0</v>
      </c>
      <c r="BO67" s="658">
        <f>IF(BO$6&gt;$L67,0,BN67*(1-'Interest Rate'!$B$17))</f>
        <v>0</v>
      </c>
      <c r="BP67" s="658">
        <f>IF(BP$6&gt;$L67,0,BO67*(1-'Interest Rate'!$B$17))</f>
        <v>0</v>
      </c>
      <c r="BQ67" s="658">
        <f>IF(BQ$6&gt;$L67,0,BP67*(1-'Interest Rate'!$B$17))</f>
        <v>0</v>
      </c>
      <c r="BR67" s="658">
        <f>IF(BR$6&gt;$L67,0,BQ67*(1-'Interest Rate'!$B$17))</f>
        <v>0</v>
      </c>
      <c r="BS67" s="658">
        <f>IF(BS$6&gt;$L67,0,BR67*(1-'Interest Rate'!$B$17))</f>
        <v>0</v>
      </c>
      <c r="BT67" s="658">
        <f>IF(BT$6&gt;$L67,0,BS67*(1-'Interest Rate'!$B$17))</f>
        <v>0</v>
      </c>
      <c r="BU67" s="658">
        <f>IF(BU$6&gt;$L67,0,BT67*(1-'Interest Rate'!$B$17))</f>
        <v>0</v>
      </c>
      <c r="BV67" s="658">
        <f>IF(BV$6&gt;$L67,0,BU67*(1-'Interest Rate'!$B$17))</f>
        <v>0</v>
      </c>
      <c r="BW67" s="658">
        <f>IF(BW$6&gt;$L67,0,BV67*(1-'Interest Rate'!$B$17))</f>
        <v>0</v>
      </c>
      <c r="BX67" s="658">
        <f>IF(BX$6&gt;$L67,0,BW67*(1-'Interest Rate'!$B$17))</f>
        <v>0</v>
      </c>
      <c r="BY67" s="658">
        <f>IF(BY$6&gt;$L67,0,BX67*(1-'Interest Rate'!$B$17))</f>
        <v>0</v>
      </c>
      <c r="BZ67" s="658">
        <f>IF(BZ$6&gt;$L67,0,BY67*(1-'Interest Rate'!$B$17))</f>
        <v>0</v>
      </c>
      <c r="CA67" s="658">
        <f>IF(CA$6&gt;$L67,0,BZ67*(1-'Interest Rate'!$B$17))</f>
        <v>0</v>
      </c>
      <c r="CB67" s="658">
        <f>IF(CB$6&gt;$L67,0,CA67*(1-'Interest Rate'!$B$17))</f>
        <v>0</v>
      </c>
      <c r="CC67" s="658">
        <f>IF(CC$6&gt;$L67,0,CB67*(1-'Interest Rate'!$B$17))</f>
        <v>0</v>
      </c>
      <c r="CD67" s="658">
        <f>IF(CD$6&gt;$L67,0,CC67*(1-'Interest Rate'!$B$17))</f>
        <v>0</v>
      </c>
      <c r="CE67" s="658">
        <f>IF(CE$6&gt;$L67,0,CD67*(1-'Interest Rate'!$B$17))</f>
        <v>0</v>
      </c>
      <c r="CF67" s="658">
        <f>IF(CF$6&gt;$L67,0,CE67*(1-'Interest Rate'!$B$17))</f>
        <v>0</v>
      </c>
      <c r="CG67" s="658">
        <f>IF(CG$6&gt;$L67,0,CF67*(1-'Interest Rate'!$B$17))</f>
        <v>0</v>
      </c>
      <c r="CH67" s="658">
        <f>IF(CH$6&gt;$L67,0,CG67*(1-'Interest Rate'!$B$17))</f>
        <v>0</v>
      </c>
      <c r="CI67" s="658">
        <f>IF(CI$6&gt;$L67,0,CH67*(1-'Interest Rate'!$B$17))</f>
        <v>0</v>
      </c>
      <c r="CJ67" s="658">
        <f>IF(CJ$6&gt;$L67,0,CI67*(1-'Interest Rate'!$B$17))</f>
        <v>0</v>
      </c>
      <c r="CK67" s="658">
        <f>IF(CK$6&gt;$L67,0,CJ67*(1-'Interest Rate'!$B$17))</f>
        <v>0</v>
      </c>
      <c r="CL67" s="658">
        <f>IF(CL$6&gt;$L67,0,CK67*(1-'Interest Rate'!$B$17))</f>
        <v>0</v>
      </c>
      <c r="CM67" s="658">
        <f>IF(CM$6&gt;$L67,0,CL67*(1-'Interest Rate'!$B$17))</f>
        <v>0</v>
      </c>
      <c r="CN67" s="658">
        <f>IF(CN$6&gt;$L67,0,CM67*(1-'Interest Rate'!$B$17))</f>
        <v>0</v>
      </c>
      <c r="CO67" s="658">
        <f>IF(CO$6&gt;$L67,0,CN67*(1-'Interest Rate'!$B$17))</f>
        <v>0</v>
      </c>
      <c r="CP67" s="658">
        <f>IF(CP$6&gt;$L67,0,CO67*(1-'Interest Rate'!$B$17))</f>
        <v>0</v>
      </c>
      <c r="CQ67" s="658">
        <f>IF(CQ$6&gt;$L67,0,CP67*(1-'Interest Rate'!$B$17))</f>
        <v>0</v>
      </c>
      <c r="CR67" s="658">
        <f>IF(CR$6&gt;$L67,0,CQ67*(1-'Interest Rate'!$B$17))</f>
        <v>0</v>
      </c>
      <c r="CS67" s="658">
        <f>IF(CS$6&gt;$L67,0,CR67*(1-'Interest Rate'!$B$17))</f>
        <v>0</v>
      </c>
      <c r="CT67" s="658">
        <f>IF(CT$6&gt;$L67,0,CS67*(1-'Interest Rate'!$B$17))</f>
        <v>0</v>
      </c>
      <c r="CU67" s="658">
        <f>IF(CU$6&gt;$L67,0,CT67*(1-'Interest Rate'!$B$17))</f>
        <v>0</v>
      </c>
      <c r="CV67" s="658">
        <f>IF(CV$6&gt;$L67,0,CU67*(1-'Interest Rate'!$B$17))</f>
        <v>0</v>
      </c>
      <c r="CW67" s="658">
        <f>IF(CW$6&gt;$L67,0,CV67*(1-'Interest Rate'!$B$17))</f>
        <v>0</v>
      </c>
      <c r="CX67" s="658">
        <f>IF(CX$6&gt;$L67,0,CW67*(1-'Interest Rate'!$B$17))</f>
        <v>0</v>
      </c>
      <c r="CY67" s="658">
        <f>IF(CY$6&gt;$L67,0,CX67*(1-'Interest Rate'!$B$17))</f>
        <v>0</v>
      </c>
      <c r="CZ67" s="658">
        <f>IF(CZ$6&gt;$L67,0,CY67*(1-'Interest Rate'!$B$17))</f>
        <v>0</v>
      </c>
      <c r="DA67" s="658">
        <f>IF(DA$6&gt;$L67,0,CZ67*(1-'Interest Rate'!$B$17))</f>
        <v>0</v>
      </c>
      <c r="DB67" s="658">
        <f>IF(DB$6&gt;$L67,0,DA67*(1-'Interest Rate'!$B$17))</f>
        <v>0</v>
      </c>
      <c r="DC67" s="658">
        <f>IF(DC$6&gt;$L67,0,DB67*(1-'Interest Rate'!$B$17))</f>
        <v>0</v>
      </c>
      <c r="DD67" s="658">
        <f>IF(DD$6&gt;$L67,0,DC67*(1-'Interest Rate'!$B$17))</f>
        <v>0</v>
      </c>
      <c r="DE67" s="658">
        <f>IF(DE$6&gt;$L67,0,DD67*(1-'Interest Rate'!$B$17))</f>
        <v>0</v>
      </c>
      <c r="DF67" s="658">
        <f>IF(DF$6&gt;$L67,0,DE67*(1-'Interest Rate'!$B$17))</f>
        <v>0</v>
      </c>
      <c r="DG67" s="658">
        <f>IF(DG$6&gt;$L67,0,DF67*(1-'Interest Rate'!$B$17))</f>
        <v>0</v>
      </c>
      <c r="DH67" s="658">
        <f>IF(DH$6&gt;$L67,0,DG67*(1-'Interest Rate'!$B$17))</f>
        <v>0</v>
      </c>
      <c r="DI67" s="658">
        <f>IF(DI$6&gt;$L67,0,DH67*(1-'Interest Rate'!$B$17))</f>
        <v>0</v>
      </c>
      <c r="DJ67" s="658">
        <f>IF(DJ$6&gt;$L67,0,DI67*(1-'Interest Rate'!$B$17))</f>
        <v>0</v>
      </c>
      <c r="DK67" s="658">
        <f>IF(DK$6&gt;$L67,0,DJ67*(1-'Interest Rate'!$B$17))</f>
        <v>0</v>
      </c>
      <c r="DL67" s="658">
        <f>IF(DL$6&gt;$L67,0,DK67*(1-'Interest Rate'!$B$17))</f>
        <v>0</v>
      </c>
      <c r="DM67" s="658">
        <f>IF(DM$6&gt;$L67,0,DL67*(1-'Interest Rate'!$B$17))</f>
        <v>0</v>
      </c>
      <c r="DN67" s="658">
        <f>IF(DN$6&gt;$L67,0,DM67*(1-'Interest Rate'!$B$17))</f>
        <v>0</v>
      </c>
      <c r="DO67" s="658">
        <f>IF(DO$6&gt;$L67,0,DN67*(1-'Interest Rate'!$B$17))</f>
        <v>0</v>
      </c>
      <c r="DP67" s="658">
        <f>IF(DP$6&gt;$L67,0,DO67*(1-'Interest Rate'!$B$17))</f>
        <v>0</v>
      </c>
      <c r="DQ67" s="658">
        <f>IF(DQ$6&gt;$L67,0,DP67*(1-'Interest Rate'!$B$17))</f>
        <v>0</v>
      </c>
      <c r="DR67" s="658">
        <f>IF(DR$6&gt;$L67,0,DQ67*(1-'Interest Rate'!$B$17))</f>
        <v>0</v>
      </c>
    </row>
    <row r="68" spans="1:122" ht="33" customHeight="1" x14ac:dyDescent="0.4">
      <c r="A68" s="696" t="str">
        <f>'EEM Data Entry'!A142</f>
        <v/>
      </c>
      <c r="B68" s="697" t="str">
        <f>IF('Packaged EEMs'!B58="  ","  ", 'EEM Data Entry'!B142)</f>
        <v/>
      </c>
      <c r="C68" s="671" t="str">
        <f>'EEM Data Entry'!F142</f>
        <v/>
      </c>
      <c r="D68" s="671">
        <v>0</v>
      </c>
      <c r="E68" s="671" t="e">
        <f t="shared" ref="E68:E80" si="26">C68-D68</f>
        <v>#VALUE!</v>
      </c>
      <c r="F68" s="662">
        <f>('Cascading Savings'!D70*'Cascading Savings'!D$4)+('Cascading Savings'!F70*'Cascading Savings'!F$4)+('Cascading Savings'!H70*'Cascading Savings'!H$4)+('Cascading Savings'!J70*'Cascading Savings'!J$4)+('Cascading Savings'!L70*'Cascading Savings'!L$4)+('Cascading Savings'!N70*'Cascading Savings'!N$4)+('Cascading Savings'!P70*'Cascading Savings'!P$4)+('Cascading Savings'!R70*'Cascading Savings'!R$4)</f>
        <v>0</v>
      </c>
      <c r="G68" s="721">
        <f>'Savings Summary'!T70</f>
        <v>0</v>
      </c>
      <c r="H68" s="672" t="e">
        <f>IF(C68=0,"n/a",E68/F68)</f>
        <v>#VALUE!</v>
      </c>
      <c r="I68" s="668" t="e">
        <f t="shared" si="22"/>
        <v>#VALUE!</v>
      </c>
      <c r="J68" s="673" t="e">
        <f t="shared" si="23"/>
        <v>#NUM!</v>
      </c>
      <c r="K68" s="674" t="e">
        <f>PV('Interest Rate'!$B$17,Table415[[#This Row],[Lifetime]],-Table415[[#This Row],[ANNUAL ENERGY COST SAVINGS]],Table415[[#This Row],[END-OF-LIFE]],0)-Table415[[#This Row],[ CAPITAL INVESTMENT]]</f>
        <v>#VALUE!</v>
      </c>
      <c r="L68" s="668" t="str">
        <f>'EEM Data Entry'!C142</f>
        <v/>
      </c>
      <c r="M68" s="720" t="e">
        <f>Table415[[#This Row],[ANNUAL ENERGY COST SAVINGS]]/Table415[[#This Row],[ CAPITAL INVESTMENT]]</f>
        <v>#VALUE!</v>
      </c>
      <c r="N68" s="704">
        <f>IF(ISNUMBER(Table415[[#This Row],[NPV]])=TRUE,Table415[[#This Row],[NPV]],0)</f>
        <v>0</v>
      </c>
      <c r="O68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68" s="568" t="str">
        <f>Table415[[#This Row],[Lifetime]]</f>
        <v/>
      </c>
      <c r="V68" s="657" t="str">
        <f t="shared" si="24"/>
        <v/>
      </c>
      <c r="W68" s="658">
        <f t="shared" si="25"/>
        <v>0</v>
      </c>
      <c r="X68" s="658">
        <f>IF(X$6&gt;$L68,0,W68*(1-'Interest Rate'!$B$17))</f>
        <v>0</v>
      </c>
      <c r="Y68" s="658">
        <f>IF(Y$6&gt;$L68,0,X68*(1-'Interest Rate'!$B$17))</f>
        <v>0</v>
      </c>
      <c r="Z68" s="658">
        <f>IF(Z$6&gt;$L68,0,Y68*(1-'Interest Rate'!$B$17))</f>
        <v>0</v>
      </c>
      <c r="AA68" s="658">
        <f>IF(AA$6&gt;$L68,0,Z68*(1-'Interest Rate'!$B$17))</f>
        <v>0</v>
      </c>
      <c r="AB68" s="658">
        <f>IF(AB$6&gt;$L68,0,AA68*(1-'Interest Rate'!$B$17))</f>
        <v>0</v>
      </c>
      <c r="AC68" s="658">
        <f>IF(AC$6&gt;$L68,0,AB68*(1-'Interest Rate'!$B$17))</f>
        <v>0</v>
      </c>
      <c r="AD68" s="658">
        <f>IF(AD$6&gt;$L68,0,AC68*(1-'Interest Rate'!$B$17))</f>
        <v>0</v>
      </c>
      <c r="AE68" s="658">
        <f>IF(AE$6&gt;$L68,0,AD68*(1-'Interest Rate'!$B$17))</f>
        <v>0</v>
      </c>
      <c r="AF68" s="658">
        <f>IF(AF$6&gt;$L68,0,AE68*(1-'Interest Rate'!$B$17))</f>
        <v>0</v>
      </c>
      <c r="AG68" s="658">
        <f>IF(AG$6&gt;$L68,0,AF68*(1-'Interest Rate'!$B$17))</f>
        <v>0</v>
      </c>
      <c r="AH68" s="658">
        <f>IF(AH$6&gt;$L68,0,AG68*(1-'Interest Rate'!$B$17))</f>
        <v>0</v>
      </c>
      <c r="AI68" s="658">
        <f>IF(AI$6&gt;$L68,0,AH68*(1-'Interest Rate'!$B$17))</f>
        <v>0</v>
      </c>
      <c r="AJ68" s="658">
        <f>IF(AJ$6&gt;$L68,0,AI68*(1-'Interest Rate'!$B$17))</f>
        <v>0</v>
      </c>
      <c r="AK68" s="658">
        <f>IF(AK$6&gt;$L68,0,AJ68*(1-'Interest Rate'!$B$17))</f>
        <v>0</v>
      </c>
      <c r="AL68" s="658">
        <f>IF(AL$6&gt;$L68,0,AK68*(1-'Interest Rate'!$B$17))</f>
        <v>0</v>
      </c>
      <c r="AM68" s="658">
        <f>IF(AM$6&gt;$L68,0,AL68*(1-'Interest Rate'!$B$17))</f>
        <v>0</v>
      </c>
      <c r="AN68" s="658">
        <f>IF(AN$6&gt;$L68,0,AM68*(1-'Interest Rate'!$B$17))</f>
        <v>0</v>
      </c>
      <c r="AO68" s="658">
        <f>IF(AO$6&gt;$L68,0,AN68*(1-'Interest Rate'!$B$17))</f>
        <v>0</v>
      </c>
      <c r="AP68" s="658">
        <f>IF(AP$6&gt;$L68,0,AO68*(1-'Interest Rate'!$B$17))</f>
        <v>0</v>
      </c>
      <c r="AQ68" s="658">
        <f>IF(AQ$6&gt;$L68,0,AP68*(1-'Interest Rate'!$B$17))</f>
        <v>0</v>
      </c>
      <c r="AR68" s="658">
        <f>IF(AR$6&gt;$L68,0,AQ68*(1-'Interest Rate'!$B$17))</f>
        <v>0</v>
      </c>
      <c r="AS68" s="658">
        <f>IF(AS$6&gt;$L68,0,AR68*(1-'Interest Rate'!$B$17))</f>
        <v>0</v>
      </c>
      <c r="AT68" s="658">
        <f>IF(AT$6&gt;$L68,0,AS68*(1-'Interest Rate'!$B$17))</f>
        <v>0</v>
      </c>
      <c r="AU68" s="658">
        <f>IF(AU$6&gt;$L68,0,AT68*(1-'Interest Rate'!$B$17))</f>
        <v>0</v>
      </c>
      <c r="AV68" s="658">
        <f>IF(AV$6&gt;$L68,0,AU68*(1-'Interest Rate'!$B$17))</f>
        <v>0</v>
      </c>
      <c r="AW68" s="658">
        <f>IF(AW$6&gt;$L68,0,AV68*(1-'Interest Rate'!$B$17))</f>
        <v>0</v>
      </c>
      <c r="AX68" s="658">
        <f>IF(AX$6&gt;$L68,0,AW68*(1-'Interest Rate'!$B$17))</f>
        <v>0</v>
      </c>
      <c r="AY68" s="658">
        <f>IF(AY$6&gt;$L68,0,AX68*(1-'Interest Rate'!$B$17))</f>
        <v>0</v>
      </c>
      <c r="AZ68" s="658">
        <f>IF(AZ$6&gt;$L68,0,AY68*(1-'Interest Rate'!$B$17))</f>
        <v>0</v>
      </c>
      <c r="BA68" s="658">
        <f>IF(BA$6&gt;$L68,0,AZ68*(1-'Interest Rate'!$B$17))</f>
        <v>0</v>
      </c>
      <c r="BB68" s="658">
        <f>IF(BB$6&gt;$L68,0,BA68*(1-'Interest Rate'!$B$17))</f>
        <v>0</v>
      </c>
      <c r="BC68" s="658">
        <f>IF(BC$6&gt;$L68,0,BB68*(1-'Interest Rate'!$B$17))</f>
        <v>0</v>
      </c>
      <c r="BD68" s="658">
        <f>IF(BD$6&gt;$L68,0,BC68*(1-'Interest Rate'!$B$17))</f>
        <v>0</v>
      </c>
      <c r="BE68" s="658">
        <f>IF(BE$6&gt;$L68,0,BD68*(1-'Interest Rate'!$B$17))</f>
        <v>0</v>
      </c>
      <c r="BF68" s="658">
        <f>IF(BF$6&gt;$L68,0,BE68*(1-'Interest Rate'!$B$17))</f>
        <v>0</v>
      </c>
      <c r="BG68" s="658">
        <f>IF(BG$6&gt;$L68,0,BF68*(1-'Interest Rate'!$B$17))</f>
        <v>0</v>
      </c>
      <c r="BH68" s="658">
        <f>IF(BH$6&gt;$L68,0,BG68*(1-'Interest Rate'!$B$17))</f>
        <v>0</v>
      </c>
      <c r="BI68" s="658">
        <f>IF(BI$6&gt;$L68,0,BH68*(1-'Interest Rate'!$B$17))</f>
        <v>0</v>
      </c>
      <c r="BJ68" s="658">
        <f>IF(BJ$6&gt;$L68,0,BI68*(1-'Interest Rate'!$B$17))</f>
        <v>0</v>
      </c>
      <c r="BK68" s="658">
        <f>IF(BK$6&gt;$L68,0,BJ68*(1-'Interest Rate'!$B$17))</f>
        <v>0</v>
      </c>
      <c r="BL68" s="658">
        <f>IF(BL$6&gt;$L68,0,BK68*(1-'Interest Rate'!$B$17))</f>
        <v>0</v>
      </c>
      <c r="BM68" s="658">
        <f>IF(BM$6&gt;$L68,0,BL68*(1-'Interest Rate'!$B$17))</f>
        <v>0</v>
      </c>
      <c r="BN68" s="658">
        <f>IF(BN$6&gt;$L68,0,BM68*(1-'Interest Rate'!$B$17))</f>
        <v>0</v>
      </c>
      <c r="BO68" s="658">
        <f>IF(BO$6&gt;$L68,0,BN68*(1-'Interest Rate'!$B$17))</f>
        <v>0</v>
      </c>
      <c r="BP68" s="658">
        <f>IF(BP$6&gt;$L68,0,BO68*(1-'Interest Rate'!$B$17))</f>
        <v>0</v>
      </c>
      <c r="BQ68" s="658">
        <f>IF(BQ$6&gt;$L68,0,BP68*(1-'Interest Rate'!$B$17))</f>
        <v>0</v>
      </c>
      <c r="BR68" s="658">
        <f>IF(BR$6&gt;$L68,0,BQ68*(1-'Interest Rate'!$B$17))</f>
        <v>0</v>
      </c>
      <c r="BS68" s="658">
        <f>IF(BS$6&gt;$L68,0,BR68*(1-'Interest Rate'!$B$17))</f>
        <v>0</v>
      </c>
      <c r="BT68" s="658">
        <f>IF(BT$6&gt;$L68,0,BS68*(1-'Interest Rate'!$B$17))</f>
        <v>0</v>
      </c>
      <c r="BU68" s="658">
        <f>IF(BU$6&gt;$L68,0,BT68*(1-'Interest Rate'!$B$17))</f>
        <v>0</v>
      </c>
      <c r="BV68" s="658">
        <f>IF(BV$6&gt;$L68,0,BU68*(1-'Interest Rate'!$B$17))</f>
        <v>0</v>
      </c>
      <c r="BW68" s="658">
        <f>IF(BW$6&gt;$L68,0,BV68*(1-'Interest Rate'!$B$17))</f>
        <v>0</v>
      </c>
      <c r="BX68" s="658">
        <f>IF(BX$6&gt;$L68,0,BW68*(1-'Interest Rate'!$B$17))</f>
        <v>0</v>
      </c>
      <c r="BY68" s="658">
        <f>IF(BY$6&gt;$L68,0,BX68*(1-'Interest Rate'!$B$17))</f>
        <v>0</v>
      </c>
      <c r="BZ68" s="658">
        <f>IF(BZ$6&gt;$L68,0,BY68*(1-'Interest Rate'!$B$17))</f>
        <v>0</v>
      </c>
      <c r="CA68" s="658">
        <f>IF(CA$6&gt;$L68,0,BZ68*(1-'Interest Rate'!$B$17))</f>
        <v>0</v>
      </c>
      <c r="CB68" s="658">
        <f>IF(CB$6&gt;$L68,0,CA68*(1-'Interest Rate'!$B$17))</f>
        <v>0</v>
      </c>
      <c r="CC68" s="658">
        <f>IF(CC$6&gt;$L68,0,CB68*(1-'Interest Rate'!$B$17))</f>
        <v>0</v>
      </c>
      <c r="CD68" s="658">
        <f>IF(CD$6&gt;$L68,0,CC68*(1-'Interest Rate'!$B$17))</f>
        <v>0</v>
      </c>
      <c r="CE68" s="658">
        <f>IF(CE$6&gt;$L68,0,CD68*(1-'Interest Rate'!$B$17))</f>
        <v>0</v>
      </c>
      <c r="CF68" s="658">
        <f>IF(CF$6&gt;$L68,0,CE68*(1-'Interest Rate'!$B$17))</f>
        <v>0</v>
      </c>
      <c r="CG68" s="658">
        <f>IF(CG$6&gt;$L68,0,CF68*(1-'Interest Rate'!$B$17))</f>
        <v>0</v>
      </c>
      <c r="CH68" s="658">
        <f>IF(CH$6&gt;$L68,0,CG68*(1-'Interest Rate'!$B$17))</f>
        <v>0</v>
      </c>
      <c r="CI68" s="658">
        <f>IF(CI$6&gt;$L68,0,CH68*(1-'Interest Rate'!$B$17))</f>
        <v>0</v>
      </c>
      <c r="CJ68" s="658">
        <f>IF(CJ$6&gt;$L68,0,CI68*(1-'Interest Rate'!$B$17))</f>
        <v>0</v>
      </c>
      <c r="CK68" s="658">
        <f>IF(CK$6&gt;$L68,0,CJ68*(1-'Interest Rate'!$B$17))</f>
        <v>0</v>
      </c>
      <c r="CL68" s="658">
        <f>IF(CL$6&gt;$L68,0,CK68*(1-'Interest Rate'!$B$17))</f>
        <v>0</v>
      </c>
      <c r="CM68" s="658">
        <f>IF(CM$6&gt;$L68,0,CL68*(1-'Interest Rate'!$B$17))</f>
        <v>0</v>
      </c>
      <c r="CN68" s="658">
        <f>IF(CN$6&gt;$L68,0,CM68*(1-'Interest Rate'!$B$17))</f>
        <v>0</v>
      </c>
      <c r="CO68" s="658">
        <f>IF(CO$6&gt;$L68,0,CN68*(1-'Interest Rate'!$B$17))</f>
        <v>0</v>
      </c>
      <c r="CP68" s="658">
        <f>IF(CP$6&gt;$L68,0,CO68*(1-'Interest Rate'!$B$17))</f>
        <v>0</v>
      </c>
      <c r="CQ68" s="658">
        <f>IF(CQ$6&gt;$L68,0,CP68*(1-'Interest Rate'!$B$17))</f>
        <v>0</v>
      </c>
      <c r="CR68" s="658">
        <f>IF(CR$6&gt;$L68,0,CQ68*(1-'Interest Rate'!$B$17))</f>
        <v>0</v>
      </c>
      <c r="CS68" s="658">
        <f>IF(CS$6&gt;$L68,0,CR68*(1-'Interest Rate'!$B$17))</f>
        <v>0</v>
      </c>
      <c r="CT68" s="658">
        <f>IF(CT$6&gt;$L68,0,CS68*(1-'Interest Rate'!$B$17))</f>
        <v>0</v>
      </c>
      <c r="CU68" s="658">
        <f>IF(CU$6&gt;$L68,0,CT68*(1-'Interest Rate'!$B$17))</f>
        <v>0</v>
      </c>
      <c r="CV68" s="658">
        <f>IF(CV$6&gt;$L68,0,CU68*(1-'Interest Rate'!$B$17))</f>
        <v>0</v>
      </c>
      <c r="CW68" s="658">
        <f>IF(CW$6&gt;$L68,0,CV68*(1-'Interest Rate'!$B$17))</f>
        <v>0</v>
      </c>
      <c r="CX68" s="658">
        <f>IF(CX$6&gt;$L68,0,CW68*(1-'Interest Rate'!$B$17))</f>
        <v>0</v>
      </c>
      <c r="CY68" s="658">
        <f>IF(CY$6&gt;$L68,0,CX68*(1-'Interest Rate'!$B$17))</f>
        <v>0</v>
      </c>
      <c r="CZ68" s="658">
        <f>IF(CZ$6&gt;$L68,0,CY68*(1-'Interest Rate'!$B$17))</f>
        <v>0</v>
      </c>
      <c r="DA68" s="658">
        <f>IF(DA$6&gt;$L68,0,CZ68*(1-'Interest Rate'!$B$17))</f>
        <v>0</v>
      </c>
      <c r="DB68" s="658">
        <f>IF(DB$6&gt;$L68,0,DA68*(1-'Interest Rate'!$B$17))</f>
        <v>0</v>
      </c>
      <c r="DC68" s="658">
        <f>IF(DC$6&gt;$L68,0,DB68*(1-'Interest Rate'!$B$17))</f>
        <v>0</v>
      </c>
      <c r="DD68" s="658">
        <f>IF(DD$6&gt;$L68,0,DC68*(1-'Interest Rate'!$B$17))</f>
        <v>0</v>
      </c>
      <c r="DE68" s="658">
        <f>IF(DE$6&gt;$L68,0,DD68*(1-'Interest Rate'!$B$17))</f>
        <v>0</v>
      </c>
      <c r="DF68" s="658">
        <f>IF(DF$6&gt;$L68,0,DE68*(1-'Interest Rate'!$B$17))</f>
        <v>0</v>
      </c>
      <c r="DG68" s="658">
        <f>IF(DG$6&gt;$L68,0,DF68*(1-'Interest Rate'!$B$17))</f>
        <v>0</v>
      </c>
      <c r="DH68" s="658">
        <f>IF(DH$6&gt;$L68,0,DG68*(1-'Interest Rate'!$B$17))</f>
        <v>0</v>
      </c>
      <c r="DI68" s="658">
        <f>IF(DI$6&gt;$L68,0,DH68*(1-'Interest Rate'!$B$17))</f>
        <v>0</v>
      </c>
      <c r="DJ68" s="658">
        <f>IF(DJ$6&gt;$L68,0,DI68*(1-'Interest Rate'!$B$17))</f>
        <v>0</v>
      </c>
      <c r="DK68" s="658">
        <f>IF(DK$6&gt;$L68,0,DJ68*(1-'Interest Rate'!$B$17))</f>
        <v>0</v>
      </c>
      <c r="DL68" s="658">
        <f>IF(DL$6&gt;$L68,0,DK68*(1-'Interest Rate'!$B$17))</f>
        <v>0</v>
      </c>
      <c r="DM68" s="658">
        <f>IF(DM$6&gt;$L68,0,DL68*(1-'Interest Rate'!$B$17))</f>
        <v>0</v>
      </c>
      <c r="DN68" s="658">
        <f>IF(DN$6&gt;$L68,0,DM68*(1-'Interest Rate'!$B$17))</f>
        <v>0</v>
      </c>
      <c r="DO68" s="658">
        <f>IF(DO$6&gt;$L68,0,DN68*(1-'Interest Rate'!$B$17))</f>
        <v>0</v>
      </c>
      <c r="DP68" s="658">
        <f>IF(DP$6&gt;$L68,0,DO68*(1-'Interest Rate'!$B$17))</f>
        <v>0</v>
      </c>
      <c r="DQ68" s="658">
        <f>IF(DQ$6&gt;$L68,0,DP68*(1-'Interest Rate'!$B$17))</f>
        <v>0</v>
      </c>
      <c r="DR68" s="658">
        <f>IF(DR$6&gt;$L68,0,DQ68*(1-'Interest Rate'!$B$17))</f>
        <v>0</v>
      </c>
    </row>
    <row r="69" spans="1:122" ht="33" customHeight="1" x14ac:dyDescent="0.4">
      <c r="A69" s="696" t="str">
        <f>'EEM Data Entry'!A143</f>
        <v/>
      </c>
      <c r="B69" s="697" t="str">
        <f>IF('Packaged EEMs'!B59="  ","  ", 'EEM Data Entry'!B143)</f>
        <v/>
      </c>
      <c r="C69" s="671" t="str">
        <f>'EEM Data Entry'!F143</f>
        <v/>
      </c>
      <c r="D69" s="671">
        <v>0</v>
      </c>
      <c r="E69" s="671" t="e">
        <f t="shared" si="26"/>
        <v>#VALUE!</v>
      </c>
      <c r="F69" s="650">
        <f>('Cascading Savings'!D71*'Cascading Savings'!D$4)+('Cascading Savings'!F71*'Cascading Savings'!F$4)+('Cascading Savings'!H71*'Cascading Savings'!H$4)+('Cascading Savings'!J71*'Cascading Savings'!J$4)+('Cascading Savings'!L71*'Cascading Savings'!L$4)+('Cascading Savings'!N71*'Cascading Savings'!N$4)+('Cascading Savings'!P71*'Cascading Savings'!P$4)+('Cascading Savings'!R71*'Cascading Savings'!R$4)</f>
        <v>0</v>
      </c>
      <c r="G69" s="719">
        <f>'Savings Summary'!T71</f>
        <v>0</v>
      </c>
      <c r="H69" s="672" t="e">
        <f>IF(C69=0,"n/a",E69/F69)</f>
        <v>#VALUE!</v>
      </c>
      <c r="I69" s="668" t="e">
        <f t="shared" si="22"/>
        <v>#VALUE!</v>
      </c>
      <c r="J69" s="673" t="e">
        <f t="shared" si="23"/>
        <v>#NUM!</v>
      </c>
      <c r="K69" s="674" t="e">
        <f>PV('Interest Rate'!$B$17,Table415[[#This Row],[Lifetime]],-Table415[[#This Row],[ANNUAL ENERGY COST SAVINGS]],Table415[[#This Row],[END-OF-LIFE]],0)-Table415[[#This Row],[ CAPITAL INVESTMENT]]</f>
        <v>#VALUE!</v>
      </c>
      <c r="L69" s="668" t="str">
        <f>'EEM Data Entry'!C143</f>
        <v/>
      </c>
      <c r="M69" s="720" t="e">
        <f>Table415[[#This Row],[ANNUAL ENERGY COST SAVINGS]]/Table415[[#This Row],[ CAPITAL INVESTMENT]]</f>
        <v>#VALUE!</v>
      </c>
      <c r="N69" s="704">
        <f>IF(ISNUMBER(Table415[[#This Row],[NPV]])=TRUE,Table415[[#This Row],[NPV]],0)</f>
        <v>0</v>
      </c>
      <c r="O69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69" s="568" t="str">
        <f>Table415[[#This Row],[Lifetime]]</f>
        <v/>
      </c>
      <c r="V69" s="657" t="str">
        <f t="shared" si="24"/>
        <v/>
      </c>
      <c r="W69" s="658">
        <f t="shared" si="25"/>
        <v>0</v>
      </c>
      <c r="X69" s="658">
        <f>IF(X$6&gt;$L69,0,W69*(1-'Interest Rate'!$B$17))</f>
        <v>0</v>
      </c>
      <c r="Y69" s="658">
        <f>IF(Y$6&gt;$L69,0,X69*(1-'Interest Rate'!$B$17))</f>
        <v>0</v>
      </c>
      <c r="Z69" s="658">
        <f>IF(Z$6&gt;$L69,0,Y69*(1-'Interest Rate'!$B$17))</f>
        <v>0</v>
      </c>
      <c r="AA69" s="658">
        <f>IF(AA$6&gt;$L69,0,Z69*(1-'Interest Rate'!$B$17))</f>
        <v>0</v>
      </c>
      <c r="AB69" s="658">
        <f>IF(AB$6&gt;$L69,0,AA69*(1-'Interest Rate'!$B$17))</f>
        <v>0</v>
      </c>
      <c r="AC69" s="658">
        <f>IF(AC$6&gt;$L69,0,AB69*(1-'Interest Rate'!$B$17))</f>
        <v>0</v>
      </c>
      <c r="AD69" s="658">
        <f>IF(AD$6&gt;$L69,0,AC69*(1-'Interest Rate'!$B$17))</f>
        <v>0</v>
      </c>
      <c r="AE69" s="658">
        <f>IF(AE$6&gt;$L69,0,AD69*(1-'Interest Rate'!$B$17))</f>
        <v>0</v>
      </c>
      <c r="AF69" s="658">
        <f>IF(AF$6&gt;$L69,0,AE69*(1-'Interest Rate'!$B$17))</f>
        <v>0</v>
      </c>
      <c r="AG69" s="658">
        <f>IF(AG$6&gt;$L69,0,AF69*(1-'Interest Rate'!$B$17))</f>
        <v>0</v>
      </c>
      <c r="AH69" s="658">
        <f>IF(AH$6&gt;$L69,0,AG69*(1-'Interest Rate'!$B$17))</f>
        <v>0</v>
      </c>
      <c r="AI69" s="658">
        <f>IF(AI$6&gt;$L69,0,AH69*(1-'Interest Rate'!$B$17))</f>
        <v>0</v>
      </c>
      <c r="AJ69" s="658">
        <f>IF(AJ$6&gt;$L69,0,AI69*(1-'Interest Rate'!$B$17))</f>
        <v>0</v>
      </c>
      <c r="AK69" s="658">
        <f>IF(AK$6&gt;$L69,0,AJ69*(1-'Interest Rate'!$B$17))</f>
        <v>0</v>
      </c>
      <c r="AL69" s="658">
        <f>IF(AL$6&gt;$L69,0,AK69*(1-'Interest Rate'!$B$17))</f>
        <v>0</v>
      </c>
      <c r="AM69" s="658">
        <f>IF(AM$6&gt;$L69,0,AL69*(1-'Interest Rate'!$B$17))</f>
        <v>0</v>
      </c>
      <c r="AN69" s="658">
        <f>IF(AN$6&gt;$L69,0,AM69*(1-'Interest Rate'!$B$17))</f>
        <v>0</v>
      </c>
      <c r="AO69" s="658">
        <f>IF(AO$6&gt;$L69,0,AN69*(1-'Interest Rate'!$B$17))</f>
        <v>0</v>
      </c>
      <c r="AP69" s="658">
        <f>IF(AP$6&gt;$L69,0,AO69*(1-'Interest Rate'!$B$17))</f>
        <v>0</v>
      </c>
      <c r="AQ69" s="658">
        <f>IF(AQ$6&gt;$L69,0,AP69*(1-'Interest Rate'!$B$17))</f>
        <v>0</v>
      </c>
      <c r="AR69" s="658">
        <f>IF(AR$6&gt;$L69,0,AQ69*(1-'Interest Rate'!$B$17))</f>
        <v>0</v>
      </c>
      <c r="AS69" s="658">
        <f>IF(AS$6&gt;$L69,0,AR69*(1-'Interest Rate'!$B$17))</f>
        <v>0</v>
      </c>
      <c r="AT69" s="658">
        <f>IF(AT$6&gt;$L69,0,AS69*(1-'Interest Rate'!$B$17))</f>
        <v>0</v>
      </c>
      <c r="AU69" s="658">
        <f>IF(AU$6&gt;$L69,0,AT69*(1-'Interest Rate'!$B$17))</f>
        <v>0</v>
      </c>
      <c r="AV69" s="658">
        <f>IF(AV$6&gt;$L69,0,AU69*(1-'Interest Rate'!$B$17))</f>
        <v>0</v>
      </c>
      <c r="AW69" s="658">
        <f>IF(AW$6&gt;$L69,0,AV69*(1-'Interest Rate'!$B$17))</f>
        <v>0</v>
      </c>
      <c r="AX69" s="658">
        <f>IF(AX$6&gt;$L69,0,AW69*(1-'Interest Rate'!$B$17))</f>
        <v>0</v>
      </c>
      <c r="AY69" s="658">
        <f>IF(AY$6&gt;$L69,0,AX69*(1-'Interest Rate'!$B$17))</f>
        <v>0</v>
      </c>
      <c r="AZ69" s="658">
        <f>IF(AZ$6&gt;$L69,0,AY69*(1-'Interest Rate'!$B$17))</f>
        <v>0</v>
      </c>
      <c r="BA69" s="658">
        <f>IF(BA$6&gt;$L69,0,AZ69*(1-'Interest Rate'!$B$17))</f>
        <v>0</v>
      </c>
      <c r="BB69" s="658">
        <f>IF(BB$6&gt;$L69,0,BA69*(1-'Interest Rate'!$B$17))</f>
        <v>0</v>
      </c>
      <c r="BC69" s="658">
        <f>IF(BC$6&gt;$L69,0,BB69*(1-'Interest Rate'!$B$17))</f>
        <v>0</v>
      </c>
      <c r="BD69" s="658">
        <f>IF(BD$6&gt;$L69,0,BC69*(1-'Interest Rate'!$B$17))</f>
        <v>0</v>
      </c>
      <c r="BE69" s="658">
        <f>IF(BE$6&gt;$L69,0,BD69*(1-'Interest Rate'!$B$17))</f>
        <v>0</v>
      </c>
      <c r="BF69" s="658">
        <f>IF(BF$6&gt;$L69,0,BE69*(1-'Interest Rate'!$B$17))</f>
        <v>0</v>
      </c>
      <c r="BG69" s="658">
        <f>IF(BG$6&gt;$L69,0,BF69*(1-'Interest Rate'!$B$17))</f>
        <v>0</v>
      </c>
      <c r="BH69" s="658">
        <f>IF(BH$6&gt;$L69,0,BG69*(1-'Interest Rate'!$B$17))</f>
        <v>0</v>
      </c>
      <c r="BI69" s="658">
        <f>IF(BI$6&gt;$L69,0,BH69*(1-'Interest Rate'!$B$17))</f>
        <v>0</v>
      </c>
      <c r="BJ69" s="658">
        <f>IF(BJ$6&gt;$L69,0,BI69*(1-'Interest Rate'!$B$17))</f>
        <v>0</v>
      </c>
      <c r="BK69" s="658">
        <f>IF(BK$6&gt;$L69,0,BJ69*(1-'Interest Rate'!$B$17))</f>
        <v>0</v>
      </c>
      <c r="BL69" s="658">
        <f>IF(BL$6&gt;$L69,0,BK69*(1-'Interest Rate'!$B$17))</f>
        <v>0</v>
      </c>
      <c r="BM69" s="658">
        <f>IF(BM$6&gt;$L69,0,BL69*(1-'Interest Rate'!$B$17))</f>
        <v>0</v>
      </c>
      <c r="BN69" s="658">
        <f>IF(BN$6&gt;$L69,0,BM69*(1-'Interest Rate'!$B$17))</f>
        <v>0</v>
      </c>
      <c r="BO69" s="658">
        <f>IF(BO$6&gt;$L69,0,BN69*(1-'Interest Rate'!$B$17))</f>
        <v>0</v>
      </c>
      <c r="BP69" s="658">
        <f>IF(BP$6&gt;$L69,0,BO69*(1-'Interest Rate'!$B$17))</f>
        <v>0</v>
      </c>
      <c r="BQ69" s="658">
        <f>IF(BQ$6&gt;$L69,0,BP69*(1-'Interest Rate'!$B$17))</f>
        <v>0</v>
      </c>
      <c r="BR69" s="658">
        <f>IF(BR$6&gt;$L69,0,BQ69*(1-'Interest Rate'!$B$17))</f>
        <v>0</v>
      </c>
      <c r="BS69" s="658">
        <f>IF(BS$6&gt;$L69,0,BR69*(1-'Interest Rate'!$B$17))</f>
        <v>0</v>
      </c>
      <c r="BT69" s="658">
        <f>IF(BT$6&gt;$L69,0,BS69*(1-'Interest Rate'!$B$17))</f>
        <v>0</v>
      </c>
      <c r="BU69" s="658">
        <f>IF(BU$6&gt;$L69,0,BT69*(1-'Interest Rate'!$B$17))</f>
        <v>0</v>
      </c>
      <c r="BV69" s="658">
        <f>IF(BV$6&gt;$L69,0,BU69*(1-'Interest Rate'!$B$17))</f>
        <v>0</v>
      </c>
      <c r="BW69" s="658">
        <f>IF(BW$6&gt;$L69,0,BV69*(1-'Interest Rate'!$B$17))</f>
        <v>0</v>
      </c>
      <c r="BX69" s="658">
        <f>IF(BX$6&gt;$L69,0,BW69*(1-'Interest Rate'!$B$17))</f>
        <v>0</v>
      </c>
      <c r="BY69" s="658">
        <f>IF(BY$6&gt;$L69,0,BX69*(1-'Interest Rate'!$B$17))</f>
        <v>0</v>
      </c>
      <c r="BZ69" s="658">
        <f>IF(BZ$6&gt;$L69,0,BY69*(1-'Interest Rate'!$B$17))</f>
        <v>0</v>
      </c>
      <c r="CA69" s="658">
        <f>IF(CA$6&gt;$L69,0,BZ69*(1-'Interest Rate'!$B$17))</f>
        <v>0</v>
      </c>
      <c r="CB69" s="658">
        <f>IF(CB$6&gt;$L69,0,CA69*(1-'Interest Rate'!$B$17))</f>
        <v>0</v>
      </c>
      <c r="CC69" s="658">
        <f>IF(CC$6&gt;$L69,0,CB69*(1-'Interest Rate'!$B$17))</f>
        <v>0</v>
      </c>
      <c r="CD69" s="658">
        <f>IF(CD$6&gt;$L69,0,CC69*(1-'Interest Rate'!$B$17))</f>
        <v>0</v>
      </c>
      <c r="CE69" s="658">
        <f>IF(CE$6&gt;$L69,0,CD69*(1-'Interest Rate'!$B$17))</f>
        <v>0</v>
      </c>
      <c r="CF69" s="658">
        <f>IF(CF$6&gt;$L69,0,CE69*(1-'Interest Rate'!$B$17))</f>
        <v>0</v>
      </c>
      <c r="CG69" s="658">
        <f>IF(CG$6&gt;$L69,0,CF69*(1-'Interest Rate'!$B$17))</f>
        <v>0</v>
      </c>
      <c r="CH69" s="658">
        <f>IF(CH$6&gt;$L69,0,CG69*(1-'Interest Rate'!$B$17))</f>
        <v>0</v>
      </c>
      <c r="CI69" s="658">
        <f>IF(CI$6&gt;$L69,0,CH69*(1-'Interest Rate'!$B$17))</f>
        <v>0</v>
      </c>
      <c r="CJ69" s="658">
        <f>IF(CJ$6&gt;$L69,0,CI69*(1-'Interest Rate'!$B$17))</f>
        <v>0</v>
      </c>
      <c r="CK69" s="658">
        <f>IF(CK$6&gt;$L69,0,CJ69*(1-'Interest Rate'!$B$17))</f>
        <v>0</v>
      </c>
      <c r="CL69" s="658">
        <f>IF(CL$6&gt;$L69,0,CK69*(1-'Interest Rate'!$B$17))</f>
        <v>0</v>
      </c>
      <c r="CM69" s="658">
        <f>IF(CM$6&gt;$L69,0,CL69*(1-'Interest Rate'!$B$17))</f>
        <v>0</v>
      </c>
      <c r="CN69" s="658">
        <f>IF(CN$6&gt;$L69,0,CM69*(1-'Interest Rate'!$B$17))</f>
        <v>0</v>
      </c>
      <c r="CO69" s="658">
        <f>IF(CO$6&gt;$L69,0,CN69*(1-'Interest Rate'!$B$17))</f>
        <v>0</v>
      </c>
      <c r="CP69" s="658">
        <f>IF(CP$6&gt;$L69,0,CO69*(1-'Interest Rate'!$B$17))</f>
        <v>0</v>
      </c>
      <c r="CQ69" s="658">
        <f>IF(CQ$6&gt;$L69,0,CP69*(1-'Interest Rate'!$B$17))</f>
        <v>0</v>
      </c>
      <c r="CR69" s="658">
        <f>IF(CR$6&gt;$L69,0,CQ69*(1-'Interest Rate'!$B$17))</f>
        <v>0</v>
      </c>
      <c r="CS69" s="658">
        <f>IF(CS$6&gt;$L69,0,CR69*(1-'Interest Rate'!$B$17))</f>
        <v>0</v>
      </c>
      <c r="CT69" s="658">
        <f>IF(CT$6&gt;$L69,0,CS69*(1-'Interest Rate'!$B$17))</f>
        <v>0</v>
      </c>
      <c r="CU69" s="658">
        <f>IF(CU$6&gt;$L69,0,CT69*(1-'Interest Rate'!$B$17))</f>
        <v>0</v>
      </c>
      <c r="CV69" s="658">
        <f>IF(CV$6&gt;$L69,0,CU69*(1-'Interest Rate'!$B$17))</f>
        <v>0</v>
      </c>
      <c r="CW69" s="658">
        <f>IF(CW$6&gt;$L69,0,CV69*(1-'Interest Rate'!$B$17))</f>
        <v>0</v>
      </c>
      <c r="CX69" s="658">
        <f>IF(CX$6&gt;$L69,0,CW69*(1-'Interest Rate'!$B$17))</f>
        <v>0</v>
      </c>
      <c r="CY69" s="658">
        <f>IF(CY$6&gt;$L69,0,CX69*(1-'Interest Rate'!$B$17))</f>
        <v>0</v>
      </c>
      <c r="CZ69" s="658">
        <f>IF(CZ$6&gt;$L69,0,CY69*(1-'Interest Rate'!$B$17))</f>
        <v>0</v>
      </c>
      <c r="DA69" s="658">
        <f>IF(DA$6&gt;$L69,0,CZ69*(1-'Interest Rate'!$B$17))</f>
        <v>0</v>
      </c>
      <c r="DB69" s="658">
        <f>IF(DB$6&gt;$L69,0,DA69*(1-'Interest Rate'!$B$17))</f>
        <v>0</v>
      </c>
      <c r="DC69" s="658">
        <f>IF(DC$6&gt;$L69,0,DB69*(1-'Interest Rate'!$B$17))</f>
        <v>0</v>
      </c>
      <c r="DD69" s="658">
        <f>IF(DD$6&gt;$L69,0,DC69*(1-'Interest Rate'!$B$17))</f>
        <v>0</v>
      </c>
      <c r="DE69" s="658">
        <f>IF(DE$6&gt;$L69,0,DD69*(1-'Interest Rate'!$B$17))</f>
        <v>0</v>
      </c>
      <c r="DF69" s="658">
        <f>IF(DF$6&gt;$L69,0,DE69*(1-'Interest Rate'!$B$17))</f>
        <v>0</v>
      </c>
      <c r="DG69" s="658">
        <f>IF(DG$6&gt;$L69,0,DF69*(1-'Interest Rate'!$B$17))</f>
        <v>0</v>
      </c>
      <c r="DH69" s="658">
        <f>IF(DH$6&gt;$L69,0,DG69*(1-'Interest Rate'!$B$17))</f>
        <v>0</v>
      </c>
      <c r="DI69" s="658">
        <f>IF(DI$6&gt;$L69,0,DH69*(1-'Interest Rate'!$B$17))</f>
        <v>0</v>
      </c>
      <c r="DJ69" s="658">
        <f>IF(DJ$6&gt;$L69,0,DI69*(1-'Interest Rate'!$B$17))</f>
        <v>0</v>
      </c>
      <c r="DK69" s="658">
        <f>IF(DK$6&gt;$L69,0,DJ69*(1-'Interest Rate'!$B$17))</f>
        <v>0</v>
      </c>
      <c r="DL69" s="658">
        <f>IF(DL$6&gt;$L69,0,DK69*(1-'Interest Rate'!$B$17))</f>
        <v>0</v>
      </c>
      <c r="DM69" s="658">
        <f>IF(DM$6&gt;$L69,0,DL69*(1-'Interest Rate'!$B$17))</f>
        <v>0</v>
      </c>
      <c r="DN69" s="658">
        <f>IF(DN$6&gt;$L69,0,DM69*(1-'Interest Rate'!$B$17))</f>
        <v>0</v>
      </c>
      <c r="DO69" s="658">
        <f>IF(DO$6&gt;$L69,0,DN69*(1-'Interest Rate'!$B$17))</f>
        <v>0</v>
      </c>
      <c r="DP69" s="658">
        <f>IF(DP$6&gt;$L69,0,DO69*(1-'Interest Rate'!$B$17))</f>
        <v>0</v>
      </c>
      <c r="DQ69" s="658">
        <f>IF(DQ$6&gt;$L69,0,DP69*(1-'Interest Rate'!$B$17))</f>
        <v>0</v>
      </c>
      <c r="DR69" s="658">
        <f>IF(DR$6&gt;$L69,0,DQ69*(1-'Interest Rate'!$B$17))</f>
        <v>0</v>
      </c>
    </row>
    <row r="70" spans="1:122" ht="33" customHeight="1" x14ac:dyDescent="0.4">
      <c r="A70" s="696" t="str">
        <f>'EEM Data Entry'!A144</f>
        <v/>
      </c>
      <c r="B70" s="697" t="str">
        <f>IF('Packaged EEMs'!B60="  ","  ", 'EEM Data Entry'!B144)</f>
        <v/>
      </c>
      <c r="C70" s="671" t="str">
        <f>'EEM Data Entry'!F144</f>
        <v/>
      </c>
      <c r="D70" s="671">
        <v>0</v>
      </c>
      <c r="E70" s="671" t="e">
        <f t="shared" si="26"/>
        <v>#VALUE!</v>
      </c>
      <c r="F70" s="662">
        <f>('Cascading Savings'!D72*'Cascading Savings'!D$4)+('Cascading Savings'!F72*'Cascading Savings'!F$4)+('Cascading Savings'!H72*'Cascading Savings'!H$4)+('Cascading Savings'!J72*'Cascading Savings'!J$4)+('Cascading Savings'!L72*'Cascading Savings'!L$4)+('Cascading Savings'!N72*'Cascading Savings'!N$4)+('Cascading Savings'!P72*'Cascading Savings'!P$4)+('Cascading Savings'!R72*'Cascading Savings'!R$4)</f>
        <v>0</v>
      </c>
      <c r="G70" s="721">
        <f>'Savings Summary'!T72</f>
        <v>0</v>
      </c>
      <c r="H70" s="672" t="e">
        <f>IF(C70=0,"n/a",E70/F70)</f>
        <v>#VALUE!</v>
      </c>
      <c r="I70" s="668" t="e">
        <f t="shared" si="22"/>
        <v>#VALUE!</v>
      </c>
      <c r="J70" s="673" t="e">
        <f t="shared" si="23"/>
        <v>#NUM!</v>
      </c>
      <c r="K70" s="674" t="e">
        <f>PV('Interest Rate'!$B$17,Table415[[#This Row],[Lifetime]],-Table415[[#This Row],[ANNUAL ENERGY COST SAVINGS]],Table415[[#This Row],[END-OF-LIFE]],0)-Table415[[#This Row],[ CAPITAL INVESTMENT]]</f>
        <v>#VALUE!</v>
      </c>
      <c r="L70" s="668" t="str">
        <f>'EEM Data Entry'!C144</f>
        <v/>
      </c>
      <c r="M70" s="720" t="e">
        <f>Table415[[#This Row],[ANNUAL ENERGY COST SAVINGS]]/Table415[[#This Row],[ CAPITAL INVESTMENT]]</f>
        <v>#VALUE!</v>
      </c>
      <c r="N70" s="704">
        <f>IF(ISNUMBER(Table415[[#This Row],[NPV]])=TRUE,Table415[[#This Row],[NPV]],0)</f>
        <v>0</v>
      </c>
      <c r="O70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70" s="568" t="str">
        <f>Table415[[#This Row],[Lifetime]]</f>
        <v/>
      </c>
      <c r="V70" s="657" t="str">
        <f t="shared" si="24"/>
        <v/>
      </c>
      <c r="W70" s="658">
        <f t="shared" si="25"/>
        <v>0</v>
      </c>
      <c r="X70" s="658">
        <f>IF(X$6&gt;$L70,0,W70*(1-'Interest Rate'!$B$17))</f>
        <v>0</v>
      </c>
      <c r="Y70" s="658">
        <f>IF(Y$6&gt;$L70,0,X70*(1-'Interest Rate'!$B$17))</f>
        <v>0</v>
      </c>
      <c r="Z70" s="658">
        <f>IF(Z$6&gt;$L70,0,Y70*(1-'Interest Rate'!$B$17))</f>
        <v>0</v>
      </c>
      <c r="AA70" s="658">
        <f>IF(AA$6&gt;$L70,0,Z70*(1-'Interest Rate'!$B$17))</f>
        <v>0</v>
      </c>
      <c r="AB70" s="658">
        <f>IF(AB$6&gt;$L70,0,AA70*(1-'Interest Rate'!$B$17))</f>
        <v>0</v>
      </c>
      <c r="AC70" s="658">
        <f>IF(AC$6&gt;$L70,0,AB70*(1-'Interest Rate'!$B$17))</f>
        <v>0</v>
      </c>
      <c r="AD70" s="658">
        <f>IF(AD$6&gt;$L70,0,AC70*(1-'Interest Rate'!$B$17))</f>
        <v>0</v>
      </c>
      <c r="AE70" s="658">
        <f>IF(AE$6&gt;$L70,0,AD70*(1-'Interest Rate'!$B$17))</f>
        <v>0</v>
      </c>
      <c r="AF70" s="658">
        <f>IF(AF$6&gt;$L70,0,AE70*(1-'Interest Rate'!$B$17))</f>
        <v>0</v>
      </c>
      <c r="AG70" s="658">
        <f>IF(AG$6&gt;$L70,0,AF70*(1-'Interest Rate'!$B$17))</f>
        <v>0</v>
      </c>
      <c r="AH70" s="658">
        <f>IF(AH$6&gt;$L70,0,AG70*(1-'Interest Rate'!$B$17))</f>
        <v>0</v>
      </c>
      <c r="AI70" s="658">
        <f>IF(AI$6&gt;$L70,0,AH70*(1-'Interest Rate'!$B$17))</f>
        <v>0</v>
      </c>
      <c r="AJ70" s="658">
        <f>IF(AJ$6&gt;$L70,0,AI70*(1-'Interest Rate'!$B$17))</f>
        <v>0</v>
      </c>
      <c r="AK70" s="658">
        <f>IF(AK$6&gt;$L70,0,AJ70*(1-'Interest Rate'!$B$17))</f>
        <v>0</v>
      </c>
      <c r="AL70" s="658">
        <f>IF(AL$6&gt;$L70,0,AK70*(1-'Interest Rate'!$B$17))</f>
        <v>0</v>
      </c>
      <c r="AM70" s="658">
        <f>IF(AM$6&gt;$L70,0,AL70*(1-'Interest Rate'!$B$17))</f>
        <v>0</v>
      </c>
      <c r="AN70" s="658">
        <f>IF(AN$6&gt;$L70,0,AM70*(1-'Interest Rate'!$B$17))</f>
        <v>0</v>
      </c>
      <c r="AO70" s="658">
        <f>IF(AO$6&gt;$L70,0,AN70*(1-'Interest Rate'!$B$17))</f>
        <v>0</v>
      </c>
      <c r="AP70" s="658">
        <f>IF(AP$6&gt;$L70,0,AO70*(1-'Interest Rate'!$B$17))</f>
        <v>0</v>
      </c>
      <c r="AQ70" s="658">
        <f>IF(AQ$6&gt;$L70,0,AP70*(1-'Interest Rate'!$B$17))</f>
        <v>0</v>
      </c>
      <c r="AR70" s="658">
        <f>IF(AR$6&gt;$L70,0,AQ70*(1-'Interest Rate'!$B$17))</f>
        <v>0</v>
      </c>
      <c r="AS70" s="658">
        <f>IF(AS$6&gt;$L70,0,AR70*(1-'Interest Rate'!$B$17))</f>
        <v>0</v>
      </c>
      <c r="AT70" s="658">
        <f>IF(AT$6&gt;$L70,0,AS70*(1-'Interest Rate'!$B$17))</f>
        <v>0</v>
      </c>
      <c r="AU70" s="658">
        <f>IF(AU$6&gt;$L70,0,AT70*(1-'Interest Rate'!$B$17))</f>
        <v>0</v>
      </c>
      <c r="AV70" s="658">
        <f>IF(AV$6&gt;$L70,0,AU70*(1-'Interest Rate'!$B$17))</f>
        <v>0</v>
      </c>
      <c r="AW70" s="658">
        <f>IF(AW$6&gt;$L70,0,AV70*(1-'Interest Rate'!$B$17))</f>
        <v>0</v>
      </c>
      <c r="AX70" s="658">
        <f>IF(AX$6&gt;$L70,0,AW70*(1-'Interest Rate'!$B$17))</f>
        <v>0</v>
      </c>
      <c r="AY70" s="658">
        <f>IF(AY$6&gt;$L70,0,AX70*(1-'Interest Rate'!$B$17))</f>
        <v>0</v>
      </c>
      <c r="AZ70" s="658">
        <f>IF(AZ$6&gt;$L70,0,AY70*(1-'Interest Rate'!$B$17))</f>
        <v>0</v>
      </c>
      <c r="BA70" s="658">
        <f>IF(BA$6&gt;$L70,0,AZ70*(1-'Interest Rate'!$B$17))</f>
        <v>0</v>
      </c>
      <c r="BB70" s="658">
        <f>IF(BB$6&gt;$L70,0,BA70*(1-'Interest Rate'!$B$17))</f>
        <v>0</v>
      </c>
      <c r="BC70" s="658">
        <f>IF(BC$6&gt;$L70,0,BB70*(1-'Interest Rate'!$B$17))</f>
        <v>0</v>
      </c>
      <c r="BD70" s="658">
        <f>IF(BD$6&gt;$L70,0,BC70*(1-'Interest Rate'!$B$17))</f>
        <v>0</v>
      </c>
      <c r="BE70" s="658">
        <f>IF(BE$6&gt;$L70,0,BD70*(1-'Interest Rate'!$B$17))</f>
        <v>0</v>
      </c>
      <c r="BF70" s="658">
        <f>IF(BF$6&gt;$L70,0,BE70*(1-'Interest Rate'!$B$17))</f>
        <v>0</v>
      </c>
      <c r="BG70" s="658">
        <f>IF(BG$6&gt;$L70,0,BF70*(1-'Interest Rate'!$B$17))</f>
        <v>0</v>
      </c>
      <c r="BH70" s="658">
        <f>IF(BH$6&gt;$L70,0,BG70*(1-'Interest Rate'!$B$17))</f>
        <v>0</v>
      </c>
      <c r="BI70" s="658">
        <f>IF(BI$6&gt;$L70,0,BH70*(1-'Interest Rate'!$B$17))</f>
        <v>0</v>
      </c>
      <c r="BJ70" s="658">
        <f>IF(BJ$6&gt;$L70,0,BI70*(1-'Interest Rate'!$B$17))</f>
        <v>0</v>
      </c>
      <c r="BK70" s="658">
        <f>IF(BK$6&gt;$L70,0,BJ70*(1-'Interest Rate'!$B$17))</f>
        <v>0</v>
      </c>
      <c r="BL70" s="658">
        <f>IF(BL$6&gt;$L70,0,BK70*(1-'Interest Rate'!$B$17))</f>
        <v>0</v>
      </c>
      <c r="BM70" s="658">
        <f>IF(BM$6&gt;$L70,0,BL70*(1-'Interest Rate'!$B$17))</f>
        <v>0</v>
      </c>
      <c r="BN70" s="658">
        <f>IF(BN$6&gt;$L70,0,BM70*(1-'Interest Rate'!$B$17))</f>
        <v>0</v>
      </c>
      <c r="BO70" s="658">
        <f>IF(BO$6&gt;$L70,0,BN70*(1-'Interest Rate'!$B$17))</f>
        <v>0</v>
      </c>
      <c r="BP70" s="658">
        <f>IF(BP$6&gt;$L70,0,BO70*(1-'Interest Rate'!$B$17))</f>
        <v>0</v>
      </c>
      <c r="BQ70" s="658">
        <f>IF(BQ$6&gt;$L70,0,BP70*(1-'Interest Rate'!$B$17))</f>
        <v>0</v>
      </c>
      <c r="BR70" s="658">
        <f>IF(BR$6&gt;$L70,0,BQ70*(1-'Interest Rate'!$B$17))</f>
        <v>0</v>
      </c>
      <c r="BS70" s="658">
        <f>IF(BS$6&gt;$L70,0,BR70*(1-'Interest Rate'!$B$17))</f>
        <v>0</v>
      </c>
      <c r="BT70" s="658">
        <f>IF(BT$6&gt;$L70,0,BS70*(1-'Interest Rate'!$B$17))</f>
        <v>0</v>
      </c>
      <c r="BU70" s="658">
        <f>IF(BU$6&gt;$L70,0,BT70*(1-'Interest Rate'!$B$17))</f>
        <v>0</v>
      </c>
      <c r="BV70" s="658">
        <f>IF(BV$6&gt;$L70,0,BU70*(1-'Interest Rate'!$B$17))</f>
        <v>0</v>
      </c>
      <c r="BW70" s="658">
        <f>IF(BW$6&gt;$L70,0,BV70*(1-'Interest Rate'!$B$17))</f>
        <v>0</v>
      </c>
      <c r="BX70" s="658">
        <f>IF(BX$6&gt;$L70,0,BW70*(1-'Interest Rate'!$B$17))</f>
        <v>0</v>
      </c>
      <c r="BY70" s="658">
        <f>IF(BY$6&gt;$L70,0,BX70*(1-'Interest Rate'!$B$17))</f>
        <v>0</v>
      </c>
      <c r="BZ70" s="658">
        <f>IF(BZ$6&gt;$L70,0,BY70*(1-'Interest Rate'!$B$17))</f>
        <v>0</v>
      </c>
      <c r="CA70" s="658">
        <f>IF(CA$6&gt;$L70,0,BZ70*(1-'Interest Rate'!$B$17))</f>
        <v>0</v>
      </c>
      <c r="CB70" s="658">
        <f>IF(CB$6&gt;$L70,0,CA70*(1-'Interest Rate'!$B$17))</f>
        <v>0</v>
      </c>
      <c r="CC70" s="658">
        <f>IF(CC$6&gt;$L70,0,CB70*(1-'Interest Rate'!$B$17))</f>
        <v>0</v>
      </c>
      <c r="CD70" s="658">
        <f>IF(CD$6&gt;$L70,0,CC70*(1-'Interest Rate'!$B$17))</f>
        <v>0</v>
      </c>
      <c r="CE70" s="658">
        <f>IF(CE$6&gt;$L70,0,CD70*(1-'Interest Rate'!$B$17))</f>
        <v>0</v>
      </c>
      <c r="CF70" s="658">
        <f>IF(CF$6&gt;$L70,0,CE70*(1-'Interest Rate'!$B$17))</f>
        <v>0</v>
      </c>
      <c r="CG70" s="658">
        <f>IF(CG$6&gt;$L70,0,CF70*(1-'Interest Rate'!$B$17))</f>
        <v>0</v>
      </c>
      <c r="CH70" s="658">
        <f>IF(CH$6&gt;$L70,0,CG70*(1-'Interest Rate'!$B$17))</f>
        <v>0</v>
      </c>
      <c r="CI70" s="658">
        <f>IF(CI$6&gt;$L70,0,CH70*(1-'Interest Rate'!$B$17))</f>
        <v>0</v>
      </c>
      <c r="CJ70" s="658">
        <f>IF(CJ$6&gt;$L70,0,CI70*(1-'Interest Rate'!$B$17))</f>
        <v>0</v>
      </c>
      <c r="CK70" s="658">
        <f>IF(CK$6&gt;$L70,0,CJ70*(1-'Interest Rate'!$B$17))</f>
        <v>0</v>
      </c>
      <c r="CL70" s="658">
        <f>IF(CL$6&gt;$L70,0,CK70*(1-'Interest Rate'!$B$17))</f>
        <v>0</v>
      </c>
      <c r="CM70" s="658">
        <f>IF(CM$6&gt;$L70,0,CL70*(1-'Interest Rate'!$B$17))</f>
        <v>0</v>
      </c>
      <c r="CN70" s="658">
        <f>IF(CN$6&gt;$L70,0,CM70*(1-'Interest Rate'!$B$17))</f>
        <v>0</v>
      </c>
      <c r="CO70" s="658">
        <f>IF(CO$6&gt;$L70,0,CN70*(1-'Interest Rate'!$B$17))</f>
        <v>0</v>
      </c>
      <c r="CP70" s="658">
        <f>IF(CP$6&gt;$L70,0,CO70*(1-'Interest Rate'!$B$17))</f>
        <v>0</v>
      </c>
      <c r="CQ70" s="658">
        <f>IF(CQ$6&gt;$L70,0,CP70*(1-'Interest Rate'!$B$17))</f>
        <v>0</v>
      </c>
      <c r="CR70" s="658">
        <f>IF(CR$6&gt;$L70,0,CQ70*(1-'Interest Rate'!$B$17))</f>
        <v>0</v>
      </c>
      <c r="CS70" s="658">
        <f>IF(CS$6&gt;$L70,0,CR70*(1-'Interest Rate'!$B$17))</f>
        <v>0</v>
      </c>
      <c r="CT70" s="658">
        <f>IF(CT$6&gt;$L70,0,CS70*(1-'Interest Rate'!$B$17))</f>
        <v>0</v>
      </c>
      <c r="CU70" s="658">
        <f>IF(CU$6&gt;$L70,0,CT70*(1-'Interest Rate'!$B$17))</f>
        <v>0</v>
      </c>
      <c r="CV70" s="658">
        <f>IF(CV$6&gt;$L70,0,CU70*(1-'Interest Rate'!$B$17))</f>
        <v>0</v>
      </c>
      <c r="CW70" s="658">
        <f>IF(CW$6&gt;$L70,0,CV70*(1-'Interest Rate'!$B$17))</f>
        <v>0</v>
      </c>
      <c r="CX70" s="658">
        <f>IF(CX$6&gt;$L70,0,CW70*(1-'Interest Rate'!$B$17))</f>
        <v>0</v>
      </c>
      <c r="CY70" s="658">
        <f>IF(CY$6&gt;$L70,0,CX70*(1-'Interest Rate'!$B$17))</f>
        <v>0</v>
      </c>
      <c r="CZ70" s="658">
        <f>IF(CZ$6&gt;$L70,0,CY70*(1-'Interest Rate'!$B$17))</f>
        <v>0</v>
      </c>
      <c r="DA70" s="658">
        <f>IF(DA$6&gt;$L70,0,CZ70*(1-'Interest Rate'!$B$17))</f>
        <v>0</v>
      </c>
      <c r="DB70" s="658">
        <f>IF(DB$6&gt;$L70,0,DA70*(1-'Interest Rate'!$B$17))</f>
        <v>0</v>
      </c>
      <c r="DC70" s="658">
        <f>IF(DC$6&gt;$L70,0,DB70*(1-'Interest Rate'!$B$17))</f>
        <v>0</v>
      </c>
      <c r="DD70" s="658">
        <f>IF(DD$6&gt;$L70,0,DC70*(1-'Interest Rate'!$B$17))</f>
        <v>0</v>
      </c>
      <c r="DE70" s="658">
        <f>IF(DE$6&gt;$L70,0,DD70*(1-'Interest Rate'!$B$17))</f>
        <v>0</v>
      </c>
      <c r="DF70" s="658">
        <f>IF(DF$6&gt;$L70,0,DE70*(1-'Interest Rate'!$B$17))</f>
        <v>0</v>
      </c>
      <c r="DG70" s="658">
        <f>IF(DG$6&gt;$L70,0,DF70*(1-'Interest Rate'!$B$17))</f>
        <v>0</v>
      </c>
      <c r="DH70" s="658">
        <f>IF(DH$6&gt;$L70,0,DG70*(1-'Interest Rate'!$B$17))</f>
        <v>0</v>
      </c>
      <c r="DI70" s="658">
        <f>IF(DI$6&gt;$L70,0,DH70*(1-'Interest Rate'!$B$17))</f>
        <v>0</v>
      </c>
      <c r="DJ70" s="658">
        <f>IF(DJ$6&gt;$L70,0,DI70*(1-'Interest Rate'!$B$17))</f>
        <v>0</v>
      </c>
      <c r="DK70" s="658">
        <f>IF(DK$6&gt;$L70,0,DJ70*(1-'Interest Rate'!$B$17))</f>
        <v>0</v>
      </c>
      <c r="DL70" s="658">
        <f>IF(DL$6&gt;$L70,0,DK70*(1-'Interest Rate'!$B$17))</f>
        <v>0</v>
      </c>
      <c r="DM70" s="658">
        <f>IF(DM$6&gt;$L70,0,DL70*(1-'Interest Rate'!$B$17))</f>
        <v>0</v>
      </c>
      <c r="DN70" s="658">
        <f>IF(DN$6&gt;$L70,0,DM70*(1-'Interest Rate'!$B$17))</f>
        <v>0</v>
      </c>
      <c r="DO70" s="658">
        <f>IF(DO$6&gt;$L70,0,DN70*(1-'Interest Rate'!$B$17))</f>
        <v>0</v>
      </c>
      <c r="DP70" s="658">
        <f>IF(DP$6&gt;$L70,0,DO70*(1-'Interest Rate'!$B$17))</f>
        <v>0</v>
      </c>
      <c r="DQ70" s="658">
        <f>IF(DQ$6&gt;$L70,0,DP70*(1-'Interest Rate'!$B$17))</f>
        <v>0</v>
      </c>
      <c r="DR70" s="658">
        <f>IF(DR$6&gt;$L70,0,DQ70*(1-'Interest Rate'!$B$17))</f>
        <v>0</v>
      </c>
    </row>
    <row r="71" spans="1:122" ht="33" customHeight="1" x14ac:dyDescent="0.4">
      <c r="A71" s="696" t="str">
        <f>'EEM Data Entry'!A145</f>
        <v/>
      </c>
      <c r="B71" s="697" t="str">
        <f>IF('Packaged EEMs'!B61="  ","  ", 'EEM Data Entry'!B145)</f>
        <v/>
      </c>
      <c r="C71" s="671" t="str">
        <f>'EEM Data Entry'!F145</f>
        <v/>
      </c>
      <c r="D71" s="671">
        <v>0</v>
      </c>
      <c r="E71" s="671" t="e">
        <f t="shared" si="26"/>
        <v>#VALUE!</v>
      </c>
      <c r="F71" s="650">
        <f>('Cascading Savings'!D73*'Cascading Savings'!D$4)+('Cascading Savings'!F73*'Cascading Savings'!F$4)+('Cascading Savings'!H73*'Cascading Savings'!H$4)+('Cascading Savings'!J73*'Cascading Savings'!J$4)+('Cascading Savings'!L73*'Cascading Savings'!L$4)+('Cascading Savings'!N73*'Cascading Savings'!N$4)+('Cascading Savings'!P73*'Cascading Savings'!P$4)+('Cascading Savings'!R73*'Cascading Savings'!R$4)</f>
        <v>0</v>
      </c>
      <c r="G71" s="719">
        <f>'Savings Summary'!T73</f>
        <v>0</v>
      </c>
      <c r="H71" s="672" t="e">
        <f>IF(C71=0,"n/a",E71/F71)</f>
        <v>#VALUE!</v>
      </c>
      <c r="I71" s="668" t="e">
        <f t="shared" si="22"/>
        <v>#VALUE!</v>
      </c>
      <c r="J71" s="673" t="e">
        <f t="shared" si="23"/>
        <v>#NUM!</v>
      </c>
      <c r="K71" s="674" t="e">
        <f>PV('Interest Rate'!$B$17,Table415[[#This Row],[Lifetime]],-Table415[[#This Row],[ANNUAL ENERGY COST SAVINGS]],Table415[[#This Row],[END-OF-LIFE]],0)-Table415[[#This Row],[ CAPITAL INVESTMENT]]</f>
        <v>#VALUE!</v>
      </c>
      <c r="L71" s="668" t="str">
        <f>'EEM Data Entry'!C145</f>
        <v/>
      </c>
      <c r="M71" s="720" t="e">
        <f>Table415[[#This Row],[ANNUAL ENERGY COST SAVINGS]]/Table415[[#This Row],[ CAPITAL INVESTMENT]]</f>
        <v>#VALUE!</v>
      </c>
      <c r="N71" s="704">
        <f>IF(ISNUMBER(Table415[[#This Row],[NPV]])=TRUE,Table415[[#This Row],[NPV]],0)</f>
        <v>0</v>
      </c>
      <c r="O71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71" s="568" t="str">
        <f>Table415[[#This Row],[Lifetime]]</f>
        <v/>
      </c>
      <c r="V71" s="657" t="str">
        <f t="shared" si="24"/>
        <v/>
      </c>
      <c r="W71" s="658">
        <f t="shared" si="25"/>
        <v>0</v>
      </c>
      <c r="X71" s="658">
        <f>IF(X$6&gt;$L71,0,W71*(1-'Interest Rate'!$B$17))</f>
        <v>0</v>
      </c>
      <c r="Y71" s="658">
        <f>IF(Y$6&gt;$L71,0,X71*(1-'Interest Rate'!$B$17))</f>
        <v>0</v>
      </c>
      <c r="Z71" s="658">
        <f>IF(Z$6&gt;$L71,0,Y71*(1-'Interest Rate'!$B$17))</f>
        <v>0</v>
      </c>
      <c r="AA71" s="658">
        <f>IF(AA$6&gt;$L71,0,Z71*(1-'Interest Rate'!$B$17))</f>
        <v>0</v>
      </c>
      <c r="AB71" s="658">
        <f>IF(AB$6&gt;$L71,0,AA71*(1-'Interest Rate'!$B$17))</f>
        <v>0</v>
      </c>
      <c r="AC71" s="658">
        <f>IF(AC$6&gt;$L71,0,AB71*(1-'Interest Rate'!$B$17))</f>
        <v>0</v>
      </c>
      <c r="AD71" s="658">
        <f>IF(AD$6&gt;$L71,0,AC71*(1-'Interest Rate'!$B$17))</f>
        <v>0</v>
      </c>
      <c r="AE71" s="658">
        <f>IF(AE$6&gt;$L71,0,AD71*(1-'Interest Rate'!$B$17))</f>
        <v>0</v>
      </c>
      <c r="AF71" s="658">
        <f>IF(AF$6&gt;$L71,0,AE71*(1-'Interest Rate'!$B$17))</f>
        <v>0</v>
      </c>
      <c r="AG71" s="658">
        <f>IF(AG$6&gt;$L71,0,AF71*(1-'Interest Rate'!$B$17))</f>
        <v>0</v>
      </c>
      <c r="AH71" s="658">
        <f>IF(AH$6&gt;$L71,0,AG71*(1-'Interest Rate'!$B$17))</f>
        <v>0</v>
      </c>
      <c r="AI71" s="658">
        <f>IF(AI$6&gt;$L71,0,AH71*(1-'Interest Rate'!$B$17))</f>
        <v>0</v>
      </c>
      <c r="AJ71" s="658">
        <f>IF(AJ$6&gt;$L71,0,AI71*(1-'Interest Rate'!$B$17))</f>
        <v>0</v>
      </c>
      <c r="AK71" s="658">
        <f>IF(AK$6&gt;$L71,0,AJ71*(1-'Interest Rate'!$B$17))</f>
        <v>0</v>
      </c>
      <c r="AL71" s="658">
        <f>IF(AL$6&gt;$L71,0,AK71*(1-'Interest Rate'!$B$17))</f>
        <v>0</v>
      </c>
      <c r="AM71" s="658">
        <f>IF(AM$6&gt;$L71,0,AL71*(1-'Interest Rate'!$B$17))</f>
        <v>0</v>
      </c>
      <c r="AN71" s="658">
        <f>IF(AN$6&gt;$L71,0,AM71*(1-'Interest Rate'!$B$17))</f>
        <v>0</v>
      </c>
      <c r="AO71" s="658">
        <f>IF(AO$6&gt;$L71,0,AN71*(1-'Interest Rate'!$B$17))</f>
        <v>0</v>
      </c>
      <c r="AP71" s="658">
        <f>IF(AP$6&gt;$L71,0,AO71*(1-'Interest Rate'!$B$17))</f>
        <v>0</v>
      </c>
      <c r="AQ71" s="658">
        <f>IF(AQ$6&gt;$L71,0,AP71*(1-'Interest Rate'!$B$17))</f>
        <v>0</v>
      </c>
      <c r="AR71" s="658">
        <f>IF(AR$6&gt;$L71,0,AQ71*(1-'Interest Rate'!$B$17))</f>
        <v>0</v>
      </c>
      <c r="AS71" s="658">
        <f>IF(AS$6&gt;$L71,0,AR71*(1-'Interest Rate'!$B$17))</f>
        <v>0</v>
      </c>
      <c r="AT71" s="658">
        <f>IF(AT$6&gt;$L71,0,AS71*(1-'Interest Rate'!$B$17))</f>
        <v>0</v>
      </c>
      <c r="AU71" s="658">
        <f>IF(AU$6&gt;$L71,0,AT71*(1-'Interest Rate'!$B$17))</f>
        <v>0</v>
      </c>
      <c r="AV71" s="658">
        <f>IF(AV$6&gt;$L71,0,AU71*(1-'Interest Rate'!$B$17))</f>
        <v>0</v>
      </c>
      <c r="AW71" s="658">
        <f>IF(AW$6&gt;$L71,0,AV71*(1-'Interest Rate'!$B$17))</f>
        <v>0</v>
      </c>
      <c r="AX71" s="658">
        <f>IF(AX$6&gt;$L71,0,AW71*(1-'Interest Rate'!$B$17))</f>
        <v>0</v>
      </c>
      <c r="AY71" s="658">
        <f>IF(AY$6&gt;$L71,0,AX71*(1-'Interest Rate'!$B$17))</f>
        <v>0</v>
      </c>
      <c r="AZ71" s="658">
        <f>IF(AZ$6&gt;$L71,0,AY71*(1-'Interest Rate'!$B$17))</f>
        <v>0</v>
      </c>
      <c r="BA71" s="658">
        <f>IF(BA$6&gt;$L71,0,AZ71*(1-'Interest Rate'!$B$17))</f>
        <v>0</v>
      </c>
      <c r="BB71" s="658">
        <f>IF(BB$6&gt;$L71,0,BA71*(1-'Interest Rate'!$B$17))</f>
        <v>0</v>
      </c>
      <c r="BC71" s="658">
        <f>IF(BC$6&gt;$L71,0,BB71*(1-'Interest Rate'!$B$17))</f>
        <v>0</v>
      </c>
      <c r="BD71" s="658">
        <f>IF(BD$6&gt;$L71,0,BC71*(1-'Interest Rate'!$B$17))</f>
        <v>0</v>
      </c>
      <c r="BE71" s="658">
        <f>IF(BE$6&gt;$L71,0,BD71*(1-'Interest Rate'!$B$17))</f>
        <v>0</v>
      </c>
      <c r="BF71" s="658">
        <f>IF(BF$6&gt;$L71,0,BE71*(1-'Interest Rate'!$B$17))</f>
        <v>0</v>
      </c>
      <c r="BG71" s="658">
        <f>IF(BG$6&gt;$L71,0,BF71*(1-'Interest Rate'!$B$17))</f>
        <v>0</v>
      </c>
      <c r="BH71" s="658">
        <f>IF(BH$6&gt;$L71,0,BG71*(1-'Interest Rate'!$B$17))</f>
        <v>0</v>
      </c>
      <c r="BI71" s="658">
        <f>IF(BI$6&gt;$L71,0,BH71*(1-'Interest Rate'!$B$17))</f>
        <v>0</v>
      </c>
      <c r="BJ71" s="658">
        <f>IF(BJ$6&gt;$L71,0,BI71*(1-'Interest Rate'!$B$17))</f>
        <v>0</v>
      </c>
      <c r="BK71" s="658">
        <f>IF(BK$6&gt;$L71,0,BJ71*(1-'Interest Rate'!$B$17))</f>
        <v>0</v>
      </c>
      <c r="BL71" s="658">
        <f>IF(BL$6&gt;$L71,0,BK71*(1-'Interest Rate'!$B$17))</f>
        <v>0</v>
      </c>
      <c r="BM71" s="658">
        <f>IF(BM$6&gt;$L71,0,BL71*(1-'Interest Rate'!$B$17))</f>
        <v>0</v>
      </c>
      <c r="BN71" s="658">
        <f>IF(BN$6&gt;$L71,0,BM71*(1-'Interest Rate'!$B$17))</f>
        <v>0</v>
      </c>
      <c r="BO71" s="658">
        <f>IF(BO$6&gt;$L71,0,BN71*(1-'Interest Rate'!$B$17))</f>
        <v>0</v>
      </c>
      <c r="BP71" s="658">
        <f>IF(BP$6&gt;$L71,0,BO71*(1-'Interest Rate'!$B$17))</f>
        <v>0</v>
      </c>
      <c r="BQ71" s="658">
        <f>IF(BQ$6&gt;$L71,0,BP71*(1-'Interest Rate'!$B$17))</f>
        <v>0</v>
      </c>
      <c r="BR71" s="658">
        <f>IF(BR$6&gt;$L71,0,BQ71*(1-'Interest Rate'!$B$17))</f>
        <v>0</v>
      </c>
      <c r="BS71" s="658">
        <f>IF(BS$6&gt;$L71,0,BR71*(1-'Interest Rate'!$B$17))</f>
        <v>0</v>
      </c>
      <c r="BT71" s="658">
        <f>IF(BT$6&gt;$L71,0,BS71*(1-'Interest Rate'!$B$17))</f>
        <v>0</v>
      </c>
      <c r="BU71" s="658">
        <f>IF(BU$6&gt;$L71,0,BT71*(1-'Interest Rate'!$B$17))</f>
        <v>0</v>
      </c>
      <c r="BV71" s="658">
        <f>IF(BV$6&gt;$L71,0,BU71*(1-'Interest Rate'!$B$17))</f>
        <v>0</v>
      </c>
      <c r="BW71" s="658">
        <f>IF(BW$6&gt;$L71,0,BV71*(1-'Interest Rate'!$B$17))</f>
        <v>0</v>
      </c>
      <c r="BX71" s="658">
        <f>IF(BX$6&gt;$L71,0,BW71*(1-'Interest Rate'!$B$17))</f>
        <v>0</v>
      </c>
      <c r="BY71" s="658">
        <f>IF(BY$6&gt;$L71,0,BX71*(1-'Interest Rate'!$B$17))</f>
        <v>0</v>
      </c>
      <c r="BZ71" s="658">
        <f>IF(BZ$6&gt;$L71,0,BY71*(1-'Interest Rate'!$B$17))</f>
        <v>0</v>
      </c>
      <c r="CA71" s="658">
        <f>IF(CA$6&gt;$L71,0,BZ71*(1-'Interest Rate'!$B$17))</f>
        <v>0</v>
      </c>
      <c r="CB71" s="658">
        <f>IF(CB$6&gt;$L71,0,CA71*(1-'Interest Rate'!$B$17))</f>
        <v>0</v>
      </c>
      <c r="CC71" s="658">
        <f>IF(CC$6&gt;$L71,0,CB71*(1-'Interest Rate'!$B$17))</f>
        <v>0</v>
      </c>
      <c r="CD71" s="658">
        <f>IF(CD$6&gt;$L71,0,CC71*(1-'Interest Rate'!$B$17))</f>
        <v>0</v>
      </c>
      <c r="CE71" s="658">
        <f>IF(CE$6&gt;$L71,0,CD71*(1-'Interest Rate'!$B$17))</f>
        <v>0</v>
      </c>
      <c r="CF71" s="658">
        <f>IF(CF$6&gt;$L71,0,CE71*(1-'Interest Rate'!$B$17))</f>
        <v>0</v>
      </c>
      <c r="CG71" s="658">
        <f>IF(CG$6&gt;$L71,0,CF71*(1-'Interest Rate'!$B$17))</f>
        <v>0</v>
      </c>
      <c r="CH71" s="658">
        <f>IF(CH$6&gt;$L71,0,CG71*(1-'Interest Rate'!$B$17))</f>
        <v>0</v>
      </c>
      <c r="CI71" s="658">
        <f>IF(CI$6&gt;$L71,0,CH71*(1-'Interest Rate'!$B$17))</f>
        <v>0</v>
      </c>
      <c r="CJ71" s="658">
        <f>IF(CJ$6&gt;$L71,0,CI71*(1-'Interest Rate'!$B$17))</f>
        <v>0</v>
      </c>
      <c r="CK71" s="658">
        <f>IF(CK$6&gt;$L71,0,CJ71*(1-'Interest Rate'!$B$17))</f>
        <v>0</v>
      </c>
      <c r="CL71" s="658">
        <f>IF(CL$6&gt;$L71,0,CK71*(1-'Interest Rate'!$B$17))</f>
        <v>0</v>
      </c>
      <c r="CM71" s="658">
        <f>IF(CM$6&gt;$L71,0,CL71*(1-'Interest Rate'!$B$17))</f>
        <v>0</v>
      </c>
      <c r="CN71" s="658">
        <f>IF(CN$6&gt;$L71,0,CM71*(1-'Interest Rate'!$B$17))</f>
        <v>0</v>
      </c>
      <c r="CO71" s="658">
        <f>IF(CO$6&gt;$L71,0,CN71*(1-'Interest Rate'!$B$17))</f>
        <v>0</v>
      </c>
      <c r="CP71" s="658">
        <f>IF(CP$6&gt;$L71,0,CO71*(1-'Interest Rate'!$B$17))</f>
        <v>0</v>
      </c>
      <c r="CQ71" s="658">
        <f>IF(CQ$6&gt;$L71,0,CP71*(1-'Interest Rate'!$B$17))</f>
        <v>0</v>
      </c>
      <c r="CR71" s="658">
        <f>IF(CR$6&gt;$L71,0,CQ71*(1-'Interest Rate'!$B$17))</f>
        <v>0</v>
      </c>
      <c r="CS71" s="658">
        <f>IF(CS$6&gt;$L71,0,CR71*(1-'Interest Rate'!$B$17))</f>
        <v>0</v>
      </c>
      <c r="CT71" s="658">
        <f>IF(CT$6&gt;$L71,0,CS71*(1-'Interest Rate'!$B$17))</f>
        <v>0</v>
      </c>
      <c r="CU71" s="658">
        <f>IF(CU$6&gt;$L71,0,CT71*(1-'Interest Rate'!$B$17))</f>
        <v>0</v>
      </c>
      <c r="CV71" s="658">
        <f>IF(CV$6&gt;$L71,0,CU71*(1-'Interest Rate'!$B$17))</f>
        <v>0</v>
      </c>
      <c r="CW71" s="658">
        <f>IF(CW$6&gt;$L71,0,CV71*(1-'Interest Rate'!$B$17))</f>
        <v>0</v>
      </c>
      <c r="CX71" s="658">
        <f>IF(CX$6&gt;$L71,0,CW71*(1-'Interest Rate'!$B$17))</f>
        <v>0</v>
      </c>
      <c r="CY71" s="658">
        <f>IF(CY$6&gt;$L71,0,CX71*(1-'Interest Rate'!$B$17))</f>
        <v>0</v>
      </c>
      <c r="CZ71" s="658">
        <f>IF(CZ$6&gt;$L71,0,CY71*(1-'Interest Rate'!$B$17))</f>
        <v>0</v>
      </c>
      <c r="DA71" s="658">
        <f>IF(DA$6&gt;$L71,0,CZ71*(1-'Interest Rate'!$B$17))</f>
        <v>0</v>
      </c>
      <c r="DB71" s="658">
        <f>IF(DB$6&gt;$L71,0,DA71*(1-'Interest Rate'!$B$17))</f>
        <v>0</v>
      </c>
      <c r="DC71" s="658">
        <f>IF(DC$6&gt;$L71,0,DB71*(1-'Interest Rate'!$B$17))</f>
        <v>0</v>
      </c>
      <c r="DD71" s="658">
        <f>IF(DD$6&gt;$L71,0,DC71*(1-'Interest Rate'!$B$17))</f>
        <v>0</v>
      </c>
      <c r="DE71" s="658">
        <f>IF(DE$6&gt;$L71,0,DD71*(1-'Interest Rate'!$B$17))</f>
        <v>0</v>
      </c>
      <c r="DF71" s="658">
        <f>IF(DF$6&gt;$L71,0,DE71*(1-'Interest Rate'!$B$17))</f>
        <v>0</v>
      </c>
      <c r="DG71" s="658">
        <f>IF(DG$6&gt;$L71,0,DF71*(1-'Interest Rate'!$B$17))</f>
        <v>0</v>
      </c>
      <c r="DH71" s="658">
        <f>IF(DH$6&gt;$L71,0,DG71*(1-'Interest Rate'!$B$17))</f>
        <v>0</v>
      </c>
      <c r="DI71" s="658">
        <f>IF(DI$6&gt;$L71,0,DH71*(1-'Interest Rate'!$B$17))</f>
        <v>0</v>
      </c>
      <c r="DJ71" s="658">
        <f>IF(DJ$6&gt;$L71,0,DI71*(1-'Interest Rate'!$B$17))</f>
        <v>0</v>
      </c>
      <c r="DK71" s="658">
        <f>IF(DK$6&gt;$L71,0,DJ71*(1-'Interest Rate'!$B$17))</f>
        <v>0</v>
      </c>
      <c r="DL71" s="658">
        <f>IF(DL$6&gt;$L71,0,DK71*(1-'Interest Rate'!$B$17))</f>
        <v>0</v>
      </c>
      <c r="DM71" s="658">
        <f>IF(DM$6&gt;$L71,0,DL71*(1-'Interest Rate'!$B$17))</f>
        <v>0</v>
      </c>
      <c r="DN71" s="658">
        <f>IF(DN$6&gt;$L71,0,DM71*(1-'Interest Rate'!$B$17))</f>
        <v>0</v>
      </c>
      <c r="DO71" s="658">
        <f>IF(DO$6&gt;$L71,0,DN71*(1-'Interest Rate'!$B$17))</f>
        <v>0</v>
      </c>
      <c r="DP71" s="658">
        <f>IF(DP$6&gt;$L71,0,DO71*(1-'Interest Rate'!$B$17))</f>
        <v>0</v>
      </c>
      <c r="DQ71" s="658">
        <f>IF(DQ$6&gt;$L71,0,DP71*(1-'Interest Rate'!$B$17))</f>
        <v>0</v>
      </c>
      <c r="DR71" s="658">
        <f>IF(DR$6&gt;$L71,0,DQ71*(1-'Interest Rate'!$B$17))</f>
        <v>0</v>
      </c>
    </row>
    <row r="72" spans="1:122" ht="33" customHeight="1" x14ac:dyDescent="0.4">
      <c r="A72" s="696" t="str">
        <f>'EEM Data Entry'!A146</f>
        <v/>
      </c>
      <c r="B72" s="697" t="str">
        <f>IF('Packaged EEMs'!B62="  ","  ", 'EEM Data Entry'!B146)</f>
        <v/>
      </c>
      <c r="C72" s="671" t="str">
        <f>'EEM Data Entry'!F146</f>
        <v/>
      </c>
      <c r="D72" s="671">
        <v>0</v>
      </c>
      <c r="E72" s="671" t="e">
        <f t="shared" si="26"/>
        <v>#VALUE!</v>
      </c>
      <c r="F72" s="662">
        <f>('Cascading Savings'!D74*'Cascading Savings'!D$4)+('Cascading Savings'!F74*'Cascading Savings'!F$4)+('Cascading Savings'!H74*'Cascading Savings'!H$4)+('Cascading Savings'!J74*'Cascading Savings'!J$4)+('Cascading Savings'!L74*'Cascading Savings'!L$4)+('Cascading Savings'!N74*'Cascading Savings'!N$4)+('Cascading Savings'!P74*'Cascading Savings'!P$4)+('Cascading Savings'!R74*'Cascading Savings'!R$4)</f>
        <v>0</v>
      </c>
      <c r="G72" s="721">
        <f>'Savings Summary'!T74</f>
        <v>0</v>
      </c>
      <c r="H72" s="672" t="e">
        <f t="shared" ref="H72:H80" si="27">IF(C72=0,"n/a",E72/F72)</f>
        <v>#VALUE!</v>
      </c>
      <c r="I72" s="668" t="e">
        <f t="shared" si="22"/>
        <v>#VALUE!</v>
      </c>
      <c r="J72" s="673" t="e">
        <f t="shared" si="23"/>
        <v>#NUM!</v>
      </c>
      <c r="K72" s="674" t="e">
        <f>PV('Interest Rate'!$B$17,Table415[[#This Row],[Lifetime]],-Table415[[#This Row],[ANNUAL ENERGY COST SAVINGS]],Table415[[#This Row],[END-OF-LIFE]],0)-Table415[[#This Row],[ CAPITAL INVESTMENT]]</f>
        <v>#VALUE!</v>
      </c>
      <c r="L72" s="668" t="str">
        <f>'EEM Data Entry'!C146</f>
        <v/>
      </c>
      <c r="M72" s="720" t="e">
        <f>Table415[[#This Row],[ANNUAL ENERGY COST SAVINGS]]/Table415[[#This Row],[ CAPITAL INVESTMENT]]</f>
        <v>#VALUE!</v>
      </c>
      <c r="N72" s="704">
        <f>IF(ISNUMBER(Table415[[#This Row],[NPV]])=TRUE,Table415[[#This Row],[NPV]],0)</f>
        <v>0</v>
      </c>
      <c r="O72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72" s="568" t="str">
        <f>Table415[[#This Row],[Lifetime]]</f>
        <v/>
      </c>
      <c r="V72" s="657" t="str">
        <f t="shared" si="24"/>
        <v/>
      </c>
      <c r="W72" s="658">
        <f t="shared" si="25"/>
        <v>0</v>
      </c>
      <c r="X72" s="658">
        <f>IF(X$6&gt;$L72,0,W72*(1-'Interest Rate'!$B$17))</f>
        <v>0</v>
      </c>
      <c r="Y72" s="658">
        <f>IF(Y$6&gt;$L72,0,X72*(1-'Interest Rate'!$B$17))</f>
        <v>0</v>
      </c>
      <c r="Z72" s="658">
        <f>IF(Z$6&gt;$L72,0,Y72*(1-'Interest Rate'!$B$17))</f>
        <v>0</v>
      </c>
      <c r="AA72" s="658">
        <f>IF(AA$6&gt;$L72,0,Z72*(1-'Interest Rate'!$B$17))</f>
        <v>0</v>
      </c>
      <c r="AB72" s="658">
        <f>IF(AB$6&gt;$L72,0,AA72*(1-'Interest Rate'!$B$17))</f>
        <v>0</v>
      </c>
      <c r="AC72" s="658">
        <f>IF(AC$6&gt;$L72,0,AB72*(1-'Interest Rate'!$B$17))</f>
        <v>0</v>
      </c>
      <c r="AD72" s="658">
        <f>IF(AD$6&gt;$L72,0,AC72*(1-'Interest Rate'!$B$17))</f>
        <v>0</v>
      </c>
      <c r="AE72" s="658">
        <f>IF(AE$6&gt;$L72,0,AD72*(1-'Interest Rate'!$B$17))</f>
        <v>0</v>
      </c>
      <c r="AF72" s="658">
        <f>IF(AF$6&gt;$L72,0,AE72*(1-'Interest Rate'!$B$17))</f>
        <v>0</v>
      </c>
      <c r="AG72" s="658">
        <f>IF(AG$6&gt;$L72,0,AF72*(1-'Interest Rate'!$B$17))</f>
        <v>0</v>
      </c>
      <c r="AH72" s="658">
        <f>IF(AH$6&gt;$L72,0,AG72*(1-'Interest Rate'!$B$17))</f>
        <v>0</v>
      </c>
      <c r="AI72" s="658">
        <f>IF(AI$6&gt;$L72,0,AH72*(1-'Interest Rate'!$B$17))</f>
        <v>0</v>
      </c>
      <c r="AJ72" s="658">
        <f>IF(AJ$6&gt;$L72,0,AI72*(1-'Interest Rate'!$B$17))</f>
        <v>0</v>
      </c>
      <c r="AK72" s="658">
        <f>IF(AK$6&gt;$L72,0,AJ72*(1-'Interest Rate'!$B$17))</f>
        <v>0</v>
      </c>
      <c r="AL72" s="658">
        <f>IF(AL$6&gt;$L72,0,AK72*(1-'Interest Rate'!$B$17))</f>
        <v>0</v>
      </c>
      <c r="AM72" s="658">
        <f>IF(AM$6&gt;$L72,0,AL72*(1-'Interest Rate'!$B$17))</f>
        <v>0</v>
      </c>
      <c r="AN72" s="658">
        <f>IF(AN$6&gt;$L72,0,AM72*(1-'Interest Rate'!$B$17))</f>
        <v>0</v>
      </c>
      <c r="AO72" s="658">
        <f>IF(AO$6&gt;$L72,0,AN72*(1-'Interest Rate'!$B$17))</f>
        <v>0</v>
      </c>
      <c r="AP72" s="658">
        <f>IF(AP$6&gt;$L72,0,AO72*(1-'Interest Rate'!$B$17))</f>
        <v>0</v>
      </c>
      <c r="AQ72" s="658">
        <f>IF(AQ$6&gt;$L72,0,AP72*(1-'Interest Rate'!$B$17))</f>
        <v>0</v>
      </c>
      <c r="AR72" s="658">
        <f>IF(AR$6&gt;$L72,0,AQ72*(1-'Interest Rate'!$B$17))</f>
        <v>0</v>
      </c>
      <c r="AS72" s="658">
        <f>IF(AS$6&gt;$L72,0,AR72*(1-'Interest Rate'!$B$17))</f>
        <v>0</v>
      </c>
      <c r="AT72" s="658">
        <f>IF(AT$6&gt;$L72,0,AS72*(1-'Interest Rate'!$B$17))</f>
        <v>0</v>
      </c>
      <c r="AU72" s="658">
        <f>IF(AU$6&gt;$L72,0,AT72*(1-'Interest Rate'!$B$17))</f>
        <v>0</v>
      </c>
      <c r="AV72" s="658">
        <f>IF(AV$6&gt;$L72,0,AU72*(1-'Interest Rate'!$B$17))</f>
        <v>0</v>
      </c>
      <c r="AW72" s="658">
        <f>IF(AW$6&gt;$L72,0,AV72*(1-'Interest Rate'!$B$17))</f>
        <v>0</v>
      </c>
      <c r="AX72" s="658">
        <f>IF(AX$6&gt;$L72,0,AW72*(1-'Interest Rate'!$B$17))</f>
        <v>0</v>
      </c>
      <c r="AY72" s="658">
        <f>IF(AY$6&gt;$L72,0,AX72*(1-'Interest Rate'!$B$17))</f>
        <v>0</v>
      </c>
      <c r="AZ72" s="658">
        <f>IF(AZ$6&gt;$L72,0,AY72*(1-'Interest Rate'!$B$17))</f>
        <v>0</v>
      </c>
      <c r="BA72" s="658">
        <f>IF(BA$6&gt;$L72,0,AZ72*(1-'Interest Rate'!$B$17))</f>
        <v>0</v>
      </c>
      <c r="BB72" s="658">
        <f>IF(BB$6&gt;$L72,0,BA72*(1-'Interest Rate'!$B$17))</f>
        <v>0</v>
      </c>
      <c r="BC72" s="658">
        <f>IF(BC$6&gt;$L72,0,BB72*(1-'Interest Rate'!$B$17))</f>
        <v>0</v>
      </c>
      <c r="BD72" s="658">
        <f>IF(BD$6&gt;$L72,0,BC72*(1-'Interest Rate'!$B$17))</f>
        <v>0</v>
      </c>
      <c r="BE72" s="658">
        <f>IF(BE$6&gt;$L72,0,BD72*(1-'Interest Rate'!$B$17))</f>
        <v>0</v>
      </c>
      <c r="BF72" s="658">
        <f>IF(BF$6&gt;$L72,0,BE72*(1-'Interest Rate'!$B$17))</f>
        <v>0</v>
      </c>
      <c r="BG72" s="658">
        <f>IF(BG$6&gt;$L72,0,BF72*(1-'Interest Rate'!$B$17))</f>
        <v>0</v>
      </c>
      <c r="BH72" s="658">
        <f>IF(BH$6&gt;$L72,0,BG72*(1-'Interest Rate'!$B$17))</f>
        <v>0</v>
      </c>
      <c r="BI72" s="658">
        <f>IF(BI$6&gt;$L72,0,BH72*(1-'Interest Rate'!$B$17))</f>
        <v>0</v>
      </c>
      <c r="BJ72" s="658">
        <f>IF(BJ$6&gt;$L72,0,BI72*(1-'Interest Rate'!$B$17))</f>
        <v>0</v>
      </c>
      <c r="BK72" s="658">
        <f>IF(BK$6&gt;$L72,0,BJ72*(1-'Interest Rate'!$B$17))</f>
        <v>0</v>
      </c>
      <c r="BL72" s="658">
        <f>IF(BL$6&gt;$L72,0,BK72*(1-'Interest Rate'!$B$17))</f>
        <v>0</v>
      </c>
      <c r="BM72" s="658">
        <f>IF(BM$6&gt;$L72,0,BL72*(1-'Interest Rate'!$B$17))</f>
        <v>0</v>
      </c>
      <c r="BN72" s="658">
        <f>IF(BN$6&gt;$L72,0,BM72*(1-'Interest Rate'!$B$17))</f>
        <v>0</v>
      </c>
      <c r="BO72" s="658">
        <f>IF(BO$6&gt;$L72,0,BN72*(1-'Interest Rate'!$B$17))</f>
        <v>0</v>
      </c>
      <c r="BP72" s="658">
        <f>IF(BP$6&gt;$L72,0,BO72*(1-'Interest Rate'!$B$17))</f>
        <v>0</v>
      </c>
      <c r="BQ72" s="658">
        <f>IF(BQ$6&gt;$L72,0,BP72*(1-'Interest Rate'!$B$17))</f>
        <v>0</v>
      </c>
      <c r="BR72" s="658">
        <f>IF(BR$6&gt;$L72,0,BQ72*(1-'Interest Rate'!$B$17))</f>
        <v>0</v>
      </c>
      <c r="BS72" s="658">
        <f>IF(BS$6&gt;$L72,0,BR72*(1-'Interest Rate'!$B$17))</f>
        <v>0</v>
      </c>
      <c r="BT72" s="658">
        <f>IF(BT$6&gt;$L72,0,BS72*(1-'Interest Rate'!$B$17))</f>
        <v>0</v>
      </c>
      <c r="BU72" s="658">
        <f>IF(BU$6&gt;$L72,0,BT72*(1-'Interest Rate'!$B$17))</f>
        <v>0</v>
      </c>
      <c r="BV72" s="658">
        <f>IF(BV$6&gt;$L72,0,BU72*(1-'Interest Rate'!$B$17))</f>
        <v>0</v>
      </c>
      <c r="BW72" s="658">
        <f>IF(BW$6&gt;$L72,0,BV72*(1-'Interest Rate'!$B$17))</f>
        <v>0</v>
      </c>
      <c r="BX72" s="658">
        <f>IF(BX$6&gt;$L72,0,BW72*(1-'Interest Rate'!$B$17))</f>
        <v>0</v>
      </c>
      <c r="BY72" s="658">
        <f>IF(BY$6&gt;$L72,0,BX72*(1-'Interest Rate'!$B$17))</f>
        <v>0</v>
      </c>
      <c r="BZ72" s="658">
        <f>IF(BZ$6&gt;$L72,0,BY72*(1-'Interest Rate'!$B$17))</f>
        <v>0</v>
      </c>
      <c r="CA72" s="658">
        <f>IF(CA$6&gt;$L72,0,BZ72*(1-'Interest Rate'!$B$17))</f>
        <v>0</v>
      </c>
      <c r="CB72" s="658">
        <f>IF(CB$6&gt;$L72,0,CA72*(1-'Interest Rate'!$B$17))</f>
        <v>0</v>
      </c>
      <c r="CC72" s="658">
        <f>IF(CC$6&gt;$L72,0,CB72*(1-'Interest Rate'!$B$17))</f>
        <v>0</v>
      </c>
      <c r="CD72" s="658">
        <f>IF(CD$6&gt;$L72,0,CC72*(1-'Interest Rate'!$B$17))</f>
        <v>0</v>
      </c>
      <c r="CE72" s="658">
        <f>IF(CE$6&gt;$L72,0,CD72*(1-'Interest Rate'!$B$17))</f>
        <v>0</v>
      </c>
      <c r="CF72" s="658">
        <f>IF(CF$6&gt;$L72,0,CE72*(1-'Interest Rate'!$B$17))</f>
        <v>0</v>
      </c>
      <c r="CG72" s="658">
        <f>IF(CG$6&gt;$L72,0,CF72*(1-'Interest Rate'!$B$17))</f>
        <v>0</v>
      </c>
      <c r="CH72" s="658">
        <f>IF(CH$6&gt;$L72,0,CG72*(1-'Interest Rate'!$B$17))</f>
        <v>0</v>
      </c>
      <c r="CI72" s="658">
        <f>IF(CI$6&gt;$L72,0,CH72*(1-'Interest Rate'!$B$17))</f>
        <v>0</v>
      </c>
      <c r="CJ72" s="658">
        <f>IF(CJ$6&gt;$L72,0,CI72*(1-'Interest Rate'!$B$17))</f>
        <v>0</v>
      </c>
      <c r="CK72" s="658">
        <f>IF(CK$6&gt;$L72,0,CJ72*(1-'Interest Rate'!$B$17))</f>
        <v>0</v>
      </c>
      <c r="CL72" s="658">
        <f>IF(CL$6&gt;$L72,0,CK72*(1-'Interest Rate'!$B$17))</f>
        <v>0</v>
      </c>
      <c r="CM72" s="658">
        <f>IF(CM$6&gt;$L72,0,CL72*(1-'Interest Rate'!$B$17))</f>
        <v>0</v>
      </c>
      <c r="CN72" s="658">
        <f>IF(CN$6&gt;$L72,0,CM72*(1-'Interest Rate'!$B$17))</f>
        <v>0</v>
      </c>
      <c r="CO72" s="658">
        <f>IF(CO$6&gt;$L72,0,CN72*(1-'Interest Rate'!$B$17))</f>
        <v>0</v>
      </c>
      <c r="CP72" s="658">
        <f>IF(CP$6&gt;$L72,0,CO72*(1-'Interest Rate'!$B$17))</f>
        <v>0</v>
      </c>
      <c r="CQ72" s="658">
        <f>IF(CQ$6&gt;$L72,0,CP72*(1-'Interest Rate'!$B$17))</f>
        <v>0</v>
      </c>
      <c r="CR72" s="658">
        <f>IF(CR$6&gt;$L72,0,CQ72*(1-'Interest Rate'!$B$17))</f>
        <v>0</v>
      </c>
      <c r="CS72" s="658">
        <f>IF(CS$6&gt;$L72,0,CR72*(1-'Interest Rate'!$B$17))</f>
        <v>0</v>
      </c>
      <c r="CT72" s="658">
        <f>IF(CT$6&gt;$L72,0,CS72*(1-'Interest Rate'!$B$17))</f>
        <v>0</v>
      </c>
      <c r="CU72" s="658">
        <f>IF(CU$6&gt;$L72,0,CT72*(1-'Interest Rate'!$B$17))</f>
        <v>0</v>
      </c>
      <c r="CV72" s="658">
        <f>IF(CV$6&gt;$L72,0,CU72*(1-'Interest Rate'!$B$17))</f>
        <v>0</v>
      </c>
      <c r="CW72" s="658">
        <f>IF(CW$6&gt;$L72,0,CV72*(1-'Interest Rate'!$B$17))</f>
        <v>0</v>
      </c>
      <c r="CX72" s="658">
        <f>IF(CX$6&gt;$L72,0,CW72*(1-'Interest Rate'!$B$17))</f>
        <v>0</v>
      </c>
      <c r="CY72" s="658">
        <f>IF(CY$6&gt;$L72,0,CX72*(1-'Interest Rate'!$B$17))</f>
        <v>0</v>
      </c>
      <c r="CZ72" s="658">
        <f>IF(CZ$6&gt;$L72,0,CY72*(1-'Interest Rate'!$B$17))</f>
        <v>0</v>
      </c>
      <c r="DA72" s="658">
        <f>IF(DA$6&gt;$L72,0,CZ72*(1-'Interest Rate'!$B$17))</f>
        <v>0</v>
      </c>
      <c r="DB72" s="658">
        <f>IF(DB$6&gt;$L72,0,DA72*(1-'Interest Rate'!$B$17))</f>
        <v>0</v>
      </c>
      <c r="DC72" s="658">
        <f>IF(DC$6&gt;$L72,0,DB72*(1-'Interest Rate'!$B$17))</f>
        <v>0</v>
      </c>
      <c r="DD72" s="658">
        <f>IF(DD$6&gt;$L72,0,DC72*(1-'Interest Rate'!$B$17))</f>
        <v>0</v>
      </c>
      <c r="DE72" s="658">
        <f>IF(DE$6&gt;$L72,0,DD72*(1-'Interest Rate'!$B$17))</f>
        <v>0</v>
      </c>
      <c r="DF72" s="658">
        <f>IF(DF$6&gt;$L72,0,DE72*(1-'Interest Rate'!$B$17))</f>
        <v>0</v>
      </c>
      <c r="DG72" s="658">
        <f>IF(DG$6&gt;$L72,0,DF72*(1-'Interest Rate'!$B$17))</f>
        <v>0</v>
      </c>
      <c r="DH72" s="658">
        <f>IF(DH$6&gt;$L72,0,DG72*(1-'Interest Rate'!$B$17))</f>
        <v>0</v>
      </c>
      <c r="DI72" s="658">
        <f>IF(DI$6&gt;$L72,0,DH72*(1-'Interest Rate'!$B$17))</f>
        <v>0</v>
      </c>
      <c r="DJ72" s="658">
        <f>IF(DJ$6&gt;$L72,0,DI72*(1-'Interest Rate'!$B$17))</f>
        <v>0</v>
      </c>
      <c r="DK72" s="658">
        <f>IF(DK$6&gt;$L72,0,DJ72*(1-'Interest Rate'!$B$17))</f>
        <v>0</v>
      </c>
      <c r="DL72" s="658">
        <f>IF(DL$6&gt;$L72,0,DK72*(1-'Interest Rate'!$B$17))</f>
        <v>0</v>
      </c>
      <c r="DM72" s="658">
        <f>IF(DM$6&gt;$L72,0,DL72*(1-'Interest Rate'!$B$17))</f>
        <v>0</v>
      </c>
      <c r="DN72" s="658">
        <f>IF(DN$6&gt;$L72,0,DM72*(1-'Interest Rate'!$B$17))</f>
        <v>0</v>
      </c>
      <c r="DO72" s="658">
        <f>IF(DO$6&gt;$L72,0,DN72*(1-'Interest Rate'!$B$17))</f>
        <v>0</v>
      </c>
      <c r="DP72" s="658">
        <f>IF(DP$6&gt;$L72,0,DO72*(1-'Interest Rate'!$B$17))</f>
        <v>0</v>
      </c>
      <c r="DQ72" s="658">
        <f>IF(DQ$6&gt;$L72,0,DP72*(1-'Interest Rate'!$B$17))</f>
        <v>0</v>
      </c>
      <c r="DR72" s="658">
        <f>IF(DR$6&gt;$L72,0,DQ72*(1-'Interest Rate'!$B$17))</f>
        <v>0</v>
      </c>
    </row>
    <row r="73" spans="1:122" ht="33" customHeight="1" x14ac:dyDescent="0.4">
      <c r="A73" s="696" t="str">
        <f>'EEM Data Entry'!A147</f>
        <v/>
      </c>
      <c r="B73" s="697" t="str">
        <f>IF('Packaged EEMs'!B63="  ","  ", 'EEM Data Entry'!B147)</f>
        <v/>
      </c>
      <c r="C73" s="671" t="str">
        <f>'EEM Data Entry'!F147</f>
        <v/>
      </c>
      <c r="D73" s="671">
        <v>0</v>
      </c>
      <c r="E73" s="671" t="e">
        <f t="shared" si="26"/>
        <v>#VALUE!</v>
      </c>
      <c r="F73" s="650">
        <f>('Cascading Savings'!D75*'Cascading Savings'!D$4)+('Cascading Savings'!F75*'Cascading Savings'!F$4)+('Cascading Savings'!H75*'Cascading Savings'!H$4)+('Cascading Savings'!J75*'Cascading Savings'!J$4)+('Cascading Savings'!L75*'Cascading Savings'!L$4)+('Cascading Savings'!N75*'Cascading Savings'!N$4)+('Cascading Savings'!P75*'Cascading Savings'!P$4)+('Cascading Savings'!R75*'Cascading Savings'!R$4)</f>
        <v>0</v>
      </c>
      <c r="G73" s="719">
        <f>'Savings Summary'!T75</f>
        <v>0</v>
      </c>
      <c r="H73" s="672" t="e">
        <f t="shared" si="27"/>
        <v>#VALUE!</v>
      </c>
      <c r="I73" s="668" t="e">
        <f t="shared" si="22"/>
        <v>#VALUE!</v>
      </c>
      <c r="J73" s="673" t="e">
        <f t="shared" si="23"/>
        <v>#NUM!</v>
      </c>
      <c r="K73" s="674" t="e">
        <f>PV('Interest Rate'!$B$17,Table415[[#This Row],[Lifetime]],-Table415[[#This Row],[ANNUAL ENERGY COST SAVINGS]],Table415[[#This Row],[END-OF-LIFE]],0)-Table415[[#This Row],[ CAPITAL INVESTMENT]]</f>
        <v>#VALUE!</v>
      </c>
      <c r="L73" s="668" t="str">
        <f>'EEM Data Entry'!C147</f>
        <v/>
      </c>
      <c r="M73" s="720" t="e">
        <f>Table415[[#This Row],[ANNUAL ENERGY COST SAVINGS]]/Table415[[#This Row],[ CAPITAL INVESTMENT]]</f>
        <v>#VALUE!</v>
      </c>
      <c r="N73" s="704">
        <f>IF(ISNUMBER(Table415[[#This Row],[NPV]])=TRUE,Table415[[#This Row],[NPV]],0)</f>
        <v>0</v>
      </c>
      <c r="O73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73" s="568" t="str">
        <f>Table415[[#This Row],[Lifetime]]</f>
        <v/>
      </c>
      <c r="V73" s="657" t="str">
        <f t="shared" si="24"/>
        <v/>
      </c>
      <c r="W73" s="658">
        <f t="shared" si="25"/>
        <v>0</v>
      </c>
      <c r="X73" s="658">
        <f>IF(X$6&gt;$L73,0,W73*(1-'Interest Rate'!$B$17))</f>
        <v>0</v>
      </c>
      <c r="Y73" s="658">
        <f>IF(Y$6&gt;$L73,0,X73*(1-'Interest Rate'!$B$17))</f>
        <v>0</v>
      </c>
      <c r="Z73" s="658">
        <f>IF(Z$6&gt;$L73,0,Y73*(1-'Interest Rate'!$B$17))</f>
        <v>0</v>
      </c>
      <c r="AA73" s="658">
        <f>IF(AA$6&gt;$L73,0,Z73*(1-'Interest Rate'!$B$17))</f>
        <v>0</v>
      </c>
      <c r="AB73" s="658">
        <f>IF(AB$6&gt;$L73,0,AA73*(1-'Interest Rate'!$B$17))</f>
        <v>0</v>
      </c>
      <c r="AC73" s="658">
        <f>IF(AC$6&gt;$L73,0,AB73*(1-'Interest Rate'!$B$17))</f>
        <v>0</v>
      </c>
      <c r="AD73" s="658">
        <f>IF(AD$6&gt;$L73,0,AC73*(1-'Interest Rate'!$B$17))</f>
        <v>0</v>
      </c>
      <c r="AE73" s="658">
        <f>IF(AE$6&gt;$L73,0,AD73*(1-'Interest Rate'!$B$17))</f>
        <v>0</v>
      </c>
      <c r="AF73" s="658">
        <f>IF(AF$6&gt;$L73,0,AE73*(1-'Interest Rate'!$B$17))</f>
        <v>0</v>
      </c>
      <c r="AG73" s="658">
        <f>IF(AG$6&gt;$L73,0,AF73*(1-'Interest Rate'!$B$17))</f>
        <v>0</v>
      </c>
      <c r="AH73" s="658">
        <f>IF(AH$6&gt;$L73,0,AG73*(1-'Interest Rate'!$B$17))</f>
        <v>0</v>
      </c>
      <c r="AI73" s="658">
        <f>IF(AI$6&gt;$L73,0,AH73*(1-'Interest Rate'!$B$17))</f>
        <v>0</v>
      </c>
      <c r="AJ73" s="658">
        <f>IF(AJ$6&gt;$L73,0,AI73*(1-'Interest Rate'!$B$17))</f>
        <v>0</v>
      </c>
      <c r="AK73" s="658">
        <f>IF(AK$6&gt;$L73,0,AJ73*(1-'Interest Rate'!$B$17))</f>
        <v>0</v>
      </c>
      <c r="AL73" s="658">
        <f>IF(AL$6&gt;$L73,0,AK73*(1-'Interest Rate'!$B$17))</f>
        <v>0</v>
      </c>
      <c r="AM73" s="658">
        <f>IF(AM$6&gt;$L73,0,AL73*(1-'Interest Rate'!$B$17))</f>
        <v>0</v>
      </c>
      <c r="AN73" s="658">
        <f>IF(AN$6&gt;$L73,0,AM73*(1-'Interest Rate'!$B$17))</f>
        <v>0</v>
      </c>
      <c r="AO73" s="658">
        <f>IF(AO$6&gt;$L73,0,AN73*(1-'Interest Rate'!$B$17))</f>
        <v>0</v>
      </c>
      <c r="AP73" s="658">
        <f>IF(AP$6&gt;$L73,0,AO73*(1-'Interest Rate'!$B$17))</f>
        <v>0</v>
      </c>
      <c r="AQ73" s="658">
        <f>IF(AQ$6&gt;$L73,0,AP73*(1-'Interest Rate'!$B$17))</f>
        <v>0</v>
      </c>
      <c r="AR73" s="658">
        <f>IF(AR$6&gt;$L73,0,AQ73*(1-'Interest Rate'!$B$17))</f>
        <v>0</v>
      </c>
      <c r="AS73" s="658">
        <f>IF(AS$6&gt;$L73,0,AR73*(1-'Interest Rate'!$B$17))</f>
        <v>0</v>
      </c>
      <c r="AT73" s="658">
        <f>IF(AT$6&gt;$L73,0,AS73*(1-'Interest Rate'!$B$17))</f>
        <v>0</v>
      </c>
      <c r="AU73" s="658">
        <f>IF(AU$6&gt;$L73,0,AT73*(1-'Interest Rate'!$B$17))</f>
        <v>0</v>
      </c>
      <c r="AV73" s="658">
        <f>IF(AV$6&gt;$L73,0,AU73*(1-'Interest Rate'!$B$17))</f>
        <v>0</v>
      </c>
      <c r="AW73" s="658">
        <f>IF(AW$6&gt;$L73,0,AV73*(1-'Interest Rate'!$B$17))</f>
        <v>0</v>
      </c>
      <c r="AX73" s="658">
        <f>IF(AX$6&gt;$L73,0,AW73*(1-'Interest Rate'!$B$17))</f>
        <v>0</v>
      </c>
      <c r="AY73" s="658">
        <f>IF(AY$6&gt;$L73,0,AX73*(1-'Interest Rate'!$B$17))</f>
        <v>0</v>
      </c>
      <c r="AZ73" s="658">
        <f>IF(AZ$6&gt;$L73,0,AY73*(1-'Interest Rate'!$B$17))</f>
        <v>0</v>
      </c>
      <c r="BA73" s="658">
        <f>IF(BA$6&gt;$L73,0,AZ73*(1-'Interest Rate'!$B$17))</f>
        <v>0</v>
      </c>
      <c r="BB73" s="658">
        <f>IF(BB$6&gt;$L73,0,BA73*(1-'Interest Rate'!$B$17))</f>
        <v>0</v>
      </c>
      <c r="BC73" s="658">
        <f>IF(BC$6&gt;$L73,0,BB73*(1-'Interest Rate'!$B$17))</f>
        <v>0</v>
      </c>
      <c r="BD73" s="658">
        <f>IF(BD$6&gt;$L73,0,BC73*(1-'Interest Rate'!$B$17))</f>
        <v>0</v>
      </c>
      <c r="BE73" s="658">
        <f>IF(BE$6&gt;$L73,0,BD73*(1-'Interest Rate'!$B$17))</f>
        <v>0</v>
      </c>
      <c r="BF73" s="658">
        <f>IF(BF$6&gt;$L73,0,BE73*(1-'Interest Rate'!$B$17))</f>
        <v>0</v>
      </c>
      <c r="BG73" s="658">
        <f>IF(BG$6&gt;$L73,0,BF73*(1-'Interest Rate'!$B$17))</f>
        <v>0</v>
      </c>
      <c r="BH73" s="658">
        <f>IF(BH$6&gt;$L73,0,BG73*(1-'Interest Rate'!$B$17))</f>
        <v>0</v>
      </c>
      <c r="BI73" s="658">
        <f>IF(BI$6&gt;$L73,0,BH73*(1-'Interest Rate'!$B$17))</f>
        <v>0</v>
      </c>
      <c r="BJ73" s="658">
        <f>IF(BJ$6&gt;$L73,0,BI73*(1-'Interest Rate'!$B$17))</f>
        <v>0</v>
      </c>
      <c r="BK73" s="658">
        <f>IF(BK$6&gt;$L73,0,BJ73*(1-'Interest Rate'!$B$17))</f>
        <v>0</v>
      </c>
      <c r="BL73" s="658">
        <f>IF(BL$6&gt;$L73,0,BK73*(1-'Interest Rate'!$B$17))</f>
        <v>0</v>
      </c>
      <c r="BM73" s="658">
        <f>IF(BM$6&gt;$L73,0,BL73*(1-'Interest Rate'!$B$17))</f>
        <v>0</v>
      </c>
      <c r="BN73" s="658">
        <f>IF(BN$6&gt;$L73,0,BM73*(1-'Interest Rate'!$B$17))</f>
        <v>0</v>
      </c>
      <c r="BO73" s="658">
        <f>IF(BO$6&gt;$L73,0,BN73*(1-'Interest Rate'!$B$17))</f>
        <v>0</v>
      </c>
      <c r="BP73" s="658">
        <f>IF(BP$6&gt;$L73,0,BO73*(1-'Interest Rate'!$B$17))</f>
        <v>0</v>
      </c>
      <c r="BQ73" s="658">
        <f>IF(BQ$6&gt;$L73,0,BP73*(1-'Interest Rate'!$B$17))</f>
        <v>0</v>
      </c>
      <c r="BR73" s="658">
        <f>IF(BR$6&gt;$L73,0,BQ73*(1-'Interest Rate'!$B$17))</f>
        <v>0</v>
      </c>
      <c r="BS73" s="658">
        <f>IF(BS$6&gt;$L73,0,BR73*(1-'Interest Rate'!$B$17))</f>
        <v>0</v>
      </c>
      <c r="BT73" s="658">
        <f>IF(BT$6&gt;$L73,0,BS73*(1-'Interest Rate'!$B$17))</f>
        <v>0</v>
      </c>
      <c r="BU73" s="658">
        <f>IF(BU$6&gt;$L73,0,BT73*(1-'Interest Rate'!$B$17))</f>
        <v>0</v>
      </c>
      <c r="BV73" s="658">
        <f>IF(BV$6&gt;$L73,0,BU73*(1-'Interest Rate'!$B$17))</f>
        <v>0</v>
      </c>
      <c r="BW73" s="658">
        <f>IF(BW$6&gt;$L73,0,BV73*(1-'Interest Rate'!$B$17))</f>
        <v>0</v>
      </c>
      <c r="BX73" s="658">
        <f>IF(BX$6&gt;$L73,0,BW73*(1-'Interest Rate'!$B$17))</f>
        <v>0</v>
      </c>
      <c r="BY73" s="658">
        <f>IF(BY$6&gt;$L73,0,BX73*(1-'Interest Rate'!$B$17))</f>
        <v>0</v>
      </c>
      <c r="BZ73" s="658">
        <f>IF(BZ$6&gt;$L73,0,BY73*(1-'Interest Rate'!$B$17))</f>
        <v>0</v>
      </c>
      <c r="CA73" s="658">
        <f>IF(CA$6&gt;$L73,0,BZ73*(1-'Interest Rate'!$B$17))</f>
        <v>0</v>
      </c>
      <c r="CB73" s="658">
        <f>IF(CB$6&gt;$L73,0,CA73*(1-'Interest Rate'!$B$17))</f>
        <v>0</v>
      </c>
      <c r="CC73" s="658">
        <f>IF(CC$6&gt;$L73,0,CB73*(1-'Interest Rate'!$B$17))</f>
        <v>0</v>
      </c>
      <c r="CD73" s="658">
        <f>IF(CD$6&gt;$L73,0,CC73*(1-'Interest Rate'!$B$17))</f>
        <v>0</v>
      </c>
      <c r="CE73" s="658">
        <f>IF(CE$6&gt;$L73,0,CD73*(1-'Interest Rate'!$B$17))</f>
        <v>0</v>
      </c>
      <c r="CF73" s="658">
        <f>IF(CF$6&gt;$L73,0,CE73*(1-'Interest Rate'!$B$17))</f>
        <v>0</v>
      </c>
      <c r="CG73" s="658">
        <f>IF(CG$6&gt;$L73,0,CF73*(1-'Interest Rate'!$B$17))</f>
        <v>0</v>
      </c>
      <c r="CH73" s="658">
        <f>IF(CH$6&gt;$L73,0,CG73*(1-'Interest Rate'!$B$17))</f>
        <v>0</v>
      </c>
      <c r="CI73" s="658">
        <f>IF(CI$6&gt;$L73,0,CH73*(1-'Interest Rate'!$B$17))</f>
        <v>0</v>
      </c>
      <c r="CJ73" s="658">
        <f>IF(CJ$6&gt;$L73,0,CI73*(1-'Interest Rate'!$B$17))</f>
        <v>0</v>
      </c>
      <c r="CK73" s="658">
        <f>IF(CK$6&gt;$L73,0,CJ73*(1-'Interest Rate'!$B$17))</f>
        <v>0</v>
      </c>
      <c r="CL73" s="658">
        <f>IF(CL$6&gt;$L73,0,CK73*(1-'Interest Rate'!$B$17))</f>
        <v>0</v>
      </c>
      <c r="CM73" s="658">
        <f>IF(CM$6&gt;$L73,0,CL73*(1-'Interest Rate'!$B$17))</f>
        <v>0</v>
      </c>
      <c r="CN73" s="658">
        <f>IF(CN$6&gt;$L73,0,CM73*(1-'Interest Rate'!$B$17))</f>
        <v>0</v>
      </c>
      <c r="CO73" s="658">
        <f>IF(CO$6&gt;$L73,0,CN73*(1-'Interest Rate'!$B$17))</f>
        <v>0</v>
      </c>
      <c r="CP73" s="658">
        <f>IF(CP$6&gt;$L73,0,CO73*(1-'Interest Rate'!$B$17))</f>
        <v>0</v>
      </c>
      <c r="CQ73" s="658">
        <f>IF(CQ$6&gt;$L73,0,CP73*(1-'Interest Rate'!$B$17))</f>
        <v>0</v>
      </c>
      <c r="CR73" s="658">
        <f>IF(CR$6&gt;$L73,0,CQ73*(1-'Interest Rate'!$B$17))</f>
        <v>0</v>
      </c>
      <c r="CS73" s="658">
        <f>IF(CS$6&gt;$L73,0,CR73*(1-'Interest Rate'!$B$17))</f>
        <v>0</v>
      </c>
      <c r="CT73" s="658">
        <f>IF(CT$6&gt;$L73,0,CS73*(1-'Interest Rate'!$B$17))</f>
        <v>0</v>
      </c>
      <c r="CU73" s="658">
        <f>IF(CU$6&gt;$L73,0,CT73*(1-'Interest Rate'!$B$17))</f>
        <v>0</v>
      </c>
      <c r="CV73" s="658">
        <f>IF(CV$6&gt;$L73,0,CU73*(1-'Interest Rate'!$B$17))</f>
        <v>0</v>
      </c>
      <c r="CW73" s="658">
        <f>IF(CW$6&gt;$L73,0,CV73*(1-'Interest Rate'!$B$17))</f>
        <v>0</v>
      </c>
      <c r="CX73" s="658">
        <f>IF(CX$6&gt;$L73,0,CW73*(1-'Interest Rate'!$B$17))</f>
        <v>0</v>
      </c>
      <c r="CY73" s="658">
        <f>IF(CY$6&gt;$L73,0,CX73*(1-'Interest Rate'!$B$17))</f>
        <v>0</v>
      </c>
      <c r="CZ73" s="658">
        <f>IF(CZ$6&gt;$L73,0,CY73*(1-'Interest Rate'!$B$17))</f>
        <v>0</v>
      </c>
      <c r="DA73" s="658">
        <f>IF(DA$6&gt;$L73,0,CZ73*(1-'Interest Rate'!$B$17))</f>
        <v>0</v>
      </c>
      <c r="DB73" s="658">
        <f>IF(DB$6&gt;$L73,0,DA73*(1-'Interest Rate'!$B$17))</f>
        <v>0</v>
      </c>
      <c r="DC73" s="658">
        <f>IF(DC$6&gt;$L73,0,DB73*(1-'Interest Rate'!$B$17))</f>
        <v>0</v>
      </c>
      <c r="DD73" s="658">
        <f>IF(DD$6&gt;$L73,0,DC73*(1-'Interest Rate'!$B$17))</f>
        <v>0</v>
      </c>
      <c r="DE73" s="658">
        <f>IF(DE$6&gt;$L73,0,DD73*(1-'Interest Rate'!$B$17))</f>
        <v>0</v>
      </c>
      <c r="DF73" s="658">
        <f>IF(DF$6&gt;$L73,0,DE73*(1-'Interest Rate'!$B$17))</f>
        <v>0</v>
      </c>
      <c r="DG73" s="658">
        <f>IF(DG$6&gt;$L73,0,DF73*(1-'Interest Rate'!$B$17))</f>
        <v>0</v>
      </c>
      <c r="DH73" s="658">
        <f>IF(DH$6&gt;$L73,0,DG73*(1-'Interest Rate'!$B$17))</f>
        <v>0</v>
      </c>
      <c r="DI73" s="658">
        <f>IF(DI$6&gt;$L73,0,DH73*(1-'Interest Rate'!$B$17))</f>
        <v>0</v>
      </c>
      <c r="DJ73" s="658">
        <f>IF(DJ$6&gt;$L73,0,DI73*(1-'Interest Rate'!$B$17))</f>
        <v>0</v>
      </c>
      <c r="DK73" s="658">
        <f>IF(DK$6&gt;$L73,0,DJ73*(1-'Interest Rate'!$B$17))</f>
        <v>0</v>
      </c>
      <c r="DL73" s="658">
        <f>IF(DL$6&gt;$L73,0,DK73*(1-'Interest Rate'!$B$17))</f>
        <v>0</v>
      </c>
      <c r="DM73" s="658">
        <f>IF(DM$6&gt;$L73,0,DL73*(1-'Interest Rate'!$B$17))</f>
        <v>0</v>
      </c>
      <c r="DN73" s="658">
        <f>IF(DN$6&gt;$L73,0,DM73*(1-'Interest Rate'!$B$17))</f>
        <v>0</v>
      </c>
      <c r="DO73" s="658">
        <f>IF(DO$6&gt;$L73,0,DN73*(1-'Interest Rate'!$B$17))</f>
        <v>0</v>
      </c>
      <c r="DP73" s="658">
        <f>IF(DP$6&gt;$L73,0,DO73*(1-'Interest Rate'!$B$17))</f>
        <v>0</v>
      </c>
      <c r="DQ73" s="658">
        <f>IF(DQ$6&gt;$L73,0,DP73*(1-'Interest Rate'!$B$17))</f>
        <v>0</v>
      </c>
      <c r="DR73" s="658">
        <f>IF(DR$6&gt;$L73,0,DQ73*(1-'Interest Rate'!$B$17))</f>
        <v>0</v>
      </c>
    </row>
    <row r="74" spans="1:122" ht="33" customHeight="1" x14ac:dyDescent="0.4">
      <c r="A74" s="696" t="str">
        <f>'EEM Data Entry'!A148</f>
        <v/>
      </c>
      <c r="B74" s="697" t="str">
        <f>IF('Packaged EEMs'!B64="  ","  ", 'EEM Data Entry'!B148)</f>
        <v/>
      </c>
      <c r="C74" s="671" t="str">
        <f>'EEM Data Entry'!F148</f>
        <v/>
      </c>
      <c r="D74" s="671">
        <v>0</v>
      </c>
      <c r="E74" s="671" t="e">
        <f t="shared" si="26"/>
        <v>#VALUE!</v>
      </c>
      <c r="F74" s="662">
        <f>('Cascading Savings'!D76*'Cascading Savings'!D$4)+('Cascading Savings'!F76*'Cascading Savings'!F$4)+('Cascading Savings'!H76*'Cascading Savings'!H$4)+('Cascading Savings'!J76*'Cascading Savings'!J$4)+('Cascading Savings'!L76*'Cascading Savings'!L$4)+('Cascading Savings'!N76*'Cascading Savings'!N$4)+('Cascading Savings'!P76*'Cascading Savings'!P$4)+('Cascading Savings'!R76*'Cascading Savings'!R$4)</f>
        <v>0</v>
      </c>
      <c r="G74" s="721">
        <f>'Savings Summary'!T76</f>
        <v>0</v>
      </c>
      <c r="H74" s="672" t="e">
        <f t="shared" si="27"/>
        <v>#VALUE!</v>
      </c>
      <c r="I74" s="668" t="e">
        <f t="shared" si="22"/>
        <v>#VALUE!</v>
      </c>
      <c r="J74" s="673" t="e">
        <f t="shared" si="23"/>
        <v>#NUM!</v>
      </c>
      <c r="K74" s="674" t="e">
        <f>PV('Interest Rate'!$B$17,Table415[[#This Row],[Lifetime]],-Table415[[#This Row],[ANNUAL ENERGY COST SAVINGS]],Table415[[#This Row],[END-OF-LIFE]],0)-Table415[[#This Row],[ CAPITAL INVESTMENT]]</f>
        <v>#VALUE!</v>
      </c>
      <c r="L74" s="668" t="str">
        <f>'EEM Data Entry'!C148</f>
        <v/>
      </c>
      <c r="M74" s="720" t="e">
        <f>Table415[[#This Row],[ANNUAL ENERGY COST SAVINGS]]/Table415[[#This Row],[ CAPITAL INVESTMENT]]</f>
        <v>#VALUE!</v>
      </c>
      <c r="N74" s="704">
        <f>IF(ISNUMBER(Table415[[#This Row],[NPV]])=TRUE,Table415[[#This Row],[NPV]],0)</f>
        <v>0</v>
      </c>
      <c r="O74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74" s="568" t="str">
        <f>Table415[[#This Row],[Lifetime]]</f>
        <v/>
      </c>
      <c r="V74" s="657" t="str">
        <f t="shared" si="24"/>
        <v/>
      </c>
      <c r="W74" s="658">
        <f t="shared" si="25"/>
        <v>0</v>
      </c>
      <c r="X74" s="658">
        <f>IF(X$6&gt;$L74,0,W74*(1-'Interest Rate'!$B$17))</f>
        <v>0</v>
      </c>
      <c r="Y74" s="658">
        <f>IF(Y$6&gt;$L74,0,X74*(1-'Interest Rate'!$B$17))</f>
        <v>0</v>
      </c>
      <c r="Z74" s="658">
        <f>IF(Z$6&gt;$L74,0,Y74*(1-'Interest Rate'!$B$17))</f>
        <v>0</v>
      </c>
      <c r="AA74" s="658">
        <f>IF(AA$6&gt;$L74,0,Z74*(1-'Interest Rate'!$B$17))</f>
        <v>0</v>
      </c>
      <c r="AB74" s="658">
        <f>IF(AB$6&gt;$L74,0,AA74*(1-'Interest Rate'!$B$17))</f>
        <v>0</v>
      </c>
      <c r="AC74" s="658">
        <f>IF(AC$6&gt;$L74,0,AB74*(1-'Interest Rate'!$B$17))</f>
        <v>0</v>
      </c>
      <c r="AD74" s="658">
        <f>IF(AD$6&gt;$L74,0,AC74*(1-'Interest Rate'!$B$17))</f>
        <v>0</v>
      </c>
      <c r="AE74" s="658">
        <f>IF(AE$6&gt;$L74,0,AD74*(1-'Interest Rate'!$B$17))</f>
        <v>0</v>
      </c>
      <c r="AF74" s="658">
        <f>IF(AF$6&gt;$L74,0,AE74*(1-'Interest Rate'!$B$17))</f>
        <v>0</v>
      </c>
      <c r="AG74" s="658">
        <f>IF(AG$6&gt;$L74,0,AF74*(1-'Interest Rate'!$B$17))</f>
        <v>0</v>
      </c>
      <c r="AH74" s="658">
        <f>IF(AH$6&gt;$L74,0,AG74*(1-'Interest Rate'!$B$17))</f>
        <v>0</v>
      </c>
      <c r="AI74" s="658">
        <f>IF(AI$6&gt;$L74,0,AH74*(1-'Interest Rate'!$B$17))</f>
        <v>0</v>
      </c>
      <c r="AJ74" s="658">
        <f>IF(AJ$6&gt;$L74,0,AI74*(1-'Interest Rate'!$B$17))</f>
        <v>0</v>
      </c>
      <c r="AK74" s="658">
        <f>IF(AK$6&gt;$L74,0,AJ74*(1-'Interest Rate'!$B$17))</f>
        <v>0</v>
      </c>
      <c r="AL74" s="658">
        <f>IF(AL$6&gt;$L74,0,AK74*(1-'Interest Rate'!$B$17))</f>
        <v>0</v>
      </c>
      <c r="AM74" s="658">
        <f>IF(AM$6&gt;$L74,0,AL74*(1-'Interest Rate'!$B$17))</f>
        <v>0</v>
      </c>
      <c r="AN74" s="658">
        <f>IF(AN$6&gt;$L74,0,AM74*(1-'Interest Rate'!$B$17))</f>
        <v>0</v>
      </c>
      <c r="AO74" s="658">
        <f>IF(AO$6&gt;$L74,0,AN74*(1-'Interest Rate'!$B$17))</f>
        <v>0</v>
      </c>
      <c r="AP74" s="658">
        <f>IF(AP$6&gt;$L74,0,AO74*(1-'Interest Rate'!$B$17))</f>
        <v>0</v>
      </c>
      <c r="AQ74" s="658">
        <f>IF(AQ$6&gt;$L74,0,AP74*(1-'Interest Rate'!$B$17))</f>
        <v>0</v>
      </c>
      <c r="AR74" s="658">
        <f>IF(AR$6&gt;$L74,0,AQ74*(1-'Interest Rate'!$B$17))</f>
        <v>0</v>
      </c>
      <c r="AS74" s="658">
        <f>IF(AS$6&gt;$L74,0,AR74*(1-'Interest Rate'!$B$17))</f>
        <v>0</v>
      </c>
      <c r="AT74" s="658">
        <f>IF(AT$6&gt;$L74,0,AS74*(1-'Interest Rate'!$B$17))</f>
        <v>0</v>
      </c>
      <c r="AU74" s="658">
        <f>IF(AU$6&gt;$L74,0,AT74*(1-'Interest Rate'!$B$17))</f>
        <v>0</v>
      </c>
      <c r="AV74" s="658">
        <f>IF(AV$6&gt;$L74,0,AU74*(1-'Interest Rate'!$B$17))</f>
        <v>0</v>
      </c>
      <c r="AW74" s="658">
        <f>IF(AW$6&gt;$L74,0,AV74*(1-'Interest Rate'!$B$17))</f>
        <v>0</v>
      </c>
      <c r="AX74" s="658">
        <f>IF(AX$6&gt;$L74,0,AW74*(1-'Interest Rate'!$B$17))</f>
        <v>0</v>
      </c>
      <c r="AY74" s="658">
        <f>IF(AY$6&gt;$L74,0,AX74*(1-'Interest Rate'!$B$17))</f>
        <v>0</v>
      </c>
      <c r="AZ74" s="658">
        <f>IF(AZ$6&gt;$L74,0,AY74*(1-'Interest Rate'!$B$17))</f>
        <v>0</v>
      </c>
      <c r="BA74" s="658">
        <f>IF(BA$6&gt;$L74,0,AZ74*(1-'Interest Rate'!$B$17))</f>
        <v>0</v>
      </c>
      <c r="BB74" s="658">
        <f>IF(BB$6&gt;$L74,0,BA74*(1-'Interest Rate'!$B$17))</f>
        <v>0</v>
      </c>
      <c r="BC74" s="658">
        <f>IF(BC$6&gt;$L74,0,BB74*(1-'Interest Rate'!$B$17))</f>
        <v>0</v>
      </c>
      <c r="BD74" s="658">
        <f>IF(BD$6&gt;$L74,0,BC74*(1-'Interest Rate'!$B$17))</f>
        <v>0</v>
      </c>
      <c r="BE74" s="658">
        <f>IF(BE$6&gt;$L74,0,BD74*(1-'Interest Rate'!$B$17))</f>
        <v>0</v>
      </c>
      <c r="BF74" s="658">
        <f>IF(BF$6&gt;$L74,0,BE74*(1-'Interest Rate'!$B$17))</f>
        <v>0</v>
      </c>
      <c r="BG74" s="658">
        <f>IF(BG$6&gt;$L74,0,BF74*(1-'Interest Rate'!$B$17))</f>
        <v>0</v>
      </c>
      <c r="BH74" s="658">
        <f>IF(BH$6&gt;$L74,0,BG74*(1-'Interest Rate'!$B$17))</f>
        <v>0</v>
      </c>
      <c r="BI74" s="658">
        <f>IF(BI$6&gt;$L74,0,BH74*(1-'Interest Rate'!$B$17))</f>
        <v>0</v>
      </c>
      <c r="BJ74" s="658">
        <f>IF(BJ$6&gt;$L74,0,BI74*(1-'Interest Rate'!$B$17))</f>
        <v>0</v>
      </c>
      <c r="BK74" s="658">
        <f>IF(BK$6&gt;$L74,0,BJ74*(1-'Interest Rate'!$B$17))</f>
        <v>0</v>
      </c>
      <c r="BL74" s="658">
        <f>IF(BL$6&gt;$L74,0,BK74*(1-'Interest Rate'!$B$17))</f>
        <v>0</v>
      </c>
      <c r="BM74" s="658">
        <f>IF(BM$6&gt;$L74,0,BL74*(1-'Interest Rate'!$B$17))</f>
        <v>0</v>
      </c>
      <c r="BN74" s="658">
        <f>IF(BN$6&gt;$L74,0,BM74*(1-'Interest Rate'!$B$17))</f>
        <v>0</v>
      </c>
      <c r="BO74" s="658">
        <f>IF(BO$6&gt;$L74,0,BN74*(1-'Interest Rate'!$B$17))</f>
        <v>0</v>
      </c>
      <c r="BP74" s="658">
        <f>IF(BP$6&gt;$L74,0,BO74*(1-'Interest Rate'!$B$17))</f>
        <v>0</v>
      </c>
      <c r="BQ74" s="658">
        <f>IF(BQ$6&gt;$L74,0,BP74*(1-'Interest Rate'!$B$17))</f>
        <v>0</v>
      </c>
      <c r="BR74" s="658">
        <f>IF(BR$6&gt;$L74,0,BQ74*(1-'Interest Rate'!$B$17))</f>
        <v>0</v>
      </c>
      <c r="BS74" s="658">
        <f>IF(BS$6&gt;$L74,0,BR74*(1-'Interest Rate'!$B$17))</f>
        <v>0</v>
      </c>
      <c r="BT74" s="658">
        <f>IF(BT$6&gt;$L74,0,BS74*(1-'Interest Rate'!$B$17))</f>
        <v>0</v>
      </c>
      <c r="BU74" s="658">
        <f>IF(BU$6&gt;$L74,0,BT74*(1-'Interest Rate'!$B$17))</f>
        <v>0</v>
      </c>
      <c r="BV74" s="658">
        <f>IF(BV$6&gt;$L74,0,BU74*(1-'Interest Rate'!$B$17))</f>
        <v>0</v>
      </c>
      <c r="BW74" s="658">
        <f>IF(BW$6&gt;$L74,0,BV74*(1-'Interest Rate'!$B$17))</f>
        <v>0</v>
      </c>
      <c r="BX74" s="658">
        <f>IF(BX$6&gt;$L74,0,BW74*(1-'Interest Rate'!$B$17))</f>
        <v>0</v>
      </c>
      <c r="BY74" s="658">
        <f>IF(BY$6&gt;$L74,0,BX74*(1-'Interest Rate'!$B$17))</f>
        <v>0</v>
      </c>
      <c r="BZ74" s="658">
        <f>IF(BZ$6&gt;$L74,0,BY74*(1-'Interest Rate'!$B$17))</f>
        <v>0</v>
      </c>
      <c r="CA74" s="658">
        <f>IF(CA$6&gt;$L74,0,BZ74*(1-'Interest Rate'!$B$17))</f>
        <v>0</v>
      </c>
      <c r="CB74" s="658">
        <f>IF(CB$6&gt;$L74,0,CA74*(1-'Interest Rate'!$B$17))</f>
        <v>0</v>
      </c>
      <c r="CC74" s="658">
        <f>IF(CC$6&gt;$L74,0,CB74*(1-'Interest Rate'!$B$17))</f>
        <v>0</v>
      </c>
      <c r="CD74" s="658">
        <f>IF(CD$6&gt;$L74,0,CC74*(1-'Interest Rate'!$B$17))</f>
        <v>0</v>
      </c>
      <c r="CE74" s="658">
        <f>IF(CE$6&gt;$L74,0,CD74*(1-'Interest Rate'!$B$17))</f>
        <v>0</v>
      </c>
      <c r="CF74" s="658">
        <f>IF(CF$6&gt;$L74,0,CE74*(1-'Interest Rate'!$B$17))</f>
        <v>0</v>
      </c>
      <c r="CG74" s="658">
        <f>IF(CG$6&gt;$L74,0,CF74*(1-'Interest Rate'!$B$17))</f>
        <v>0</v>
      </c>
      <c r="CH74" s="658">
        <f>IF(CH$6&gt;$L74,0,CG74*(1-'Interest Rate'!$B$17))</f>
        <v>0</v>
      </c>
      <c r="CI74" s="658">
        <f>IF(CI$6&gt;$L74,0,CH74*(1-'Interest Rate'!$B$17))</f>
        <v>0</v>
      </c>
      <c r="CJ74" s="658">
        <f>IF(CJ$6&gt;$L74,0,CI74*(1-'Interest Rate'!$B$17))</f>
        <v>0</v>
      </c>
      <c r="CK74" s="658">
        <f>IF(CK$6&gt;$L74,0,CJ74*(1-'Interest Rate'!$B$17))</f>
        <v>0</v>
      </c>
      <c r="CL74" s="658">
        <f>IF(CL$6&gt;$L74,0,CK74*(1-'Interest Rate'!$B$17))</f>
        <v>0</v>
      </c>
      <c r="CM74" s="658">
        <f>IF(CM$6&gt;$L74,0,CL74*(1-'Interest Rate'!$B$17))</f>
        <v>0</v>
      </c>
      <c r="CN74" s="658">
        <f>IF(CN$6&gt;$L74,0,CM74*(1-'Interest Rate'!$B$17))</f>
        <v>0</v>
      </c>
      <c r="CO74" s="658">
        <f>IF(CO$6&gt;$L74,0,CN74*(1-'Interest Rate'!$B$17))</f>
        <v>0</v>
      </c>
      <c r="CP74" s="658">
        <f>IF(CP$6&gt;$L74,0,CO74*(1-'Interest Rate'!$B$17))</f>
        <v>0</v>
      </c>
      <c r="CQ74" s="658">
        <f>IF(CQ$6&gt;$L74,0,CP74*(1-'Interest Rate'!$B$17))</f>
        <v>0</v>
      </c>
      <c r="CR74" s="658">
        <f>IF(CR$6&gt;$L74,0,CQ74*(1-'Interest Rate'!$B$17))</f>
        <v>0</v>
      </c>
      <c r="CS74" s="658">
        <f>IF(CS$6&gt;$L74,0,CR74*(1-'Interest Rate'!$B$17))</f>
        <v>0</v>
      </c>
      <c r="CT74" s="658">
        <f>IF(CT$6&gt;$L74,0,CS74*(1-'Interest Rate'!$B$17))</f>
        <v>0</v>
      </c>
      <c r="CU74" s="658">
        <f>IF(CU$6&gt;$L74,0,CT74*(1-'Interest Rate'!$B$17))</f>
        <v>0</v>
      </c>
      <c r="CV74" s="658">
        <f>IF(CV$6&gt;$L74,0,CU74*(1-'Interest Rate'!$B$17))</f>
        <v>0</v>
      </c>
      <c r="CW74" s="658">
        <f>IF(CW$6&gt;$L74,0,CV74*(1-'Interest Rate'!$B$17))</f>
        <v>0</v>
      </c>
      <c r="CX74" s="658">
        <f>IF(CX$6&gt;$L74,0,CW74*(1-'Interest Rate'!$B$17))</f>
        <v>0</v>
      </c>
      <c r="CY74" s="658">
        <f>IF(CY$6&gt;$L74,0,CX74*(1-'Interest Rate'!$B$17))</f>
        <v>0</v>
      </c>
      <c r="CZ74" s="658">
        <f>IF(CZ$6&gt;$L74,0,CY74*(1-'Interest Rate'!$B$17))</f>
        <v>0</v>
      </c>
      <c r="DA74" s="658">
        <f>IF(DA$6&gt;$L74,0,CZ74*(1-'Interest Rate'!$B$17))</f>
        <v>0</v>
      </c>
      <c r="DB74" s="658">
        <f>IF(DB$6&gt;$L74,0,DA74*(1-'Interest Rate'!$B$17))</f>
        <v>0</v>
      </c>
      <c r="DC74" s="658">
        <f>IF(DC$6&gt;$L74,0,DB74*(1-'Interest Rate'!$B$17))</f>
        <v>0</v>
      </c>
      <c r="DD74" s="658">
        <f>IF(DD$6&gt;$L74,0,DC74*(1-'Interest Rate'!$B$17))</f>
        <v>0</v>
      </c>
      <c r="DE74" s="658">
        <f>IF(DE$6&gt;$L74,0,DD74*(1-'Interest Rate'!$B$17))</f>
        <v>0</v>
      </c>
      <c r="DF74" s="658">
        <f>IF(DF$6&gt;$L74,0,DE74*(1-'Interest Rate'!$B$17))</f>
        <v>0</v>
      </c>
      <c r="DG74" s="658">
        <f>IF(DG$6&gt;$L74,0,DF74*(1-'Interest Rate'!$B$17))</f>
        <v>0</v>
      </c>
      <c r="DH74" s="658">
        <f>IF(DH$6&gt;$L74,0,DG74*(1-'Interest Rate'!$B$17))</f>
        <v>0</v>
      </c>
      <c r="DI74" s="658">
        <f>IF(DI$6&gt;$L74,0,DH74*(1-'Interest Rate'!$B$17))</f>
        <v>0</v>
      </c>
      <c r="DJ74" s="658">
        <f>IF(DJ$6&gt;$L74,0,DI74*(1-'Interest Rate'!$B$17))</f>
        <v>0</v>
      </c>
      <c r="DK74" s="658">
        <f>IF(DK$6&gt;$L74,0,DJ74*(1-'Interest Rate'!$B$17))</f>
        <v>0</v>
      </c>
      <c r="DL74" s="658">
        <f>IF(DL$6&gt;$L74,0,DK74*(1-'Interest Rate'!$B$17))</f>
        <v>0</v>
      </c>
      <c r="DM74" s="658">
        <f>IF(DM$6&gt;$L74,0,DL74*(1-'Interest Rate'!$B$17))</f>
        <v>0</v>
      </c>
      <c r="DN74" s="658">
        <f>IF(DN$6&gt;$L74,0,DM74*(1-'Interest Rate'!$B$17))</f>
        <v>0</v>
      </c>
      <c r="DO74" s="658">
        <f>IF(DO$6&gt;$L74,0,DN74*(1-'Interest Rate'!$B$17))</f>
        <v>0</v>
      </c>
      <c r="DP74" s="658">
        <f>IF(DP$6&gt;$L74,0,DO74*(1-'Interest Rate'!$B$17))</f>
        <v>0</v>
      </c>
      <c r="DQ74" s="658">
        <f>IF(DQ$6&gt;$L74,0,DP74*(1-'Interest Rate'!$B$17))</f>
        <v>0</v>
      </c>
      <c r="DR74" s="658">
        <f>IF(DR$6&gt;$L74,0,DQ74*(1-'Interest Rate'!$B$17))</f>
        <v>0</v>
      </c>
    </row>
    <row r="75" spans="1:122" ht="33" customHeight="1" x14ac:dyDescent="0.4">
      <c r="A75" s="696" t="str">
        <f>'EEM Data Entry'!A149</f>
        <v/>
      </c>
      <c r="B75" s="697" t="str">
        <f>IF('Packaged EEMs'!B65="  ","  ", 'EEM Data Entry'!B149)</f>
        <v/>
      </c>
      <c r="C75" s="671" t="str">
        <f>'EEM Data Entry'!F149</f>
        <v/>
      </c>
      <c r="D75" s="671">
        <v>0</v>
      </c>
      <c r="E75" s="671" t="e">
        <f t="shared" si="26"/>
        <v>#VALUE!</v>
      </c>
      <c r="F75" s="650">
        <f>('Cascading Savings'!D77*'Cascading Savings'!D$4)+('Cascading Savings'!F77*'Cascading Savings'!F$4)+('Cascading Savings'!H77*'Cascading Savings'!H$4)+('Cascading Savings'!J77*'Cascading Savings'!J$4)+('Cascading Savings'!L77*'Cascading Savings'!L$4)+('Cascading Savings'!N77*'Cascading Savings'!N$4)+('Cascading Savings'!P77*'Cascading Savings'!P$4)+('Cascading Savings'!R77*'Cascading Savings'!R$4)</f>
        <v>0</v>
      </c>
      <c r="G75" s="722">
        <f>'Savings Summary'!T77</f>
        <v>0</v>
      </c>
      <c r="H75" s="672" t="e">
        <f t="shared" si="27"/>
        <v>#VALUE!</v>
      </c>
      <c r="I75" s="668" t="e">
        <f t="shared" si="22"/>
        <v>#VALUE!</v>
      </c>
      <c r="J75" s="673" t="e">
        <f t="shared" si="23"/>
        <v>#NUM!</v>
      </c>
      <c r="K75" s="674" t="e">
        <f>PV('Interest Rate'!$B$17,Table415[[#This Row],[Lifetime]],-Table415[[#This Row],[ANNUAL ENERGY COST SAVINGS]],Table415[[#This Row],[END-OF-LIFE]],0)-Table415[[#This Row],[ CAPITAL INVESTMENT]]</f>
        <v>#VALUE!</v>
      </c>
      <c r="L75" s="668" t="str">
        <f>'EEM Data Entry'!C149</f>
        <v/>
      </c>
      <c r="M75" s="720" t="e">
        <f>Table415[[#This Row],[ANNUAL ENERGY COST SAVINGS]]/Table415[[#This Row],[ CAPITAL INVESTMENT]]</f>
        <v>#VALUE!</v>
      </c>
      <c r="N75" s="704">
        <f>IF(ISNUMBER(Table415[[#This Row],[NPV]])=TRUE,Table415[[#This Row],[NPV]],0)</f>
        <v>0</v>
      </c>
      <c r="O75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75" s="568" t="str">
        <f>Table415[[#This Row],[Lifetime]]</f>
        <v/>
      </c>
      <c r="V75" s="657" t="str">
        <f t="shared" si="24"/>
        <v/>
      </c>
      <c r="W75" s="658">
        <f t="shared" si="25"/>
        <v>0</v>
      </c>
      <c r="X75" s="658">
        <f>IF(X$6&gt;$L75,0,W75*(1-'Interest Rate'!$B$17))</f>
        <v>0</v>
      </c>
      <c r="Y75" s="658">
        <f>IF(Y$6&gt;$L75,0,X75*(1-'Interest Rate'!$B$17))</f>
        <v>0</v>
      </c>
      <c r="Z75" s="658">
        <f>IF(Z$6&gt;$L75,0,Y75*(1-'Interest Rate'!$B$17))</f>
        <v>0</v>
      </c>
      <c r="AA75" s="658">
        <f>IF(AA$6&gt;$L75,0,Z75*(1-'Interest Rate'!$B$17))</f>
        <v>0</v>
      </c>
      <c r="AB75" s="658">
        <f>IF(AB$6&gt;$L75,0,AA75*(1-'Interest Rate'!$B$17))</f>
        <v>0</v>
      </c>
      <c r="AC75" s="658">
        <f>IF(AC$6&gt;$L75,0,AB75*(1-'Interest Rate'!$B$17))</f>
        <v>0</v>
      </c>
      <c r="AD75" s="658">
        <f>IF(AD$6&gt;$L75,0,AC75*(1-'Interest Rate'!$B$17))</f>
        <v>0</v>
      </c>
      <c r="AE75" s="658">
        <f>IF(AE$6&gt;$L75,0,AD75*(1-'Interest Rate'!$B$17))</f>
        <v>0</v>
      </c>
      <c r="AF75" s="658">
        <f>IF(AF$6&gt;$L75,0,AE75*(1-'Interest Rate'!$B$17))</f>
        <v>0</v>
      </c>
      <c r="AG75" s="658">
        <f>IF(AG$6&gt;$L75,0,AF75*(1-'Interest Rate'!$B$17))</f>
        <v>0</v>
      </c>
      <c r="AH75" s="658">
        <f>IF(AH$6&gt;$L75,0,AG75*(1-'Interest Rate'!$B$17))</f>
        <v>0</v>
      </c>
      <c r="AI75" s="658">
        <f>IF(AI$6&gt;$L75,0,AH75*(1-'Interest Rate'!$B$17))</f>
        <v>0</v>
      </c>
      <c r="AJ75" s="658">
        <f>IF(AJ$6&gt;$L75,0,AI75*(1-'Interest Rate'!$B$17))</f>
        <v>0</v>
      </c>
      <c r="AK75" s="658">
        <f>IF(AK$6&gt;$L75,0,AJ75*(1-'Interest Rate'!$B$17))</f>
        <v>0</v>
      </c>
      <c r="AL75" s="658">
        <f>IF(AL$6&gt;$L75,0,AK75*(1-'Interest Rate'!$B$17))</f>
        <v>0</v>
      </c>
      <c r="AM75" s="658">
        <f>IF(AM$6&gt;$L75,0,AL75*(1-'Interest Rate'!$B$17))</f>
        <v>0</v>
      </c>
      <c r="AN75" s="658">
        <f>IF(AN$6&gt;$L75,0,AM75*(1-'Interest Rate'!$B$17))</f>
        <v>0</v>
      </c>
      <c r="AO75" s="658">
        <f>IF(AO$6&gt;$L75,0,AN75*(1-'Interest Rate'!$B$17))</f>
        <v>0</v>
      </c>
      <c r="AP75" s="658">
        <f>IF(AP$6&gt;$L75,0,AO75*(1-'Interest Rate'!$B$17))</f>
        <v>0</v>
      </c>
      <c r="AQ75" s="658">
        <f>IF(AQ$6&gt;$L75,0,AP75*(1-'Interest Rate'!$B$17))</f>
        <v>0</v>
      </c>
      <c r="AR75" s="658">
        <f>IF(AR$6&gt;$L75,0,AQ75*(1-'Interest Rate'!$B$17))</f>
        <v>0</v>
      </c>
      <c r="AS75" s="658">
        <f>IF(AS$6&gt;$L75,0,AR75*(1-'Interest Rate'!$B$17))</f>
        <v>0</v>
      </c>
      <c r="AT75" s="658">
        <f>IF(AT$6&gt;$L75,0,AS75*(1-'Interest Rate'!$B$17))</f>
        <v>0</v>
      </c>
      <c r="AU75" s="658">
        <f>IF(AU$6&gt;$L75,0,AT75*(1-'Interest Rate'!$B$17))</f>
        <v>0</v>
      </c>
      <c r="AV75" s="658">
        <f>IF(AV$6&gt;$L75,0,AU75*(1-'Interest Rate'!$B$17))</f>
        <v>0</v>
      </c>
      <c r="AW75" s="658">
        <f>IF(AW$6&gt;$L75,0,AV75*(1-'Interest Rate'!$B$17))</f>
        <v>0</v>
      </c>
      <c r="AX75" s="658">
        <f>IF(AX$6&gt;$L75,0,AW75*(1-'Interest Rate'!$B$17))</f>
        <v>0</v>
      </c>
      <c r="AY75" s="658">
        <f>IF(AY$6&gt;$L75,0,AX75*(1-'Interest Rate'!$B$17))</f>
        <v>0</v>
      </c>
      <c r="AZ75" s="658">
        <f>IF(AZ$6&gt;$L75,0,AY75*(1-'Interest Rate'!$B$17))</f>
        <v>0</v>
      </c>
      <c r="BA75" s="658">
        <f>IF(BA$6&gt;$L75,0,AZ75*(1-'Interest Rate'!$B$17))</f>
        <v>0</v>
      </c>
      <c r="BB75" s="658">
        <f>IF(BB$6&gt;$L75,0,BA75*(1-'Interest Rate'!$B$17))</f>
        <v>0</v>
      </c>
      <c r="BC75" s="658">
        <f>IF(BC$6&gt;$L75,0,BB75*(1-'Interest Rate'!$B$17))</f>
        <v>0</v>
      </c>
      <c r="BD75" s="658">
        <f>IF(BD$6&gt;$L75,0,BC75*(1-'Interest Rate'!$B$17))</f>
        <v>0</v>
      </c>
      <c r="BE75" s="658">
        <f>IF(BE$6&gt;$L75,0,BD75*(1-'Interest Rate'!$B$17))</f>
        <v>0</v>
      </c>
      <c r="BF75" s="658">
        <f>IF(BF$6&gt;$L75,0,BE75*(1-'Interest Rate'!$B$17))</f>
        <v>0</v>
      </c>
      <c r="BG75" s="658">
        <f>IF(BG$6&gt;$L75,0,BF75*(1-'Interest Rate'!$B$17))</f>
        <v>0</v>
      </c>
      <c r="BH75" s="658">
        <f>IF(BH$6&gt;$L75,0,BG75*(1-'Interest Rate'!$B$17))</f>
        <v>0</v>
      </c>
      <c r="BI75" s="658">
        <f>IF(BI$6&gt;$L75,0,BH75*(1-'Interest Rate'!$B$17))</f>
        <v>0</v>
      </c>
      <c r="BJ75" s="658">
        <f>IF(BJ$6&gt;$L75,0,BI75*(1-'Interest Rate'!$B$17))</f>
        <v>0</v>
      </c>
      <c r="BK75" s="658">
        <f>IF(BK$6&gt;$L75,0,BJ75*(1-'Interest Rate'!$B$17))</f>
        <v>0</v>
      </c>
      <c r="BL75" s="658">
        <f>IF(BL$6&gt;$L75,0,BK75*(1-'Interest Rate'!$B$17))</f>
        <v>0</v>
      </c>
      <c r="BM75" s="658">
        <f>IF(BM$6&gt;$L75,0,BL75*(1-'Interest Rate'!$B$17))</f>
        <v>0</v>
      </c>
      <c r="BN75" s="658">
        <f>IF(BN$6&gt;$L75,0,BM75*(1-'Interest Rate'!$B$17))</f>
        <v>0</v>
      </c>
      <c r="BO75" s="658">
        <f>IF(BO$6&gt;$L75,0,BN75*(1-'Interest Rate'!$B$17))</f>
        <v>0</v>
      </c>
      <c r="BP75" s="658">
        <f>IF(BP$6&gt;$L75,0,BO75*(1-'Interest Rate'!$B$17))</f>
        <v>0</v>
      </c>
      <c r="BQ75" s="658">
        <f>IF(BQ$6&gt;$L75,0,BP75*(1-'Interest Rate'!$B$17))</f>
        <v>0</v>
      </c>
      <c r="BR75" s="658">
        <f>IF(BR$6&gt;$L75,0,BQ75*(1-'Interest Rate'!$B$17))</f>
        <v>0</v>
      </c>
      <c r="BS75" s="658">
        <f>IF(BS$6&gt;$L75,0,BR75*(1-'Interest Rate'!$B$17))</f>
        <v>0</v>
      </c>
      <c r="BT75" s="658">
        <f>IF(BT$6&gt;$L75,0,BS75*(1-'Interest Rate'!$B$17))</f>
        <v>0</v>
      </c>
      <c r="BU75" s="658">
        <f>IF(BU$6&gt;$L75,0,BT75*(1-'Interest Rate'!$B$17))</f>
        <v>0</v>
      </c>
      <c r="BV75" s="658">
        <f>IF(BV$6&gt;$L75,0,BU75*(1-'Interest Rate'!$B$17))</f>
        <v>0</v>
      </c>
      <c r="BW75" s="658">
        <f>IF(BW$6&gt;$L75,0,BV75*(1-'Interest Rate'!$B$17))</f>
        <v>0</v>
      </c>
      <c r="BX75" s="658">
        <f>IF(BX$6&gt;$L75,0,BW75*(1-'Interest Rate'!$B$17))</f>
        <v>0</v>
      </c>
      <c r="BY75" s="658">
        <f>IF(BY$6&gt;$L75,0,BX75*(1-'Interest Rate'!$B$17))</f>
        <v>0</v>
      </c>
      <c r="BZ75" s="658">
        <f>IF(BZ$6&gt;$L75,0,BY75*(1-'Interest Rate'!$B$17))</f>
        <v>0</v>
      </c>
      <c r="CA75" s="658">
        <f>IF(CA$6&gt;$L75,0,BZ75*(1-'Interest Rate'!$B$17))</f>
        <v>0</v>
      </c>
      <c r="CB75" s="658">
        <f>IF(CB$6&gt;$L75,0,CA75*(1-'Interest Rate'!$B$17))</f>
        <v>0</v>
      </c>
      <c r="CC75" s="658">
        <f>IF(CC$6&gt;$L75,0,CB75*(1-'Interest Rate'!$B$17))</f>
        <v>0</v>
      </c>
      <c r="CD75" s="658">
        <f>IF(CD$6&gt;$L75,0,CC75*(1-'Interest Rate'!$B$17))</f>
        <v>0</v>
      </c>
      <c r="CE75" s="658">
        <f>IF(CE$6&gt;$L75,0,CD75*(1-'Interest Rate'!$B$17))</f>
        <v>0</v>
      </c>
      <c r="CF75" s="658">
        <f>IF(CF$6&gt;$L75,0,CE75*(1-'Interest Rate'!$B$17))</f>
        <v>0</v>
      </c>
      <c r="CG75" s="658">
        <f>IF(CG$6&gt;$L75,0,CF75*(1-'Interest Rate'!$B$17))</f>
        <v>0</v>
      </c>
      <c r="CH75" s="658">
        <f>IF(CH$6&gt;$L75,0,CG75*(1-'Interest Rate'!$B$17))</f>
        <v>0</v>
      </c>
      <c r="CI75" s="658">
        <f>IF(CI$6&gt;$L75,0,CH75*(1-'Interest Rate'!$B$17))</f>
        <v>0</v>
      </c>
      <c r="CJ75" s="658">
        <f>IF(CJ$6&gt;$L75,0,CI75*(1-'Interest Rate'!$B$17))</f>
        <v>0</v>
      </c>
      <c r="CK75" s="658">
        <f>IF(CK$6&gt;$L75,0,CJ75*(1-'Interest Rate'!$B$17))</f>
        <v>0</v>
      </c>
      <c r="CL75" s="658">
        <f>IF(CL$6&gt;$L75,0,CK75*(1-'Interest Rate'!$B$17))</f>
        <v>0</v>
      </c>
      <c r="CM75" s="658">
        <f>IF(CM$6&gt;$L75,0,CL75*(1-'Interest Rate'!$B$17))</f>
        <v>0</v>
      </c>
      <c r="CN75" s="658">
        <f>IF(CN$6&gt;$L75,0,CM75*(1-'Interest Rate'!$B$17))</f>
        <v>0</v>
      </c>
      <c r="CO75" s="658">
        <f>IF(CO$6&gt;$L75,0,CN75*(1-'Interest Rate'!$B$17))</f>
        <v>0</v>
      </c>
      <c r="CP75" s="658">
        <f>IF(CP$6&gt;$L75,0,CO75*(1-'Interest Rate'!$B$17))</f>
        <v>0</v>
      </c>
      <c r="CQ75" s="658">
        <f>IF(CQ$6&gt;$L75,0,CP75*(1-'Interest Rate'!$B$17))</f>
        <v>0</v>
      </c>
      <c r="CR75" s="658">
        <f>IF(CR$6&gt;$L75,0,CQ75*(1-'Interest Rate'!$B$17))</f>
        <v>0</v>
      </c>
      <c r="CS75" s="658">
        <f>IF(CS$6&gt;$L75,0,CR75*(1-'Interest Rate'!$B$17))</f>
        <v>0</v>
      </c>
      <c r="CT75" s="658">
        <f>IF(CT$6&gt;$L75,0,CS75*(1-'Interest Rate'!$B$17))</f>
        <v>0</v>
      </c>
      <c r="CU75" s="658">
        <f>IF(CU$6&gt;$L75,0,CT75*(1-'Interest Rate'!$B$17))</f>
        <v>0</v>
      </c>
      <c r="CV75" s="658">
        <f>IF(CV$6&gt;$L75,0,CU75*(1-'Interest Rate'!$B$17))</f>
        <v>0</v>
      </c>
      <c r="CW75" s="658">
        <f>IF(CW$6&gt;$L75,0,CV75*(1-'Interest Rate'!$B$17))</f>
        <v>0</v>
      </c>
      <c r="CX75" s="658">
        <f>IF(CX$6&gt;$L75,0,CW75*(1-'Interest Rate'!$B$17))</f>
        <v>0</v>
      </c>
      <c r="CY75" s="658">
        <f>IF(CY$6&gt;$L75,0,CX75*(1-'Interest Rate'!$B$17))</f>
        <v>0</v>
      </c>
      <c r="CZ75" s="658">
        <f>IF(CZ$6&gt;$L75,0,CY75*(1-'Interest Rate'!$B$17))</f>
        <v>0</v>
      </c>
      <c r="DA75" s="658">
        <f>IF(DA$6&gt;$L75,0,CZ75*(1-'Interest Rate'!$B$17))</f>
        <v>0</v>
      </c>
      <c r="DB75" s="658">
        <f>IF(DB$6&gt;$L75,0,DA75*(1-'Interest Rate'!$B$17))</f>
        <v>0</v>
      </c>
      <c r="DC75" s="658">
        <f>IF(DC$6&gt;$L75,0,DB75*(1-'Interest Rate'!$B$17))</f>
        <v>0</v>
      </c>
      <c r="DD75" s="658">
        <f>IF(DD$6&gt;$L75,0,DC75*(1-'Interest Rate'!$B$17))</f>
        <v>0</v>
      </c>
      <c r="DE75" s="658">
        <f>IF(DE$6&gt;$L75,0,DD75*(1-'Interest Rate'!$B$17))</f>
        <v>0</v>
      </c>
      <c r="DF75" s="658">
        <f>IF(DF$6&gt;$L75,0,DE75*(1-'Interest Rate'!$B$17))</f>
        <v>0</v>
      </c>
      <c r="DG75" s="658">
        <f>IF(DG$6&gt;$L75,0,DF75*(1-'Interest Rate'!$B$17))</f>
        <v>0</v>
      </c>
      <c r="DH75" s="658">
        <f>IF(DH$6&gt;$L75,0,DG75*(1-'Interest Rate'!$B$17))</f>
        <v>0</v>
      </c>
      <c r="DI75" s="658">
        <f>IF(DI$6&gt;$L75,0,DH75*(1-'Interest Rate'!$B$17))</f>
        <v>0</v>
      </c>
      <c r="DJ75" s="658">
        <f>IF(DJ$6&gt;$L75,0,DI75*(1-'Interest Rate'!$B$17))</f>
        <v>0</v>
      </c>
      <c r="DK75" s="658">
        <f>IF(DK$6&gt;$L75,0,DJ75*(1-'Interest Rate'!$B$17))</f>
        <v>0</v>
      </c>
      <c r="DL75" s="658">
        <f>IF(DL$6&gt;$L75,0,DK75*(1-'Interest Rate'!$B$17))</f>
        <v>0</v>
      </c>
      <c r="DM75" s="658">
        <f>IF(DM$6&gt;$L75,0,DL75*(1-'Interest Rate'!$B$17))</f>
        <v>0</v>
      </c>
      <c r="DN75" s="658">
        <f>IF(DN$6&gt;$L75,0,DM75*(1-'Interest Rate'!$B$17))</f>
        <v>0</v>
      </c>
      <c r="DO75" s="658">
        <f>IF(DO$6&gt;$L75,0,DN75*(1-'Interest Rate'!$B$17))</f>
        <v>0</v>
      </c>
      <c r="DP75" s="658">
        <f>IF(DP$6&gt;$L75,0,DO75*(1-'Interest Rate'!$B$17))</f>
        <v>0</v>
      </c>
      <c r="DQ75" s="658">
        <f>IF(DQ$6&gt;$L75,0,DP75*(1-'Interest Rate'!$B$17))</f>
        <v>0</v>
      </c>
      <c r="DR75" s="658">
        <f>IF(DR$6&gt;$L75,0,DQ75*(1-'Interest Rate'!$B$17))</f>
        <v>0</v>
      </c>
    </row>
    <row r="76" spans="1:122" ht="33" customHeight="1" x14ac:dyDescent="0.4">
      <c r="A76" s="696" t="str">
        <f>'EEM Data Entry'!A150</f>
        <v/>
      </c>
      <c r="B76" s="697" t="str">
        <f>IF('Packaged EEMs'!B66="  ","  ", 'EEM Data Entry'!B150)</f>
        <v/>
      </c>
      <c r="C76" s="671" t="str">
        <f>'EEM Data Entry'!F150</f>
        <v/>
      </c>
      <c r="D76" s="671">
        <v>0</v>
      </c>
      <c r="E76" s="671" t="e">
        <f t="shared" si="26"/>
        <v>#VALUE!</v>
      </c>
      <c r="F76" s="662">
        <f>('Cascading Savings'!D78*'Cascading Savings'!D$4)+('Cascading Savings'!F78*'Cascading Savings'!F$4)+('Cascading Savings'!H78*'Cascading Savings'!H$4)+('Cascading Savings'!J78*'Cascading Savings'!J$4)+('Cascading Savings'!L78*'Cascading Savings'!L$4)+('Cascading Savings'!N78*'Cascading Savings'!N$4)+('Cascading Savings'!P78*'Cascading Savings'!P$4)+('Cascading Savings'!R78*'Cascading Savings'!R$4)</f>
        <v>0</v>
      </c>
      <c r="G76" s="721">
        <f>'Savings Summary'!T78</f>
        <v>0</v>
      </c>
      <c r="H76" s="672" t="e">
        <f t="shared" si="27"/>
        <v>#VALUE!</v>
      </c>
      <c r="I76" s="668" t="e">
        <f t="shared" si="22"/>
        <v>#VALUE!</v>
      </c>
      <c r="J76" s="673" t="e">
        <f t="shared" si="23"/>
        <v>#NUM!</v>
      </c>
      <c r="K76" s="674" t="e">
        <f>PV('Interest Rate'!$B$17,Table415[[#This Row],[Lifetime]],-Table415[[#This Row],[ANNUAL ENERGY COST SAVINGS]],Table415[[#This Row],[END-OF-LIFE]],0)-Table415[[#This Row],[ CAPITAL INVESTMENT]]</f>
        <v>#VALUE!</v>
      </c>
      <c r="L76" s="668" t="str">
        <f>'EEM Data Entry'!C150</f>
        <v/>
      </c>
      <c r="M76" s="720" t="e">
        <f>Table415[[#This Row],[ANNUAL ENERGY COST SAVINGS]]/Table415[[#This Row],[ CAPITAL INVESTMENT]]</f>
        <v>#VALUE!</v>
      </c>
      <c r="N76" s="704">
        <f>IF(ISNUMBER(Table415[[#This Row],[NPV]])=TRUE,Table415[[#This Row],[NPV]],0)</f>
        <v>0</v>
      </c>
      <c r="O76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76" s="568" t="str">
        <f>Table415[[#This Row],[Lifetime]]</f>
        <v/>
      </c>
      <c r="V76" s="657" t="str">
        <f t="shared" si="24"/>
        <v/>
      </c>
      <c r="W76" s="658">
        <f t="shared" si="25"/>
        <v>0</v>
      </c>
      <c r="X76" s="658">
        <f>IF(X$6&gt;$L76,0,W76*(1-'Interest Rate'!$B$17))</f>
        <v>0</v>
      </c>
      <c r="Y76" s="658">
        <f>IF(Y$6&gt;$L76,0,X76*(1-'Interest Rate'!$B$17))</f>
        <v>0</v>
      </c>
      <c r="Z76" s="658">
        <f>IF(Z$6&gt;$L76,0,Y76*(1-'Interest Rate'!$B$17))</f>
        <v>0</v>
      </c>
      <c r="AA76" s="658">
        <f>IF(AA$6&gt;$L76,0,Z76*(1-'Interest Rate'!$B$17))</f>
        <v>0</v>
      </c>
      <c r="AB76" s="658">
        <f>IF(AB$6&gt;$L76,0,AA76*(1-'Interest Rate'!$B$17))</f>
        <v>0</v>
      </c>
      <c r="AC76" s="658">
        <f>IF(AC$6&gt;$L76,0,AB76*(1-'Interest Rate'!$B$17))</f>
        <v>0</v>
      </c>
      <c r="AD76" s="658">
        <f>IF(AD$6&gt;$L76,0,AC76*(1-'Interest Rate'!$B$17))</f>
        <v>0</v>
      </c>
      <c r="AE76" s="658">
        <f>IF(AE$6&gt;$L76,0,AD76*(1-'Interest Rate'!$B$17))</f>
        <v>0</v>
      </c>
      <c r="AF76" s="658">
        <f>IF(AF$6&gt;$L76,0,AE76*(1-'Interest Rate'!$B$17))</f>
        <v>0</v>
      </c>
      <c r="AG76" s="658">
        <f>IF(AG$6&gt;$L76,0,AF76*(1-'Interest Rate'!$B$17))</f>
        <v>0</v>
      </c>
      <c r="AH76" s="658">
        <f>IF(AH$6&gt;$L76,0,AG76*(1-'Interest Rate'!$B$17))</f>
        <v>0</v>
      </c>
      <c r="AI76" s="658">
        <f>IF(AI$6&gt;$L76,0,AH76*(1-'Interest Rate'!$B$17))</f>
        <v>0</v>
      </c>
      <c r="AJ76" s="658">
        <f>IF(AJ$6&gt;$L76,0,AI76*(1-'Interest Rate'!$B$17))</f>
        <v>0</v>
      </c>
      <c r="AK76" s="658">
        <f>IF(AK$6&gt;$L76,0,AJ76*(1-'Interest Rate'!$B$17))</f>
        <v>0</v>
      </c>
      <c r="AL76" s="658">
        <f>IF(AL$6&gt;$L76,0,AK76*(1-'Interest Rate'!$B$17))</f>
        <v>0</v>
      </c>
      <c r="AM76" s="658">
        <f>IF(AM$6&gt;$L76,0,AL76*(1-'Interest Rate'!$B$17))</f>
        <v>0</v>
      </c>
      <c r="AN76" s="658">
        <f>IF(AN$6&gt;$L76,0,AM76*(1-'Interest Rate'!$B$17))</f>
        <v>0</v>
      </c>
      <c r="AO76" s="658">
        <f>IF(AO$6&gt;$L76,0,AN76*(1-'Interest Rate'!$B$17))</f>
        <v>0</v>
      </c>
      <c r="AP76" s="658">
        <f>IF(AP$6&gt;$L76,0,AO76*(1-'Interest Rate'!$B$17))</f>
        <v>0</v>
      </c>
      <c r="AQ76" s="658">
        <f>IF(AQ$6&gt;$L76,0,AP76*(1-'Interest Rate'!$B$17))</f>
        <v>0</v>
      </c>
      <c r="AR76" s="658">
        <f>IF(AR$6&gt;$L76,0,AQ76*(1-'Interest Rate'!$B$17))</f>
        <v>0</v>
      </c>
      <c r="AS76" s="658">
        <f>IF(AS$6&gt;$L76,0,AR76*(1-'Interest Rate'!$B$17))</f>
        <v>0</v>
      </c>
      <c r="AT76" s="658">
        <f>IF(AT$6&gt;$L76,0,AS76*(1-'Interest Rate'!$B$17))</f>
        <v>0</v>
      </c>
      <c r="AU76" s="658">
        <f>IF(AU$6&gt;$L76,0,AT76*(1-'Interest Rate'!$B$17))</f>
        <v>0</v>
      </c>
      <c r="AV76" s="658">
        <f>IF(AV$6&gt;$L76,0,AU76*(1-'Interest Rate'!$B$17))</f>
        <v>0</v>
      </c>
      <c r="AW76" s="658">
        <f>IF(AW$6&gt;$L76,0,AV76*(1-'Interest Rate'!$B$17))</f>
        <v>0</v>
      </c>
      <c r="AX76" s="658">
        <f>IF(AX$6&gt;$L76,0,AW76*(1-'Interest Rate'!$B$17))</f>
        <v>0</v>
      </c>
      <c r="AY76" s="658">
        <f>IF(AY$6&gt;$L76,0,AX76*(1-'Interest Rate'!$B$17))</f>
        <v>0</v>
      </c>
      <c r="AZ76" s="658">
        <f>IF(AZ$6&gt;$L76,0,AY76*(1-'Interest Rate'!$B$17))</f>
        <v>0</v>
      </c>
      <c r="BA76" s="658">
        <f>IF(BA$6&gt;$L76,0,AZ76*(1-'Interest Rate'!$B$17))</f>
        <v>0</v>
      </c>
      <c r="BB76" s="658">
        <f>IF(BB$6&gt;$L76,0,BA76*(1-'Interest Rate'!$B$17))</f>
        <v>0</v>
      </c>
      <c r="BC76" s="658">
        <f>IF(BC$6&gt;$L76,0,BB76*(1-'Interest Rate'!$B$17))</f>
        <v>0</v>
      </c>
      <c r="BD76" s="658">
        <f>IF(BD$6&gt;$L76,0,BC76*(1-'Interest Rate'!$B$17))</f>
        <v>0</v>
      </c>
      <c r="BE76" s="658">
        <f>IF(BE$6&gt;$L76,0,BD76*(1-'Interest Rate'!$B$17))</f>
        <v>0</v>
      </c>
      <c r="BF76" s="658">
        <f>IF(BF$6&gt;$L76,0,BE76*(1-'Interest Rate'!$B$17))</f>
        <v>0</v>
      </c>
      <c r="BG76" s="658">
        <f>IF(BG$6&gt;$L76,0,BF76*(1-'Interest Rate'!$B$17))</f>
        <v>0</v>
      </c>
      <c r="BH76" s="658">
        <f>IF(BH$6&gt;$L76,0,BG76*(1-'Interest Rate'!$B$17))</f>
        <v>0</v>
      </c>
      <c r="BI76" s="658">
        <f>IF(BI$6&gt;$L76,0,BH76*(1-'Interest Rate'!$B$17))</f>
        <v>0</v>
      </c>
      <c r="BJ76" s="658">
        <f>IF(BJ$6&gt;$L76,0,BI76*(1-'Interest Rate'!$B$17))</f>
        <v>0</v>
      </c>
      <c r="BK76" s="658">
        <f>IF(BK$6&gt;$L76,0,BJ76*(1-'Interest Rate'!$B$17))</f>
        <v>0</v>
      </c>
      <c r="BL76" s="658">
        <f>IF(BL$6&gt;$L76,0,BK76*(1-'Interest Rate'!$B$17))</f>
        <v>0</v>
      </c>
      <c r="BM76" s="658">
        <f>IF(BM$6&gt;$L76,0,BL76*(1-'Interest Rate'!$B$17))</f>
        <v>0</v>
      </c>
      <c r="BN76" s="658">
        <f>IF(BN$6&gt;$L76,0,BM76*(1-'Interest Rate'!$B$17))</f>
        <v>0</v>
      </c>
      <c r="BO76" s="658">
        <f>IF(BO$6&gt;$L76,0,BN76*(1-'Interest Rate'!$B$17))</f>
        <v>0</v>
      </c>
      <c r="BP76" s="658">
        <f>IF(BP$6&gt;$L76,0,BO76*(1-'Interest Rate'!$B$17))</f>
        <v>0</v>
      </c>
      <c r="BQ76" s="658">
        <f>IF(BQ$6&gt;$L76,0,BP76*(1-'Interest Rate'!$B$17))</f>
        <v>0</v>
      </c>
      <c r="BR76" s="658">
        <f>IF(BR$6&gt;$L76,0,BQ76*(1-'Interest Rate'!$B$17))</f>
        <v>0</v>
      </c>
      <c r="BS76" s="658">
        <f>IF(BS$6&gt;$L76,0,BR76*(1-'Interest Rate'!$B$17))</f>
        <v>0</v>
      </c>
      <c r="BT76" s="658">
        <f>IF(BT$6&gt;$L76,0,BS76*(1-'Interest Rate'!$B$17))</f>
        <v>0</v>
      </c>
      <c r="BU76" s="658">
        <f>IF(BU$6&gt;$L76,0,BT76*(1-'Interest Rate'!$B$17))</f>
        <v>0</v>
      </c>
      <c r="BV76" s="658">
        <f>IF(BV$6&gt;$L76,0,BU76*(1-'Interest Rate'!$B$17))</f>
        <v>0</v>
      </c>
      <c r="BW76" s="658">
        <f>IF(BW$6&gt;$L76,0,BV76*(1-'Interest Rate'!$B$17))</f>
        <v>0</v>
      </c>
      <c r="BX76" s="658">
        <f>IF(BX$6&gt;$L76,0,BW76*(1-'Interest Rate'!$B$17))</f>
        <v>0</v>
      </c>
      <c r="BY76" s="658">
        <f>IF(BY$6&gt;$L76,0,BX76*(1-'Interest Rate'!$B$17))</f>
        <v>0</v>
      </c>
      <c r="BZ76" s="658">
        <f>IF(BZ$6&gt;$L76,0,BY76*(1-'Interest Rate'!$B$17))</f>
        <v>0</v>
      </c>
      <c r="CA76" s="658">
        <f>IF(CA$6&gt;$L76,0,BZ76*(1-'Interest Rate'!$B$17))</f>
        <v>0</v>
      </c>
      <c r="CB76" s="658">
        <f>IF(CB$6&gt;$L76,0,CA76*(1-'Interest Rate'!$B$17))</f>
        <v>0</v>
      </c>
      <c r="CC76" s="658">
        <f>IF(CC$6&gt;$L76,0,CB76*(1-'Interest Rate'!$B$17))</f>
        <v>0</v>
      </c>
      <c r="CD76" s="658">
        <f>IF(CD$6&gt;$L76,0,CC76*(1-'Interest Rate'!$B$17))</f>
        <v>0</v>
      </c>
      <c r="CE76" s="658">
        <f>IF(CE$6&gt;$L76,0,CD76*(1-'Interest Rate'!$B$17))</f>
        <v>0</v>
      </c>
      <c r="CF76" s="658">
        <f>IF(CF$6&gt;$L76,0,CE76*(1-'Interest Rate'!$B$17))</f>
        <v>0</v>
      </c>
      <c r="CG76" s="658">
        <f>IF(CG$6&gt;$L76,0,CF76*(1-'Interest Rate'!$B$17))</f>
        <v>0</v>
      </c>
      <c r="CH76" s="658">
        <f>IF(CH$6&gt;$L76,0,CG76*(1-'Interest Rate'!$B$17))</f>
        <v>0</v>
      </c>
      <c r="CI76" s="658">
        <f>IF(CI$6&gt;$L76,0,CH76*(1-'Interest Rate'!$B$17))</f>
        <v>0</v>
      </c>
      <c r="CJ76" s="658">
        <f>IF(CJ$6&gt;$L76,0,CI76*(1-'Interest Rate'!$B$17))</f>
        <v>0</v>
      </c>
      <c r="CK76" s="658">
        <f>IF(CK$6&gt;$L76,0,CJ76*(1-'Interest Rate'!$B$17))</f>
        <v>0</v>
      </c>
      <c r="CL76" s="658">
        <f>IF(CL$6&gt;$L76,0,CK76*(1-'Interest Rate'!$B$17))</f>
        <v>0</v>
      </c>
      <c r="CM76" s="658">
        <f>IF(CM$6&gt;$L76,0,CL76*(1-'Interest Rate'!$B$17))</f>
        <v>0</v>
      </c>
      <c r="CN76" s="658">
        <f>IF(CN$6&gt;$L76,0,CM76*(1-'Interest Rate'!$B$17))</f>
        <v>0</v>
      </c>
      <c r="CO76" s="658">
        <f>IF(CO$6&gt;$L76,0,CN76*(1-'Interest Rate'!$B$17))</f>
        <v>0</v>
      </c>
      <c r="CP76" s="658">
        <f>IF(CP$6&gt;$L76,0,CO76*(1-'Interest Rate'!$B$17))</f>
        <v>0</v>
      </c>
      <c r="CQ76" s="658">
        <f>IF(CQ$6&gt;$L76,0,CP76*(1-'Interest Rate'!$B$17))</f>
        <v>0</v>
      </c>
      <c r="CR76" s="658">
        <f>IF(CR$6&gt;$L76,0,CQ76*(1-'Interest Rate'!$B$17))</f>
        <v>0</v>
      </c>
      <c r="CS76" s="658">
        <f>IF(CS$6&gt;$L76,0,CR76*(1-'Interest Rate'!$B$17))</f>
        <v>0</v>
      </c>
      <c r="CT76" s="658">
        <f>IF(CT$6&gt;$L76,0,CS76*(1-'Interest Rate'!$B$17))</f>
        <v>0</v>
      </c>
      <c r="CU76" s="658">
        <f>IF(CU$6&gt;$L76,0,CT76*(1-'Interest Rate'!$B$17))</f>
        <v>0</v>
      </c>
      <c r="CV76" s="658">
        <f>IF(CV$6&gt;$L76,0,CU76*(1-'Interest Rate'!$B$17))</f>
        <v>0</v>
      </c>
      <c r="CW76" s="658">
        <f>IF(CW$6&gt;$L76,0,CV76*(1-'Interest Rate'!$B$17))</f>
        <v>0</v>
      </c>
      <c r="CX76" s="658">
        <f>IF(CX$6&gt;$L76,0,CW76*(1-'Interest Rate'!$B$17))</f>
        <v>0</v>
      </c>
      <c r="CY76" s="658">
        <f>IF(CY$6&gt;$L76,0,CX76*(1-'Interest Rate'!$B$17))</f>
        <v>0</v>
      </c>
      <c r="CZ76" s="658">
        <f>IF(CZ$6&gt;$L76,0,CY76*(1-'Interest Rate'!$B$17))</f>
        <v>0</v>
      </c>
      <c r="DA76" s="658">
        <f>IF(DA$6&gt;$L76,0,CZ76*(1-'Interest Rate'!$B$17))</f>
        <v>0</v>
      </c>
      <c r="DB76" s="658">
        <f>IF(DB$6&gt;$L76,0,DA76*(1-'Interest Rate'!$B$17))</f>
        <v>0</v>
      </c>
      <c r="DC76" s="658">
        <f>IF(DC$6&gt;$L76,0,DB76*(1-'Interest Rate'!$B$17))</f>
        <v>0</v>
      </c>
      <c r="DD76" s="658">
        <f>IF(DD$6&gt;$L76,0,DC76*(1-'Interest Rate'!$B$17))</f>
        <v>0</v>
      </c>
      <c r="DE76" s="658">
        <f>IF(DE$6&gt;$L76,0,DD76*(1-'Interest Rate'!$B$17))</f>
        <v>0</v>
      </c>
      <c r="DF76" s="658">
        <f>IF(DF$6&gt;$L76,0,DE76*(1-'Interest Rate'!$B$17))</f>
        <v>0</v>
      </c>
      <c r="DG76" s="658">
        <f>IF(DG$6&gt;$L76,0,DF76*(1-'Interest Rate'!$B$17))</f>
        <v>0</v>
      </c>
      <c r="DH76" s="658">
        <f>IF(DH$6&gt;$L76,0,DG76*(1-'Interest Rate'!$B$17))</f>
        <v>0</v>
      </c>
      <c r="DI76" s="658">
        <f>IF(DI$6&gt;$L76,0,DH76*(1-'Interest Rate'!$B$17))</f>
        <v>0</v>
      </c>
      <c r="DJ76" s="658">
        <f>IF(DJ$6&gt;$L76,0,DI76*(1-'Interest Rate'!$B$17))</f>
        <v>0</v>
      </c>
      <c r="DK76" s="658">
        <f>IF(DK$6&gt;$L76,0,DJ76*(1-'Interest Rate'!$B$17))</f>
        <v>0</v>
      </c>
      <c r="DL76" s="658">
        <f>IF(DL$6&gt;$L76,0,DK76*(1-'Interest Rate'!$B$17))</f>
        <v>0</v>
      </c>
      <c r="DM76" s="658">
        <f>IF(DM$6&gt;$L76,0,DL76*(1-'Interest Rate'!$B$17))</f>
        <v>0</v>
      </c>
      <c r="DN76" s="658">
        <f>IF(DN$6&gt;$L76,0,DM76*(1-'Interest Rate'!$B$17))</f>
        <v>0</v>
      </c>
      <c r="DO76" s="658">
        <f>IF(DO$6&gt;$L76,0,DN76*(1-'Interest Rate'!$B$17))</f>
        <v>0</v>
      </c>
      <c r="DP76" s="658">
        <f>IF(DP$6&gt;$L76,0,DO76*(1-'Interest Rate'!$B$17))</f>
        <v>0</v>
      </c>
      <c r="DQ76" s="658">
        <f>IF(DQ$6&gt;$L76,0,DP76*(1-'Interest Rate'!$B$17))</f>
        <v>0</v>
      </c>
      <c r="DR76" s="658">
        <f>IF(DR$6&gt;$L76,0,DQ76*(1-'Interest Rate'!$B$17))</f>
        <v>0</v>
      </c>
    </row>
    <row r="77" spans="1:122" ht="33" customHeight="1" x14ac:dyDescent="0.4">
      <c r="A77" s="696" t="str">
        <f>'EEM Data Entry'!A151</f>
        <v/>
      </c>
      <c r="B77" s="697" t="str">
        <f>IF('Packaged EEMs'!B67="  ","  ", 'EEM Data Entry'!B151)</f>
        <v/>
      </c>
      <c r="C77" s="671" t="str">
        <f>'EEM Data Entry'!F151</f>
        <v/>
      </c>
      <c r="D77" s="671">
        <v>0</v>
      </c>
      <c r="E77" s="671" t="e">
        <f t="shared" si="26"/>
        <v>#VALUE!</v>
      </c>
      <c r="F77" s="650">
        <f>('Cascading Savings'!D79*'Cascading Savings'!D$4)+('Cascading Savings'!F79*'Cascading Savings'!F$4)+('Cascading Savings'!H79*'Cascading Savings'!H$4)+('Cascading Savings'!J79*'Cascading Savings'!J$4)+('Cascading Savings'!L79*'Cascading Savings'!L$4)+('Cascading Savings'!N79*'Cascading Savings'!N$4)+('Cascading Savings'!P79*'Cascading Savings'!P$4)+('Cascading Savings'!R79*'Cascading Savings'!R$4)</f>
        <v>0</v>
      </c>
      <c r="G77" s="719">
        <f>'Savings Summary'!T79</f>
        <v>0</v>
      </c>
      <c r="H77" s="672" t="e">
        <f t="shared" si="27"/>
        <v>#VALUE!</v>
      </c>
      <c r="I77" s="668" t="e">
        <f t="shared" si="22"/>
        <v>#VALUE!</v>
      </c>
      <c r="J77" s="673" t="e">
        <f t="shared" si="23"/>
        <v>#NUM!</v>
      </c>
      <c r="K77" s="674" t="e">
        <f>PV('Interest Rate'!$B$17,Table415[[#This Row],[Lifetime]],-Table415[[#This Row],[ANNUAL ENERGY COST SAVINGS]],Table415[[#This Row],[END-OF-LIFE]],0)-Table415[[#This Row],[ CAPITAL INVESTMENT]]</f>
        <v>#VALUE!</v>
      </c>
      <c r="L77" s="668" t="str">
        <f>'EEM Data Entry'!C151</f>
        <v/>
      </c>
      <c r="M77" s="720" t="e">
        <f>Table415[[#This Row],[ANNUAL ENERGY COST SAVINGS]]/Table415[[#This Row],[ CAPITAL INVESTMENT]]</f>
        <v>#VALUE!</v>
      </c>
      <c r="N77" s="704">
        <f>IF(ISNUMBER(Table415[[#This Row],[NPV]])=TRUE,Table415[[#This Row],[NPV]],0)</f>
        <v>0</v>
      </c>
      <c r="O77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77" s="568" t="str">
        <f>Table415[[#This Row],[Lifetime]]</f>
        <v/>
      </c>
      <c r="V77" s="657" t="str">
        <f t="shared" si="24"/>
        <v/>
      </c>
      <c r="W77" s="658">
        <f t="shared" si="25"/>
        <v>0</v>
      </c>
      <c r="X77" s="658">
        <f>IF(X$6&gt;$L77,0,W77*(1-'Interest Rate'!$B$17))</f>
        <v>0</v>
      </c>
      <c r="Y77" s="658">
        <f>IF(Y$6&gt;$L77,0,X77*(1-'Interest Rate'!$B$17))</f>
        <v>0</v>
      </c>
      <c r="Z77" s="658">
        <f>IF(Z$6&gt;$L77,0,Y77*(1-'Interest Rate'!$B$17))</f>
        <v>0</v>
      </c>
      <c r="AA77" s="658">
        <f>IF(AA$6&gt;$L77,0,Z77*(1-'Interest Rate'!$B$17))</f>
        <v>0</v>
      </c>
      <c r="AB77" s="658">
        <f>IF(AB$6&gt;$L77,0,AA77*(1-'Interest Rate'!$B$17))</f>
        <v>0</v>
      </c>
      <c r="AC77" s="658">
        <f>IF(AC$6&gt;$L77,0,AB77*(1-'Interest Rate'!$B$17))</f>
        <v>0</v>
      </c>
      <c r="AD77" s="658">
        <f>IF(AD$6&gt;$L77,0,AC77*(1-'Interest Rate'!$B$17))</f>
        <v>0</v>
      </c>
      <c r="AE77" s="658">
        <f>IF(AE$6&gt;$L77,0,AD77*(1-'Interest Rate'!$B$17))</f>
        <v>0</v>
      </c>
      <c r="AF77" s="658">
        <f>IF(AF$6&gt;$L77,0,AE77*(1-'Interest Rate'!$B$17))</f>
        <v>0</v>
      </c>
      <c r="AG77" s="658">
        <f>IF(AG$6&gt;$L77,0,AF77*(1-'Interest Rate'!$B$17))</f>
        <v>0</v>
      </c>
      <c r="AH77" s="658">
        <f>IF(AH$6&gt;$L77,0,AG77*(1-'Interest Rate'!$B$17))</f>
        <v>0</v>
      </c>
      <c r="AI77" s="658">
        <f>IF(AI$6&gt;$L77,0,AH77*(1-'Interest Rate'!$B$17))</f>
        <v>0</v>
      </c>
      <c r="AJ77" s="658">
        <f>IF(AJ$6&gt;$L77,0,AI77*(1-'Interest Rate'!$B$17))</f>
        <v>0</v>
      </c>
      <c r="AK77" s="658">
        <f>IF(AK$6&gt;$L77,0,AJ77*(1-'Interest Rate'!$B$17))</f>
        <v>0</v>
      </c>
      <c r="AL77" s="658">
        <f>IF(AL$6&gt;$L77,0,AK77*(1-'Interest Rate'!$B$17))</f>
        <v>0</v>
      </c>
      <c r="AM77" s="658">
        <f>IF(AM$6&gt;$L77,0,AL77*(1-'Interest Rate'!$B$17))</f>
        <v>0</v>
      </c>
      <c r="AN77" s="658">
        <f>IF(AN$6&gt;$L77,0,AM77*(1-'Interest Rate'!$B$17))</f>
        <v>0</v>
      </c>
      <c r="AO77" s="658">
        <f>IF(AO$6&gt;$L77,0,AN77*(1-'Interest Rate'!$B$17))</f>
        <v>0</v>
      </c>
      <c r="AP77" s="658">
        <f>IF(AP$6&gt;$L77,0,AO77*(1-'Interest Rate'!$B$17))</f>
        <v>0</v>
      </c>
      <c r="AQ77" s="658">
        <f>IF(AQ$6&gt;$L77,0,AP77*(1-'Interest Rate'!$B$17))</f>
        <v>0</v>
      </c>
      <c r="AR77" s="658">
        <f>IF(AR$6&gt;$L77,0,AQ77*(1-'Interest Rate'!$B$17))</f>
        <v>0</v>
      </c>
      <c r="AS77" s="658">
        <f>IF(AS$6&gt;$L77,0,AR77*(1-'Interest Rate'!$B$17))</f>
        <v>0</v>
      </c>
      <c r="AT77" s="658">
        <f>IF(AT$6&gt;$L77,0,AS77*(1-'Interest Rate'!$B$17))</f>
        <v>0</v>
      </c>
      <c r="AU77" s="658">
        <f>IF(AU$6&gt;$L77,0,AT77*(1-'Interest Rate'!$B$17))</f>
        <v>0</v>
      </c>
      <c r="AV77" s="658">
        <f>IF(AV$6&gt;$L77,0,AU77*(1-'Interest Rate'!$B$17))</f>
        <v>0</v>
      </c>
      <c r="AW77" s="658">
        <f>IF(AW$6&gt;$L77,0,AV77*(1-'Interest Rate'!$B$17))</f>
        <v>0</v>
      </c>
      <c r="AX77" s="658">
        <f>IF(AX$6&gt;$L77,0,AW77*(1-'Interest Rate'!$B$17))</f>
        <v>0</v>
      </c>
      <c r="AY77" s="658">
        <f>IF(AY$6&gt;$L77,0,AX77*(1-'Interest Rate'!$B$17))</f>
        <v>0</v>
      </c>
      <c r="AZ77" s="658">
        <f>IF(AZ$6&gt;$L77,0,AY77*(1-'Interest Rate'!$B$17))</f>
        <v>0</v>
      </c>
      <c r="BA77" s="658">
        <f>IF(BA$6&gt;$L77,0,AZ77*(1-'Interest Rate'!$B$17))</f>
        <v>0</v>
      </c>
      <c r="BB77" s="658">
        <f>IF(BB$6&gt;$L77,0,BA77*(1-'Interest Rate'!$B$17))</f>
        <v>0</v>
      </c>
      <c r="BC77" s="658">
        <f>IF(BC$6&gt;$L77,0,BB77*(1-'Interest Rate'!$B$17))</f>
        <v>0</v>
      </c>
      <c r="BD77" s="658">
        <f>IF(BD$6&gt;$L77,0,BC77*(1-'Interest Rate'!$B$17))</f>
        <v>0</v>
      </c>
      <c r="BE77" s="658">
        <f>IF(BE$6&gt;$L77,0,BD77*(1-'Interest Rate'!$B$17))</f>
        <v>0</v>
      </c>
      <c r="BF77" s="658">
        <f>IF(BF$6&gt;$L77,0,BE77*(1-'Interest Rate'!$B$17))</f>
        <v>0</v>
      </c>
      <c r="BG77" s="658">
        <f>IF(BG$6&gt;$L77,0,BF77*(1-'Interest Rate'!$B$17))</f>
        <v>0</v>
      </c>
      <c r="BH77" s="658">
        <f>IF(BH$6&gt;$L77,0,BG77*(1-'Interest Rate'!$B$17))</f>
        <v>0</v>
      </c>
      <c r="BI77" s="658">
        <f>IF(BI$6&gt;$L77,0,BH77*(1-'Interest Rate'!$B$17))</f>
        <v>0</v>
      </c>
      <c r="BJ77" s="658">
        <f>IF(BJ$6&gt;$L77,0,BI77*(1-'Interest Rate'!$B$17))</f>
        <v>0</v>
      </c>
      <c r="BK77" s="658">
        <f>IF(BK$6&gt;$L77,0,BJ77*(1-'Interest Rate'!$B$17))</f>
        <v>0</v>
      </c>
      <c r="BL77" s="658">
        <f>IF(BL$6&gt;$L77,0,BK77*(1-'Interest Rate'!$B$17))</f>
        <v>0</v>
      </c>
      <c r="BM77" s="658">
        <f>IF(BM$6&gt;$L77,0,BL77*(1-'Interest Rate'!$B$17))</f>
        <v>0</v>
      </c>
      <c r="BN77" s="658">
        <f>IF(BN$6&gt;$L77,0,BM77*(1-'Interest Rate'!$B$17))</f>
        <v>0</v>
      </c>
      <c r="BO77" s="658">
        <f>IF(BO$6&gt;$L77,0,BN77*(1-'Interest Rate'!$B$17))</f>
        <v>0</v>
      </c>
      <c r="BP77" s="658">
        <f>IF(BP$6&gt;$L77,0,BO77*(1-'Interest Rate'!$B$17))</f>
        <v>0</v>
      </c>
      <c r="BQ77" s="658">
        <f>IF(BQ$6&gt;$L77,0,BP77*(1-'Interest Rate'!$B$17))</f>
        <v>0</v>
      </c>
      <c r="BR77" s="658">
        <f>IF(BR$6&gt;$L77,0,BQ77*(1-'Interest Rate'!$B$17))</f>
        <v>0</v>
      </c>
      <c r="BS77" s="658">
        <f>IF(BS$6&gt;$L77,0,BR77*(1-'Interest Rate'!$B$17))</f>
        <v>0</v>
      </c>
      <c r="BT77" s="658">
        <f>IF(BT$6&gt;$L77,0,BS77*(1-'Interest Rate'!$B$17))</f>
        <v>0</v>
      </c>
      <c r="BU77" s="658">
        <f>IF(BU$6&gt;$L77,0,BT77*(1-'Interest Rate'!$B$17))</f>
        <v>0</v>
      </c>
      <c r="BV77" s="658">
        <f>IF(BV$6&gt;$L77,0,BU77*(1-'Interest Rate'!$B$17))</f>
        <v>0</v>
      </c>
      <c r="BW77" s="658">
        <f>IF(BW$6&gt;$L77,0,BV77*(1-'Interest Rate'!$B$17))</f>
        <v>0</v>
      </c>
      <c r="BX77" s="658">
        <f>IF(BX$6&gt;$L77,0,BW77*(1-'Interest Rate'!$B$17))</f>
        <v>0</v>
      </c>
      <c r="BY77" s="658">
        <f>IF(BY$6&gt;$L77,0,BX77*(1-'Interest Rate'!$B$17))</f>
        <v>0</v>
      </c>
      <c r="BZ77" s="658">
        <f>IF(BZ$6&gt;$L77,0,BY77*(1-'Interest Rate'!$B$17))</f>
        <v>0</v>
      </c>
      <c r="CA77" s="658">
        <f>IF(CA$6&gt;$L77,0,BZ77*(1-'Interest Rate'!$B$17))</f>
        <v>0</v>
      </c>
      <c r="CB77" s="658">
        <f>IF(CB$6&gt;$L77,0,CA77*(1-'Interest Rate'!$B$17))</f>
        <v>0</v>
      </c>
      <c r="CC77" s="658">
        <f>IF(CC$6&gt;$L77,0,CB77*(1-'Interest Rate'!$B$17))</f>
        <v>0</v>
      </c>
      <c r="CD77" s="658">
        <f>IF(CD$6&gt;$L77,0,CC77*(1-'Interest Rate'!$B$17))</f>
        <v>0</v>
      </c>
      <c r="CE77" s="658">
        <f>IF(CE$6&gt;$L77,0,CD77*(1-'Interest Rate'!$B$17))</f>
        <v>0</v>
      </c>
      <c r="CF77" s="658">
        <f>IF(CF$6&gt;$L77,0,CE77*(1-'Interest Rate'!$B$17))</f>
        <v>0</v>
      </c>
      <c r="CG77" s="658">
        <f>IF(CG$6&gt;$L77,0,CF77*(1-'Interest Rate'!$B$17))</f>
        <v>0</v>
      </c>
      <c r="CH77" s="658">
        <f>IF(CH$6&gt;$L77,0,CG77*(1-'Interest Rate'!$B$17))</f>
        <v>0</v>
      </c>
      <c r="CI77" s="658">
        <f>IF(CI$6&gt;$L77,0,CH77*(1-'Interest Rate'!$B$17))</f>
        <v>0</v>
      </c>
      <c r="CJ77" s="658">
        <f>IF(CJ$6&gt;$L77,0,CI77*(1-'Interest Rate'!$B$17))</f>
        <v>0</v>
      </c>
      <c r="CK77" s="658">
        <f>IF(CK$6&gt;$L77,0,CJ77*(1-'Interest Rate'!$B$17))</f>
        <v>0</v>
      </c>
      <c r="CL77" s="658">
        <f>IF(CL$6&gt;$L77,0,CK77*(1-'Interest Rate'!$B$17))</f>
        <v>0</v>
      </c>
      <c r="CM77" s="658">
        <f>IF(CM$6&gt;$L77,0,CL77*(1-'Interest Rate'!$B$17))</f>
        <v>0</v>
      </c>
      <c r="CN77" s="658">
        <f>IF(CN$6&gt;$L77,0,CM77*(1-'Interest Rate'!$B$17))</f>
        <v>0</v>
      </c>
      <c r="CO77" s="658">
        <f>IF(CO$6&gt;$L77,0,CN77*(1-'Interest Rate'!$B$17))</f>
        <v>0</v>
      </c>
      <c r="CP77" s="658">
        <f>IF(CP$6&gt;$L77,0,CO77*(1-'Interest Rate'!$B$17))</f>
        <v>0</v>
      </c>
      <c r="CQ77" s="658">
        <f>IF(CQ$6&gt;$L77,0,CP77*(1-'Interest Rate'!$B$17))</f>
        <v>0</v>
      </c>
      <c r="CR77" s="658">
        <f>IF(CR$6&gt;$L77,0,CQ77*(1-'Interest Rate'!$B$17))</f>
        <v>0</v>
      </c>
      <c r="CS77" s="658">
        <f>IF(CS$6&gt;$L77,0,CR77*(1-'Interest Rate'!$B$17))</f>
        <v>0</v>
      </c>
      <c r="CT77" s="658">
        <f>IF(CT$6&gt;$L77,0,CS77*(1-'Interest Rate'!$B$17))</f>
        <v>0</v>
      </c>
      <c r="CU77" s="658">
        <f>IF(CU$6&gt;$L77,0,CT77*(1-'Interest Rate'!$B$17))</f>
        <v>0</v>
      </c>
      <c r="CV77" s="658">
        <f>IF(CV$6&gt;$L77,0,CU77*(1-'Interest Rate'!$B$17))</f>
        <v>0</v>
      </c>
      <c r="CW77" s="658">
        <f>IF(CW$6&gt;$L77,0,CV77*(1-'Interest Rate'!$B$17))</f>
        <v>0</v>
      </c>
      <c r="CX77" s="658">
        <f>IF(CX$6&gt;$L77,0,CW77*(1-'Interest Rate'!$B$17))</f>
        <v>0</v>
      </c>
      <c r="CY77" s="658">
        <f>IF(CY$6&gt;$L77,0,CX77*(1-'Interest Rate'!$B$17))</f>
        <v>0</v>
      </c>
      <c r="CZ77" s="658">
        <f>IF(CZ$6&gt;$L77,0,CY77*(1-'Interest Rate'!$B$17))</f>
        <v>0</v>
      </c>
      <c r="DA77" s="658">
        <f>IF(DA$6&gt;$L77,0,CZ77*(1-'Interest Rate'!$B$17))</f>
        <v>0</v>
      </c>
      <c r="DB77" s="658">
        <f>IF(DB$6&gt;$L77,0,DA77*(1-'Interest Rate'!$B$17))</f>
        <v>0</v>
      </c>
      <c r="DC77" s="658">
        <f>IF(DC$6&gt;$L77,0,DB77*(1-'Interest Rate'!$B$17))</f>
        <v>0</v>
      </c>
      <c r="DD77" s="658">
        <f>IF(DD$6&gt;$L77,0,DC77*(1-'Interest Rate'!$B$17))</f>
        <v>0</v>
      </c>
      <c r="DE77" s="658">
        <f>IF(DE$6&gt;$L77,0,DD77*(1-'Interest Rate'!$B$17))</f>
        <v>0</v>
      </c>
      <c r="DF77" s="658">
        <f>IF(DF$6&gt;$L77,0,DE77*(1-'Interest Rate'!$B$17))</f>
        <v>0</v>
      </c>
      <c r="DG77" s="658">
        <f>IF(DG$6&gt;$L77,0,DF77*(1-'Interest Rate'!$B$17))</f>
        <v>0</v>
      </c>
      <c r="DH77" s="658">
        <f>IF(DH$6&gt;$L77,0,DG77*(1-'Interest Rate'!$B$17))</f>
        <v>0</v>
      </c>
      <c r="DI77" s="658">
        <f>IF(DI$6&gt;$L77,0,DH77*(1-'Interest Rate'!$B$17))</f>
        <v>0</v>
      </c>
      <c r="DJ77" s="658">
        <f>IF(DJ$6&gt;$L77,0,DI77*(1-'Interest Rate'!$B$17))</f>
        <v>0</v>
      </c>
      <c r="DK77" s="658">
        <f>IF(DK$6&gt;$L77,0,DJ77*(1-'Interest Rate'!$B$17))</f>
        <v>0</v>
      </c>
      <c r="DL77" s="658">
        <f>IF(DL$6&gt;$L77,0,DK77*(1-'Interest Rate'!$B$17))</f>
        <v>0</v>
      </c>
      <c r="DM77" s="658">
        <f>IF(DM$6&gt;$L77,0,DL77*(1-'Interest Rate'!$B$17))</f>
        <v>0</v>
      </c>
      <c r="DN77" s="658">
        <f>IF(DN$6&gt;$L77,0,DM77*(1-'Interest Rate'!$B$17))</f>
        <v>0</v>
      </c>
      <c r="DO77" s="658">
        <f>IF(DO$6&gt;$L77,0,DN77*(1-'Interest Rate'!$B$17))</f>
        <v>0</v>
      </c>
      <c r="DP77" s="658">
        <f>IF(DP$6&gt;$L77,0,DO77*(1-'Interest Rate'!$B$17))</f>
        <v>0</v>
      </c>
      <c r="DQ77" s="658">
        <f>IF(DQ$6&gt;$L77,0,DP77*(1-'Interest Rate'!$B$17))</f>
        <v>0</v>
      </c>
      <c r="DR77" s="658">
        <f>IF(DR$6&gt;$L77,0,DQ77*(1-'Interest Rate'!$B$17))</f>
        <v>0</v>
      </c>
    </row>
    <row r="78" spans="1:122" ht="33" customHeight="1" x14ac:dyDescent="0.4">
      <c r="A78" s="696" t="str">
        <f>'EEM Data Entry'!A152</f>
        <v/>
      </c>
      <c r="B78" s="697" t="str">
        <f>IF('Packaged EEMs'!B68="  ","  ", 'EEM Data Entry'!B152)</f>
        <v/>
      </c>
      <c r="C78" s="671" t="str">
        <f>'EEM Data Entry'!F152</f>
        <v/>
      </c>
      <c r="D78" s="671">
        <v>0</v>
      </c>
      <c r="E78" s="671" t="e">
        <f t="shared" si="26"/>
        <v>#VALUE!</v>
      </c>
      <c r="F78" s="662">
        <f>('Cascading Savings'!D80*'Cascading Savings'!D$4)+('Cascading Savings'!F80*'Cascading Savings'!F$4)+('Cascading Savings'!H80*'Cascading Savings'!H$4)+('Cascading Savings'!J80*'Cascading Savings'!J$4)+('Cascading Savings'!L80*'Cascading Savings'!L$4)+('Cascading Savings'!N80*'Cascading Savings'!N$4)+('Cascading Savings'!P80*'Cascading Savings'!P$4)+('Cascading Savings'!R80*'Cascading Savings'!R$4)</f>
        <v>0</v>
      </c>
      <c r="G78" s="721">
        <f>'Savings Summary'!T80</f>
        <v>0</v>
      </c>
      <c r="H78" s="672" t="e">
        <f t="shared" si="27"/>
        <v>#VALUE!</v>
      </c>
      <c r="I78" s="668" t="e">
        <f t="shared" si="22"/>
        <v>#VALUE!</v>
      </c>
      <c r="J78" s="673" t="e">
        <f t="shared" si="23"/>
        <v>#NUM!</v>
      </c>
      <c r="K78" s="674" t="e">
        <f>PV('Interest Rate'!$B$17,Table415[[#This Row],[Lifetime]],-Table415[[#This Row],[ANNUAL ENERGY COST SAVINGS]],Table415[[#This Row],[END-OF-LIFE]],0)-Table415[[#This Row],[ CAPITAL INVESTMENT]]</f>
        <v>#VALUE!</v>
      </c>
      <c r="L78" s="668" t="str">
        <f>'EEM Data Entry'!C152</f>
        <v/>
      </c>
      <c r="M78" s="720" t="e">
        <f>Table415[[#This Row],[ANNUAL ENERGY COST SAVINGS]]/Table415[[#This Row],[ CAPITAL INVESTMENT]]</f>
        <v>#VALUE!</v>
      </c>
      <c r="N78" s="704">
        <f>IF(ISNUMBER(Table415[[#This Row],[NPV]])=TRUE,Table415[[#This Row],[NPV]],0)</f>
        <v>0</v>
      </c>
      <c r="O78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78" s="568" t="str">
        <f>Table415[[#This Row],[Lifetime]]</f>
        <v/>
      </c>
      <c r="V78" s="657" t="str">
        <f t="shared" si="24"/>
        <v/>
      </c>
      <c r="W78" s="658">
        <f t="shared" si="25"/>
        <v>0</v>
      </c>
      <c r="X78" s="658">
        <f>IF(X$6&gt;$L78,0,W78*(1-'Interest Rate'!$B$17))</f>
        <v>0</v>
      </c>
      <c r="Y78" s="658">
        <f>IF(Y$6&gt;$L78,0,X78*(1-'Interest Rate'!$B$17))</f>
        <v>0</v>
      </c>
      <c r="Z78" s="658">
        <f>IF(Z$6&gt;$L78,0,Y78*(1-'Interest Rate'!$B$17))</f>
        <v>0</v>
      </c>
      <c r="AA78" s="658">
        <f>IF(AA$6&gt;$L78,0,Z78*(1-'Interest Rate'!$B$17))</f>
        <v>0</v>
      </c>
      <c r="AB78" s="658">
        <f>IF(AB$6&gt;$L78,0,AA78*(1-'Interest Rate'!$B$17))</f>
        <v>0</v>
      </c>
      <c r="AC78" s="658">
        <f>IF(AC$6&gt;$L78,0,AB78*(1-'Interest Rate'!$B$17))</f>
        <v>0</v>
      </c>
      <c r="AD78" s="658">
        <f>IF(AD$6&gt;$L78,0,AC78*(1-'Interest Rate'!$B$17))</f>
        <v>0</v>
      </c>
      <c r="AE78" s="658">
        <f>IF(AE$6&gt;$L78,0,AD78*(1-'Interest Rate'!$B$17))</f>
        <v>0</v>
      </c>
      <c r="AF78" s="658">
        <f>IF(AF$6&gt;$L78,0,AE78*(1-'Interest Rate'!$B$17))</f>
        <v>0</v>
      </c>
      <c r="AG78" s="658">
        <f>IF(AG$6&gt;$L78,0,AF78*(1-'Interest Rate'!$B$17))</f>
        <v>0</v>
      </c>
      <c r="AH78" s="658">
        <f>IF(AH$6&gt;$L78,0,AG78*(1-'Interest Rate'!$B$17))</f>
        <v>0</v>
      </c>
      <c r="AI78" s="658">
        <f>IF(AI$6&gt;$L78,0,AH78*(1-'Interest Rate'!$B$17))</f>
        <v>0</v>
      </c>
      <c r="AJ78" s="658">
        <f>IF(AJ$6&gt;$L78,0,AI78*(1-'Interest Rate'!$B$17))</f>
        <v>0</v>
      </c>
      <c r="AK78" s="658">
        <f>IF(AK$6&gt;$L78,0,AJ78*(1-'Interest Rate'!$B$17))</f>
        <v>0</v>
      </c>
      <c r="AL78" s="658">
        <f>IF(AL$6&gt;$L78,0,AK78*(1-'Interest Rate'!$B$17))</f>
        <v>0</v>
      </c>
      <c r="AM78" s="658">
        <f>IF(AM$6&gt;$L78,0,AL78*(1-'Interest Rate'!$B$17))</f>
        <v>0</v>
      </c>
      <c r="AN78" s="658">
        <f>IF(AN$6&gt;$L78,0,AM78*(1-'Interest Rate'!$B$17))</f>
        <v>0</v>
      </c>
      <c r="AO78" s="658">
        <f>IF(AO$6&gt;$L78,0,AN78*(1-'Interest Rate'!$B$17))</f>
        <v>0</v>
      </c>
      <c r="AP78" s="658">
        <f>IF(AP$6&gt;$L78,0,AO78*(1-'Interest Rate'!$B$17))</f>
        <v>0</v>
      </c>
      <c r="AQ78" s="658">
        <f>IF(AQ$6&gt;$L78,0,AP78*(1-'Interest Rate'!$B$17))</f>
        <v>0</v>
      </c>
      <c r="AR78" s="658">
        <f>IF(AR$6&gt;$L78,0,AQ78*(1-'Interest Rate'!$B$17))</f>
        <v>0</v>
      </c>
      <c r="AS78" s="658">
        <f>IF(AS$6&gt;$L78,0,AR78*(1-'Interest Rate'!$B$17))</f>
        <v>0</v>
      </c>
      <c r="AT78" s="658">
        <f>IF(AT$6&gt;$L78,0,AS78*(1-'Interest Rate'!$B$17))</f>
        <v>0</v>
      </c>
      <c r="AU78" s="658">
        <f>IF(AU$6&gt;$L78,0,AT78*(1-'Interest Rate'!$B$17))</f>
        <v>0</v>
      </c>
      <c r="AV78" s="658">
        <f>IF(AV$6&gt;$L78,0,AU78*(1-'Interest Rate'!$B$17))</f>
        <v>0</v>
      </c>
      <c r="AW78" s="658">
        <f>IF(AW$6&gt;$L78,0,AV78*(1-'Interest Rate'!$B$17))</f>
        <v>0</v>
      </c>
      <c r="AX78" s="658">
        <f>IF(AX$6&gt;$L78,0,AW78*(1-'Interest Rate'!$B$17))</f>
        <v>0</v>
      </c>
      <c r="AY78" s="658">
        <f>IF(AY$6&gt;$L78,0,AX78*(1-'Interest Rate'!$B$17))</f>
        <v>0</v>
      </c>
      <c r="AZ78" s="658">
        <f>IF(AZ$6&gt;$L78,0,AY78*(1-'Interest Rate'!$B$17))</f>
        <v>0</v>
      </c>
      <c r="BA78" s="658">
        <f>IF(BA$6&gt;$L78,0,AZ78*(1-'Interest Rate'!$B$17))</f>
        <v>0</v>
      </c>
      <c r="BB78" s="658">
        <f>IF(BB$6&gt;$L78,0,BA78*(1-'Interest Rate'!$B$17))</f>
        <v>0</v>
      </c>
      <c r="BC78" s="658">
        <f>IF(BC$6&gt;$L78,0,BB78*(1-'Interest Rate'!$B$17))</f>
        <v>0</v>
      </c>
      <c r="BD78" s="658">
        <f>IF(BD$6&gt;$L78,0,BC78*(1-'Interest Rate'!$B$17))</f>
        <v>0</v>
      </c>
      <c r="BE78" s="658">
        <f>IF(BE$6&gt;$L78,0,BD78*(1-'Interest Rate'!$B$17))</f>
        <v>0</v>
      </c>
      <c r="BF78" s="658">
        <f>IF(BF$6&gt;$L78,0,BE78*(1-'Interest Rate'!$B$17))</f>
        <v>0</v>
      </c>
      <c r="BG78" s="658">
        <f>IF(BG$6&gt;$L78,0,BF78*(1-'Interest Rate'!$B$17))</f>
        <v>0</v>
      </c>
      <c r="BH78" s="658">
        <f>IF(BH$6&gt;$L78,0,BG78*(1-'Interest Rate'!$B$17))</f>
        <v>0</v>
      </c>
      <c r="BI78" s="658">
        <f>IF(BI$6&gt;$L78,0,BH78*(1-'Interest Rate'!$B$17))</f>
        <v>0</v>
      </c>
      <c r="BJ78" s="658">
        <f>IF(BJ$6&gt;$L78,0,BI78*(1-'Interest Rate'!$B$17))</f>
        <v>0</v>
      </c>
      <c r="BK78" s="658">
        <f>IF(BK$6&gt;$L78,0,BJ78*(1-'Interest Rate'!$B$17))</f>
        <v>0</v>
      </c>
      <c r="BL78" s="658">
        <f>IF(BL$6&gt;$L78,0,BK78*(1-'Interest Rate'!$B$17))</f>
        <v>0</v>
      </c>
      <c r="BM78" s="658">
        <f>IF(BM$6&gt;$L78,0,BL78*(1-'Interest Rate'!$B$17))</f>
        <v>0</v>
      </c>
      <c r="BN78" s="658">
        <f>IF(BN$6&gt;$L78,0,BM78*(1-'Interest Rate'!$B$17))</f>
        <v>0</v>
      </c>
      <c r="BO78" s="658">
        <f>IF(BO$6&gt;$L78,0,BN78*(1-'Interest Rate'!$B$17))</f>
        <v>0</v>
      </c>
      <c r="BP78" s="658">
        <f>IF(BP$6&gt;$L78,0,BO78*(1-'Interest Rate'!$B$17))</f>
        <v>0</v>
      </c>
      <c r="BQ78" s="658">
        <f>IF(BQ$6&gt;$L78,0,BP78*(1-'Interest Rate'!$B$17))</f>
        <v>0</v>
      </c>
      <c r="BR78" s="658">
        <f>IF(BR$6&gt;$L78,0,BQ78*(1-'Interest Rate'!$B$17))</f>
        <v>0</v>
      </c>
      <c r="BS78" s="658">
        <f>IF(BS$6&gt;$L78,0,BR78*(1-'Interest Rate'!$B$17))</f>
        <v>0</v>
      </c>
      <c r="BT78" s="658">
        <f>IF(BT$6&gt;$L78,0,BS78*(1-'Interest Rate'!$B$17))</f>
        <v>0</v>
      </c>
      <c r="BU78" s="658">
        <f>IF(BU$6&gt;$L78,0,BT78*(1-'Interest Rate'!$B$17))</f>
        <v>0</v>
      </c>
      <c r="BV78" s="658">
        <f>IF(BV$6&gt;$L78,0,BU78*(1-'Interest Rate'!$B$17))</f>
        <v>0</v>
      </c>
      <c r="BW78" s="658">
        <f>IF(BW$6&gt;$L78,0,BV78*(1-'Interest Rate'!$B$17))</f>
        <v>0</v>
      </c>
      <c r="BX78" s="658">
        <f>IF(BX$6&gt;$L78,0,BW78*(1-'Interest Rate'!$B$17))</f>
        <v>0</v>
      </c>
      <c r="BY78" s="658">
        <f>IF(BY$6&gt;$L78,0,BX78*(1-'Interest Rate'!$B$17))</f>
        <v>0</v>
      </c>
      <c r="BZ78" s="658">
        <f>IF(BZ$6&gt;$L78,0,BY78*(1-'Interest Rate'!$B$17))</f>
        <v>0</v>
      </c>
      <c r="CA78" s="658">
        <f>IF(CA$6&gt;$L78,0,BZ78*(1-'Interest Rate'!$B$17))</f>
        <v>0</v>
      </c>
      <c r="CB78" s="658">
        <f>IF(CB$6&gt;$L78,0,CA78*(1-'Interest Rate'!$B$17))</f>
        <v>0</v>
      </c>
      <c r="CC78" s="658">
        <f>IF(CC$6&gt;$L78,0,CB78*(1-'Interest Rate'!$B$17))</f>
        <v>0</v>
      </c>
      <c r="CD78" s="658">
        <f>IF(CD$6&gt;$L78,0,CC78*(1-'Interest Rate'!$B$17))</f>
        <v>0</v>
      </c>
      <c r="CE78" s="658">
        <f>IF(CE$6&gt;$L78,0,CD78*(1-'Interest Rate'!$B$17))</f>
        <v>0</v>
      </c>
      <c r="CF78" s="658">
        <f>IF(CF$6&gt;$L78,0,CE78*(1-'Interest Rate'!$B$17))</f>
        <v>0</v>
      </c>
      <c r="CG78" s="658">
        <f>IF(CG$6&gt;$L78,0,CF78*(1-'Interest Rate'!$B$17))</f>
        <v>0</v>
      </c>
      <c r="CH78" s="658">
        <f>IF(CH$6&gt;$L78,0,CG78*(1-'Interest Rate'!$B$17))</f>
        <v>0</v>
      </c>
      <c r="CI78" s="658">
        <f>IF(CI$6&gt;$L78,0,CH78*(1-'Interest Rate'!$B$17))</f>
        <v>0</v>
      </c>
      <c r="CJ78" s="658">
        <f>IF(CJ$6&gt;$L78,0,CI78*(1-'Interest Rate'!$B$17))</f>
        <v>0</v>
      </c>
      <c r="CK78" s="658">
        <f>IF(CK$6&gt;$L78,0,CJ78*(1-'Interest Rate'!$B$17))</f>
        <v>0</v>
      </c>
      <c r="CL78" s="658">
        <f>IF(CL$6&gt;$L78,0,CK78*(1-'Interest Rate'!$B$17))</f>
        <v>0</v>
      </c>
      <c r="CM78" s="658">
        <f>IF(CM$6&gt;$L78,0,CL78*(1-'Interest Rate'!$B$17))</f>
        <v>0</v>
      </c>
      <c r="CN78" s="658">
        <f>IF(CN$6&gt;$L78,0,CM78*(1-'Interest Rate'!$B$17))</f>
        <v>0</v>
      </c>
      <c r="CO78" s="658">
        <f>IF(CO$6&gt;$L78,0,CN78*(1-'Interest Rate'!$B$17))</f>
        <v>0</v>
      </c>
      <c r="CP78" s="658">
        <f>IF(CP$6&gt;$L78,0,CO78*(1-'Interest Rate'!$B$17))</f>
        <v>0</v>
      </c>
      <c r="CQ78" s="658">
        <f>IF(CQ$6&gt;$L78,0,CP78*(1-'Interest Rate'!$B$17))</f>
        <v>0</v>
      </c>
      <c r="CR78" s="658">
        <f>IF(CR$6&gt;$L78,0,CQ78*(1-'Interest Rate'!$B$17))</f>
        <v>0</v>
      </c>
      <c r="CS78" s="658">
        <f>IF(CS$6&gt;$L78,0,CR78*(1-'Interest Rate'!$B$17))</f>
        <v>0</v>
      </c>
      <c r="CT78" s="658">
        <f>IF(CT$6&gt;$L78,0,CS78*(1-'Interest Rate'!$B$17))</f>
        <v>0</v>
      </c>
      <c r="CU78" s="658">
        <f>IF(CU$6&gt;$L78,0,CT78*(1-'Interest Rate'!$B$17))</f>
        <v>0</v>
      </c>
      <c r="CV78" s="658">
        <f>IF(CV$6&gt;$L78,0,CU78*(1-'Interest Rate'!$B$17))</f>
        <v>0</v>
      </c>
      <c r="CW78" s="658">
        <f>IF(CW$6&gt;$L78,0,CV78*(1-'Interest Rate'!$B$17))</f>
        <v>0</v>
      </c>
      <c r="CX78" s="658">
        <f>IF(CX$6&gt;$L78,0,CW78*(1-'Interest Rate'!$B$17))</f>
        <v>0</v>
      </c>
      <c r="CY78" s="658">
        <f>IF(CY$6&gt;$L78,0,CX78*(1-'Interest Rate'!$B$17))</f>
        <v>0</v>
      </c>
      <c r="CZ78" s="658">
        <f>IF(CZ$6&gt;$L78,0,CY78*(1-'Interest Rate'!$B$17))</f>
        <v>0</v>
      </c>
      <c r="DA78" s="658">
        <f>IF(DA$6&gt;$L78,0,CZ78*(1-'Interest Rate'!$B$17))</f>
        <v>0</v>
      </c>
      <c r="DB78" s="658">
        <f>IF(DB$6&gt;$L78,0,DA78*(1-'Interest Rate'!$B$17))</f>
        <v>0</v>
      </c>
      <c r="DC78" s="658">
        <f>IF(DC$6&gt;$L78,0,DB78*(1-'Interest Rate'!$B$17))</f>
        <v>0</v>
      </c>
      <c r="DD78" s="658">
        <f>IF(DD$6&gt;$L78,0,DC78*(1-'Interest Rate'!$B$17))</f>
        <v>0</v>
      </c>
      <c r="DE78" s="658">
        <f>IF(DE$6&gt;$L78,0,DD78*(1-'Interest Rate'!$B$17))</f>
        <v>0</v>
      </c>
      <c r="DF78" s="658">
        <f>IF(DF$6&gt;$L78,0,DE78*(1-'Interest Rate'!$B$17))</f>
        <v>0</v>
      </c>
      <c r="DG78" s="658">
        <f>IF(DG$6&gt;$L78,0,DF78*(1-'Interest Rate'!$B$17))</f>
        <v>0</v>
      </c>
      <c r="DH78" s="658">
        <f>IF(DH$6&gt;$L78,0,DG78*(1-'Interest Rate'!$B$17))</f>
        <v>0</v>
      </c>
      <c r="DI78" s="658">
        <f>IF(DI$6&gt;$L78,0,DH78*(1-'Interest Rate'!$B$17))</f>
        <v>0</v>
      </c>
      <c r="DJ78" s="658">
        <f>IF(DJ$6&gt;$L78,0,DI78*(1-'Interest Rate'!$B$17))</f>
        <v>0</v>
      </c>
      <c r="DK78" s="658">
        <f>IF(DK$6&gt;$L78,0,DJ78*(1-'Interest Rate'!$B$17))</f>
        <v>0</v>
      </c>
      <c r="DL78" s="658">
        <f>IF(DL$6&gt;$L78,0,DK78*(1-'Interest Rate'!$B$17))</f>
        <v>0</v>
      </c>
      <c r="DM78" s="658">
        <f>IF(DM$6&gt;$L78,0,DL78*(1-'Interest Rate'!$B$17))</f>
        <v>0</v>
      </c>
      <c r="DN78" s="658">
        <f>IF(DN$6&gt;$L78,0,DM78*(1-'Interest Rate'!$B$17))</f>
        <v>0</v>
      </c>
      <c r="DO78" s="658">
        <f>IF(DO$6&gt;$L78,0,DN78*(1-'Interest Rate'!$B$17))</f>
        <v>0</v>
      </c>
      <c r="DP78" s="658">
        <f>IF(DP$6&gt;$L78,0,DO78*(1-'Interest Rate'!$B$17))</f>
        <v>0</v>
      </c>
      <c r="DQ78" s="658">
        <f>IF(DQ$6&gt;$L78,0,DP78*(1-'Interest Rate'!$B$17))</f>
        <v>0</v>
      </c>
      <c r="DR78" s="658">
        <f>IF(DR$6&gt;$L78,0,DQ78*(1-'Interest Rate'!$B$17))</f>
        <v>0</v>
      </c>
    </row>
    <row r="79" spans="1:122" ht="33" customHeight="1" x14ac:dyDescent="0.4">
      <c r="A79" s="647" t="str">
        <f>'EEM Data Entry'!A153</f>
        <v/>
      </c>
      <c r="B79" s="723" t="str">
        <f>IF('Packaged EEMs'!B69="  ","  ", 'EEM Data Entry'!B153)</f>
        <v/>
      </c>
      <c r="C79" s="649" t="str">
        <f>'EEM Data Entry'!F153</f>
        <v/>
      </c>
      <c r="D79" s="649">
        <v>0</v>
      </c>
      <c r="E79" s="649" t="e">
        <f t="shared" si="26"/>
        <v>#VALUE!</v>
      </c>
      <c r="F79" s="650">
        <f>('Cascading Savings'!D81*'Cascading Savings'!D$4)+('Cascading Savings'!F81*'Cascading Savings'!F$4)+('Cascading Savings'!H81*'Cascading Savings'!H$4)+('Cascading Savings'!J81*'Cascading Savings'!J$4)+('Cascading Savings'!L81*'Cascading Savings'!L$4)+('Cascading Savings'!N81*'Cascading Savings'!N$4)+('Cascading Savings'!P81*'Cascading Savings'!P$4)+('Cascading Savings'!R81*'Cascading Savings'!R$4)</f>
        <v>0</v>
      </c>
      <c r="G79" s="724">
        <f>'Savings Summary'!T81</f>
        <v>0</v>
      </c>
      <c r="H79" s="652" t="e">
        <f t="shared" si="27"/>
        <v>#VALUE!</v>
      </c>
      <c r="I79" s="653" t="e">
        <f t="shared" si="22"/>
        <v>#VALUE!</v>
      </c>
      <c r="J79" s="654" t="e">
        <f t="shared" si="23"/>
        <v>#NUM!</v>
      </c>
      <c r="K79" s="674" t="e">
        <f>PV('Interest Rate'!$B$17,Table415[[#This Row],[Lifetime]],-Table415[[#This Row],[ANNUAL ENERGY COST SAVINGS]],Table415[[#This Row],[END-OF-LIFE]],0)-Table415[[#This Row],[ CAPITAL INVESTMENT]]</f>
        <v>#VALUE!</v>
      </c>
      <c r="L79" s="653" t="str">
        <f>'EEM Data Entry'!C153</f>
        <v/>
      </c>
      <c r="M79" s="725" t="e">
        <f>Table415[[#This Row],[ANNUAL ENERGY COST SAVINGS]]/Table415[[#This Row],[ CAPITAL INVESTMENT]]</f>
        <v>#VALUE!</v>
      </c>
      <c r="N79" s="704">
        <f>IF(ISNUMBER(Table415[[#This Row],[NPV]])=TRUE,Table415[[#This Row],[NPV]],0)</f>
        <v>0</v>
      </c>
      <c r="O79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79" s="568" t="str">
        <f>Table415[[#This Row],[Lifetime]]</f>
        <v/>
      </c>
      <c r="V79" s="657" t="str">
        <f t="shared" si="24"/>
        <v/>
      </c>
      <c r="W79" s="658">
        <f t="shared" si="25"/>
        <v>0</v>
      </c>
      <c r="X79" s="658">
        <f>IF(X$6&gt;$L79,0,W79*(1-'Interest Rate'!$B$17))</f>
        <v>0</v>
      </c>
      <c r="Y79" s="658">
        <f>IF(Y$6&gt;$L79,0,X79*(1-'Interest Rate'!$B$17))</f>
        <v>0</v>
      </c>
      <c r="Z79" s="658">
        <f>IF(Z$6&gt;$L79,0,Y79*(1-'Interest Rate'!$B$17))</f>
        <v>0</v>
      </c>
      <c r="AA79" s="658">
        <f>IF(AA$6&gt;$L79,0,Z79*(1-'Interest Rate'!$B$17))</f>
        <v>0</v>
      </c>
      <c r="AB79" s="658">
        <f>IF(AB$6&gt;$L79,0,AA79*(1-'Interest Rate'!$B$17))</f>
        <v>0</v>
      </c>
      <c r="AC79" s="658">
        <f>IF(AC$6&gt;$L79,0,AB79*(1-'Interest Rate'!$B$17))</f>
        <v>0</v>
      </c>
      <c r="AD79" s="658">
        <f>IF(AD$6&gt;$L79,0,AC79*(1-'Interest Rate'!$B$17))</f>
        <v>0</v>
      </c>
      <c r="AE79" s="658">
        <f>IF(AE$6&gt;$L79,0,AD79*(1-'Interest Rate'!$B$17))</f>
        <v>0</v>
      </c>
      <c r="AF79" s="658">
        <f>IF(AF$6&gt;$L79,0,AE79*(1-'Interest Rate'!$B$17))</f>
        <v>0</v>
      </c>
      <c r="AG79" s="658">
        <f>IF(AG$6&gt;$L79,0,AF79*(1-'Interest Rate'!$B$17))</f>
        <v>0</v>
      </c>
      <c r="AH79" s="658">
        <f>IF(AH$6&gt;$L79,0,AG79*(1-'Interest Rate'!$B$17))</f>
        <v>0</v>
      </c>
      <c r="AI79" s="658">
        <f>IF(AI$6&gt;$L79,0,AH79*(1-'Interest Rate'!$B$17))</f>
        <v>0</v>
      </c>
      <c r="AJ79" s="658">
        <f>IF(AJ$6&gt;$L79,0,AI79*(1-'Interest Rate'!$B$17))</f>
        <v>0</v>
      </c>
      <c r="AK79" s="658">
        <f>IF(AK$6&gt;$L79,0,AJ79*(1-'Interest Rate'!$B$17))</f>
        <v>0</v>
      </c>
      <c r="AL79" s="658">
        <f>IF(AL$6&gt;$L79,0,AK79*(1-'Interest Rate'!$B$17))</f>
        <v>0</v>
      </c>
      <c r="AM79" s="658">
        <f>IF(AM$6&gt;$L79,0,AL79*(1-'Interest Rate'!$B$17))</f>
        <v>0</v>
      </c>
      <c r="AN79" s="658">
        <f>IF(AN$6&gt;$L79,0,AM79*(1-'Interest Rate'!$B$17))</f>
        <v>0</v>
      </c>
      <c r="AO79" s="658">
        <f>IF(AO$6&gt;$L79,0,AN79*(1-'Interest Rate'!$B$17))</f>
        <v>0</v>
      </c>
      <c r="AP79" s="658">
        <f>IF(AP$6&gt;$L79,0,AO79*(1-'Interest Rate'!$B$17))</f>
        <v>0</v>
      </c>
      <c r="AQ79" s="658">
        <f>IF(AQ$6&gt;$L79,0,AP79*(1-'Interest Rate'!$B$17))</f>
        <v>0</v>
      </c>
      <c r="AR79" s="658">
        <f>IF(AR$6&gt;$L79,0,AQ79*(1-'Interest Rate'!$B$17))</f>
        <v>0</v>
      </c>
      <c r="AS79" s="658">
        <f>IF(AS$6&gt;$L79,0,AR79*(1-'Interest Rate'!$B$17))</f>
        <v>0</v>
      </c>
      <c r="AT79" s="658">
        <f>IF(AT$6&gt;$L79,0,AS79*(1-'Interest Rate'!$B$17))</f>
        <v>0</v>
      </c>
      <c r="AU79" s="658">
        <f>IF(AU$6&gt;$L79,0,AT79*(1-'Interest Rate'!$B$17))</f>
        <v>0</v>
      </c>
      <c r="AV79" s="658">
        <f>IF(AV$6&gt;$L79,0,AU79*(1-'Interest Rate'!$B$17))</f>
        <v>0</v>
      </c>
      <c r="AW79" s="658">
        <f>IF(AW$6&gt;$L79,0,AV79*(1-'Interest Rate'!$B$17))</f>
        <v>0</v>
      </c>
      <c r="AX79" s="658">
        <f>IF(AX$6&gt;$L79,0,AW79*(1-'Interest Rate'!$B$17))</f>
        <v>0</v>
      </c>
      <c r="AY79" s="658">
        <f>IF(AY$6&gt;$L79,0,AX79*(1-'Interest Rate'!$B$17))</f>
        <v>0</v>
      </c>
      <c r="AZ79" s="658">
        <f>IF(AZ$6&gt;$L79,0,AY79*(1-'Interest Rate'!$B$17))</f>
        <v>0</v>
      </c>
      <c r="BA79" s="658">
        <f>IF(BA$6&gt;$L79,0,AZ79*(1-'Interest Rate'!$B$17))</f>
        <v>0</v>
      </c>
      <c r="BB79" s="658">
        <f>IF(BB$6&gt;$L79,0,BA79*(1-'Interest Rate'!$B$17))</f>
        <v>0</v>
      </c>
      <c r="BC79" s="658">
        <f>IF(BC$6&gt;$L79,0,BB79*(1-'Interest Rate'!$B$17))</f>
        <v>0</v>
      </c>
      <c r="BD79" s="658">
        <f>IF(BD$6&gt;$L79,0,BC79*(1-'Interest Rate'!$B$17))</f>
        <v>0</v>
      </c>
      <c r="BE79" s="658">
        <f>IF(BE$6&gt;$L79,0,BD79*(1-'Interest Rate'!$B$17))</f>
        <v>0</v>
      </c>
      <c r="BF79" s="658">
        <f>IF(BF$6&gt;$L79,0,BE79*(1-'Interest Rate'!$B$17))</f>
        <v>0</v>
      </c>
      <c r="BG79" s="658">
        <f>IF(BG$6&gt;$L79,0,BF79*(1-'Interest Rate'!$B$17))</f>
        <v>0</v>
      </c>
      <c r="BH79" s="658">
        <f>IF(BH$6&gt;$L79,0,BG79*(1-'Interest Rate'!$B$17))</f>
        <v>0</v>
      </c>
      <c r="BI79" s="658">
        <f>IF(BI$6&gt;$L79,0,BH79*(1-'Interest Rate'!$B$17))</f>
        <v>0</v>
      </c>
      <c r="BJ79" s="658">
        <f>IF(BJ$6&gt;$L79,0,BI79*(1-'Interest Rate'!$B$17))</f>
        <v>0</v>
      </c>
      <c r="BK79" s="658">
        <f>IF(BK$6&gt;$L79,0,BJ79*(1-'Interest Rate'!$B$17))</f>
        <v>0</v>
      </c>
      <c r="BL79" s="658">
        <f>IF(BL$6&gt;$L79,0,BK79*(1-'Interest Rate'!$B$17))</f>
        <v>0</v>
      </c>
      <c r="BM79" s="658">
        <f>IF(BM$6&gt;$L79,0,BL79*(1-'Interest Rate'!$B$17))</f>
        <v>0</v>
      </c>
      <c r="BN79" s="658">
        <f>IF(BN$6&gt;$L79,0,BM79*(1-'Interest Rate'!$B$17))</f>
        <v>0</v>
      </c>
      <c r="BO79" s="658">
        <f>IF(BO$6&gt;$L79,0,BN79*(1-'Interest Rate'!$B$17))</f>
        <v>0</v>
      </c>
      <c r="BP79" s="658">
        <f>IF(BP$6&gt;$L79,0,BO79*(1-'Interest Rate'!$B$17))</f>
        <v>0</v>
      </c>
      <c r="BQ79" s="658">
        <f>IF(BQ$6&gt;$L79,0,BP79*(1-'Interest Rate'!$B$17))</f>
        <v>0</v>
      </c>
      <c r="BR79" s="658">
        <f>IF(BR$6&gt;$L79,0,BQ79*(1-'Interest Rate'!$B$17))</f>
        <v>0</v>
      </c>
      <c r="BS79" s="658">
        <f>IF(BS$6&gt;$L79,0,BR79*(1-'Interest Rate'!$B$17))</f>
        <v>0</v>
      </c>
      <c r="BT79" s="658">
        <f>IF(BT$6&gt;$L79,0,BS79*(1-'Interest Rate'!$B$17))</f>
        <v>0</v>
      </c>
      <c r="BU79" s="658">
        <f>IF(BU$6&gt;$L79,0,BT79*(1-'Interest Rate'!$B$17))</f>
        <v>0</v>
      </c>
      <c r="BV79" s="658">
        <f>IF(BV$6&gt;$L79,0,BU79*(1-'Interest Rate'!$B$17))</f>
        <v>0</v>
      </c>
      <c r="BW79" s="658">
        <f>IF(BW$6&gt;$L79,0,BV79*(1-'Interest Rate'!$B$17))</f>
        <v>0</v>
      </c>
      <c r="BX79" s="658">
        <f>IF(BX$6&gt;$L79,0,BW79*(1-'Interest Rate'!$B$17))</f>
        <v>0</v>
      </c>
      <c r="BY79" s="658">
        <f>IF(BY$6&gt;$L79,0,BX79*(1-'Interest Rate'!$B$17))</f>
        <v>0</v>
      </c>
      <c r="BZ79" s="658">
        <f>IF(BZ$6&gt;$L79,0,BY79*(1-'Interest Rate'!$B$17))</f>
        <v>0</v>
      </c>
      <c r="CA79" s="658">
        <f>IF(CA$6&gt;$L79,0,BZ79*(1-'Interest Rate'!$B$17))</f>
        <v>0</v>
      </c>
      <c r="CB79" s="658">
        <f>IF(CB$6&gt;$L79,0,CA79*(1-'Interest Rate'!$B$17))</f>
        <v>0</v>
      </c>
      <c r="CC79" s="658">
        <f>IF(CC$6&gt;$L79,0,CB79*(1-'Interest Rate'!$B$17))</f>
        <v>0</v>
      </c>
      <c r="CD79" s="658">
        <f>IF(CD$6&gt;$L79,0,CC79*(1-'Interest Rate'!$B$17))</f>
        <v>0</v>
      </c>
      <c r="CE79" s="658">
        <f>IF(CE$6&gt;$L79,0,CD79*(1-'Interest Rate'!$B$17))</f>
        <v>0</v>
      </c>
      <c r="CF79" s="658">
        <f>IF(CF$6&gt;$L79,0,CE79*(1-'Interest Rate'!$B$17))</f>
        <v>0</v>
      </c>
      <c r="CG79" s="658">
        <f>IF(CG$6&gt;$L79,0,CF79*(1-'Interest Rate'!$B$17))</f>
        <v>0</v>
      </c>
      <c r="CH79" s="658">
        <f>IF(CH$6&gt;$L79,0,CG79*(1-'Interest Rate'!$B$17))</f>
        <v>0</v>
      </c>
      <c r="CI79" s="658">
        <f>IF(CI$6&gt;$L79,0,CH79*(1-'Interest Rate'!$B$17))</f>
        <v>0</v>
      </c>
      <c r="CJ79" s="658">
        <f>IF(CJ$6&gt;$L79,0,CI79*(1-'Interest Rate'!$B$17))</f>
        <v>0</v>
      </c>
      <c r="CK79" s="658">
        <f>IF(CK$6&gt;$L79,0,CJ79*(1-'Interest Rate'!$B$17))</f>
        <v>0</v>
      </c>
      <c r="CL79" s="658">
        <f>IF(CL$6&gt;$L79,0,CK79*(1-'Interest Rate'!$B$17))</f>
        <v>0</v>
      </c>
      <c r="CM79" s="658">
        <f>IF(CM$6&gt;$L79,0,CL79*(1-'Interest Rate'!$B$17))</f>
        <v>0</v>
      </c>
      <c r="CN79" s="658">
        <f>IF(CN$6&gt;$L79,0,CM79*(1-'Interest Rate'!$B$17))</f>
        <v>0</v>
      </c>
      <c r="CO79" s="658">
        <f>IF(CO$6&gt;$L79,0,CN79*(1-'Interest Rate'!$B$17))</f>
        <v>0</v>
      </c>
      <c r="CP79" s="658">
        <f>IF(CP$6&gt;$L79,0,CO79*(1-'Interest Rate'!$B$17))</f>
        <v>0</v>
      </c>
      <c r="CQ79" s="658">
        <f>IF(CQ$6&gt;$L79,0,CP79*(1-'Interest Rate'!$B$17))</f>
        <v>0</v>
      </c>
      <c r="CR79" s="658">
        <f>IF(CR$6&gt;$L79,0,CQ79*(1-'Interest Rate'!$B$17))</f>
        <v>0</v>
      </c>
      <c r="CS79" s="658">
        <f>IF(CS$6&gt;$L79,0,CR79*(1-'Interest Rate'!$B$17))</f>
        <v>0</v>
      </c>
      <c r="CT79" s="658">
        <f>IF(CT$6&gt;$L79,0,CS79*(1-'Interest Rate'!$B$17))</f>
        <v>0</v>
      </c>
      <c r="CU79" s="658">
        <f>IF(CU$6&gt;$L79,0,CT79*(1-'Interest Rate'!$B$17))</f>
        <v>0</v>
      </c>
      <c r="CV79" s="658">
        <f>IF(CV$6&gt;$L79,0,CU79*(1-'Interest Rate'!$B$17))</f>
        <v>0</v>
      </c>
      <c r="CW79" s="658">
        <f>IF(CW$6&gt;$L79,0,CV79*(1-'Interest Rate'!$B$17))</f>
        <v>0</v>
      </c>
      <c r="CX79" s="658">
        <f>IF(CX$6&gt;$L79,0,CW79*(1-'Interest Rate'!$B$17))</f>
        <v>0</v>
      </c>
      <c r="CY79" s="658">
        <f>IF(CY$6&gt;$L79,0,CX79*(1-'Interest Rate'!$B$17))</f>
        <v>0</v>
      </c>
      <c r="CZ79" s="658">
        <f>IF(CZ$6&gt;$L79,0,CY79*(1-'Interest Rate'!$B$17))</f>
        <v>0</v>
      </c>
      <c r="DA79" s="658">
        <f>IF(DA$6&gt;$L79,0,CZ79*(1-'Interest Rate'!$B$17))</f>
        <v>0</v>
      </c>
      <c r="DB79" s="658">
        <f>IF(DB$6&gt;$L79,0,DA79*(1-'Interest Rate'!$B$17))</f>
        <v>0</v>
      </c>
      <c r="DC79" s="658">
        <f>IF(DC$6&gt;$L79,0,DB79*(1-'Interest Rate'!$B$17))</f>
        <v>0</v>
      </c>
      <c r="DD79" s="658">
        <f>IF(DD$6&gt;$L79,0,DC79*(1-'Interest Rate'!$B$17))</f>
        <v>0</v>
      </c>
      <c r="DE79" s="658">
        <f>IF(DE$6&gt;$L79,0,DD79*(1-'Interest Rate'!$B$17))</f>
        <v>0</v>
      </c>
      <c r="DF79" s="658">
        <f>IF(DF$6&gt;$L79,0,DE79*(1-'Interest Rate'!$B$17))</f>
        <v>0</v>
      </c>
      <c r="DG79" s="658">
        <f>IF(DG$6&gt;$L79,0,DF79*(1-'Interest Rate'!$B$17))</f>
        <v>0</v>
      </c>
      <c r="DH79" s="658">
        <f>IF(DH$6&gt;$L79,0,DG79*(1-'Interest Rate'!$B$17))</f>
        <v>0</v>
      </c>
      <c r="DI79" s="658">
        <f>IF(DI$6&gt;$L79,0,DH79*(1-'Interest Rate'!$B$17))</f>
        <v>0</v>
      </c>
      <c r="DJ79" s="658">
        <f>IF(DJ$6&gt;$L79,0,DI79*(1-'Interest Rate'!$B$17))</f>
        <v>0</v>
      </c>
      <c r="DK79" s="658">
        <f>IF(DK$6&gt;$L79,0,DJ79*(1-'Interest Rate'!$B$17))</f>
        <v>0</v>
      </c>
      <c r="DL79" s="658">
        <f>IF(DL$6&gt;$L79,0,DK79*(1-'Interest Rate'!$B$17))</f>
        <v>0</v>
      </c>
      <c r="DM79" s="658">
        <f>IF(DM$6&gt;$L79,0,DL79*(1-'Interest Rate'!$B$17))</f>
        <v>0</v>
      </c>
      <c r="DN79" s="658">
        <f>IF(DN$6&gt;$L79,0,DM79*(1-'Interest Rate'!$B$17))</f>
        <v>0</v>
      </c>
      <c r="DO79" s="658">
        <f>IF(DO$6&gt;$L79,0,DN79*(1-'Interest Rate'!$B$17))</f>
        <v>0</v>
      </c>
      <c r="DP79" s="658">
        <f>IF(DP$6&gt;$L79,0,DO79*(1-'Interest Rate'!$B$17))</f>
        <v>0</v>
      </c>
      <c r="DQ79" s="658">
        <f>IF(DQ$6&gt;$L79,0,DP79*(1-'Interest Rate'!$B$17))</f>
        <v>0</v>
      </c>
      <c r="DR79" s="658">
        <f>IF(DR$6&gt;$L79,0,DQ79*(1-'Interest Rate'!$B$17))</f>
        <v>0</v>
      </c>
    </row>
    <row r="80" spans="1:122" ht="33" customHeight="1" x14ac:dyDescent="0.4">
      <c r="A80" s="696" t="str">
        <f>'EEM Data Entry'!A154</f>
        <v/>
      </c>
      <c r="B80" s="697" t="str">
        <f>IF('Packaged EEMs'!B70="  ","  ", 'EEM Data Entry'!B154)</f>
        <v/>
      </c>
      <c r="C80" s="671" t="str">
        <f>'EEM Data Entry'!F154</f>
        <v/>
      </c>
      <c r="D80" s="671">
        <v>0</v>
      </c>
      <c r="E80" s="671" t="e">
        <f t="shared" si="26"/>
        <v>#VALUE!</v>
      </c>
      <c r="F80" s="662">
        <f>('Cascading Savings'!D82*'Cascading Savings'!D$4)+('Cascading Savings'!F82*'Cascading Savings'!F$4)+('Cascading Savings'!H82*'Cascading Savings'!H$4)+('Cascading Savings'!J82*'Cascading Savings'!J$4)+('Cascading Savings'!L82*'Cascading Savings'!L$4)+('Cascading Savings'!N82*'Cascading Savings'!N$4)+('Cascading Savings'!P82*'Cascading Savings'!P$4)+('Cascading Savings'!R82*'Cascading Savings'!R$4)</f>
        <v>0</v>
      </c>
      <c r="G80" s="721">
        <f>'Savings Summary'!T82</f>
        <v>0</v>
      </c>
      <c r="H80" s="672" t="e">
        <f t="shared" si="27"/>
        <v>#VALUE!</v>
      </c>
      <c r="I80" s="668" t="e">
        <f t="shared" si="22"/>
        <v>#VALUE!</v>
      </c>
      <c r="J80" s="673" t="e">
        <f t="shared" si="23"/>
        <v>#NUM!</v>
      </c>
      <c r="K80" s="674" t="e">
        <f>PV('Interest Rate'!$B$17,Table415[[#This Row],[Lifetime]],-Table415[[#This Row],[ANNUAL ENERGY COST SAVINGS]],Table415[[#This Row],[END-OF-LIFE]],0)-Table415[[#This Row],[ CAPITAL INVESTMENT]]</f>
        <v>#VALUE!</v>
      </c>
      <c r="L80" s="668" t="str">
        <f>'EEM Data Entry'!C154</f>
        <v/>
      </c>
      <c r="M80" s="720" t="e">
        <f>Table415[[#This Row],[ANNUAL ENERGY COST SAVINGS]]/Table415[[#This Row],[ CAPITAL INVESTMENT]]</f>
        <v>#VALUE!</v>
      </c>
      <c r="N80" s="704">
        <f>IF(ISNUMBER(Table415[[#This Row],[NPV]])=TRUE,Table415[[#This Row],[NPV]],0)</f>
        <v>0</v>
      </c>
      <c r="O80" s="701">
        <f>IF(ISNUMBER(((Table112[[#This Row],[Lifetime]]*Table112[[#This Row],[ANNUAL ENERGY COST SAVINGS]])-Table112[[#This Row],[ENERGY INVESTMENT]]))=TRUE,((Table112[[#This Row],[Lifetime]]*Table112[[#This Row],[ANNUAL ENERGY COST SAVINGS]])-Table112[[#This Row],[ENERGY INVESTMENT]]),0)</f>
        <v>0</v>
      </c>
      <c r="P80" s="568" t="str">
        <f>Table415[[#This Row],[Lifetime]]</f>
        <v/>
      </c>
      <c r="V80" s="657" t="str">
        <f t="shared" si="24"/>
        <v/>
      </c>
      <c r="W80" s="658">
        <f t="shared" si="25"/>
        <v>0</v>
      </c>
      <c r="X80" s="658">
        <f>IF(X$6&gt;$L80,0,W80*(1-'Interest Rate'!$B$17))</f>
        <v>0</v>
      </c>
      <c r="Y80" s="658">
        <f>IF(Y$6&gt;$L80,0,X80*(1-'Interest Rate'!$B$17))</f>
        <v>0</v>
      </c>
      <c r="Z80" s="658">
        <f>IF(Z$6&gt;$L80,0,Y80*(1-'Interest Rate'!$B$17))</f>
        <v>0</v>
      </c>
      <c r="AA80" s="658">
        <f>IF(AA$6&gt;$L80,0,Z80*(1-'Interest Rate'!$B$17))</f>
        <v>0</v>
      </c>
      <c r="AB80" s="658">
        <f>IF(AB$6&gt;$L80,0,AA80*(1-'Interest Rate'!$B$17))</f>
        <v>0</v>
      </c>
      <c r="AC80" s="658">
        <f>IF(AC$6&gt;$L80,0,AB80*(1-'Interest Rate'!$B$17))</f>
        <v>0</v>
      </c>
      <c r="AD80" s="658">
        <f>IF(AD$6&gt;$L80,0,AC80*(1-'Interest Rate'!$B$17))</f>
        <v>0</v>
      </c>
      <c r="AE80" s="658">
        <f>IF(AE$6&gt;$L80,0,AD80*(1-'Interest Rate'!$B$17))</f>
        <v>0</v>
      </c>
      <c r="AF80" s="658">
        <f>IF(AF$6&gt;$L80,0,AE80*(1-'Interest Rate'!$B$17))</f>
        <v>0</v>
      </c>
      <c r="AG80" s="658">
        <f>IF(AG$6&gt;$L80,0,AF80*(1-'Interest Rate'!$B$17))</f>
        <v>0</v>
      </c>
      <c r="AH80" s="658">
        <f>IF(AH$6&gt;$L80,0,AG80*(1-'Interest Rate'!$B$17))</f>
        <v>0</v>
      </c>
      <c r="AI80" s="658">
        <f>IF(AI$6&gt;$L80,0,AH80*(1-'Interest Rate'!$B$17))</f>
        <v>0</v>
      </c>
      <c r="AJ80" s="658">
        <f>IF(AJ$6&gt;$L80,0,AI80*(1-'Interest Rate'!$B$17))</f>
        <v>0</v>
      </c>
      <c r="AK80" s="658">
        <f>IF(AK$6&gt;$L80,0,AJ80*(1-'Interest Rate'!$B$17))</f>
        <v>0</v>
      </c>
      <c r="AL80" s="658">
        <f>IF(AL$6&gt;$L80,0,AK80*(1-'Interest Rate'!$B$17))</f>
        <v>0</v>
      </c>
      <c r="AM80" s="658">
        <f>IF(AM$6&gt;$L80,0,AL80*(1-'Interest Rate'!$B$17))</f>
        <v>0</v>
      </c>
      <c r="AN80" s="658">
        <f>IF(AN$6&gt;$L80,0,AM80*(1-'Interest Rate'!$B$17))</f>
        <v>0</v>
      </c>
      <c r="AO80" s="658">
        <f>IF(AO$6&gt;$L80,0,AN80*(1-'Interest Rate'!$B$17))</f>
        <v>0</v>
      </c>
      <c r="AP80" s="658">
        <f>IF(AP$6&gt;$L80,0,AO80*(1-'Interest Rate'!$B$17))</f>
        <v>0</v>
      </c>
      <c r="AQ80" s="658">
        <f>IF(AQ$6&gt;$L80,0,AP80*(1-'Interest Rate'!$B$17))</f>
        <v>0</v>
      </c>
      <c r="AR80" s="658">
        <f>IF(AR$6&gt;$L80,0,AQ80*(1-'Interest Rate'!$B$17))</f>
        <v>0</v>
      </c>
      <c r="AS80" s="658">
        <f>IF(AS$6&gt;$L80,0,AR80*(1-'Interest Rate'!$B$17))</f>
        <v>0</v>
      </c>
      <c r="AT80" s="658">
        <f>IF(AT$6&gt;$L80,0,AS80*(1-'Interest Rate'!$B$17))</f>
        <v>0</v>
      </c>
      <c r="AU80" s="658">
        <f>IF(AU$6&gt;$L80,0,AT80*(1-'Interest Rate'!$B$17))</f>
        <v>0</v>
      </c>
      <c r="AV80" s="658">
        <f>IF(AV$6&gt;$L80,0,AU80*(1-'Interest Rate'!$B$17))</f>
        <v>0</v>
      </c>
      <c r="AW80" s="658">
        <f>IF(AW$6&gt;$L80,0,AV80*(1-'Interest Rate'!$B$17))</f>
        <v>0</v>
      </c>
      <c r="AX80" s="658">
        <f>IF(AX$6&gt;$L80,0,AW80*(1-'Interest Rate'!$B$17))</f>
        <v>0</v>
      </c>
      <c r="AY80" s="658">
        <f>IF(AY$6&gt;$L80,0,AX80*(1-'Interest Rate'!$B$17))</f>
        <v>0</v>
      </c>
      <c r="AZ80" s="658">
        <f>IF(AZ$6&gt;$L80,0,AY80*(1-'Interest Rate'!$B$17))</f>
        <v>0</v>
      </c>
      <c r="BA80" s="658">
        <f>IF(BA$6&gt;$L80,0,AZ80*(1-'Interest Rate'!$B$17))</f>
        <v>0</v>
      </c>
      <c r="BB80" s="658">
        <f>IF(BB$6&gt;$L80,0,BA80*(1-'Interest Rate'!$B$17))</f>
        <v>0</v>
      </c>
      <c r="BC80" s="658">
        <f>IF(BC$6&gt;$L80,0,BB80*(1-'Interest Rate'!$B$17))</f>
        <v>0</v>
      </c>
      <c r="BD80" s="658">
        <f>IF(BD$6&gt;$L80,0,BC80*(1-'Interest Rate'!$B$17))</f>
        <v>0</v>
      </c>
      <c r="BE80" s="658">
        <f>IF(BE$6&gt;$L80,0,BD80*(1-'Interest Rate'!$B$17))</f>
        <v>0</v>
      </c>
      <c r="BF80" s="658">
        <f>IF(BF$6&gt;$L80,0,BE80*(1-'Interest Rate'!$B$17))</f>
        <v>0</v>
      </c>
      <c r="BG80" s="658">
        <f>IF(BG$6&gt;$L80,0,BF80*(1-'Interest Rate'!$B$17))</f>
        <v>0</v>
      </c>
      <c r="BH80" s="658">
        <f>IF(BH$6&gt;$L80,0,BG80*(1-'Interest Rate'!$B$17))</f>
        <v>0</v>
      </c>
      <c r="BI80" s="658">
        <f>IF(BI$6&gt;$L80,0,BH80*(1-'Interest Rate'!$B$17))</f>
        <v>0</v>
      </c>
      <c r="BJ80" s="658">
        <f>IF(BJ$6&gt;$L80,0,BI80*(1-'Interest Rate'!$B$17))</f>
        <v>0</v>
      </c>
      <c r="BK80" s="658">
        <f>IF(BK$6&gt;$L80,0,BJ80*(1-'Interest Rate'!$B$17))</f>
        <v>0</v>
      </c>
      <c r="BL80" s="658">
        <f>IF(BL$6&gt;$L80,0,BK80*(1-'Interest Rate'!$B$17))</f>
        <v>0</v>
      </c>
      <c r="BM80" s="658">
        <f>IF(BM$6&gt;$L80,0,BL80*(1-'Interest Rate'!$B$17))</f>
        <v>0</v>
      </c>
      <c r="BN80" s="658">
        <f>IF(BN$6&gt;$L80,0,BM80*(1-'Interest Rate'!$B$17))</f>
        <v>0</v>
      </c>
      <c r="BO80" s="658">
        <f>IF(BO$6&gt;$L80,0,BN80*(1-'Interest Rate'!$B$17))</f>
        <v>0</v>
      </c>
      <c r="BP80" s="658">
        <f>IF(BP$6&gt;$L80,0,BO80*(1-'Interest Rate'!$B$17))</f>
        <v>0</v>
      </c>
      <c r="BQ80" s="658">
        <f>IF(BQ$6&gt;$L80,0,BP80*(1-'Interest Rate'!$B$17))</f>
        <v>0</v>
      </c>
      <c r="BR80" s="658">
        <f>IF(BR$6&gt;$L80,0,BQ80*(1-'Interest Rate'!$B$17))</f>
        <v>0</v>
      </c>
      <c r="BS80" s="658">
        <f>IF(BS$6&gt;$L80,0,BR80*(1-'Interest Rate'!$B$17))</f>
        <v>0</v>
      </c>
      <c r="BT80" s="658">
        <f>IF(BT$6&gt;$L80,0,BS80*(1-'Interest Rate'!$B$17))</f>
        <v>0</v>
      </c>
      <c r="BU80" s="658">
        <f>IF(BU$6&gt;$L80,0,BT80*(1-'Interest Rate'!$B$17))</f>
        <v>0</v>
      </c>
      <c r="BV80" s="658">
        <f>IF(BV$6&gt;$L80,0,BU80*(1-'Interest Rate'!$B$17))</f>
        <v>0</v>
      </c>
      <c r="BW80" s="658">
        <f>IF(BW$6&gt;$L80,0,BV80*(1-'Interest Rate'!$B$17))</f>
        <v>0</v>
      </c>
      <c r="BX80" s="658">
        <f>IF(BX$6&gt;$L80,0,BW80*(1-'Interest Rate'!$B$17))</f>
        <v>0</v>
      </c>
      <c r="BY80" s="658">
        <f>IF(BY$6&gt;$L80,0,BX80*(1-'Interest Rate'!$B$17))</f>
        <v>0</v>
      </c>
      <c r="BZ80" s="658">
        <f>IF(BZ$6&gt;$L80,0,BY80*(1-'Interest Rate'!$B$17))</f>
        <v>0</v>
      </c>
      <c r="CA80" s="658">
        <f>IF(CA$6&gt;$L80,0,BZ80*(1-'Interest Rate'!$B$17))</f>
        <v>0</v>
      </c>
      <c r="CB80" s="658">
        <f>IF(CB$6&gt;$L80,0,CA80*(1-'Interest Rate'!$B$17))</f>
        <v>0</v>
      </c>
      <c r="CC80" s="658">
        <f>IF(CC$6&gt;$L80,0,CB80*(1-'Interest Rate'!$B$17))</f>
        <v>0</v>
      </c>
      <c r="CD80" s="658">
        <f>IF(CD$6&gt;$L80,0,CC80*(1-'Interest Rate'!$B$17))</f>
        <v>0</v>
      </c>
      <c r="CE80" s="658">
        <f>IF(CE$6&gt;$L80,0,CD80*(1-'Interest Rate'!$B$17))</f>
        <v>0</v>
      </c>
      <c r="CF80" s="658">
        <f>IF(CF$6&gt;$L80,0,CE80*(1-'Interest Rate'!$B$17))</f>
        <v>0</v>
      </c>
      <c r="CG80" s="658">
        <f>IF(CG$6&gt;$L80,0,CF80*(1-'Interest Rate'!$B$17))</f>
        <v>0</v>
      </c>
      <c r="CH80" s="658">
        <f>IF(CH$6&gt;$L80,0,CG80*(1-'Interest Rate'!$B$17))</f>
        <v>0</v>
      </c>
      <c r="CI80" s="658">
        <f>IF(CI$6&gt;$L80,0,CH80*(1-'Interest Rate'!$B$17))</f>
        <v>0</v>
      </c>
      <c r="CJ80" s="658">
        <f>IF(CJ$6&gt;$L80,0,CI80*(1-'Interest Rate'!$B$17))</f>
        <v>0</v>
      </c>
      <c r="CK80" s="658">
        <f>IF(CK$6&gt;$L80,0,CJ80*(1-'Interest Rate'!$B$17))</f>
        <v>0</v>
      </c>
      <c r="CL80" s="658">
        <f>IF(CL$6&gt;$L80,0,CK80*(1-'Interest Rate'!$B$17))</f>
        <v>0</v>
      </c>
      <c r="CM80" s="658">
        <f>IF(CM$6&gt;$L80,0,CL80*(1-'Interest Rate'!$B$17))</f>
        <v>0</v>
      </c>
      <c r="CN80" s="658">
        <f>IF(CN$6&gt;$L80,0,CM80*(1-'Interest Rate'!$B$17))</f>
        <v>0</v>
      </c>
      <c r="CO80" s="658">
        <f>IF(CO$6&gt;$L80,0,CN80*(1-'Interest Rate'!$B$17))</f>
        <v>0</v>
      </c>
      <c r="CP80" s="658">
        <f>IF(CP$6&gt;$L80,0,CO80*(1-'Interest Rate'!$B$17))</f>
        <v>0</v>
      </c>
      <c r="CQ80" s="658">
        <f>IF(CQ$6&gt;$L80,0,CP80*(1-'Interest Rate'!$B$17))</f>
        <v>0</v>
      </c>
      <c r="CR80" s="658">
        <f>IF(CR$6&gt;$L80,0,CQ80*(1-'Interest Rate'!$B$17))</f>
        <v>0</v>
      </c>
      <c r="CS80" s="658">
        <f>IF(CS$6&gt;$L80,0,CR80*(1-'Interest Rate'!$B$17))</f>
        <v>0</v>
      </c>
      <c r="CT80" s="658">
        <f>IF(CT$6&gt;$L80,0,CS80*(1-'Interest Rate'!$B$17))</f>
        <v>0</v>
      </c>
      <c r="CU80" s="658">
        <f>IF(CU$6&gt;$L80,0,CT80*(1-'Interest Rate'!$B$17))</f>
        <v>0</v>
      </c>
      <c r="CV80" s="658">
        <f>IF(CV$6&gt;$L80,0,CU80*(1-'Interest Rate'!$B$17))</f>
        <v>0</v>
      </c>
      <c r="CW80" s="658">
        <f>IF(CW$6&gt;$L80,0,CV80*(1-'Interest Rate'!$B$17))</f>
        <v>0</v>
      </c>
      <c r="CX80" s="658">
        <f>IF(CX$6&gt;$L80,0,CW80*(1-'Interest Rate'!$B$17))</f>
        <v>0</v>
      </c>
      <c r="CY80" s="658">
        <f>IF(CY$6&gt;$L80,0,CX80*(1-'Interest Rate'!$B$17))</f>
        <v>0</v>
      </c>
      <c r="CZ80" s="658">
        <f>IF(CZ$6&gt;$L80,0,CY80*(1-'Interest Rate'!$B$17))</f>
        <v>0</v>
      </c>
      <c r="DA80" s="658">
        <f>IF(DA$6&gt;$L80,0,CZ80*(1-'Interest Rate'!$B$17))</f>
        <v>0</v>
      </c>
      <c r="DB80" s="658">
        <f>IF(DB$6&gt;$L80,0,DA80*(1-'Interest Rate'!$B$17))</f>
        <v>0</v>
      </c>
      <c r="DC80" s="658">
        <f>IF(DC$6&gt;$L80,0,DB80*(1-'Interest Rate'!$B$17))</f>
        <v>0</v>
      </c>
      <c r="DD80" s="658">
        <f>IF(DD$6&gt;$L80,0,DC80*(1-'Interest Rate'!$B$17))</f>
        <v>0</v>
      </c>
      <c r="DE80" s="658">
        <f>IF(DE$6&gt;$L80,0,DD80*(1-'Interest Rate'!$B$17))</f>
        <v>0</v>
      </c>
      <c r="DF80" s="658">
        <f>IF(DF$6&gt;$L80,0,DE80*(1-'Interest Rate'!$B$17))</f>
        <v>0</v>
      </c>
      <c r="DG80" s="658">
        <f>IF(DG$6&gt;$L80,0,DF80*(1-'Interest Rate'!$B$17))</f>
        <v>0</v>
      </c>
      <c r="DH80" s="658">
        <f>IF(DH$6&gt;$L80,0,DG80*(1-'Interest Rate'!$B$17))</f>
        <v>0</v>
      </c>
      <c r="DI80" s="658">
        <f>IF(DI$6&gt;$L80,0,DH80*(1-'Interest Rate'!$B$17))</f>
        <v>0</v>
      </c>
      <c r="DJ80" s="658">
        <f>IF(DJ$6&gt;$L80,0,DI80*(1-'Interest Rate'!$B$17))</f>
        <v>0</v>
      </c>
      <c r="DK80" s="658">
        <f>IF(DK$6&gt;$L80,0,DJ80*(1-'Interest Rate'!$B$17))</f>
        <v>0</v>
      </c>
      <c r="DL80" s="658">
        <f>IF(DL$6&gt;$L80,0,DK80*(1-'Interest Rate'!$B$17))</f>
        <v>0</v>
      </c>
      <c r="DM80" s="658">
        <f>IF(DM$6&gt;$L80,0,DL80*(1-'Interest Rate'!$B$17))</f>
        <v>0</v>
      </c>
      <c r="DN80" s="658">
        <f>IF(DN$6&gt;$L80,0,DM80*(1-'Interest Rate'!$B$17))</f>
        <v>0</v>
      </c>
      <c r="DO80" s="658">
        <f>IF(DO$6&gt;$L80,0,DN80*(1-'Interest Rate'!$B$17))</f>
        <v>0</v>
      </c>
      <c r="DP80" s="658">
        <f>IF(DP$6&gt;$L80,0,DO80*(1-'Interest Rate'!$B$17))</f>
        <v>0</v>
      </c>
      <c r="DQ80" s="658">
        <f>IF(DQ$6&gt;$L80,0,DP80*(1-'Interest Rate'!$B$17))</f>
        <v>0</v>
      </c>
      <c r="DR80" s="658">
        <f>IF(DR$6&gt;$L80,0,DQ80*(1-'Interest Rate'!$B$17))</f>
        <v>0</v>
      </c>
    </row>
    <row r="81" spans="1:122" ht="24.75" customHeight="1" x14ac:dyDescent="0.3">
      <c r="A81" s="699"/>
      <c r="B81" s="726"/>
      <c r="C81" s="727"/>
      <c r="D81" s="727"/>
      <c r="E81" s="727"/>
      <c r="F81" s="728"/>
      <c r="G81" s="729"/>
      <c r="H81" s="730"/>
      <c r="I81" s="699"/>
      <c r="J81" s="716"/>
      <c r="K81" s="717"/>
      <c r="N81" s="623"/>
      <c r="O81" s="623"/>
      <c r="V81" s="695"/>
      <c r="W81" s="646">
        <v>1</v>
      </c>
      <c r="X81" s="646">
        <v>2</v>
      </c>
      <c r="Y81" s="646">
        <v>3</v>
      </c>
      <c r="Z81" s="646">
        <v>4</v>
      </c>
      <c r="AA81" s="646">
        <v>5</v>
      </c>
      <c r="AB81" s="646">
        <v>6</v>
      </c>
      <c r="AC81" s="646">
        <v>7</v>
      </c>
      <c r="AD81" s="646">
        <v>8</v>
      </c>
      <c r="AE81" s="646">
        <v>9</v>
      </c>
      <c r="AF81" s="646">
        <v>10</v>
      </c>
      <c r="AG81" s="646">
        <v>11</v>
      </c>
      <c r="AH81" s="646">
        <v>12</v>
      </c>
      <c r="AI81" s="646">
        <v>13</v>
      </c>
      <c r="AJ81" s="646">
        <v>14</v>
      </c>
      <c r="AK81" s="646">
        <v>15</v>
      </c>
      <c r="AL81" s="646">
        <v>16</v>
      </c>
      <c r="AM81" s="646">
        <v>17</v>
      </c>
      <c r="AN81" s="646">
        <v>18</v>
      </c>
      <c r="AO81" s="646">
        <v>19</v>
      </c>
      <c r="AP81" s="646">
        <v>20</v>
      </c>
      <c r="AQ81" s="646">
        <v>21</v>
      </c>
      <c r="AR81" s="646">
        <v>22</v>
      </c>
      <c r="AS81" s="646">
        <v>23</v>
      </c>
      <c r="AT81" s="646">
        <v>24</v>
      </c>
      <c r="AU81" s="646">
        <v>25</v>
      </c>
      <c r="AV81" s="646">
        <v>26</v>
      </c>
      <c r="AW81" s="646">
        <v>27</v>
      </c>
      <c r="AX81" s="646">
        <v>28</v>
      </c>
      <c r="AY81" s="646">
        <v>29</v>
      </c>
      <c r="AZ81" s="646">
        <v>30</v>
      </c>
      <c r="BA81" s="646">
        <v>31</v>
      </c>
      <c r="BB81" s="646">
        <v>32</v>
      </c>
      <c r="BC81" s="646">
        <v>33</v>
      </c>
      <c r="BD81" s="646">
        <v>34</v>
      </c>
      <c r="BE81" s="646">
        <v>35</v>
      </c>
      <c r="BF81" s="646">
        <v>36</v>
      </c>
      <c r="BG81" s="646">
        <v>37</v>
      </c>
      <c r="BH81" s="646">
        <v>38</v>
      </c>
      <c r="BI81" s="646">
        <v>39</v>
      </c>
      <c r="BJ81" s="646">
        <v>40</v>
      </c>
      <c r="BK81" s="646">
        <v>41</v>
      </c>
      <c r="BL81" s="646">
        <v>42</v>
      </c>
      <c r="BM81" s="646">
        <v>43</v>
      </c>
      <c r="BN81" s="646">
        <v>44</v>
      </c>
      <c r="BO81" s="646">
        <v>45</v>
      </c>
      <c r="BP81" s="646">
        <v>46</v>
      </c>
      <c r="BQ81" s="646">
        <v>47</v>
      </c>
      <c r="BR81" s="646">
        <v>48</v>
      </c>
      <c r="BS81" s="646">
        <v>49</v>
      </c>
      <c r="BT81" s="646">
        <v>50</v>
      </c>
      <c r="BU81" s="646">
        <v>51</v>
      </c>
      <c r="BV81" s="646">
        <v>52</v>
      </c>
      <c r="BW81" s="646">
        <v>53</v>
      </c>
      <c r="BX81" s="646">
        <v>54</v>
      </c>
      <c r="BY81" s="646">
        <v>55</v>
      </c>
      <c r="BZ81" s="646">
        <v>56</v>
      </c>
      <c r="CA81" s="646">
        <v>57</v>
      </c>
      <c r="CB81" s="646">
        <v>58</v>
      </c>
      <c r="CC81" s="646">
        <v>59</v>
      </c>
      <c r="CD81" s="646">
        <v>60</v>
      </c>
      <c r="CE81" s="646">
        <v>61</v>
      </c>
      <c r="CF81" s="646">
        <v>62</v>
      </c>
      <c r="CG81" s="646">
        <v>63</v>
      </c>
      <c r="CH81" s="646">
        <v>64</v>
      </c>
      <c r="CI81" s="646">
        <v>65</v>
      </c>
      <c r="CJ81" s="646">
        <v>66</v>
      </c>
      <c r="CK81" s="646">
        <v>67</v>
      </c>
      <c r="CL81" s="646">
        <v>68</v>
      </c>
      <c r="CM81" s="646">
        <v>69</v>
      </c>
      <c r="CN81" s="646">
        <v>70</v>
      </c>
      <c r="CO81" s="646">
        <v>71</v>
      </c>
      <c r="CP81" s="646">
        <v>72</v>
      </c>
      <c r="CQ81" s="646">
        <v>73</v>
      </c>
      <c r="CR81" s="646">
        <v>74</v>
      </c>
      <c r="CS81" s="646">
        <v>75</v>
      </c>
      <c r="CT81" s="646">
        <v>76</v>
      </c>
      <c r="CU81" s="646">
        <v>77</v>
      </c>
      <c r="CV81" s="646">
        <v>78</v>
      </c>
      <c r="CW81" s="646">
        <v>79</v>
      </c>
      <c r="CX81" s="646">
        <v>80</v>
      </c>
      <c r="CY81" s="646">
        <v>81</v>
      </c>
      <c r="CZ81" s="646">
        <v>82</v>
      </c>
      <c r="DA81" s="646">
        <v>83</v>
      </c>
      <c r="DB81" s="646">
        <v>84</v>
      </c>
      <c r="DC81" s="646">
        <v>85</v>
      </c>
      <c r="DD81" s="646">
        <v>86</v>
      </c>
      <c r="DE81" s="646">
        <v>87</v>
      </c>
      <c r="DF81" s="646">
        <v>88</v>
      </c>
      <c r="DG81" s="646">
        <v>89</v>
      </c>
      <c r="DH81" s="646">
        <v>90</v>
      </c>
      <c r="DI81" s="646">
        <v>91</v>
      </c>
      <c r="DJ81" s="646">
        <v>92</v>
      </c>
      <c r="DK81" s="646">
        <v>93</v>
      </c>
      <c r="DL81" s="646">
        <v>94</v>
      </c>
      <c r="DM81" s="646">
        <v>95</v>
      </c>
      <c r="DN81" s="646">
        <v>96</v>
      </c>
      <c r="DO81" s="646">
        <v>97</v>
      </c>
      <c r="DP81" s="646">
        <v>98</v>
      </c>
      <c r="DQ81" s="646">
        <v>99</v>
      </c>
      <c r="DR81" s="646">
        <v>100</v>
      </c>
    </row>
    <row r="82" spans="1:122" ht="57" customHeight="1" x14ac:dyDescent="0.3">
      <c r="A82" s="699"/>
      <c r="B82" s="731" t="str">
        <f>'EEM Data Entry'!Q17</f>
        <v>RECOMMENDED PACKAGE: Example</v>
      </c>
      <c r="C82" s="732">
        <f>SUM(Table112[CAPITAL INVESTMENT],Table213[CAPITAL INVESTMENT],Table314[CAPITAL INVESTMENT],Table415[[ CAPITAL INVESTMENT]])</f>
        <v>0</v>
      </c>
      <c r="D82" s="732">
        <f>SUM(Table112[END-OF-LIFE],Table213[END-OF-LIFE],Table314[END-OF-LIFE],Table415[END-OF-LIFE])</f>
        <v>0</v>
      </c>
      <c r="E82" s="732" t="e">
        <f>SUM(Table112[ENERGY INVESTMENT],Table213[ENERGY INVESTMENT],Table314[ENERGY INVESTMENT],Table415[[ENERGY INVESTMENT ]])</f>
        <v>#VALUE!</v>
      </c>
      <c r="F82" s="732">
        <f>SUM(Table112[ANNUAL ENERGY COST SAVINGS],Table213[ANNUAL ENERGY COST SAVINGS],Table314[ANNUAL ENERGY COST SAVINGS],Table415[ANNUAL ENERGY COST SAVINGS])</f>
        <v>0</v>
      </c>
      <c r="G82" s="733">
        <f>SUM(Table112[ANNUAL ENERGY  SAVINGS kBTU],Table213[ANNUAL ENERGY SAVINGS kBTU],Table314[ANNUAL ENERGY SAVINGS kBTU],Table415[ANNUAL ENERGY SAVINGS kBTU])</f>
        <v>0</v>
      </c>
      <c r="H82" s="734" t="e">
        <f>C82/F82</f>
        <v>#DIV/0!</v>
      </c>
      <c r="I82" s="735" t="e">
        <f>IF(H82=0, "n/a", IF(H82&gt;100, "no",IF(H82&lt;0, "no", "yes")))</f>
        <v>#DIV/0!</v>
      </c>
      <c r="J82" s="736" t="e">
        <f>IRR(V82:DR82,0.1)</f>
        <v>#NUM!</v>
      </c>
      <c r="K82" s="737">
        <f>SUM(N67:N80,N50:N64,N33:N46,N7:N30)</f>
        <v>0</v>
      </c>
      <c r="L82" s="801" t="s">
        <v>230</v>
      </c>
      <c r="M82" s="738" t="e">
        <f>F82/C82</f>
        <v>#DIV/0!</v>
      </c>
      <c r="N82" s="623"/>
      <c r="O82" s="802">
        <f>SUM(O67:O80,O50:O64,O33:O46,O7:O30)</f>
        <v>0</v>
      </c>
      <c r="V82" s="657">
        <f>SUM(V7:V30,V33:V46,V50:V64,V67:V80)</f>
        <v>0</v>
      </c>
      <c r="W82" s="658">
        <f>SUM(W7:W30,W33:W46,W50:W64,W67:W80)</f>
        <v>0</v>
      </c>
      <c r="X82" s="658">
        <f t="shared" ref="X82:CI82" si="28">SUM(X7:X30,X33:X46,X50:X64,X67:X80)</f>
        <v>0</v>
      </c>
      <c r="Y82" s="658">
        <f t="shared" si="28"/>
        <v>0</v>
      </c>
      <c r="Z82" s="658">
        <f t="shared" si="28"/>
        <v>0</v>
      </c>
      <c r="AA82" s="658">
        <f t="shared" si="28"/>
        <v>0</v>
      </c>
      <c r="AB82" s="658">
        <f t="shared" si="28"/>
        <v>0</v>
      </c>
      <c r="AC82" s="658">
        <f t="shared" si="28"/>
        <v>0</v>
      </c>
      <c r="AD82" s="658">
        <f t="shared" si="28"/>
        <v>0</v>
      </c>
      <c r="AE82" s="658">
        <f t="shared" si="28"/>
        <v>0</v>
      </c>
      <c r="AF82" s="658">
        <f t="shared" si="28"/>
        <v>0</v>
      </c>
      <c r="AG82" s="658">
        <f t="shared" si="28"/>
        <v>0</v>
      </c>
      <c r="AH82" s="658">
        <f t="shared" si="28"/>
        <v>0</v>
      </c>
      <c r="AI82" s="658">
        <f t="shared" si="28"/>
        <v>0</v>
      </c>
      <c r="AJ82" s="658">
        <f t="shared" si="28"/>
        <v>0</v>
      </c>
      <c r="AK82" s="658">
        <f t="shared" si="28"/>
        <v>0</v>
      </c>
      <c r="AL82" s="658">
        <f t="shared" si="28"/>
        <v>0</v>
      </c>
      <c r="AM82" s="658">
        <f t="shared" si="28"/>
        <v>0</v>
      </c>
      <c r="AN82" s="658">
        <f t="shared" si="28"/>
        <v>0</v>
      </c>
      <c r="AO82" s="658">
        <f t="shared" si="28"/>
        <v>0</v>
      </c>
      <c r="AP82" s="658">
        <f t="shared" si="28"/>
        <v>0</v>
      </c>
      <c r="AQ82" s="658">
        <f t="shared" si="28"/>
        <v>0</v>
      </c>
      <c r="AR82" s="658">
        <f t="shared" si="28"/>
        <v>0</v>
      </c>
      <c r="AS82" s="658">
        <f t="shared" si="28"/>
        <v>0</v>
      </c>
      <c r="AT82" s="658">
        <f t="shared" si="28"/>
        <v>0</v>
      </c>
      <c r="AU82" s="658">
        <f t="shared" si="28"/>
        <v>0</v>
      </c>
      <c r="AV82" s="658">
        <f t="shared" si="28"/>
        <v>0</v>
      </c>
      <c r="AW82" s="658">
        <f t="shared" si="28"/>
        <v>0</v>
      </c>
      <c r="AX82" s="658">
        <f t="shared" si="28"/>
        <v>0</v>
      </c>
      <c r="AY82" s="658">
        <f t="shared" si="28"/>
        <v>0</v>
      </c>
      <c r="AZ82" s="658">
        <f t="shared" si="28"/>
        <v>0</v>
      </c>
      <c r="BA82" s="658">
        <f t="shared" si="28"/>
        <v>0</v>
      </c>
      <c r="BB82" s="658">
        <f t="shared" si="28"/>
        <v>0</v>
      </c>
      <c r="BC82" s="658">
        <f t="shared" si="28"/>
        <v>0</v>
      </c>
      <c r="BD82" s="658">
        <f t="shared" si="28"/>
        <v>0</v>
      </c>
      <c r="BE82" s="658">
        <f t="shared" si="28"/>
        <v>0</v>
      </c>
      <c r="BF82" s="658">
        <f t="shared" si="28"/>
        <v>0</v>
      </c>
      <c r="BG82" s="658">
        <f t="shared" si="28"/>
        <v>0</v>
      </c>
      <c r="BH82" s="658">
        <f t="shared" si="28"/>
        <v>0</v>
      </c>
      <c r="BI82" s="658">
        <f t="shared" si="28"/>
        <v>0</v>
      </c>
      <c r="BJ82" s="658">
        <f t="shared" si="28"/>
        <v>0</v>
      </c>
      <c r="BK82" s="658">
        <f t="shared" si="28"/>
        <v>0</v>
      </c>
      <c r="BL82" s="658">
        <f t="shared" si="28"/>
        <v>0</v>
      </c>
      <c r="BM82" s="658">
        <f t="shared" si="28"/>
        <v>0</v>
      </c>
      <c r="BN82" s="658">
        <f t="shared" si="28"/>
        <v>0</v>
      </c>
      <c r="BO82" s="658">
        <f t="shared" si="28"/>
        <v>0</v>
      </c>
      <c r="BP82" s="658">
        <f t="shared" si="28"/>
        <v>0</v>
      </c>
      <c r="BQ82" s="658">
        <f t="shared" si="28"/>
        <v>0</v>
      </c>
      <c r="BR82" s="658">
        <f t="shared" si="28"/>
        <v>0</v>
      </c>
      <c r="BS82" s="658">
        <f t="shared" si="28"/>
        <v>0</v>
      </c>
      <c r="BT82" s="658">
        <f t="shared" si="28"/>
        <v>0</v>
      </c>
      <c r="BU82" s="658">
        <f t="shared" si="28"/>
        <v>0</v>
      </c>
      <c r="BV82" s="658">
        <f t="shared" si="28"/>
        <v>0</v>
      </c>
      <c r="BW82" s="658">
        <f t="shared" si="28"/>
        <v>0</v>
      </c>
      <c r="BX82" s="658">
        <f t="shared" si="28"/>
        <v>0</v>
      </c>
      <c r="BY82" s="658">
        <f t="shared" si="28"/>
        <v>0</v>
      </c>
      <c r="BZ82" s="658">
        <f t="shared" si="28"/>
        <v>0</v>
      </c>
      <c r="CA82" s="658">
        <f t="shared" si="28"/>
        <v>0</v>
      </c>
      <c r="CB82" s="658">
        <f t="shared" si="28"/>
        <v>0</v>
      </c>
      <c r="CC82" s="658">
        <f t="shared" si="28"/>
        <v>0</v>
      </c>
      <c r="CD82" s="658">
        <f t="shared" si="28"/>
        <v>0</v>
      </c>
      <c r="CE82" s="658">
        <f t="shared" si="28"/>
        <v>0</v>
      </c>
      <c r="CF82" s="658">
        <f t="shared" si="28"/>
        <v>0</v>
      </c>
      <c r="CG82" s="658">
        <f t="shared" si="28"/>
        <v>0</v>
      </c>
      <c r="CH82" s="658">
        <f t="shared" si="28"/>
        <v>0</v>
      </c>
      <c r="CI82" s="658">
        <f t="shared" si="28"/>
        <v>0</v>
      </c>
      <c r="CJ82" s="658">
        <f t="shared" ref="CJ82:DR82" si="29">SUM(CJ7:CJ30,CJ33:CJ46,CJ50:CJ64,CJ67:CJ80)</f>
        <v>0</v>
      </c>
      <c r="CK82" s="658">
        <f t="shared" si="29"/>
        <v>0</v>
      </c>
      <c r="CL82" s="658">
        <f t="shared" si="29"/>
        <v>0</v>
      </c>
      <c r="CM82" s="658">
        <f t="shared" si="29"/>
        <v>0</v>
      </c>
      <c r="CN82" s="658">
        <f t="shared" si="29"/>
        <v>0</v>
      </c>
      <c r="CO82" s="658">
        <f t="shared" si="29"/>
        <v>0</v>
      </c>
      <c r="CP82" s="658">
        <f t="shared" si="29"/>
        <v>0</v>
      </c>
      <c r="CQ82" s="658">
        <f t="shared" si="29"/>
        <v>0</v>
      </c>
      <c r="CR82" s="658">
        <f t="shared" si="29"/>
        <v>0</v>
      </c>
      <c r="CS82" s="658">
        <f t="shared" si="29"/>
        <v>0</v>
      </c>
      <c r="CT82" s="658">
        <f t="shared" si="29"/>
        <v>0</v>
      </c>
      <c r="CU82" s="658">
        <f t="shared" si="29"/>
        <v>0</v>
      </c>
      <c r="CV82" s="658">
        <f t="shared" si="29"/>
        <v>0</v>
      </c>
      <c r="CW82" s="658">
        <f t="shared" si="29"/>
        <v>0</v>
      </c>
      <c r="CX82" s="658">
        <f t="shared" si="29"/>
        <v>0</v>
      </c>
      <c r="CY82" s="658">
        <f t="shared" si="29"/>
        <v>0</v>
      </c>
      <c r="CZ82" s="658">
        <f t="shared" si="29"/>
        <v>0</v>
      </c>
      <c r="DA82" s="658">
        <f t="shared" si="29"/>
        <v>0</v>
      </c>
      <c r="DB82" s="658">
        <f t="shared" si="29"/>
        <v>0</v>
      </c>
      <c r="DC82" s="658">
        <f t="shared" si="29"/>
        <v>0</v>
      </c>
      <c r="DD82" s="658">
        <f t="shared" si="29"/>
        <v>0</v>
      </c>
      <c r="DE82" s="658">
        <f t="shared" si="29"/>
        <v>0</v>
      </c>
      <c r="DF82" s="658">
        <f t="shared" si="29"/>
        <v>0</v>
      </c>
      <c r="DG82" s="658">
        <f t="shared" si="29"/>
        <v>0</v>
      </c>
      <c r="DH82" s="658">
        <f t="shared" si="29"/>
        <v>0</v>
      </c>
      <c r="DI82" s="658">
        <f t="shared" si="29"/>
        <v>0</v>
      </c>
      <c r="DJ82" s="658">
        <f t="shared" si="29"/>
        <v>0</v>
      </c>
      <c r="DK82" s="658">
        <f t="shared" si="29"/>
        <v>0</v>
      </c>
      <c r="DL82" s="658">
        <f t="shared" si="29"/>
        <v>0</v>
      </c>
      <c r="DM82" s="658">
        <f t="shared" si="29"/>
        <v>0</v>
      </c>
      <c r="DN82" s="658">
        <f t="shared" si="29"/>
        <v>0</v>
      </c>
      <c r="DO82" s="658">
        <f t="shared" si="29"/>
        <v>0</v>
      </c>
      <c r="DP82" s="658">
        <f t="shared" si="29"/>
        <v>0</v>
      </c>
      <c r="DQ82" s="658">
        <f t="shared" si="29"/>
        <v>0</v>
      </c>
      <c r="DR82" s="658">
        <f t="shared" si="29"/>
        <v>0</v>
      </c>
    </row>
    <row r="83" spans="1:122" x14ac:dyDescent="0.3">
      <c r="A83" s="632"/>
      <c r="B83" s="637"/>
      <c r="N83" s="623"/>
      <c r="O83" s="623"/>
      <c r="Q83" s="623"/>
      <c r="R83" s="623"/>
      <c r="S83" s="623"/>
      <c r="T83" s="623"/>
      <c r="U83" s="623"/>
      <c r="V83" s="623"/>
      <c r="W83" s="623"/>
      <c r="X83" s="623"/>
      <c r="Y83" s="623"/>
      <c r="Z83" s="623"/>
      <c r="AA83" s="623"/>
      <c r="AB83" s="623"/>
      <c r="AC83" s="623"/>
      <c r="AD83" s="623"/>
      <c r="AE83" s="623"/>
      <c r="AF83" s="623"/>
      <c r="AG83" s="623"/>
      <c r="AH83" s="623"/>
      <c r="AI83" s="623"/>
      <c r="AJ83" s="623"/>
      <c r="AK83" s="623"/>
      <c r="AL83" s="623"/>
      <c r="AM83" s="623"/>
      <c r="AN83" s="623"/>
      <c r="AO83" s="623"/>
      <c r="AP83" s="623"/>
      <c r="AQ83" s="623"/>
      <c r="AR83" s="623"/>
      <c r="AS83" s="623"/>
      <c r="AT83" s="623"/>
      <c r="AU83" s="623"/>
      <c r="AV83" s="623"/>
    </row>
    <row r="84" spans="1:122" x14ac:dyDescent="0.3">
      <c r="A84" s="572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23"/>
      <c r="AB84" s="623"/>
      <c r="AC84" s="623"/>
      <c r="AD84" s="623"/>
      <c r="AE84" s="623"/>
      <c r="AF84" s="623"/>
      <c r="AG84" s="623"/>
      <c r="AH84" s="623"/>
      <c r="AI84" s="623"/>
      <c r="AJ84" s="623"/>
      <c r="AK84" s="623"/>
      <c r="AL84" s="623"/>
      <c r="AM84" s="623"/>
      <c r="AN84" s="623"/>
      <c r="AO84" s="623"/>
      <c r="AP84" s="623"/>
      <c r="AQ84" s="623"/>
      <c r="AR84" s="623"/>
      <c r="AS84" s="623"/>
      <c r="AT84" s="623"/>
      <c r="AU84" s="623"/>
      <c r="AV84" s="623"/>
    </row>
    <row r="85" spans="1:122" x14ac:dyDescent="0.3">
      <c r="A85" s="572"/>
      <c r="F85" s="739"/>
      <c r="G85" s="740"/>
      <c r="H85" s="740"/>
    </row>
    <row r="86" spans="1:122" x14ac:dyDescent="0.3">
      <c r="A86" s="572"/>
      <c r="F86" s="740"/>
      <c r="H86" s="739"/>
      <c r="J86" s="740"/>
    </row>
    <row r="87" spans="1:122" s="572" customFormat="1" x14ac:dyDescent="0.3">
      <c r="B87" s="568"/>
      <c r="J87" s="741"/>
      <c r="L87" s="568"/>
      <c r="M87" s="568"/>
      <c r="N87" s="568"/>
      <c r="O87" s="568"/>
      <c r="P87" s="568"/>
      <c r="Q87" s="568"/>
      <c r="R87" s="568"/>
      <c r="S87" s="568"/>
      <c r="T87" s="568"/>
      <c r="U87" s="568"/>
      <c r="V87" s="568"/>
      <c r="W87" s="568"/>
      <c r="X87" s="568"/>
      <c r="Y87" s="568"/>
      <c r="Z87" s="568"/>
      <c r="AA87" s="568"/>
      <c r="AB87" s="568"/>
      <c r="AC87" s="568"/>
      <c r="AD87" s="568"/>
      <c r="AE87" s="568"/>
      <c r="AF87" s="568"/>
      <c r="AG87" s="568"/>
      <c r="AH87" s="568"/>
      <c r="AI87" s="568"/>
      <c r="AJ87" s="568"/>
      <c r="AK87" s="568"/>
      <c r="AL87" s="568"/>
      <c r="AM87" s="568"/>
      <c r="AN87" s="568"/>
      <c r="AO87" s="568"/>
      <c r="AP87" s="568"/>
      <c r="AQ87" s="568"/>
      <c r="AR87" s="568"/>
      <c r="AS87" s="568"/>
      <c r="AT87" s="568"/>
    </row>
    <row r="88" spans="1:122" ht="12" customHeight="1" x14ac:dyDescent="0.3">
      <c r="A88" s="572"/>
    </row>
    <row r="89" spans="1:122" ht="24.75" customHeight="1" x14ac:dyDescent="0.3">
      <c r="A89" s="572"/>
      <c r="B89" s="742"/>
      <c r="M89" s="743"/>
    </row>
    <row r="90" spans="1:122" x14ac:dyDescent="0.3">
      <c r="A90" s="744"/>
    </row>
    <row r="91" spans="1:122" x14ac:dyDescent="0.3">
      <c r="A91" s="744"/>
    </row>
    <row r="92" spans="1:122" x14ac:dyDescent="0.3">
      <c r="A92" s="744"/>
    </row>
    <row r="93" spans="1:122" x14ac:dyDescent="0.3">
      <c r="A93" s="744"/>
      <c r="D93" s="741"/>
      <c r="E93" s="739"/>
    </row>
    <row r="94" spans="1:122" x14ac:dyDescent="0.3">
      <c r="D94" s="745"/>
    </row>
    <row r="95" spans="1:122" x14ac:dyDescent="0.3">
      <c r="A95" s="744"/>
    </row>
    <row r="102" spans="4:11" x14ac:dyDescent="0.3">
      <c r="G102" s="740"/>
    </row>
    <row r="103" spans="4:11" x14ac:dyDescent="0.3">
      <c r="G103" s="740"/>
    </row>
    <row r="104" spans="4:11" ht="20.5" x14ac:dyDescent="0.45">
      <c r="D104" s="640"/>
      <c r="G104" s="740"/>
    </row>
    <row r="112" spans="4:11" ht="14" x14ac:dyDescent="0.3">
      <c r="K112" s="746"/>
    </row>
  </sheetData>
  <mergeCells count="9">
    <mergeCell ref="T1:U1"/>
    <mergeCell ref="P1:Q1"/>
    <mergeCell ref="R1:S1"/>
    <mergeCell ref="D1:E1"/>
    <mergeCell ref="F1:G1"/>
    <mergeCell ref="H1:I1"/>
    <mergeCell ref="J1:K1"/>
    <mergeCell ref="L1:M1"/>
    <mergeCell ref="N1:O1"/>
  </mergeCells>
  <phoneticPr fontId="11" type="noConversion"/>
  <printOptions horizontalCentered="1"/>
  <pageMargins left="0.7" right="0.7" top="0.75" bottom="0.75" header="0.3" footer="0.3"/>
  <pageSetup paperSize="3" scale="82" orientation="landscape" r:id="rId1"/>
  <headerFooter>
    <oddFooter>&amp;L&amp;11Resilient Buildings Group&amp;RPage 33</oddFooter>
  </headerFooter>
  <tableParts count="4"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  <pageSetUpPr fitToPage="1"/>
  </sheetPr>
  <dimension ref="A1:L72"/>
  <sheetViews>
    <sheetView topLeftCell="A9" workbookViewId="0">
      <selection activeCell="B42" sqref="B42"/>
    </sheetView>
  </sheetViews>
  <sheetFormatPr defaultColWidth="12.6328125" defaultRowHeight="13.5" x14ac:dyDescent="0.3"/>
  <cols>
    <col min="1" max="1" width="4.7265625" style="142" customWidth="1"/>
    <col min="2" max="2" width="38.81640625" style="146" customWidth="1"/>
    <col min="3" max="3" width="15.6328125" style="144" customWidth="1"/>
    <col min="4" max="4" width="15.81640625" style="145" bestFit="1" customWidth="1"/>
    <col min="5" max="5" width="29.26953125" style="145" customWidth="1"/>
    <col min="6" max="6" width="13.26953125" style="141" bestFit="1" customWidth="1"/>
    <col min="7" max="11" width="12.6328125" style="141" customWidth="1"/>
    <col min="12" max="16384" width="12.6328125" style="141"/>
  </cols>
  <sheetData>
    <row r="1" spans="1:12" s="140" customFormat="1" ht="27" x14ac:dyDescent="0.3">
      <c r="A1" s="166"/>
      <c r="B1" s="172" t="s">
        <v>130</v>
      </c>
      <c r="C1" s="167" t="s">
        <v>129</v>
      </c>
      <c r="D1" s="170" t="s">
        <v>16</v>
      </c>
      <c r="E1" s="170" t="s">
        <v>131</v>
      </c>
      <c r="F1" s="168" t="s">
        <v>132</v>
      </c>
      <c r="G1" s="168" t="s">
        <v>3</v>
      </c>
      <c r="H1" s="169" t="s">
        <v>62</v>
      </c>
      <c r="I1" s="169" t="s">
        <v>23</v>
      </c>
      <c r="J1" s="169" t="s">
        <v>26</v>
      </c>
      <c r="K1" s="168" t="s">
        <v>133</v>
      </c>
      <c r="L1" s="140" t="s">
        <v>157</v>
      </c>
    </row>
    <row r="2" spans="1:12" x14ac:dyDescent="0.3">
      <c r="B2" s="143" t="s">
        <v>126</v>
      </c>
    </row>
    <row r="3" spans="1:12" x14ac:dyDescent="0.3">
      <c r="A3" s="284" t="str">
        <f>'EEM Data Entry'!A85</f>
        <v/>
      </c>
      <c r="B3" s="377" t="str">
        <f>'EEM Data Entry'!B85</f>
        <v/>
      </c>
      <c r="C3" s="309" t="str">
        <f>'EEM Data Entry'!F85</f>
        <v/>
      </c>
      <c r="D3" s="283">
        <f>'EEM Data Entry'!H85</f>
        <v>0</v>
      </c>
      <c r="E3" s="283">
        <f>'EEM Data Entry'!I85</f>
        <v>0</v>
      </c>
      <c r="F3" s="307">
        <f>'EEM Data Entry'!J85</f>
        <v>0</v>
      </c>
      <c r="G3" s="283">
        <f>'EEM Data Entry'!K85</f>
        <v>0</v>
      </c>
      <c r="H3" s="283">
        <f>'EEM Data Entry'!L85</f>
        <v>0</v>
      </c>
      <c r="I3" s="283">
        <f>'EEM Data Entry'!M85</f>
        <v>0</v>
      </c>
      <c r="J3" s="283">
        <f>'EEM Data Entry'!N85</f>
        <v>0</v>
      </c>
      <c r="K3" s="283">
        <f>'EEM Data Entry'!O85</f>
        <v>0</v>
      </c>
      <c r="L3" s="393" t="str">
        <f>'EEM Data Entry'!C85</f>
        <v/>
      </c>
    </row>
    <row r="4" spans="1:12" x14ac:dyDescent="0.3">
      <c r="A4" s="284" t="str">
        <f>'EEM Data Entry'!A86</f>
        <v/>
      </c>
      <c r="B4" s="377" t="str">
        <f>'EEM Data Entry'!B86</f>
        <v/>
      </c>
      <c r="C4" s="309" t="str">
        <f>'EEM Data Entry'!F86</f>
        <v/>
      </c>
      <c r="D4" s="283">
        <f>'EEM Data Entry'!H86</f>
        <v>0</v>
      </c>
      <c r="E4" s="283">
        <f>'EEM Data Entry'!I86</f>
        <v>0</v>
      </c>
      <c r="F4" s="307">
        <f>'EEM Data Entry'!J86</f>
        <v>0</v>
      </c>
      <c r="G4" s="283">
        <f>'EEM Data Entry'!K86</f>
        <v>0</v>
      </c>
      <c r="H4" s="283">
        <f>'EEM Data Entry'!L86</f>
        <v>0</v>
      </c>
      <c r="I4" s="283">
        <f>'EEM Data Entry'!M86</f>
        <v>0</v>
      </c>
      <c r="J4" s="283">
        <f>'EEM Data Entry'!N86</f>
        <v>0</v>
      </c>
      <c r="K4" s="283">
        <f>'EEM Data Entry'!O86</f>
        <v>0</v>
      </c>
      <c r="L4" s="393" t="str">
        <f>'EEM Data Entry'!C86</f>
        <v/>
      </c>
    </row>
    <row r="5" spans="1:12" x14ac:dyDescent="0.3">
      <c r="A5" s="284" t="str">
        <f>'EEM Data Entry'!A87</f>
        <v/>
      </c>
      <c r="B5" s="377" t="str">
        <f>'EEM Data Entry'!B87</f>
        <v/>
      </c>
      <c r="C5" s="309" t="str">
        <f>'EEM Data Entry'!F87</f>
        <v/>
      </c>
      <c r="D5" s="283">
        <f>'EEM Data Entry'!H87</f>
        <v>0</v>
      </c>
      <c r="E5" s="283">
        <f>'EEM Data Entry'!I87</f>
        <v>0</v>
      </c>
      <c r="F5" s="307">
        <f>'EEM Data Entry'!J87</f>
        <v>0</v>
      </c>
      <c r="G5" s="283">
        <f>'EEM Data Entry'!K87</f>
        <v>0</v>
      </c>
      <c r="H5" s="283">
        <f>'EEM Data Entry'!L87</f>
        <v>0</v>
      </c>
      <c r="I5" s="283">
        <f>'EEM Data Entry'!M87</f>
        <v>0</v>
      </c>
      <c r="J5" s="283">
        <f>'EEM Data Entry'!N87</f>
        <v>0</v>
      </c>
      <c r="K5" s="283">
        <f>'EEM Data Entry'!O87</f>
        <v>0</v>
      </c>
      <c r="L5" s="393" t="str">
        <f>'EEM Data Entry'!C87</f>
        <v/>
      </c>
    </row>
    <row r="6" spans="1:12" x14ac:dyDescent="0.3">
      <c r="A6" s="284" t="str">
        <f>'EEM Data Entry'!A88</f>
        <v/>
      </c>
      <c r="B6" s="377" t="str">
        <f>'EEM Data Entry'!B88</f>
        <v/>
      </c>
      <c r="C6" s="309" t="str">
        <f>'EEM Data Entry'!F88</f>
        <v/>
      </c>
      <c r="D6" s="283">
        <f>'EEM Data Entry'!H88</f>
        <v>0</v>
      </c>
      <c r="E6" s="283">
        <f>'EEM Data Entry'!I88</f>
        <v>0</v>
      </c>
      <c r="F6" s="307">
        <f>'EEM Data Entry'!J88</f>
        <v>0</v>
      </c>
      <c r="G6" s="283">
        <f>'EEM Data Entry'!K88</f>
        <v>0</v>
      </c>
      <c r="H6" s="283">
        <f>'EEM Data Entry'!L88</f>
        <v>0</v>
      </c>
      <c r="I6" s="283">
        <f>'EEM Data Entry'!M88</f>
        <v>0</v>
      </c>
      <c r="J6" s="283">
        <f>'EEM Data Entry'!N88</f>
        <v>0</v>
      </c>
      <c r="K6" s="283">
        <f>'EEM Data Entry'!O88</f>
        <v>0</v>
      </c>
      <c r="L6" s="393" t="str">
        <f>'EEM Data Entry'!C88</f>
        <v/>
      </c>
    </row>
    <row r="7" spans="1:12" x14ac:dyDescent="0.3">
      <c r="A7" s="284" t="str">
        <f>'EEM Data Entry'!A89</f>
        <v/>
      </c>
      <c r="B7" s="377" t="str">
        <f>'EEM Data Entry'!B89</f>
        <v/>
      </c>
      <c r="C7" s="309" t="str">
        <f>'EEM Data Entry'!F89</f>
        <v/>
      </c>
      <c r="D7" s="283">
        <f>'EEM Data Entry'!H89</f>
        <v>0</v>
      </c>
      <c r="E7" s="283">
        <f>'EEM Data Entry'!I89</f>
        <v>0</v>
      </c>
      <c r="F7" s="307">
        <f>'EEM Data Entry'!J89</f>
        <v>0</v>
      </c>
      <c r="G7" s="283">
        <f>'EEM Data Entry'!K89</f>
        <v>0</v>
      </c>
      <c r="H7" s="283">
        <f>'EEM Data Entry'!L89</f>
        <v>0</v>
      </c>
      <c r="I7" s="283">
        <f>'EEM Data Entry'!M89</f>
        <v>0</v>
      </c>
      <c r="J7" s="283">
        <f>'EEM Data Entry'!N89</f>
        <v>0</v>
      </c>
      <c r="K7" s="283">
        <f>'EEM Data Entry'!O89</f>
        <v>0</v>
      </c>
      <c r="L7" s="393" t="str">
        <f>'EEM Data Entry'!C89</f>
        <v/>
      </c>
    </row>
    <row r="8" spans="1:12" x14ac:dyDescent="0.3">
      <c r="A8" s="284" t="str">
        <f>'EEM Data Entry'!A90</f>
        <v/>
      </c>
      <c r="B8" s="377" t="str">
        <f>'EEM Data Entry'!B90</f>
        <v/>
      </c>
      <c r="C8" s="309" t="str">
        <f>'EEM Data Entry'!F90</f>
        <v/>
      </c>
      <c r="D8" s="283">
        <f>'EEM Data Entry'!H90</f>
        <v>0</v>
      </c>
      <c r="E8" s="283">
        <f>'EEM Data Entry'!I90</f>
        <v>0</v>
      </c>
      <c r="F8" s="307">
        <f>'EEM Data Entry'!J90</f>
        <v>0</v>
      </c>
      <c r="G8" s="283">
        <f>'EEM Data Entry'!K90</f>
        <v>0</v>
      </c>
      <c r="H8" s="283">
        <f>'EEM Data Entry'!L90</f>
        <v>0</v>
      </c>
      <c r="I8" s="283">
        <f>'EEM Data Entry'!M90</f>
        <v>0</v>
      </c>
      <c r="J8" s="283">
        <f>'EEM Data Entry'!N90</f>
        <v>0</v>
      </c>
      <c r="K8" s="283">
        <f>'EEM Data Entry'!O90</f>
        <v>0</v>
      </c>
      <c r="L8" s="393" t="str">
        <f>'EEM Data Entry'!C90</f>
        <v/>
      </c>
    </row>
    <row r="9" spans="1:12" x14ac:dyDescent="0.3">
      <c r="A9" s="284" t="str">
        <f>'EEM Data Entry'!A91</f>
        <v/>
      </c>
      <c r="B9" s="377" t="str">
        <f>'EEM Data Entry'!B91</f>
        <v/>
      </c>
      <c r="C9" s="309" t="str">
        <f>'EEM Data Entry'!F91</f>
        <v/>
      </c>
      <c r="D9" s="283">
        <f>'EEM Data Entry'!H91</f>
        <v>0</v>
      </c>
      <c r="E9" s="283">
        <f>'EEM Data Entry'!I91</f>
        <v>0</v>
      </c>
      <c r="F9" s="307">
        <f>'EEM Data Entry'!J91</f>
        <v>0</v>
      </c>
      <c r="G9" s="283">
        <f>'EEM Data Entry'!K91</f>
        <v>0</v>
      </c>
      <c r="H9" s="283">
        <f>'EEM Data Entry'!L91</f>
        <v>0</v>
      </c>
      <c r="I9" s="283">
        <f>'EEM Data Entry'!M91</f>
        <v>0</v>
      </c>
      <c r="J9" s="283">
        <f>'EEM Data Entry'!N91</f>
        <v>0</v>
      </c>
      <c r="K9" s="283">
        <f>'EEM Data Entry'!O91</f>
        <v>0</v>
      </c>
      <c r="L9" s="393" t="str">
        <f>'EEM Data Entry'!C91</f>
        <v/>
      </c>
    </row>
    <row r="10" spans="1:12" x14ac:dyDescent="0.3">
      <c r="A10" s="284" t="str">
        <f>'EEM Data Entry'!A92</f>
        <v/>
      </c>
      <c r="B10" s="377" t="str">
        <f>'EEM Data Entry'!B92</f>
        <v/>
      </c>
      <c r="C10" s="309" t="str">
        <f>'EEM Data Entry'!F92</f>
        <v/>
      </c>
      <c r="D10" s="283">
        <f>'EEM Data Entry'!H92</f>
        <v>0</v>
      </c>
      <c r="E10" s="283">
        <f>'EEM Data Entry'!I92</f>
        <v>0</v>
      </c>
      <c r="F10" s="307">
        <f>'EEM Data Entry'!J92</f>
        <v>0</v>
      </c>
      <c r="G10" s="283">
        <f>'EEM Data Entry'!K92</f>
        <v>0</v>
      </c>
      <c r="H10" s="283">
        <f>'EEM Data Entry'!L92</f>
        <v>0</v>
      </c>
      <c r="I10" s="283">
        <f>'EEM Data Entry'!M92</f>
        <v>0</v>
      </c>
      <c r="J10" s="283">
        <f>'EEM Data Entry'!N92</f>
        <v>0</v>
      </c>
      <c r="K10" s="283">
        <f>'EEM Data Entry'!O92</f>
        <v>0</v>
      </c>
      <c r="L10" s="393" t="str">
        <f>'EEM Data Entry'!C92</f>
        <v/>
      </c>
    </row>
    <row r="11" spans="1:12" x14ac:dyDescent="0.3">
      <c r="A11" s="284" t="str">
        <f>'EEM Data Entry'!A93</f>
        <v/>
      </c>
      <c r="B11" s="377" t="str">
        <f>'EEM Data Entry'!B93</f>
        <v/>
      </c>
      <c r="C11" s="309" t="str">
        <f>'EEM Data Entry'!F93</f>
        <v/>
      </c>
      <c r="D11" s="283">
        <f>'EEM Data Entry'!H93</f>
        <v>0</v>
      </c>
      <c r="E11" s="283">
        <f>'EEM Data Entry'!I93</f>
        <v>0</v>
      </c>
      <c r="F11" s="307">
        <f>'EEM Data Entry'!J93</f>
        <v>0</v>
      </c>
      <c r="G11" s="283">
        <f>'EEM Data Entry'!K93</f>
        <v>0</v>
      </c>
      <c r="H11" s="283">
        <f>'EEM Data Entry'!L93</f>
        <v>0</v>
      </c>
      <c r="I11" s="283">
        <f>'EEM Data Entry'!M93</f>
        <v>0</v>
      </c>
      <c r="J11" s="283">
        <f>'EEM Data Entry'!N93</f>
        <v>0</v>
      </c>
      <c r="K11" s="283">
        <f>'EEM Data Entry'!O93</f>
        <v>0</v>
      </c>
      <c r="L11" s="393" t="str">
        <f>'EEM Data Entry'!C93</f>
        <v/>
      </c>
    </row>
    <row r="12" spans="1:12" x14ac:dyDescent="0.3">
      <c r="A12" s="284" t="str">
        <f>'EEM Data Entry'!A94</f>
        <v/>
      </c>
      <c r="B12" s="377" t="str">
        <f>'EEM Data Entry'!B94</f>
        <v/>
      </c>
      <c r="C12" s="309" t="str">
        <f>'EEM Data Entry'!F94</f>
        <v/>
      </c>
      <c r="D12" s="283">
        <f>'EEM Data Entry'!H94</f>
        <v>0</v>
      </c>
      <c r="E12" s="283">
        <f>'EEM Data Entry'!I94</f>
        <v>0</v>
      </c>
      <c r="F12" s="307">
        <f>'EEM Data Entry'!J94</f>
        <v>0</v>
      </c>
      <c r="G12" s="283">
        <f>'EEM Data Entry'!K94</f>
        <v>0</v>
      </c>
      <c r="H12" s="283">
        <f>'EEM Data Entry'!L94</f>
        <v>0</v>
      </c>
      <c r="I12" s="283">
        <f>'EEM Data Entry'!M94</f>
        <v>0</v>
      </c>
      <c r="J12" s="283">
        <f>'EEM Data Entry'!N94</f>
        <v>0</v>
      </c>
      <c r="K12" s="283">
        <f>'EEM Data Entry'!O94</f>
        <v>0</v>
      </c>
      <c r="L12" s="393" t="str">
        <f>'EEM Data Entry'!C94</f>
        <v/>
      </c>
    </row>
    <row r="13" spans="1:12" x14ac:dyDescent="0.3">
      <c r="A13" s="284" t="str">
        <f>'EEM Data Entry'!A95</f>
        <v/>
      </c>
      <c r="B13" s="377" t="str">
        <f>'EEM Data Entry'!B95</f>
        <v/>
      </c>
      <c r="C13" s="309" t="str">
        <f>'EEM Data Entry'!F95</f>
        <v/>
      </c>
      <c r="D13" s="283">
        <f>'EEM Data Entry'!H95</f>
        <v>0</v>
      </c>
      <c r="E13" s="283">
        <f>'EEM Data Entry'!I95</f>
        <v>0</v>
      </c>
      <c r="F13" s="307">
        <f>'EEM Data Entry'!J95</f>
        <v>0</v>
      </c>
      <c r="G13" s="283">
        <f>'EEM Data Entry'!K95</f>
        <v>0</v>
      </c>
      <c r="H13" s="283">
        <f>'EEM Data Entry'!L95</f>
        <v>0</v>
      </c>
      <c r="I13" s="283">
        <f>'EEM Data Entry'!M95</f>
        <v>0</v>
      </c>
      <c r="J13" s="283">
        <f>'EEM Data Entry'!N95</f>
        <v>0</v>
      </c>
      <c r="K13" s="283">
        <f>'EEM Data Entry'!O95</f>
        <v>0</v>
      </c>
      <c r="L13" s="393" t="str">
        <f>'EEM Data Entry'!C95</f>
        <v/>
      </c>
    </row>
    <row r="14" spans="1:12" x14ac:dyDescent="0.3">
      <c r="A14" s="284" t="str">
        <f>'EEM Data Entry'!A96</f>
        <v/>
      </c>
      <c r="B14" s="377" t="str">
        <f>'EEM Data Entry'!B96</f>
        <v/>
      </c>
      <c r="C14" s="309" t="str">
        <f>'EEM Data Entry'!F96</f>
        <v/>
      </c>
      <c r="D14" s="283">
        <f>'EEM Data Entry'!H96</f>
        <v>0</v>
      </c>
      <c r="E14" s="283">
        <f>'EEM Data Entry'!I96</f>
        <v>0</v>
      </c>
      <c r="F14" s="307">
        <f>'EEM Data Entry'!J96</f>
        <v>0</v>
      </c>
      <c r="G14" s="283">
        <f>'EEM Data Entry'!K96</f>
        <v>0</v>
      </c>
      <c r="H14" s="283">
        <f>'EEM Data Entry'!L96</f>
        <v>0</v>
      </c>
      <c r="I14" s="283">
        <f>'EEM Data Entry'!M96</f>
        <v>0</v>
      </c>
      <c r="J14" s="283">
        <f>'EEM Data Entry'!N96</f>
        <v>0</v>
      </c>
      <c r="K14" s="283">
        <f>'EEM Data Entry'!O96</f>
        <v>0</v>
      </c>
      <c r="L14" s="393" t="str">
        <f>'EEM Data Entry'!C96</f>
        <v/>
      </c>
    </row>
    <row r="15" spans="1:12" x14ac:dyDescent="0.3">
      <c r="A15" s="284" t="str">
        <f>'EEM Data Entry'!A97</f>
        <v/>
      </c>
      <c r="B15" s="377" t="str">
        <f>'EEM Data Entry'!B97</f>
        <v/>
      </c>
      <c r="C15" s="309" t="str">
        <f>'EEM Data Entry'!F97</f>
        <v/>
      </c>
      <c r="D15" s="283">
        <f>'EEM Data Entry'!H97</f>
        <v>0</v>
      </c>
      <c r="E15" s="283">
        <f>'EEM Data Entry'!I97</f>
        <v>0</v>
      </c>
      <c r="F15" s="307">
        <f>'EEM Data Entry'!J97</f>
        <v>0</v>
      </c>
      <c r="G15" s="283">
        <f>'EEM Data Entry'!K97</f>
        <v>0</v>
      </c>
      <c r="H15" s="283">
        <f>'EEM Data Entry'!L97</f>
        <v>0</v>
      </c>
      <c r="I15" s="283">
        <f>'EEM Data Entry'!M97</f>
        <v>0</v>
      </c>
      <c r="J15" s="283">
        <f>'EEM Data Entry'!N97</f>
        <v>0</v>
      </c>
      <c r="K15" s="283">
        <f>'EEM Data Entry'!O97</f>
        <v>0</v>
      </c>
      <c r="L15" s="393" t="str">
        <f>'EEM Data Entry'!C97</f>
        <v/>
      </c>
    </row>
    <row r="16" spans="1:12" x14ac:dyDescent="0.3">
      <c r="A16" s="284" t="str">
        <f>'EEM Data Entry'!A98</f>
        <v/>
      </c>
      <c r="B16" s="377" t="str">
        <f>'EEM Data Entry'!B98</f>
        <v/>
      </c>
      <c r="C16" s="309" t="str">
        <f>'EEM Data Entry'!F98</f>
        <v/>
      </c>
      <c r="D16" s="283">
        <f>'EEM Data Entry'!H98</f>
        <v>0</v>
      </c>
      <c r="E16" s="283">
        <f>'EEM Data Entry'!I98</f>
        <v>0</v>
      </c>
      <c r="F16" s="307">
        <f>'EEM Data Entry'!J98</f>
        <v>0</v>
      </c>
      <c r="G16" s="283">
        <f>'EEM Data Entry'!K98</f>
        <v>0</v>
      </c>
      <c r="H16" s="283">
        <f>'EEM Data Entry'!L98</f>
        <v>0</v>
      </c>
      <c r="I16" s="283">
        <f>'EEM Data Entry'!M98</f>
        <v>0</v>
      </c>
      <c r="J16" s="283">
        <f>'EEM Data Entry'!N98</f>
        <v>0</v>
      </c>
      <c r="K16" s="283">
        <f>'EEM Data Entry'!O98</f>
        <v>0</v>
      </c>
      <c r="L16" s="393" t="str">
        <f>'EEM Data Entry'!C98</f>
        <v/>
      </c>
    </row>
    <row r="17" spans="1:12" x14ac:dyDescent="0.3">
      <c r="A17" s="284" t="str">
        <f>'EEM Data Entry'!A99</f>
        <v/>
      </c>
      <c r="B17" s="377" t="str">
        <f>'EEM Data Entry'!B99</f>
        <v/>
      </c>
      <c r="C17" s="309" t="str">
        <f>'EEM Data Entry'!F99</f>
        <v/>
      </c>
      <c r="D17" s="283">
        <f>'EEM Data Entry'!H99</f>
        <v>0</v>
      </c>
      <c r="E17" s="283">
        <f>'EEM Data Entry'!I99</f>
        <v>0</v>
      </c>
      <c r="F17" s="307">
        <f>'EEM Data Entry'!J99</f>
        <v>0</v>
      </c>
      <c r="G17" s="283">
        <f>'EEM Data Entry'!K99</f>
        <v>0</v>
      </c>
      <c r="H17" s="283">
        <f>'EEM Data Entry'!L99</f>
        <v>0</v>
      </c>
      <c r="I17" s="283">
        <f>'EEM Data Entry'!M99</f>
        <v>0</v>
      </c>
      <c r="J17" s="283">
        <f>'EEM Data Entry'!N99</f>
        <v>0</v>
      </c>
      <c r="K17" s="283">
        <f>'EEM Data Entry'!O99</f>
        <v>0</v>
      </c>
      <c r="L17" s="393" t="str">
        <f>'EEM Data Entry'!C99</f>
        <v/>
      </c>
    </row>
    <row r="18" spans="1:12" x14ac:dyDescent="0.3">
      <c r="A18" s="284" t="str">
        <f>'EEM Data Entry'!A100</f>
        <v/>
      </c>
      <c r="B18" s="377" t="str">
        <f>'EEM Data Entry'!B100</f>
        <v/>
      </c>
      <c r="C18" s="309" t="str">
        <f>'EEM Data Entry'!F100</f>
        <v/>
      </c>
      <c r="D18" s="283">
        <f>'EEM Data Entry'!H100</f>
        <v>0</v>
      </c>
      <c r="E18" s="283">
        <f>'EEM Data Entry'!I100</f>
        <v>0</v>
      </c>
      <c r="F18" s="307">
        <f>'EEM Data Entry'!J100</f>
        <v>0</v>
      </c>
      <c r="G18" s="283">
        <f>'EEM Data Entry'!K100</f>
        <v>0</v>
      </c>
      <c r="H18" s="283">
        <f>'EEM Data Entry'!L100</f>
        <v>0</v>
      </c>
      <c r="I18" s="283">
        <f>'EEM Data Entry'!M100</f>
        <v>0</v>
      </c>
      <c r="J18" s="283">
        <f>'EEM Data Entry'!N100</f>
        <v>0</v>
      </c>
      <c r="K18" s="283">
        <f>'EEM Data Entry'!O100</f>
        <v>0</v>
      </c>
      <c r="L18" s="393" t="str">
        <f>'EEM Data Entry'!C100</f>
        <v/>
      </c>
    </row>
    <row r="19" spans="1:12" x14ac:dyDescent="0.3">
      <c r="A19" s="284" t="str">
        <f>'EEM Data Entry'!A101</f>
        <v/>
      </c>
      <c r="B19" s="377" t="str">
        <f>'EEM Data Entry'!B101</f>
        <v/>
      </c>
      <c r="C19" s="309" t="str">
        <f>'EEM Data Entry'!F101</f>
        <v/>
      </c>
      <c r="D19" s="283">
        <f>'EEM Data Entry'!H101</f>
        <v>0</v>
      </c>
      <c r="E19" s="283">
        <f>'EEM Data Entry'!I101</f>
        <v>0</v>
      </c>
      <c r="F19" s="307">
        <f>'EEM Data Entry'!J101</f>
        <v>0</v>
      </c>
      <c r="G19" s="283">
        <f>'EEM Data Entry'!K101</f>
        <v>0</v>
      </c>
      <c r="H19" s="283">
        <f>'EEM Data Entry'!L101</f>
        <v>0</v>
      </c>
      <c r="I19" s="283">
        <f>'EEM Data Entry'!M101</f>
        <v>0</v>
      </c>
      <c r="J19" s="283">
        <f>'EEM Data Entry'!N101</f>
        <v>0</v>
      </c>
      <c r="K19" s="283">
        <f>'EEM Data Entry'!O101</f>
        <v>0</v>
      </c>
      <c r="L19" s="393" t="str">
        <f>'EEM Data Entry'!C101</f>
        <v/>
      </c>
    </row>
    <row r="20" spans="1:12" x14ac:dyDescent="0.3">
      <c r="A20" s="284" t="str">
        <f>'EEM Data Entry'!A102</f>
        <v/>
      </c>
      <c r="B20" s="377" t="str">
        <f>'EEM Data Entry'!B102</f>
        <v/>
      </c>
      <c r="C20" s="309" t="str">
        <f>'EEM Data Entry'!F102</f>
        <v/>
      </c>
      <c r="D20" s="283">
        <f>'EEM Data Entry'!H102</f>
        <v>0</v>
      </c>
      <c r="E20" s="283">
        <f>'EEM Data Entry'!I102</f>
        <v>0</v>
      </c>
      <c r="F20" s="307">
        <f>'EEM Data Entry'!J102</f>
        <v>0</v>
      </c>
      <c r="G20" s="283">
        <f>'EEM Data Entry'!K102</f>
        <v>0</v>
      </c>
      <c r="H20" s="283">
        <f>'EEM Data Entry'!L102</f>
        <v>0</v>
      </c>
      <c r="I20" s="283">
        <f>'EEM Data Entry'!M102</f>
        <v>0</v>
      </c>
      <c r="J20" s="283">
        <f>'EEM Data Entry'!N102</f>
        <v>0</v>
      </c>
      <c r="K20" s="283">
        <f>'EEM Data Entry'!O102</f>
        <v>0</v>
      </c>
      <c r="L20" s="393" t="str">
        <f>'EEM Data Entry'!C102</f>
        <v/>
      </c>
    </row>
    <row r="21" spans="1:12" x14ac:dyDescent="0.3">
      <c r="A21" s="284" t="str">
        <f>'EEM Data Entry'!A103</f>
        <v/>
      </c>
      <c r="B21" s="377" t="str">
        <f>'EEM Data Entry'!B103</f>
        <v/>
      </c>
      <c r="C21" s="309" t="str">
        <f>'EEM Data Entry'!F103</f>
        <v/>
      </c>
      <c r="D21" s="283">
        <f>'EEM Data Entry'!H103</f>
        <v>0</v>
      </c>
      <c r="E21" s="283">
        <f>'EEM Data Entry'!I103</f>
        <v>0</v>
      </c>
      <c r="F21" s="307">
        <f>'EEM Data Entry'!J103</f>
        <v>0</v>
      </c>
      <c r="G21" s="283">
        <f>'EEM Data Entry'!K103</f>
        <v>0</v>
      </c>
      <c r="H21" s="283">
        <f>'EEM Data Entry'!L103</f>
        <v>0</v>
      </c>
      <c r="I21" s="283">
        <f>'EEM Data Entry'!M103</f>
        <v>0</v>
      </c>
      <c r="J21" s="283">
        <f>'EEM Data Entry'!N103</f>
        <v>0</v>
      </c>
      <c r="K21" s="283">
        <f>'EEM Data Entry'!O103</f>
        <v>0</v>
      </c>
      <c r="L21" s="393" t="str">
        <f>'EEM Data Entry'!C103</f>
        <v/>
      </c>
    </row>
    <row r="22" spans="1:12" x14ac:dyDescent="0.3">
      <c r="A22" s="284" t="str">
        <f>'EEM Data Entry'!A104</f>
        <v/>
      </c>
      <c r="B22" s="377" t="str">
        <f>'EEM Data Entry'!B104</f>
        <v/>
      </c>
      <c r="C22" s="309" t="str">
        <f>'EEM Data Entry'!F104</f>
        <v/>
      </c>
      <c r="D22" s="283">
        <f>'EEM Data Entry'!H104</f>
        <v>0</v>
      </c>
      <c r="E22" s="283">
        <f>'EEM Data Entry'!I104</f>
        <v>0</v>
      </c>
      <c r="F22" s="307">
        <f>'EEM Data Entry'!J104</f>
        <v>0</v>
      </c>
      <c r="G22" s="283">
        <f>'EEM Data Entry'!K104</f>
        <v>0</v>
      </c>
      <c r="H22" s="283">
        <f>'EEM Data Entry'!L104</f>
        <v>0</v>
      </c>
      <c r="I22" s="283">
        <f>'EEM Data Entry'!M104</f>
        <v>0</v>
      </c>
      <c r="J22" s="283">
        <f>'EEM Data Entry'!N104</f>
        <v>0</v>
      </c>
      <c r="K22" s="283">
        <f>'EEM Data Entry'!O104</f>
        <v>0</v>
      </c>
      <c r="L22" s="393" t="str">
        <f>'EEM Data Entry'!C104</f>
        <v/>
      </c>
    </row>
    <row r="23" spans="1:12" x14ac:dyDescent="0.3">
      <c r="A23" s="284" t="str">
        <f>'EEM Data Entry'!A105</f>
        <v/>
      </c>
      <c r="B23" s="377" t="str">
        <f>'EEM Data Entry'!B105</f>
        <v/>
      </c>
      <c r="C23" s="309" t="str">
        <f>'EEM Data Entry'!F105</f>
        <v/>
      </c>
      <c r="D23" s="283">
        <f>'EEM Data Entry'!H105</f>
        <v>0</v>
      </c>
      <c r="E23" s="283">
        <f>'EEM Data Entry'!I105</f>
        <v>0</v>
      </c>
      <c r="F23" s="307">
        <f>'EEM Data Entry'!J105</f>
        <v>0</v>
      </c>
      <c r="G23" s="283">
        <f>'EEM Data Entry'!K105</f>
        <v>0</v>
      </c>
      <c r="H23" s="283">
        <f>'EEM Data Entry'!L105</f>
        <v>0</v>
      </c>
      <c r="I23" s="283">
        <f>'EEM Data Entry'!M105</f>
        <v>0</v>
      </c>
      <c r="J23" s="283">
        <f>'EEM Data Entry'!N105</f>
        <v>0</v>
      </c>
      <c r="K23" s="283">
        <f>'EEM Data Entry'!O105</f>
        <v>0</v>
      </c>
      <c r="L23" s="393" t="str">
        <f>'EEM Data Entry'!C105</f>
        <v/>
      </c>
    </row>
    <row r="24" spans="1:12" x14ac:dyDescent="0.3">
      <c r="A24" s="284" t="str">
        <f>'EEM Data Entry'!A106</f>
        <v/>
      </c>
      <c r="B24" s="377" t="str">
        <f>'EEM Data Entry'!B106</f>
        <v/>
      </c>
      <c r="C24" s="309" t="str">
        <f>'EEM Data Entry'!F106</f>
        <v/>
      </c>
      <c r="D24" s="283">
        <f>'EEM Data Entry'!H106</f>
        <v>0</v>
      </c>
      <c r="E24" s="283">
        <f>'EEM Data Entry'!I106</f>
        <v>0</v>
      </c>
      <c r="F24" s="307">
        <f>'EEM Data Entry'!J106</f>
        <v>0</v>
      </c>
      <c r="G24" s="283">
        <f>'EEM Data Entry'!K106</f>
        <v>0</v>
      </c>
      <c r="H24" s="283">
        <f>'EEM Data Entry'!L106</f>
        <v>0</v>
      </c>
      <c r="I24" s="283">
        <f>'EEM Data Entry'!M106</f>
        <v>0</v>
      </c>
      <c r="J24" s="283">
        <f>'EEM Data Entry'!N106</f>
        <v>0</v>
      </c>
      <c r="K24" s="283">
        <f>'EEM Data Entry'!O106</f>
        <v>0</v>
      </c>
      <c r="L24" s="393" t="str">
        <f>'EEM Data Entry'!C106</f>
        <v/>
      </c>
    </row>
    <row r="25" spans="1:12" x14ac:dyDescent="0.3">
      <c r="A25" s="284" t="str">
        <f>'EEM Data Entry'!A107</f>
        <v/>
      </c>
      <c r="B25" s="377" t="str">
        <f>'EEM Data Entry'!B107</f>
        <v/>
      </c>
      <c r="C25" s="309" t="str">
        <f>'EEM Data Entry'!F107</f>
        <v/>
      </c>
      <c r="D25" s="283">
        <f>'EEM Data Entry'!H107</f>
        <v>0</v>
      </c>
      <c r="E25" s="283">
        <f>'EEM Data Entry'!I107</f>
        <v>0</v>
      </c>
      <c r="F25" s="307">
        <f>'EEM Data Entry'!J107</f>
        <v>0</v>
      </c>
      <c r="G25" s="283">
        <f>'EEM Data Entry'!K107</f>
        <v>0</v>
      </c>
      <c r="H25" s="283">
        <f>'EEM Data Entry'!L107</f>
        <v>0</v>
      </c>
      <c r="I25" s="283">
        <f>'EEM Data Entry'!M107</f>
        <v>0</v>
      </c>
      <c r="J25" s="283">
        <f>'EEM Data Entry'!N107</f>
        <v>0</v>
      </c>
      <c r="K25" s="283">
        <f>'EEM Data Entry'!O107</f>
        <v>0</v>
      </c>
      <c r="L25" s="393" t="str">
        <f>'EEM Data Entry'!C107</f>
        <v/>
      </c>
    </row>
    <row r="26" spans="1:12" x14ac:dyDescent="0.3">
      <c r="A26" s="284" t="str">
        <f>'EEM Data Entry'!A108</f>
        <v/>
      </c>
      <c r="B26" s="377" t="str">
        <f>'EEM Data Entry'!B108</f>
        <v/>
      </c>
      <c r="C26" s="309" t="str">
        <f>'EEM Data Entry'!F108</f>
        <v/>
      </c>
      <c r="D26" s="283">
        <f>'EEM Data Entry'!H108</f>
        <v>0</v>
      </c>
      <c r="E26" s="283">
        <f>'EEM Data Entry'!I108</f>
        <v>0</v>
      </c>
      <c r="F26" s="307">
        <f>'EEM Data Entry'!J108</f>
        <v>0</v>
      </c>
      <c r="G26" s="283">
        <f>'EEM Data Entry'!K108</f>
        <v>0</v>
      </c>
      <c r="H26" s="283">
        <f>'EEM Data Entry'!L108</f>
        <v>0</v>
      </c>
      <c r="I26" s="283">
        <f>'EEM Data Entry'!M108</f>
        <v>0</v>
      </c>
      <c r="J26" s="283">
        <f>'EEM Data Entry'!N108</f>
        <v>0</v>
      </c>
      <c r="K26" s="283">
        <f>'EEM Data Entry'!O108</f>
        <v>0</v>
      </c>
      <c r="L26" s="393" t="str">
        <f>'EEM Data Entry'!C108</f>
        <v/>
      </c>
    </row>
    <row r="27" spans="1:12" x14ac:dyDescent="0.3">
      <c r="B27" s="143" t="s">
        <v>127</v>
      </c>
      <c r="C27" s="285"/>
      <c r="F27" s="140"/>
      <c r="L27" s="395"/>
    </row>
    <row r="28" spans="1:12" x14ac:dyDescent="0.3">
      <c r="A28" s="173" t="str">
        <f>'EEM Data Entry'!A110</f>
        <v/>
      </c>
      <c r="B28" s="174" t="str">
        <f>'EEM Data Entry'!B110</f>
        <v/>
      </c>
      <c r="C28" s="286" t="str">
        <f>'EEM Data Entry'!F110</f>
        <v/>
      </c>
      <c r="D28" s="176">
        <f>'EEM Data Entry'!H110</f>
        <v>0</v>
      </c>
      <c r="E28" s="176">
        <f>'EEM Data Entry'!I110</f>
        <v>0</v>
      </c>
      <c r="F28" s="176">
        <f>'EEM Data Entry'!J110</f>
        <v>0</v>
      </c>
      <c r="G28" s="176">
        <f>'EEM Data Entry'!K110</f>
        <v>0</v>
      </c>
      <c r="H28" s="175">
        <f>'EEM Data Entry'!L110</f>
        <v>0</v>
      </c>
      <c r="I28" s="175">
        <f>'EEM Data Entry'!M110</f>
        <v>0</v>
      </c>
      <c r="J28" s="175">
        <f>'EEM Data Entry'!N110</f>
        <v>0</v>
      </c>
      <c r="K28" s="175">
        <f>'EEM Data Entry'!O110</f>
        <v>0</v>
      </c>
      <c r="L28" s="393" t="str">
        <f>'EEM Data Entry'!C110</f>
        <v/>
      </c>
    </row>
    <row r="29" spans="1:12" x14ac:dyDescent="0.3">
      <c r="A29" s="173" t="str">
        <f>'EEM Data Entry'!A111</f>
        <v/>
      </c>
      <c r="B29" s="174" t="str">
        <f>'EEM Data Entry'!B111</f>
        <v/>
      </c>
      <c r="C29" s="286" t="str">
        <f>'EEM Data Entry'!F111</f>
        <v/>
      </c>
      <c r="D29" s="176">
        <f>'EEM Data Entry'!H111</f>
        <v>0</v>
      </c>
      <c r="E29" s="176">
        <f>'EEM Data Entry'!I111</f>
        <v>0</v>
      </c>
      <c r="F29" s="176">
        <f>'EEM Data Entry'!J111</f>
        <v>0</v>
      </c>
      <c r="G29" s="176">
        <f>'EEM Data Entry'!K111</f>
        <v>0</v>
      </c>
      <c r="H29" s="175">
        <f>'EEM Data Entry'!L111</f>
        <v>0</v>
      </c>
      <c r="I29" s="175">
        <f>'EEM Data Entry'!M111</f>
        <v>0</v>
      </c>
      <c r="J29" s="175">
        <f>'EEM Data Entry'!N111</f>
        <v>0</v>
      </c>
      <c r="K29" s="175">
        <f>'EEM Data Entry'!O111</f>
        <v>0</v>
      </c>
      <c r="L29" s="393" t="str">
        <f>'EEM Data Entry'!C111</f>
        <v/>
      </c>
    </row>
    <row r="30" spans="1:12" x14ac:dyDescent="0.3">
      <c r="A30" s="173" t="str">
        <f>'EEM Data Entry'!A112</f>
        <v/>
      </c>
      <c r="B30" s="174" t="str">
        <f>'EEM Data Entry'!B112</f>
        <v/>
      </c>
      <c r="C30" s="286" t="str">
        <f>'EEM Data Entry'!F112</f>
        <v/>
      </c>
      <c r="D30" s="176">
        <f>'EEM Data Entry'!H112</f>
        <v>0</v>
      </c>
      <c r="E30" s="176">
        <f>'EEM Data Entry'!I112</f>
        <v>0</v>
      </c>
      <c r="F30" s="176">
        <f>'EEM Data Entry'!J112</f>
        <v>0</v>
      </c>
      <c r="G30" s="176">
        <f>'EEM Data Entry'!K112</f>
        <v>0</v>
      </c>
      <c r="H30" s="175">
        <f>'EEM Data Entry'!L112</f>
        <v>0</v>
      </c>
      <c r="I30" s="175">
        <f>'EEM Data Entry'!M112</f>
        <v>0</v>
      </c>
      <c r="J30" s="175">
        <f>'EEM Data Entry'!N112</f>
        <v>0</v>
      </c>
      <c r="K30" s="175">
        <f>'EEM Data Entry'!O112</f>
        <v>0</v>
      </c>
      <c r="L30" s="393" t="str">
        <f>'EEM Data Entry'!C112</f>
        <v/>
      </c>
    </row>
    <row r="31" spans="1:12" x14ac:dyDescent="0.3">
      <c r="A31" s="173" t="str">
        <f>'EEM Data Entry'!A113</f>
        <v/>
      </c>
      <c r="B31" s="174" t="str">
        <f>'EEM Data Entry'!B113</f>
        <v/>
      </c>
      <c r="C31" s="286" t="str">
        <f>'EEM Data Entry'!F113</f>
        <v/>
      </c>
      <c r="D31" s="176">
        <f>'EEM Data Entry'!H113</f>
        <v>0</v>
      </c>
      <c r="E31" s="176">
        <f>'EEM Data Entry'!I113</f>
        <v>0</v>
      </c>
      <c r="F31" s="176">
        <f>'EEM Data Entry'!J113</f>
        <v>0</v>
      </c>
      <c r="G31" s="176">
        <f>'EEM Data Entry'!K113</f>
        <v>0</v>
      </c>
      <c r="H31" s="175">
        <f>'EEM Data Entry'!L113</f>
        <v>0</v>
      </c>
      <c r="I31" s="175">
        <f>'EEM Data Entry'!M113</f>
        <v>0</v>
      </c>
      <c r="J31" s="175">
        <f>'EEM Data Entry'!N113</f>
        <v>0</v>
      </c>
      <c r="K31" s="175">
        <f>'EEM Data Entry'!O113</f>
        <v>0</v>
      </c>
      <c r="L31" s="393" t="str">
        <f>'EEM Data Entry'!C113</f>
        <v/>
      </c>
    </row>
    <row r="32" spans="1:12" x14ac:dyDescent="0.3">
      <c r="A32" s="173" t="str">
        <f>'EEM Data Entry'!A114</f>
        <v/>
      </c>
      <c r="B32" s="174" t="str">
        <f>'EEM Data Entry'!B114</f>
        <v/>
      </c>
      <c r="C32" s="286" t="str">
        <f>'EEM Data Entry'!F114</f>
        <v/>
      </c>
      <c r="D32" s="176">
        <f>'EEM Data Entry'!H114</f>
        <v>0</v>
      </c>
      <c r="E32" s="176">
        <f>'EEM Data Entry'!I114</f>
        <v>0</v>
      </c>
      <c r="F32" s="176">
        <f>'EEM Data Entry'!J114</f>
        <v>0</v>
      </c>
      <c r="G32" s="176">
        <f>'EEM Data Entry'!K114</f>
        <v>0</v>
      </c>
      <c r="H32" s="175">
        <f>'EEM Data Entry'!L114</f>
        <v>0</v>
      </c>
      <c r="I32" s="175">
        <f>'EEM Data Entry'!M114</f>
        <v>0</v>
      </c>
      <c r="J32" s="175">
        <f>'EEM Data Entry'!N114</f>
        <v>0</v>
      </c>
      <c r="K32" s="175">
        <f>'EEM Data Entry'!O114</f>
        <v>0</v>
      </c>
      <c r="L32" s="393" t="str">
        <f>'EEM Data Entry'!C114</f>
        <v/>
      </c>
    </row>
    <row r="33" spans="1:12" x14ac:dyDescent="0.3">
      <c r="A33" s="173" t="str">
        <f>'EEM Data Entry'!A115</f>
        <v/>
      </c>
      <c r="B33" s="174" t="str">
        <f>'EEM Data Entry'!B115</f>
        <v/>
      </c>
      <c r="C33" s="286" t="str">
        <f>'EEM Data Entry'!F115</f>
        <v/>
      </c>
      <c r="D33" s="176">
        <f>'EEM Data Entry'!H115</f>
        <v>0</v>
      </c>
      <c r="E33" s="176">
        <f>'EEM Data Entry'!I115</f>
        <v>0</v>
      </c>
      <c r="F33" s="176">
        <f>'EEM Data Entry'!J115</f>
        <v>0</v>
      </c>
      <c r="G33" s="176">
        <f>'EEM Data Entry'!K115</f>
        <v>0</v>
      </c>
      <c r="H33" s="175">
        <f>'EEM Data Entry'!L115</f>
        <v>0</v>
      </c>
      <c r="I33" s="175">
        <f>'EEM Data Entry'!M115</f>
        <v>0</v>
      </c>
      <c r="J33" s="175">
        <f>'EEM Data Entry'!N115</f>
        <v>0</v>
      </c>
      <c r="K33" s="175">
        <f>'EEM Data Entry'!O115</f>
        <v>0</v>
      </c>
      <c r="L33" s="393" t="str">
        <f>'EEM Data Entry'!C115</f>
        <v/>
      </c>
    </row>
    <row r="34" spans="1:12" x14ac:dyDescent="0.3">
      <c r="A34" s="173" t="str">
        <f>'EEM Data Entry'!A116</f>
        <v/>
      </c>
      <c r="B34" s="174" t="str">
        <f>'EEM Data Entry'!B116</f>
        <v/>
      </c>
      <c r="C34" s="286" t="str">
        <f>'EEM Data Entry'!F116</f>
        <v/>
      </c>
      <c r="D34" s="176">
        <f>'EEM Data Entry'!H116</f>
        <v>0</v>
      </c>
      <c r="E34" s="176">
        <f>'EEM Data Entry'!I116</f>
        <v>0</v>
      </c>
      <c r="F34" s="176">
        <f>'EEM Data Entry'!J116</f>
        <v>0</v>
      </c>
      <c r="G34" s="176">
        <f>'EEM Data Entry'!K116</f>
        <v>0</v>
      </c>
      <c r="H34" s="175">
        <f>'EEM Data Entry'!L116</f>
        <v>0</v>
      </c>
      <c r="I34" s="175">
        <f>'EEM Data Entry'!M116</f>
        <v>0</v>
      </c>
      <c r="J34" s="175">
        <f>'EEM Data Entry'!N116</f>
        <v>0</v>
      </c>
      <c r="K34" s="175">
        <f>'EEM Data Entry'!O116</f>
        <v>0</v>
      </c>
      <c r="L34" s="393" t="str">
        <f>'EEM Data Entry'!C116</f>
        <v/>
      </c>
    </row>
    <row r="35" spans="1:12" x14ac:dyDescent="0.3">
      <c r="A35" s="173" t="str">
        <f>'EEM Data Entry'!A117</f>
        <v/>
      </c>
      <c r="B35" s="174" t="str">
        <f>'EEM Data Entry'!B117</f>
        <v/>
      </c>
      <c r="C35" s="286" t="str">
        <f>'EEM Data Entry'!F117</f>
        <v/>
      </c>
      <c r="D35" s="176">
        <f>'EEM Data Entry'!H117</f>
        <v>0</v>
      </c>
      <c r="E35" s="176">
        <f>'EEM Data Entry'!I117</f>
        <v>0</v>
      </c>
      <c r="F35" s="176">
        <f>'EEM Data Entry'!J117</f>
        <v>0</v>
      </c>
      <c r="G35" s="176">
        <f>'EEM Data Entry'!K117</f>
        <v>0</v>
      </c>
      <c r="H35" s="175">
        <f>'EEM Data Entry'!L117</f>
        <v>0</v>
      </c>
      <c r="I35" s="175">
        <f>'EEM Data Entry'!M117</f>
        <v>0</v>
      </c>
      <c r="J35" s="175">
        <f>'EEM Data Entry'!N117</f>
        <v>0</v>
      </c>
      <c r="K35" s="175">
        <f>'EEM Data Entry'!O117</f>
        <v>0</v>
      </c>
      <c r="L35" s="393" t="str">
        <f>'EEM Data Entry'!C117</f>
        <v/>
      </c>
    </row>
    <row r="36" spans="1:12" x14ac:dyDescent="0.3">
      <c r="A36" s="173" t="str">
        <f>'EEM Data Entry'!A118</f>
        <v/>
      </c>
      <c r="B36" s="174" t="str">
        <f>'EEM Data Entry'!B118</f>
        <v/>
      </c>
      <c r="C36" s="286" t="str">
        <f>'EEM Data Entry'!F118</f>
        <v/>
      </c>
      <c r="D36" s="176">
        <f>'EEM Data Entry'!H118</f>
        <v>0</v>
      </c>
      <c r="E36" s="176">
        <f>'EEM Data Entry'!I118</f>
        <v>0</v>
      </c>
      <c r="F36" s="176">
        <f>'EEM Data Entry'!J118</f>
        <v>0</v>
      </c>
      <c r="G36" s="176">
        <f>'EEM Data Entry'!K118</f>
        <v>0</v>
      </c>
      <c r="H36" s="175">
        <f>'EEM Data Entry'!L118</f>
        <v>0</v>
      </c>
      <c r="I36" s="175">
        <f>'EEM Data Entry'!M118</f>
        <v>0</v>
      </c>
      <c r="J36" s="175">
        <f>'EEM Data Entry'!N118</f>
        <v>0</v>
      </c>
      <c r="K36" s="175">
        <f>'EEM Data Entry'!O118</f>
        <v>0</v>
      </c>
      <c r="L36" s="393" t="str">
        <f>'EEM Data Entry'!C118</f>
        <v/>
      </c>
    </row>
    <row r="37" spans="1:12" x14ac:dyDescent="0.3">
      <c r="A37" s="173" t="str">
        <f>'EEM Data Entry'!A119</f>
        <v/>
      </c>
      <c r="B37" s="174" t="str">
        <f>'EEM Data Entry'!B119</f>
        <v/>
      </c>
      <c r="C37" s="286" t="str">
        <f>'EEM Data Entry'!F119</f>
        <v/>
      </c>
      <c r="D37" s="176">
        <f>'EEM Data Entry'!H119</f>
        <v>0</v>
      </c>
      <c r="E37" s="176">
        <f>'EEM Data Entry'!I119</f>
        <v>0</v>
      </c>
      <c r="F37" s="176">
        <f>'EEM Data Entry'!J119</f>
        <v>0</v>
      </c>
      <c r="G37" s="176">
        <f>'EEM Data Entry'!K119</f>
        <v>0</v>
      </c>
      <c r="H37" s="175">
        <f>'EEM Data Entry'!L119</f>
        <v>0</v>
      </c>
      <c r="I37" s="175">
        <f>'EEM Data Entry'!M119</f>
        <v>0</v>
      </c>
      <c r="J37" s="175">
        <f>'EEM Data Entry'!N119</f>
        <v>0</v>
      </c>
      <c r="K37" s="175">
        <f>'EEM Data Entry'!O119</f>
        <v>0</v>
      </c>
      <c r="L37" s="393" t="str">
        <f>'EEM Data Entry'!C119</f>
        <v/>
      </c>
    </row>
    <row r="38" spans="1:12" x14ac:dyDescent="0.3">
      <c r="A38" s="173" t="str">
        <f>'EEM Data Entry'!A120</f>
        <v/>
      </c>
      <c r="B38" s="174" t="str">
        <f>'EEM Data Entry'!B120</f>
        <v/>
      </c>
      <c r="C38" s="286" t="str">
        <f>'EEM Data Entry'!F120</f>
        <v/>
      </c>
      <c r="D38" s="176">
        <f>'EEM Data Entry'!H120</f>
        <v>0</v>
      </c>
      <c r="E38" s="176">
        <f>'EEM Data Entry'!I120</f>
        <v>0</v>
      </c>
      <c r="F38" s="176">
        <f>'EEM Data Entry'!J120</f>
        <v>0</v>
      </c>
      <c r="G38" s="176">
        <f>'EEM Data Entry'!K120</f>
        <v>0</v>
      </c>
      <c r="H38" s="175">
        <f>'EEM Data Entry'!L120</f>
        <v>0</v>
      </c>
      <c r="I38" s="175">
        <f>'EEM Data Entry'!M120</f>
        <v>0</v>
      </c>
      <c r="J38" s="175">
        <f>'EEM Data Entry'!N120</f>
        <v>0</v>
      </c>
      <c r="K38" s="175">
        <f>'EEM Data Entry'!O120</f>
        <v>0</v>
      </c>
      <c r="L38" s="393" t="str">
        <f>'EEM Data Entry'!C120</f>
        <v/>
      </c>
    </row>
    <row r="39" spans="1:12" ht="21" customHeight="1" x14ac:dyDescent="0.3">
      <c r="A39" s="173" t="str">
        <f>'EEM Data Entry'!A121</f>
        <v/>
      </c>
      <c r="B39" s="174" t="str">
        <f>'EEM Data Entry'!B121</f>
        <v/>
      </c>
      <c r="C39" s="286" t="str">
        <f>'EEM Data Entry'!F121</f>
        <v/>
      </c>
      <c r="D39" s="176">
        <f>'EEM Data Entry'!H121</f>
        <v>0</v>
      </c>
      <c r="E39" s="176">
        <f>'EEM Data Entry'!I121</f>
        <v>0</v>
      </c>
      <c r="F39" s="176">
        <f>'EEM Data Entry'!J121</f>
        <v>0</v>
      </c>
      <c r="G39" s="176">
        <f>'EEM Data Entry'!K121</f>
        <v>0</v>
      </c>
      <c r="H39" s="175">
        <f>'EEM Data Entry'!L121</f>
        <v>0</v>
      </c>
      <c r="I39" s="175">
        <f>'EEM Data Entry'!M121</f>
        <v>0</v>
      </c>
      <c r="J39" s="175">
        <f>'EEM Data Entry'!N121</f>
        <v>0</v>
      </c>
      <c r="K39" s="175">
        <f>'EEM Data Entry'!O121</f>
        <v>0</v>
      </c>
      <c r="L39" s="393" t="str">
        <f>'EEM Data Entry'!C121</f>
        <v/>
      </c>
    </row>
    <row r="40" spans="1:12" ht="21" customHeight="1" x14ac:dyDescent="0.3">
      <c r="A40" s="173" t="str">
        <f>'EEM Data Entry'!A122</f>
        <v/>
      </c>
      <c r="B40" s="174" t="str">
        <f>'EEM Data Entry'!B122</f>
        <v/>
      </c>
      <c r="C40" s="286" t="str">
        <f>'EEM Data Entry'!F122</f>
        <v/>
      </c>
      <c r="D40" s="176">
        <f>'EEM Data Entry'!H122</f>
        <v>0</v>
      </c>
      <c r="E40" s="176">
        <f>'EEM Data Entry'!I122</f>
        <v>0</v>
      </c>
      <c r="F40" s="176">
        <f>'EEM Data Entry'!J122</f>
        <v>0</v>
      </c>
      <c r="G40" s="176">
        <f>'EEM Data Entry'!K122</f>
        <v>0</v>
      </c>
      <c r="H40" s="175">
        <f>'EEM Data Entry'!L122</f>
        <v>0</v>
      </c>
      <c r="I40" s="175">
        <f>'EEM Data Entry'!M122</f>
        <v>0</v>
      </c>
      <c r="J40" s="175">
        <f>'EEM Data Entry'!N122</f>
        <v>0</v>
      </c>
      <c r="K40" s="175">
        <f>'EEM Data Entry'!O122</f>
        <v>0</v>
      </c>
      <c r="L40" s="393" t="str">
        <f>'EEM Data Entry'!C122</f>
        <v/>
      </c>
    </row>
    <row r="41" spans="1:12" ht="21" customHeight="1" x14ac:dyDescent="0.3">
      <c r="A41" s="173" t="str">
        <f>'EEM Data Entry'!A123</f>
        <v/>
      </c>
      <c r="B41" s="174" t="str">
        <f>'EEM Data Entry'!B123</f>
        <v/>
      </c>
      <c r="C41" s="286" t="str">
        <f>'EEM Data Entry'!F123</f>
        <v/>
      </c>
      <c r="D41" s="176">
        <f>'EEM Data Entry'!H123</f>
        <v>0</v>
      </c>
      <c r="E41" s="176">
        <f>'EEM Data Entry'!I123</f>
        <v>0</v>
      </c>
      <c r="F41" s="176">
        <f>'EEM Data Entry'!J123</f>
        <v>0</v>
      </c>
      <c r="G41" s="176">
        <f>'EEM Data Entry'!K123</f>
        <v>0</v>
      </c>
      <c r="H41" s="175">
        <f>'EEM Data Entry'!L123</f>
        <v>0</v>
      </c>
      <c r="I41" s="175">
        <f>'EEM Data Entry'!M123</f>
        <v>0</v>
      </c>
      <c r="J41" s="175">
        <f>'EEM Data Entry'!N123</f>
        <v>0</v>
      </c>
      <c r="K41" s="175">
        <f>'EEM Data Entry'!O123</f>
        <v>0</v>
      </c>
      <c r="L41" s="393" t="str">
        <f>'EEM Data Entry'!C123</f>
        <v/>
      </c>
    </row>
    <row r="42" spans="1:12" ht="21" customHeight="1" x14ac:dyDescent="0.3">
      <c r="B42" s="143" t="s">
        <v>128</v>
      </c>
      <c r="C42" s="285"/>
      <c r="D42" s="287"/>
      <c r="E42" s="287"/>
      <c r="F42" s="140"/>
      <c r="L42" s="395"/>
    </row>
    <row r="43" spans="1:12" x14ac:dyDescent="0.3">
      <c r="A43" s="378" t="str">
        <f>'EEM Data Entry'!A125</f>
        <v/>
      </c>
      <c r="B43" s="174" t="str">
        <f>'EEM Data Entry'!B125</f>
        <v/>
      </c>
      <c r="C43" s="379" t="str">
        <f>'EEM Data Entry'!F125</f>
        <v/>
      </c>
      <c r="D43" s="381">
        <f>'EEM Data Entry'!H125</f>
        <v>0</v>
      </c>
      <c r="E43" s="382">
        <f>'EEM Data Entry'!I125</f>
        <v>0</v>
      </c>
      <c r="F43" s="381">
        <f>'EEM Data Entry'!J125</f>
        <v>0</v>
      </c>
      <c r="G43" s="381">
        <f>'EEM Data Entry'!K125</f>
        <v>0</v>
      </c>
      <c r="H43" s="381">
        <f>'EEM Data Entry'!L125</f>
        <v>0</v>
      </c>
      <c r="I43" s="381">
        <f>'EEM Data Entry'!M125</f>
        <v>0</v>
      </c>
      <c r="J43" s="381">
        <f>'EEM Data Entry'!N125</f>
        <v>0</v>
      </c>
      <c r="K43" s="381">
        <f>'EEM Data Entry'!O125</f>
        <v>0</v>
      </c>
      <c r="L43" s="393" t="str">
        <f>'EEM Data Entry'!C125</f>
        <v/>
      </c>
    </row>
    <row r="44" spans="1:12" x14ac:dyDescent="0.3">
      <c r="A44" s="378" t="str">
        <f>'EEM Data Entry'!A126</f>
        <v/>
      </c>
      <c r="B44" s="174" t="str">
        <f>'EEM Data Entry'!B126</f>
        <v/>
      </c>
      <c r="C44" s="379" t="str">
        <f>'EEM Data Entry'!F126</f>
        <v/>
      </c>
      <c r="D44" s="381">
        <f>'EEM Data Entry'!H126</f>
        <v>0</v>
      </c>
      <c r="E44" s="382">
        <f>'EEM Data Entry'!I126</f>
        <v>0</v>
      </c>
      <c r="F44" s="381">
        <f>'EEM Data Entry'!J126</f>
        <v>0</v>
      </c>
      <c r="G44" s="381">
        <f>'EEM Data Entry'!K126</f>
        <v>0</v>
      </c>
      <c r="H44" s="381">
        <f>'EEM Data Entry'!L126</f>
        <v>0</v>
      </c>
      <c r="I44" s="381">
        <f>'EEM Data Entry'!M126</f>
        <v>0</v>
      </c>
      <c r="J44" s="381">
        <f>'EEM Data Entry'!N126</f>
        <v>0</v>
      </c>
      <c r="K44" s="381">
        <f>'EEM Data Entry'!O126</f>
        <v>0</v>
      </c>
      <c r="L44" s="393" t="str">
        <f>'EEM Data Entry'!C126</f>
        <v/>
      </c>
    </row>
    <row r="45" spans="1:12" x14ac:dyDescent="0.3">
      <c r="A45" s="378" t="str">
        <f>'EEM Data Entry'!A127</f>
        <v/>
      </c>
      <c r="B45" s="174" t="str">
        <f>'EEM Data Entry'!B127</f>
        <v/>
      </c>
      <c r="C45" s="379" t="str">
        <f>'EEM Data Entry'!F127</f>
        <v/>
      </c>
      <c r="D45" s="381">
        <f>'EEM Data Entry'!H127</f>
        <v>0</v>
      </c>
      <c r="E45" s="382">
        <f>'EEM Data Entry'!I127</f>
        <v>0</v>
      </c>
      <c r="F45" s="381">
        <f>'EEM Data Entry'!J127</f>
        <v>0</v>
      </c>
      <c r="G45" s="381">
        <f>'EEM Data Entry'!K127</f>
        <v>0</v>
      </c>
      <c r="H45" s="381">
        <f>'EEM Data Entry'!L127</f>
        <v>0</v>
      </c>
      <c r="I45" s="381">
        <f>'EEM Data Entry'!M127</f>
        <v>0</v>
      </c>
      <c r="J45" s="381">
        <f>'EEM Data Entry'!N127</f>
        <v>0</v>
      </c>
      <c r="K45" s="381">
        <f>'EEM Data Entry'!O127</f>
        <v>0</v>
      </c>
      <c r="L45" s="393" t="str">
        <f>'EEM Data Entry'!C127</f>
        <v/>
      </c>
    </row>
    <row r="46" spans="1:12" x14ac:dyDescent="0.3">
      <c r="A46" s="378" t="str">
        <f>'EEM Data Entry'!A128</f>
        <v/>
      </c>
      <c r="B46" s="174" t="str">
        <f>'EEM Data Entry'!B128</f>
        <v/>
      </c>
      <c r="C46" s="379" t="str">
        <f>'EEM Data Entry'!F128</f>
        <v/>
      </c>
      <c r="D46" s="381">
        <f>'EEM Data Entry'!H128</f>
        <v>0</v>
      </c>
      <c r="E46" s="381">
        <f>'EEM Data Entry'!I128</f>
        <v>0</v>
      </c>
      <c r="F46" s="381">
        <f>'EEM Data Entry'!J128</f>
        <v>0</v>
      </c>
      <c r="G46" s="381">
        <f>'EEM Data Entry'!K128</f>
        <v>0</v>
      </c>
      <c r="H46" s="381">
        <f>'EEM Data Entry'!L128</f>
        <v>0</v>
      </c>
      <c r="I46" s="381">
        <f>'EEM Data Entry'!M128</f>
        <v>0</v>
      </c>
      <c r="J46" s="381">
        <f>'EEM Data Entry'!N128</f>
        <v>0</v>
      </c>
      <c r="K46" s="381">
        <f>'EEM Data Entry'!O128</f>
        <v>0</v>
      </c>
      <c r="L46" s="393" t="str">
        <f>'EEM Data Entry'!C128</f>
        <v/>
      </c>
    </row>
    <row r="47" spans="1:12" x14ac:dyDescent="0.3">
      <c r="A47" s="378" t="str">
        <f>'EEM Data Entry'!A129</f>
        <v/>
      </c>
      <c r="B47" s="174" t="str">
        <f>'EEM Data Entry'!B129</f>
        <v/>
      </c>
      <c r="C47" s="379" t="str">
        <f>'EEM Data Entry'!F129</f>
        <v/>
      </c>
      <c r="D47" s="381">
        <f>'EEM Data Entry'!H129</f>
        <v>0</v>
      </c>
      <c r="E47" s="381">
        <f>'EEM Data Entry'!I129</f>
        <v>0</v>
      </c>
      <c r="F47" s="381">
        <f>'EEM Data Entry'!J129</f>
        <v>0</v>
      </c>
      <c r="G47" s="381">
        <f>'EEM Data Entry'!K129</f>
        <v>0</v>
      </c>
      <c r="H47" s="381">
        <f>'EEM Data Entry'!L129</f>
        <v>0</v>
      </c>
      <c r="I47" s="381">
        <f>'EEM Data Entry'!M129</f>
        <v>0</v>
      </c>
      <c r="J47" s="381">
        <f>'EEM Data Entry'!N129</f>
        <v>0</v>
      </c>
      <c r="K47" s="381">
        <f>'EEM Data Entry'!O129</f>
        <v>0</v>
      </c>
      <c r="L47" s="393" t="str">
        <f>'EEM Data Entry'!C129</f>
        <v/>
      </c>
    </row>
    <row r="48" spans="1:12" x14ac:dyDescent="0.3">
      <c r="A48" s="378" t="str">
        <f>'EEM Data Entry'!A130</f>
        <v/>
      </c>
      <c r="B48" s="174" t="str">
        <f>'EEM Data Entry'!B130</f>
        <v/>
      </c>
      <c r="C48" s="379" t="str">
        <f>'EEM Data Entry'!F130</f>
        <v/>
      </c>
      <c r="D48" s="381">
        <f>'EEM Data Entry'!H130</f>
        <v>0</v>
      </c>
      <c r="E48" s="381">
        <f>'EEM Data Entry'!I130</f>
        <v>0</v>
      </c>
      <c r="F48" s="381">
        <f>'EEM Data Entry'!J130</f>
        <v>0</v>
      </c>
      <c r="G48" s="381">
        <f>'EEM Data Entry'!K130</f>
        <v>0</v>
      </c>
      <c r="H48" s="381">
        <f>'EEM Data Entry'!L130</f>
        <v>0</v>
      </c>
      <c r="I48" s="381">
        <f>'EEM Data Entry'!M130</f>
        <v>0</v>
      </c>
      <c r="J48" s="381">
        <f>'EEM Data Entry'!N130</f>
        <v>0</v>
      </c>
      <c r="K48" s="381">
        <f>'EEM Data Entry'!O130</f>
        <v>0</v>
      </c>
      <c r="L48" s="393" t="str">
        <f>'EEM Data Entry'!C130</f>
        <v/>
      </c>
    </row>
    <row r="49" spans="1:12" x14ac:dyDescent="0.3">
      <c r="A49" s="378" t="str">
        <f>'EEM Data Entry'!A131</f>
        <v/>
      </c>
      <c r="B49" s="174" t="str">
        <f>'EEM Data Entry'!B131</f>
        <v/>
      </c>
      <c r="C49" s="379" t="str">
        <f>'EEM Data Entry'!F131</f>
        <v/>
      </c>
      <c r="D49" s="381">
        <f>'EEM Data Entry'!H131</f>
        <v>0</v>
      </c>
      <c r="E49" s="381">
        <f>'EEM Data Entry'!I131</f>
        <v>0</v>
      </c>
      <c r="F49" s="381">
        <f>'EEM Data Entry'!J131</f>
        <v>0</v>
      </c>
      <c r="G49" s="381">
        <f>'EEM Data Entry'!K131</f>
        <v>0</v>
      </c>
      <c r="H49" s="381">
        <f>'EEM Data Entry'!L131</f>
        <v>0</v>
      </c>
      <c r="I49" s="381">
        <f>'EEM Data Entry'!M131</f>
        <v>0</v>
      </c>
      <c r="J49" s="381">
        <f>'EEM Data Entry'!N131</f>
        <v>0</v>
      </c>
      <c r="K49" s="381">
        <f>'EEM Data Entry'!O131</f>
        <v>0</v>
      </c>
      <c r="L49" s="393" t="str">
        <f>'EEM Data Entry'!C131</f>
        <v/>
      </c>
    </row>
    <row r="50" spans="1:12" x14ac:dyDescent="0.3">
      <c r="A50" s="378" t="str">
        <f>'EEM Data Entry'!A132</f>
        <v/>
      </c>
      <c r="B50" s="174" t="str">
        <f>'EEM Data Entry'!B132</f>
        <v/>
      </c>
      <c r="C50" s="379" t="str">
        <f>'EEM Data Entry'!F132</f>
        <v/>
      </c>
      <c r="D50" s="381">
        <f>'EEM Data Entry'!H132</f>
        <v>0</v>
      </c>
      <c r="E50" s="381">
        <f>'EEM Data Entry'!I132</f>
        <v>0</v>
      </c>
      <c r="F50" s="381">
        <f>'EEM Data Entry'!J132</f>
        <v>0</v>
      </c>
      <c r="G50" s="381">
        <f>'EEM Data Entry'!K132</f>
        <v>0</v>
      </c>
      <c r="H50" s="381">
        <f>'EEM Data Entry'!L132</f>
        <v>0</v>
      </c>
      <c r="I50" s="381">
        <f>'EEM Data Entry'!M132</f>
        <v>0</v>
      </c>
      <c r="J50" s="381">
        <f>'EEM Data Entry'!N132</f>
        <v>0</v>
      </c>
      <c r="K50" s="381">
        <f>'EEM Data Entry'!O132</f>
        <v>0</v>
      </c>
      <c r="L50" s="393" t="str">
        <f>'EEM Data Entry'!C132</f>
        <v/>
      </c>
    </row>
    <row r="51" spans="1:12" x14ac:dyDescent="0.3">
      <c r="A51" s="378" t="str">
        <f>'EEM Data Entry'!A133</f>
        <v/>
      </c>
      <c r="B51" s="174" t="str">
        <f>'EEM Data Entry'!B133</f>
        <v/>
      </c>
      <c r="C51" s="379" t="str">
        <f>'EEM Data Entry'!F133</f>
        <v/>
      </c>
      <c r="D51" s="381">
        <f>'EEM Data Entry'!H133</f>
        <v>0</v>
      </c>
      <c r="E51" s="381">
        <f>'EEM Data Entry'!I133</f>
        <v>0</v>
      </c>
      <c r="F51" s="381">
        <f>'EEM Data Entry'!J133</f>
        <v>0</v>
      </c>
      <c r="G51" s="381">
        <f>'EEM Data Entry'!K133</f>
        <v>0</v>
      </c>
      <c r="H51" s="381">
        <f>'EEM Data Entry'!L133</f>
        <v>0</v>
      </c>
      <c r="I51" s="381">
        <f>'EEM Data Entry'!M133</f>
        <v>0</v>
      </c>
      <c r="J51" s="381">
        <f>'EEM Data Entry'!N133</f>
        <v>0</v>
      </c>
      <c r="K51" s="381">
        <f>'EEM Data Entry'!O133</f>
        <v>0</v>
      </c>
      <c r="L51" s="393" t="str">
        <f>'EEM Data Entry'!C133</f>
        <v/>
      </c>
    </row>
    <row r="52" spans="1:12" x14ac:dyDescent="0.3">
      <c r="A52" s="378" t="str">
        <f>'EEM Data Entry'!A134</f>
        <v/>
      </c>
      <c r="B52" s="174" t="str">
        <f>'EEM Data Entry'!B134</f>
        <v/>
      </c>
      <c r="C52" s="379" t="str">
        <f>'EEM Data Entry'!F134</f>
        <v/>
      </c>
      <c r="D52" s="381">
        <f>'EEM Data Entry'!H134</f>
        <v>0</v>
      </c>
      <c r="E52" s="381">
        <f>'EEM Data Entry'!I134</f>
        <v>0</v>
      </c>
      <c r="F52" s="381">
        <f>'EEM Data Entry'!J134</f>
        <v>0</v>
      </c>
      <c r="G52" s="381">
        <f>'EEM Data Entry'!K134</f>
        <v>0</v>
      </c>
      <c r="H52" s="381">
        <f>'EEM Data Entry'!L134</f>
        <v>0</v>
      </c>
      <c r="I52" s="381">
        <f>'EEM Data Entry'!M134</f>
        <v>0</v>
      </c>
      <c r="J52" s="381">
        <f>'EEM Data Entry'!N134</f>
        <v>0</v>
      </c>
      <c r="K52" s="381">
        <f>'EEM Data Entry'!O134</f>
        <v>0</v>
      </c>
      <c r="L52" s="393" t="str">
        <f>'EEM Data Entry'!C134</f>
        <v/>
      </c>
    </row>
    <row r="53" spans="1:12" x14ac:dyDescent="0.3">
      <c r="A53" s="378" t="str">
        <f>'EEM Data Entry'!A135</f>
        <v/>
      </c>
      <c r="B53" s="174" t="str">
        <f>'EEM Data Entry'!B135</f>
        <v/>
      </c>
      <c r="C53" s="379" t="str">
        <f>'EEM Data Entry'!F135</f>
        <v/>
      </c>
      <c r="D53" s="381">
        <f>'EEM Data Entry'!H135</f>
        <v>0</v>
      </c>
      <c r="E53" s="381">
        <f>'EEM Data Entry'!I135</f>
        <v>0</v>
      </c>
      <c r="F53" s="381">
        <f>'EEM Data Entry'!J135</f>
        <v>0</v>
      </c>
      <c r="G53" s="381">
        <f>'EEM Data Entry'!K135</f>
        <v>0</v>
      </c>
      <c r="H53" s="381">
        <f>'EEM Data Entry'!L135</f>
        <v>0</v>
      </c>
      <c r="I53" s="381">
        <f>'EEM Data Entry'!M135</f>
        <v>0</v>
      </c>
      <c r="J53" s="381">
        <f>'EEM Data Entry'!N135</f>
        <v>0</v>
      </c>
      <c r="K53" s="381">
        <f>'EEM Data Entry'!O135</f>
        <v>0</v>
      </c>
      <c r="L53" s="393" t="str">
        <f>'EEM Data Entry'!C135</f>
        <v/>
      </c>
    </row>
    <row r="54" spans="1:12" x14ac:dyDescent="0.3">
      <c r="A54" s="378" t="str">
        <f>'EEM Data Entry'!A136</f>
        <v/>
      </c>
      <c r="B54" s="174" t="str">
        <f>'EEM Data Entry'!B136</f>
        <v/>
      </c>
      <c r="C54" s="379" t="str">
        <f>'EEM Data Entry'!F136</f>
        <v/>
      </c>
      <c r="D54" s="381">
        <f>'EEM Data Entry'!H136</f>
        <v>0</v>
      </c>
      <c r="E54" s="381">
        <f>'EEM Data Entry'!I136</f>
        <v>0</v>
      </c>
      <c r="F54" s="381">
        <f>'EEM Data Entry'!J136</f>
        <v>0</v>
      </c>
      <c r="G54" s="381">
        <f>'EEM Data Entry'!K136</f>
        <v>0</v>
      </c>
      <c r="H54" s="381">
        <f>'EEM Data Entry'!L136</f>
        <v>0</v>
      </c>
      <c r="I54" s="381">
        <f>'EEM Data Entry'!M136</f>
        <v>0</v>
      </c>
      <c r="J54" s="381">
        <f>'EEM Data Entry'!N136</f>
        <v>0</v>
      </c>
      <c r="K54" s="381">
        <f>'EEM Data Entry'!O136</f>
        <v>0</v>
      </c>
      <c r="L54" s="393" t="str">
        <f>'EEM Data Entry'!C136</f>
        <v/>
      </c>
    </row>
    <row r="55" spans="1:12" x14ac:dyDescent="0.3">
      <c r="A55" s="378" t="str">
        <f>'EEM Data Entry'!A137</f>
        <v/>
      </c>
      <c r="B55" s="174" t="str">
        <f>'EEM Data Entry'!B137</f>
        <v/>
      </c>
      <c r="C55" s="379" t="str">
        <f>'EEM Data Entry'!F137</f>
        <v/>
      </c>
      <c r="D55" s="381">
        <f>'EEM Data Entry'!H137</f>
        <v>0</v>
      </c>
      <c r="E55" s="381">
        <f>'EEM Data Entry'!I137</f>
        <v>0</v>
      </c>
      <c r="F55" s="381">
        <f>'EEM Data Entry'!J137</f>
        <v>0</v>
      </c>
      <c r="G55" s="381">
        <f>'EEM Data Entry'!K137</f>
        <v>0</v>
      </c>
      <c r="H55" s="381">
        <f>'EEM Data Entry'!L137</f>
        <v>0</v>
      </c>
      <c r="I55" s="381">
        <f>'EEM Data Entry'!M137</f>
        <v>0</v>
      </c>
      <c r="J55" s="381">
        <f>'EEM Data Entry'!N137</f>
        <v>0</v>
      </c>
      <c r="K55" s="381">
        <f>'EEM Data Entry'!O137</f>
        <v>0</v>
      </c>
      <c r="L55" s="393" t="str">
        <f>'EEM Data Entry'!C137</f>
        <v/>
      </c>
    </row>
    <row r="56" spans="1:12" x14ac:dyDescent="0.3">
      <c r="A56" s="378" t="str">
        <f>'EEM Data Entry'!A138</f>
        <v/>
      </c>
      <c r="B56" s="174" t="str">
        <f>'EEM Data Entry'!B138</f>
        <v/>
      </c>
      <c r="C56" s="379" t="str">
        <f>'EEM Data Entry'!F138</f>
        <v/>
      </c>
      <c r="D56" s="381">
        <f>'EEM Data Entry'!H138</f>
        <v>0</v>
      </c>
      <c r="E56" s="381">
        <f>'EEM Data Entry'!I138</f>
        <v>0</v>
      </c>
      <c r="F56" s="381">
        <f>'EEM Data Entry'!J138</f>
        <v>0</v>
      </c>
      <c r="G56" s="381">
        <f>'EEM Data Entry'!K138</f>
        <v>0</v>
      </c>
      <c r="H56" s="381">
        <f>'EEM Data Entry'!L138</f>
        <v>0</v>
      </c>
      <c r="I56" s="381">
        <f>'EEM Data Entry'!M138</f>
        <v>0</v>
      </c>
      <c r="J56" s="381">
        <f>'EEM Data Entry'!N138</f>
        <v>0</v>
      </c>
      <c r="K56" s="381">
        <f>'EEM Data Entry'!O138</f>
        <v>0</v>
      </c>
      <c r="L56" s="393" t="str">
        <f>'EEM Data Entry'!C138</f>
        <v/>
      </c>
    </row>
    <row r="57" spans="1:12" x14ac:dyDescent="0.3">
      <c r="A57" s="378" t="str">
        <f>'EEM Data Entry'!A139</f>
        <v/>
      </c>
      <c r="B57" s="174" t="str">
        <f>'EEM Data Entry'!B139</f>
        <v/>
      </c>
      <c r="C57" s="379" t="str">
        <f>'EEM Data Entry'!F139</f>
        <v/>
      </c>
      <c r="D57" s="381">
        <f>'EEM Data Entry'!H139</f>
        <v>0</v>
      </c>
      <c r="E57" s="381">
        <f>'EEM Data Entry'!I139</f>
        <v>0</v>
      </c>
      <c r="F57" s="381">
        <f>'EEM Data Entry'!J139</f>
        <v>0</v>
      </c>
      <c r="G57" s="381">
        <f>'EEM Data Entry'!K139</f>
        <v>0</v>
      </c>
      <c r="H57" s="381">
        <f>'EEM Data Entry'!L139</f>
        <v>0</v>
      </c>
      <c r="I57" s="381">
        <f>'EEM Data Entry'!M139</f>
        <v>0</v>
      </c>
      <c r="J57" s="381">
        <f>'EEM Data Entry'!N139</f>
        <v>0</v>
      </c>
      <c r="K57" s="381">
        <f>'EEM Data Entry'!O139</f>
        <v>0</v>
      </c>
      <c r="L57" s="393" t="str">
        <f>'EEM Data Entry'!C139</f>
        <v/>
      </c>
    </row>
    <row r="58" spans="1:12" ht="29.25" customHeight="1" x14ac:dyDescent="0.3">
      <c r="B58" s="143" t="s">
        <v>136</v>
      </c>
      <c r="C58" s="285"/>
      <c r="D58" s="287"/>
      <c r="E58" s="287"/>
      <c r="F58" s="140"/>
      <c r="L58" s="395"/>
    </row>
    <row r="59" spans="1:12" ht="29.25" customHeight="1" x14ac:dyDescent="0.3">
      <c r="A59" s="378" t="str">
        <f>'EEM Data Entry'!A141</f>
        <v/>
      </c>
      <c r="B59" s="174" t="str">
        <f>'EEM Data Entry'!B141</f>
        <v/>
      </c>
      <c r="C59" s="177" t="str">
        <f>'EEM Data Entry'!F141</f>
        <v/>
      </c>
      <c r="D59" s="380">
        <f>'EEM Data Entry'!H141</f>
        <v>0</v>
      </c>
      <c r="E59" s="380">
        <f>'EEM Data Entry'!I141</f>
        <v>0</v>
      </c>
      <c r="F59" s="380">
        <f>'EEM Data Entry'!J141</f>
        <v>0</v>
      </c>
      <c r="G59" s="380">
        <f>'EEM Data Entry'!K141</f>
        <v>0</v>
      </c>
      <c r="H59" s="380">
        <f>'EEM Data Entry'!L141</f>
        <v>0</v>
      </c>
      <c r="I59" s="380">
        <f>'EEM Data Entry'!M141</f>
        <v>0</v>
      </c>
      <c r="J59" s="380">
        <f>'EEM Data Entry'!N141</f>
        <v>0</v>
      </c>
      <c r="K59" s="380">
        <f>'EEM Data Entry'!O141</f>
        <v>0</v>
      </c>
      <c r="L59" s="394" t="str">
        <f>'EEM Data Entry'!C141</f>
        <v/>
      </c>
    </row>
    <row r="60" spans="1:12" x14ac:dyDescent="0.3">
      <c r="A60" s="378" t="str">
        <f>'EEM Data Entry'!A142</f>
        <v/>
      </c>
      <c r="B60" s="174" t="str">
        <f>'EEM Data Entry'!B142</f>
        <v/>
      </c>
      <c r="C60" s="177" t="str">
        <f>'EEM Data Entry'!F142</f>
        <v/>
      </c>
      <c r="D60" s="380">
        <f>'EEM Data Entry'!H142</f>
        <v>0</v>
      </c>
      <c r="E60" s="380">
        <f>'EEM Data Entry'!I142</f>
        <v>0</v>
      </c>
      <c r="F60" s="380">
        <f>'EEM Data Entry'!J142</f>
        <v>0</v>
      </c>
      <c r="G60" s="380">
        <f>'EEM Data Entry'!K142</f>
        <v>0</v>
      </c>
      <c r="H60" s="380">
        <f>'EEM Data Entry'!L142</f>
        <v>0</v>
      </c>
      <c r="I60" s="380">
        <f>'EEM Data Entry'!M142</f>
        <v>0</v>
      </c>
      <c r="J60" s="380">
        <f>'EEM Data Entry'!N142</f>
        <v>0</v>
      </c>
      <c r="K60" s="380">
        <f>'EEM Data Entry'!O142</f>
        <v>0</v>
      </c>
      <c r="L60" s="394" t="str">
        <f>'EEM Data Entry'!C142</f>
        <v/>
      </c>
    </row>
    <row r="61" spans="1:12" x14ac:dyDescent="0.3">
      <c r="A61" s="378" t="str">
        <f>'EEM Data Entry'!A143</f>
        <v/>
      </c>
      <c r="B61" s="174" t="str">
        <f>'EEM Data Entry'!B143</f>
        <v/>
      </c>
      <c r="C61" s="177" t="str">
        <f>'EEM Data Entry'!F143</f>
        <v/>
      </c>
      <c r="D61" s="380">
        <f>'EEM Data Entry'!H143</f>
        <v>0</v>
      </c>
      <c r="E61" s="380">
        <f>'EEM Data Entry'!I143</f>
        <v>0</v>
      </c>
      <c r="F61" s="380">
        <f>'EEM Data Entry'!J143</f>
        <v>0</v>
      </c>
      <c r="G61" s="380">
        <f>'EEM Data Entry'!K143</f>
        <v>0</v>
      </c>
      <c r="H61" s="380">
        <f>'EEM Data Entry'!L143</f>
        <v>0</v>
      </c>
      <c r="I61" s="380">
        <f>'EEM Data Entry'!M143</f>
        <v>0</v>
      </c>
      <c r="J61" s="380">
        <f>'EEM Data Entry'!N143</f>
        <v>0</v>
      </c>
      <c r="K61" s="380">
        <f>'EEM Data Entry'!O143</f>
        <v>0</v>
      </c>
      <c r="L61" s="394" t="str">
        <f>'EEM Data Entry'!C143</f>
        <v/>
      </c>
    </row>
    <row r="62" spans="1:12" s="147" customFormat="1" x14ac:dyDescent="0.3">
      <c r="A62" s="378" t="str">
        <f>'EEM Data Entry'!A144</f>
        <v/>
      </c>
      <c r="B62" s="174" t="str">
        <f>'EEM Data Entry'!B144</f>
        <v/>
      </c>
      <c r="C62" s="177" t="str">
        <f>'EEM Data Entry'!F144</f>
        <v/>
      </c>
      <c r="D62" s="380">
        <f>'EEM Data Entry'!H144</f>
        <v>0</v>
      </c>
      <c r="E62" s="380">
        <f>'EEM Data Entry'!I144</f>
        <v>0</v>
      </c>
      <c r="F62" s="380">
        <f>'EEM Data Entry'!J144</f>
        <v>0</v>
      </c>
      <c r="G62" s="380">
        <f>'EEM Data Entry'!K144</f>
        <v>0</v>
      </c>
      <c r="H62" s="380">
        <f>'EEM Data Entry'!L144</f>
        <v>0</v>
      </c>
      <c r="I62" s="380">
        <f>'EEM Data Entry'!M144</f>
        <v>0</v>
      </c>
      <c r="J62" s="380">
        <f>'EEM Data Entry'!N144</f>
        <v>0</v>
      </c>
      <c r="K62" s="380">
        <f>'EEM Data Entry'!O144</f>
        <v>0</v>
      </c>
      <c r="L62" s="394" t="str">
        <f>'EEM Data Entry'!C144</f>
        <v/>
      </c>
    </row>
    <row r="63" spans="1:12" x14ac:dyDescent="0.3">
      <c r="A63" s="378" t="str">
        <f>'EEM Data Entry'!A145</f>
        <v/>
      </c>
      <c r="B63" s="174" t="str">
        <f>'EEM Data Entry'!B145</f>
        <v/>
      </c>
      <c r="C63" s="177" t="str">
        <f>'EEM Data Entry'!F145</f>
        <v/>
      </c>
      <c r="D63" s="380">
        <f>'EEM Data Entry'!H145</f>
        <v>0</v>
      </c>
      <c r="E63" s="380">
        <f>'EEM Data Entry'!I145</f>
        <v>0</v>
      </c>
      <c r="F63" s="380">
        <f>'EEM Data Entry'!J145</f>
        <v>0</v>
      </c>
      <c r="G63" s="380">
        <f>'EEM Data Entry'!K145</f>
        <v>0</v>
      </c>
      <c r="H63" s="380">
        <f>'EEM Data Entry'!L145</f>
        <v>0</v>
      </c>
      <c r="I63" s="380">
        <f>'EEM Data Entry'!M145</f>
        <v>0</v>
      </c>
      <c r="J63" s="380">
        <f>'EEM Data Entry'!N145</f>
        <v>0</v>
      </c>
      <c r="K63" s="380">
        <f>'EEM Data Entry'!O145</f>
        <v>0</v>
      </c>
      <c r="L63" s="394" t="str">
        <f>'EEM Data Entry'!C145</f>
        <v/>
      </c>
    </row>
    <row r="64" spans="1:12" x14ac:dyDescent="0.3">
      <c r="A64" s="378" t="str">
        <f>'EEM Data Entry'!A146</f>
        <v/>
      </c>
      <c r="B64" s="174" t="str">
        <f>'EEM Data Entry'!B146</f>
        <v/>
      </c>
      <c r="C64" s="177" t="str">
        <f>'EEM Data Entry'!F146</f>
        <v/>
      </c>
      <c r="D64" s="380">
        <f>'EEM Data Entry'!H146</f>
        <v>0</v>
      </c>
      <c r="E64" s="380">
        <f>'EEM Data Entry'!I146</f>
        <v>0</v>
      </c>
      <c r="F64" s="380">
        <f>'EEM Data Entry'!J146</f>
        <v>0</v>
      </c>
      <c r="G64" s="380">
        <f>'EEM Data Entry'!K146</f>
        <v>0</v>
      </c>
      <c r="H64" s="380">
        <f>'EEM Data Entry'!L146</f>
        <v>0</v>
      </c>
      <c r="I64" s="380">
        <f>'EEM Data Entry'!M146</f>
        <v>0</v>
      </c>
      <c r="J64" s="380">
        <f>'EEM Data Entry'!N146</f>
        <v>0</v>
      </c>
      <c r="K64" s="380">
        <f>'EEM Data Entry'!O146</f>
        <v>0</v>
      </c>
      <c r="L64" s="394" t="str">
        <f>'EEM Data Entry'!C146</f>
        <v/>
      </c>
    </row>
    <row r="65" spans="1:12" x14ac:dyDescent="0.3">
      <c r="A65" s="378" t="str">
        <f>'EEM Data Entry'!A147</f>
        <v/>
      </c>
      <c r="B65" s="174" t="str">
        <f>'EEM Data Entry'!B147</f>
        <v/>
      </c>
      <c r="C65" s="177" t="str">
        <f>'EEM Data Entry'!F147</f>
        <v/>
      </c>
      <c r="D65" s="380">
        <f>'EEM Data Entry'!H147</f>
        <v>0</v>
      </c>
      <c r="E65" s="380">
        <f>'EEM Data Entry'!I147</f>
        <v>0</v>
      </c>
      <c r="F65" s="380">
        <f>'EEM Data Entry'!J147</f>
        <v>0</v>
      </c>
      <c r="G65" s="380">
        <f>'EEM Data Entry'!K147</f>
        <v>0</v>
      </c>
      <c r="H65" s="380">
        <f>'EEM Data Entry'!L147</f>
        <v>0</v>
      </c>
      <c r="I65" s="380">
        <f>'EEM Data Entry'!M147</f>
        <v>0</v>
      </c>
      <c r="J65" s="380">
        <f>'EEM Data Entry'!N147</f>
        <v>0</v>
      </c>
      <c r="K65" s="380">
        <f>'EEM Data Entry'!O147</f>
        <v>0</v>
      </c>
      <c r="L65" s="394" t="str">
        <f>'EEM Data Entry'!C147</f>
        <v/>
      </c>
    </row>
    <row r="66" spans="1:12" x14ac:dyDescent="0.3">
      <c r="A66" s="378" t="str">
        <f>'EEM Data Entry'!A148</f>
        <v/>
      </c>
      <c r="B66" s="174" t="str">
        <f>'EEM Data Entry'!B148</f>
        <v/>
      </c>
      <c r="C66" s="177" t="str">
        <f>'EEM Data Entry'!F148</f>
        <v/>
      </c>
      <c r="D66" s="380">
        <f>'EEM Data Entry'!H148</f>
        <v>0</v>
      </c>
      <c r="E66" s="380">
        <f>'EEM Data Entry'!I148</f>
        <v>0</v>
      </c>
      <c r="F66" s="380">
        <f>'EEM Data Entry'!J148</f>
        <v>0</v>
      </c>
      <c r="G66" s="380">
        <f>'EEM Data Entry'!K148</f>
        <v>0</v>
      </c>
      <c r="H66" s="380">
        <f>'EEM Data Entry'!L148</f>
        <v>0</v>
      </c>
      <c r="I66" s="380">
        <f>'EEM Data Entry'!M148</f>
        <v>0</v>
      </c>
      <c r="J66" s="380">
        <f>'EEM Data Entry'!N148</f>
        <v>0</v>
      </c>
      <c r="K66" s="380">
        <f>'EEM Data Entry'!O148</f>
        <v>0</v>
      </c>
      <c r="L66" s="394" t="str">
        <f>'EEM Data Entry'!C148</f>
        <v/>
      </c>
    </row>
    <row r="67" spans="1:12" x14ac:dyDescent="0.3">
      <c r="A67" s="378" t="str">
        <f>'EEM Data Entry'!A149</f>
        <v/>
      </c>
      <c r="B67" s="174" t="str">
        <f>'EEM Data Entry'!B149</f>
        <v/>
      </c>
      <c r="C67" s="177" t="str">
        <f>'EEM Data Entry'!F149</f>
        <v/>
      </c>
      <c r="D67" s="380">
        <f>'EEM Data Entry'!H149</f>
        <v>0</v>
      </c>
      <c r="E67" s="380">
        <f>'EEM Data Entry'!I149</f>
        <v>0</v>
      </c>
      <c r="F67" s="380">
        <f>'EEM Data Entry'!J149</f>
        <v>0</v>
      </c>
      <c r="G67" s="380">
        <f>'EEM Data Entry'!K149</f>
        <v>0</v>
      </c>
      <c r="H67" s="380">
        <f>'EEM Data Entry'!L149</f>
        <v>0</v>
      </c>
      <c r="I67" s="380">
        <f>'EEM Data Entry'!M149</f>
        <v>0</v>
      </c>
      <c r="J67" s="380">
        <f>'EEM Data Entry'!N149</f>
        <v>0</v>
      </c>
      <c r="K67" s="380">
        <f>'EEM Data Entry'!O149</f>
        <v>0</v>
      </c>
      <c r="L67" s="394" t="str">
        <f>'EEM Data Entry'!C149</f>
        <v/>
      </c>
    </row>
    <row r="68" spans="1:12" x14ac:dyDescent="0.3">
      <c r="A68" s="378" t="str">
        <f>'EEM Data Entry'!A150</f>
        <v/>
      </c>
      <c r="B68" s="174" t="str">
        <f>'EEM Data Entry'!B150</f>
        <v/>
      </c>
      <c r="C68" s="177" t="str">
        <f>'EEM Data Entry'!F150</f>
        <v/>
      </c>
      <c r="D68" s="380">
        <f>'EEM Data Entry'!H150</f>
        <v>0</v>
      </c>
      <c r="E68" s="380">
        <f>'EEM Data Entry'!I150</f>
        <v>0</v>
      </c>
      <c r="F68" s="380">
        <f>'EEM Data Entry'!J150</f>
        <v>0</v>
      </c>
      <c r="G68" s="380">
        <f>'EEM Data Entry'!K150</f>
        <v>0</v>
      </c>
      <c r="H68" s="380">
        <f>'EEM Data Entry'!L150</f>
        <v>0</v>
      </c>
      <c r="I68" s="380">
        <f>'EEM Data Entry'!M150</f>
        <v>0</v>
      </c>
      <c r="J68" s="380">
        <f>'EEM Data Entry'!N150</f>
        <v>0</v>
      </c>
      <c r="K68" s="380">
        <f>'EEM Data Entry'!O150</f>
        <v>0</v>
      </c>
      <c r="L68" s="394" t="str">
        <f>'EEM Data Entry'!C150</f>
        <v/>
      </c>
    </row>
    <row r="69" spans="1:12" x14ac:dyDescent="0.3">
      <c r="A69" s="378" t="str">
        <f>'EEM Data Entry'!A151</f>
        <v/>
      </c>
      <c r="B69" s="174" t="str">
        <f>'EEM Data Entry'!B151</f>
        <v/>
      </c>
      <c r="C69" s="177" t="str">
        <f>'EEM Data Entry'!F151</f>
        <v/>
      </c>
      <c r="D69" s="380">
        <f>'EEM Data Entry'!H151</f>
        <v>0</v>
      </c>
      <c r="E69" s="380">
        <f>'EEM Data Entry'!I151</f>
        <v>0</v>
      </c>
      <c r="F69" s="380">
        <f>'EEM Data Entry'!J151</f>
        <v>0</v>
      </c>
      <c r="G69" s="380">
        <f>'EEM Data Entry'!K151</f>
        <v>0</v>
      </c>
      <c r="H69" s="380">
        <f>'EEM Data Entry'!L151</f>
        <v>0</v>
      </c>
      <c r="I69" s="380">
        <f>'EEM Data Entry'!M151</f>
        <v>0</v>
      </c>
      <c r="J69" s="380">
        <f>'EEM Data Entry'!N151</f>
        <v>0</v>
      </c>
      <c r="K69" s="380">
        <f>'EEM Data Entry'!O151</f>
        <v>0</v>
      </c>
      <c r="L69" s="394" t="str">
        <f>'EEM Data Entry'!C151</f>
        <v/>
      </c>
    </row>
    <row r="70" spans="1:12" x14ac:dyDescent="0.3">
      <c r="A70" s="378" t="str">
        <f>'EEM Data Entry'!A152</f>
        <v/>
      </c>
      <c r="B70" s="174" t="str">
        <f>'EEM Data Entry'!B152</f>
        <v/>
      </c>
      <c r="C70" s="177" t="str">
        <f>'EEM Data Entry'!F152</f>
        <v/>
      </c>
      <c r="D70" s="380">
        <f>'EEM Data Entry'!H152</f>
        <v>0</v>
      </c>
      <c r="E70" s="380">
        <f>'EEM Data Entry'!I152</f>
        <v>0</v>
      </c>
      <c r="F70" s="380">
        <f>'EEM Data Entry'!J152</f>
        <v>0</v>
      </c>
      <c r="G70" s="380">
        <f>'EEM Data Entry'!K152</f>
        <v>0</v>
      </c>
      <c r="H70" s="380">
        <f>'EEM Data Entry'!L152</f>
        <v>0</v>
      </c>
      <c r="I70" s="380">
        <f>'EEM Data Entry'!M152</f>
        <v>0</v>
      </c>
      <c r="J70" s="380">
        <f>'EEM Data Entry'!N152</f>
        <v>0</v>
      </c>
      <c r="K70" s="380">
        <f>'EEM Data Entry'!O152</f>
        <v>0</v>
      </c>
      <c r="L70" s="394" t="str">
        <f>'EEM Data Entry'!C152</f>
        <v/>
      </c>
    </row>
    <row r="71" spans="1:12" x14ac:dyDescent="0.3">
      <c r="A71" s="378" t="str">
        <f>'EEM Data Entry'!A153</f>
        <v/>
      </c>
      <c r="B71" s="174" t="str">
        <f>'EEM Data Entry'!B153</f>
        <v/>
      </c>
      <c r="C71" s="177" t="str">
        <f>'EEM Data Entry'!F153</f>
        <v/>
      </c>
      <c r="D71" s="380">
        <f>'EEM Data Entry'!H153</f>
        <v>0</v>
      </c>
      <c r="E71" s="380">
        <f>'EEM Data Entry'!I153</f>
        <v>0</v>
      </c>
      <c r="F71" s="380">
        <f>'EEM Data Entry'!J153</f>
        <v>0</v>
      </c>
      <c r="G71" s="380">
        <f>'EEM Data Entry'!K153</f>
        <v>0</v>
      </c>
      <c r="H71" s="380">
        <f>'EEM Data Entry'!L153</f>
        <v>0</v>
      </c>
      <c r="I71" s="380">
        <f>'EEM Data Entry'!M153</f>
        <v>0</v>
      </c>
      <c r="J71" s="380">
        <f>'EEM Data Entry'!N153</f>
        <v>0</v>
      </c>
      <c r="K71" s="380">
        <f>'EEM Data Entry'!O153</f>
        <v>0</v>
      </c>
      <c r="L71" s="394" t="str">
        <f>'EEM Data Entry'!C153</f>
        <v/>
      </c>
    </row>
    <row r="72" spans="1:12" x14ac:dyDescent="0.3">
      <c r="A72" s="378" t="str">
        <f>'EEM Data Entry'!A154</f>
        <v/>
      </c>
      <c r="B72" s="174" t="str">
        <f>'EEM Data Entry'!B154</f>
        <v/>
      </c>
      <c r="C72" s="177" t="str">
        <f>'EEM Data Entry'!F154</f>
        <v/>
      </c>
      <c r="D72" s="380">
        <f>'EEM Data Entry'!H154</f>
        <v>0</v>
      </c>
      <c r="E72" s="380">
        <f>'EEM Data Entry'!I154</f>
        <v>0</v>
      </c>
      <c r="F72" s="380">
        <f>'EEM Data Entry'!J154</f>
        <v>0</v>
      </c>
      <c r="G72" s="380">
        <f>'EEM Data Entry'!K154</f>
        <v>0</v>
      </c>
      <c r="H72" s="380">
        <f>'EEM Data Entry'!L154</f>
        <v>0</v>
      </c>
      <c r="I72" s="380">
        <f>'EEM Data Entry'!M154</f>
        <v>0</v>
      </c>
      <c r="J72" s="380">
        <f>'EEM Data Entry'!N154</f>
        <v>0</v>
      </c>
      <c r="K72" s="380">
        <f>'EEM Data Entry'!O154</f>
        <v>0</v>
      </c>
      <c r="L72" s="394" t="str">
        <f>'EEM Data Entry'!C154</f>
        <v/>
      </c>
    </row>
  </sheetData>
  <sheetProtection sheet="1" objects="1" scenarios="1"/>
  <printOptions gridLines="1"/>
  <pageMargins left="0.75" right="0.75" top="1" bottom="1" header="0.5" footer="0.5"/>
  <pageSetup paperSize="5" fitToHeight="5" orientation="landscape" horizontalDpi="2400" verticalDpi="24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AE87"/>
  <sheetViews>
    <sheetView topLeftCell="A35" workbookViewId="0">
      <selection activeCell="C49" sqref="C49"/>
    </sheetView>
  </sheetViews>
  <sheetFormatPr defaultRowHeight="12.5" x14ac:dyDescent="0.25"/>
  <cols>
    <col min="1" max="1" width="3.36328125" customWidth="1"/>
    <col min="2" max="2" width="5.36328125" customWidth="1"/>
    <col min="3" max="3" width="74" bestFit="1" customWidth="1"/>
    <col min="4" max="4" width="32" customWidth="1"/>
    <col min="5" max="5" width="15.6328125" customWidth="1"/>
    <col min="6" max="6" width="12.26953125" customWidth="1"/>
    <col min="7" max="7" width="12.36328125" customWidth="1"/>
    <col min="8" max="8" width="13.7265625" customWidth="1"/>
    <col min="9" max="9" width="10.26953125" bestFit="1" customWidth="1"/>
    <col min="10" max="10" width="14.81640625" customWidth="1"/>
    <col min="11" max="11" width="16.7265625" customWidth="1"/>
    <col min="12" max="12" width="10.08984375" bestFit="1" customWidth="1"/>
    <col min="13" max="13" width="10.7265625" bestFit="1" customWidth="1"/>
    <col min="14" max="14" width="12.7265625" customWidth="1"/>
    <col min="15" max="15" width="10.81640625" customWidth="1"/>
    <col min="16" max="19" width="12.7265625" customWidth="1"/>
    <col min="20" max="20" width="60" customWidth="1"/>
    <col min="21" max="21" width="20.08984375" customWidth="1"/>
    <col min="29" max="29" width="11.36328125" bestFit="1" customWidth="1"/>
    <col min="30" max="30" width="10.26953125" bestFit="1" customWidth="1"/>
    <col min="31" max="31" width="15.81640625" customWidth="1"/>
  </cols>
  <sheetData>
    <row r="1" spans="1:22" s="2" customFormat="1" ht="23.25" customHeight="1" x14ac:dyDescent="0.4">
      <c r="A1" s="30"/>
      <c r="B1" s="30"/>
      <c r="C1" s="29" t="s">
        <v>18</v>
      </c>
      <c r="D1" s="999" t="s">
        <v>0</v>
      </c>
      <c r="E1" s="999"/>
      <c r="F1" s="999" t="s">
        <v>1</v>
      </c>
      <c r="G1" s="999"/>
      <c r="H1" s="999" t="s">
        <v>2</v>
      </c>
      <c r="I1" s="999"/>
      <c r="J1" s="999" t="s">
        <v>3</v>
      </c>
      <c r="K1" s="999"/>
      <c r="L1" s="999" t="s">
        <v>62</v>
      </c>
      <c r="M1" s="999"/>
      <c r="N1" s="999" t="s">
        <v>23</v>
      </c>
      <c r="O1" s="999"/>
      <c r="P1" s="999" t="s">
        <v>26</v>
      </c>
      <c r="Q1" s="999"/>
      <c r="R1" s="999" t="s">
        <v>19</v>
      </c>
      <c r="S1" s="999"/>
      <c r="T1" s="999" t="s">
        <v>4</v>
      </c>
      <c r="U1" s="1005"/>
    </row>
    <row r="2" spans="1:22" s="2" customFormat="1" ht="15.75" customHeight="1" x14ac:dyDescent="0.35">
      <c r="A2" s="30"/>
      <c r="B2" s="30"/>
      <c r="C2" s="15" t="s">
        <v>5</v>
      </c>
      <c r="D2" s="135">
        <f>'Savings Summary'!D3</f>
        <v>0</v>
      </c>
      <c r="E2" s="136" t="s">
        <v>6</v>
      </c>
      <c r="F2" s="135">
        <f>'Savings Summary'!F3</f>
        <v>0</v>
      </c>
      <c r="G2" s="14" t="s">
        <v>7</v>
      </c>
      <c r="H2" s="133">
        <f>'Savings Summary'!H3</f>
        <v>0</v>
      </c>
      <c r="I2" s="14" t="s">
        <v>8</v>
      </c>
      <c r="J2" s="134">
        <f>'Savings Summary'!J3</f>
        <v>0</v>
      </c>
      <c r="K2" s="106" t="s">
        <v>89</v>
      </c>
      <c r="L2" s="13">
        <f>'Savings Summary'!L3</f>
        <v>0</v>
      </c>
      <c r="M2" s="5" t="s">
        <v>69</v>
      </c>
      <c r="N2" s="13">
        <f>'Savings Summary'!N3</f>
        <v>0</v>
      </c>
      <c r="O2" s="14" t="s">
        <v>24</v>
      </c>
      <c r="P2" s="13">
        <f>'Savings Summary'!P3</f>
        <v>0</v>
      </c>
      <c r="Q2" s="14" t="s">
        <v>24</v>
      </c>
      <c r="R2" s="13">
        <f>'Savings Summary'!R3</f>
        <v>0</v>
      </c>
      <c r="S2" s="5" t="s">
        <v>37</v>
      </c>
      <c r="T2" s="420">
        <f>(D2*3.412)+(F2*138.6905)+(H2*100)+(J2*91.6476)+(L2*1194)+(P2*9500)</f>
        <v>0</v>
      </c>
      <c r="U2" s="419" t="s">
        <v>21</v>
      </c>
    </row>
    <row r="3" spans="1:22" s="2" customFormat="1" ht="15" customHeight="1" x14ac:dyDescent="0.4">
      <c r="A3" s="30"/>
      <c r="B3" s="31"/>
      <c r="C3" s="16" t="s">
        <v>9</v>
      </c>
      <c r="D3" s="137">
        <f>'Savings Summary'!D4</f>
        <v>0</v>
      </c>
      <c r="E3" s="136" t="s">
        <v>10</v>
      </c>
      <c r="F3" s="135">
        <f>'Savings Summary'!F4</f>
        <v>0</v>
      </c>
      <c r="G3" s="14"/>
      <c r="H3" s="133">
        <f>'Savings Summary'!H4</f>
        <v>0</v>
      </c>
      <c r="I3" s="14"/>
      <c r="J3" s="134">
        <f>'Savings Summary'!J4</f>
        <v>0</v>
      </c>
      <c r="K3" s="14"/>
      <c r="L3" s="13">
        <f>'Savings Summary'!L4</f>
        <v>0</v>
      </c>
      <c r="M3" s="14"/>
      <c r="N3" s="13">
        <f>'Savings Summary'!N4</f>
        <v>0</v>
      </c>
      <c r="O3" s="14"/>
      <c r="P3" s="13">
        <f>'Savings Summary'!P4</f>
        <v>0</v>
      </c>
      <c r="Q3" s="14"/>
      <c r="R3" s="13">
        <f>'Savings Summary'!R4</f>
        <v>0</v>
      </c>
      <c r="S3" s="5"/>
      <c r="T3" s="400">
        <f>D3+F3+H3+J3+L3+P3+R3</f>
        <v>0</v>
      </c>
      <c r="U3" s="391" t="s">
        <v>173</v>
      </c>
    </row>
    <row r="4" spans="1:22" s="2" customFormat="1" ht="15" customHeight="1" thickBot="1" x14ac:dyDescent="0.45">
      <c r="A4" s="33"/>
      <c r="B4" s="32"/>
      <c r="C4" s="17" t="s">
        <v>11</v>
      </c>
      <c r="D4" s="8">
        <f>IF(D2=0,0,D3/D2)</f>
        <v>0</v>
      </c>
      <c r="E4" s="9" t="s">
        <v>12</v>
      </c>
      <c r="F4" s="8">
        <f>IF(F2=0,0,F3/F2)</f>
        <v>0</v>
      </c>
      <c r="G4" s="10" t="s">
        <v>13</v>
      </c>
      <c r="H4" s="8">
        <f>IF(H2=0,0,H3/H2)</f>
        <v>0</v>
      </c>
      <c r="I4" s="10" t="s">
        <v>14</v>
      </c>
      <c r="J4" s="8">
        <f>IF(J2=0,0,J3/J2)</f>
        <v>0</v>
      </c>
      <c r="K4" s="10" t="s">
        <v>13</v>
      </c>
      <c r="L4" s="8">
        <f>IF(L2=0,0,L3/L2)</f>
        <v>0</v>
      </c>
      <c r="M4" s="10" t="s">
        <v>70</v>
      </c>
      <c r="N4" s="8">
        <f>IF(N2=0,0,N3/N2)</f>
        <v>0</v>
      </c>
      <c r="O4" s="10" t="s">
        <v>25</v>
      </c>
      <c r="P4" s="8">
        <f>IF(P2=0,0,P3/P2)</f>
        <v>0</v>
      </c>
      <c r="Q4" s="10" t="s">
        <v>25</v>
      </c>
      <c r="R4" s="8">
        <f>IF(R2=0,0,R3/R2)</f>
        <v>0</v>
      </c>
      <c r="S4" s="10" t="s">
        <v>13</v>
      </c>
      <c r="T4" s="11"/>
      <c r="U4" s="12"/>
      <c r="V4" s="19"/>
    </row>
    <row r="5" spans="1:22" ht="38.25" customHeight="1" thickBot="1" x14ac:dyDescent="0.3">
      <c r="A5" s="26"/>
      <c r="B5" s="1000" t="s">
        <v>33</v>
      </c>
      <c r="C5" s="1000"/>
      <c r="D5" s="1001" t="s">
        <v>29</v>
      </c>
      <c r="E5" s="1002"/>
      <c r="F5" s="1001" t="s">
        <v>30</v>
      </c>
      <c r="G5" s="1002"/>
      <c r="H5" s="1001" t="s">
        <v>31</v>
      </c>
      <c r="I5" s="1003"/>
      <c r="J5" s="1001" t="s">
        <v>32</v>
      </c>
      <c r="K5" s="1003"/>
      <c r="L5" s="1001" t="s">
        <v>71</v>
      </c>
      <c r="M5" s="1003"/>
      <c r="N5" s="1001" t="s">
        <v>27</v>
      </c>
      <c r="O5" s="1003"/>
      <c r="P5" s="1001" t="s">
        <v>28</v>
      </c>
      <c r="Q5" s="1003"/>
      <c r="R5" s="1001" t="s">
        <v>38</v>
      </c>
      <c r="S5" s="1004"/>
      <c r="T5" s="39" t="s">
        <v>15</v>
      </c>
      <c r="U5" s="18" t="s">
        <v>36</v>
      </c>
      <c r="V5" s="1" t="s">
        <v>134</v>
      </c>
    </row>
    <row r="6" spans="1:22" ht="13.5" thickBot="1" x14ac:dyDescent="0.35">
      <c r="A6" s="27"/>
      <c r="B6" s="25" t="str">
        <f>'EEM Data Entry'!A85</f>
        <v/>
      </c>
      <c r="C6" s="239" t="str">
        <f>'EEM Data Entry'!B85</f>
        <v/>
      </c>
      <c r="D6" s="179">
        <f>'Cascading Cap Cost &amp; Savings'!D3*'Cascading Savings'!$D$2</f>
        <v>0</v>
      </c>
      <c r="E6" s="132">
        <f>IF(D$2=0,0,D6/D$2)</f>
        <v>0</v>
      </c>
      <c r="F6" s="179">
        <f>'Cascading Cap Cost &amp; Savings'!E3*'Cascading Savings'!$F$2</f>
        <v>0</v>
      </c>
      <c r="G6" s="132">
        <f>IF(F$2=0,0,F6/F$2)</f>
        <v>0</v>
      </c>
      <c r="H6" s="179">
        <f>'Cascading Cap Cost &amp; Savings'!F3*'Cascading Savings'!$H$2</f>
        <v>0</v>
      </c>
      <c r="I6" s="132">
        <f>IF(H$2=0,0,H6/H$2)</f>
        <v>0</v>
      </c>
      <c r="J6" s="179">
        <f>'Cascading Cap Cost &amp; Savings'!G3*'Cascading Savings'!$J$2</f>
        <v>0</v>
      </c>
      <c r="K6" s="132">
        <f>IF(J$2=0,0,J6/J$2)</f>
        <v>0</v>
      </c>
      <c r="L6" s="179">
        <f>'Cascading Cap Cost &amp; Savings'!H3*'Cascading Savings'!$L$2</f>
        <v>0</v>
      </c>
      <c r="M6" s="132">
        <f>IF(L$2=0,0,L6/L$2)</f>
        <v>0</v>
      </c>
      <c r="N6" s="179">
        <f>'Cascading Cap Cost &amp; Savings'!I3*'Cascading Savings'!$N$2</f>
        <v>0</v>
      </c>
      <c r="O6" s="132">
        <f>IF(N$2=0,0,N6/N$2)</f>
        <v>0</v>
      </c>
      <c r="P6" s="179">
        <f>'Cascading Cap Cost &amp; Savings'!J3*('Cascading Savings'!$P$2)</f>
        <v>0</v>
      </c>
      <c r="Q6" s="132">
        <f>IF(P$2=0,0,P6/P$2)</f>
        <v>0</v>
      </c>
      <c r="R6" s="179">
        <f>'Cascading Cap Cost &amp; Savings'!K3*'Cascading Savings'!$R$2</f>
        <v>0</v>
      </c>
      <c r="S6" s="132">
        <f>IF(R$2=0,0,R6/R$2)</f>
        <v>0</v>
      </c>
      <c r="T6" s="38">
        <f>($D6*3.412)+($F6*138.6905)+($H6*100)+(($J6*91.6476))+($L6*1194)+(N6*16400)+(P6*9500)+(R6*0)</f>
        <v>0</v>
      </c>
      <c r="U6" s="22">
        <f>IF(T$2&gt;0, T6/T$2, 0)</f>
        <v>0</v>
      </c>
      <c r="V6" s="118" t="e">
        <f>'Individual Measure List'!I8</f>
        <v>#VALUE!</v>
      </c>
    </row>
    <row r="7" spans="1:22" ht="13.5" thickBot="1" x14ac:dyDescent="0.35">
      <c r="A7" s="27"/>
      <c r="B7" s="25" t="str">
        <f>'EEM Data Entry'!A86</f>
        <v/>
      </c>
      <c r="C7" s="239" t="str">
        <f>'EEM Data Entry'!B86</f>
        <v/>
      </c>
      <c r="D7" s="138">
        <f>'Cascading Cap Cost &amp; Savings'!D4*('Cascading Savings'!$D$2-D6)</f>
        <v>0</v>
      </c>
      <c r="E7" s="132">
        <f t="shared" ref="E7:E29" si="0">IF($D$2=0,0,D7/D$2)</f>
        <v>0</v>
      </c>
      <c r="F7" s="179">
        <f>'Cascading Cap Cost &amp; Savings'!E4*('Cascading Savings'!$F$2-F6)</f>
        <v>0</v>
      </c>
      <c r="G7" s="132">
        <f t="shared" ref="G7" si="1">IF($D$2=0,0,F7/F$2)</f>
        <v>0</v>
      </c>
      <c r="H7" s="179">
        <f>'Cascading Cap Cost &amp; Savings'!F4*('Cascading Savings'!$H$2-H6)</f>
        <v>0</v>
      </c>
      <c r="I7" s="132">
        <f t="shared" ref="I7" si="2">IF($D$2=0,0,H7/H$2)</f>
        <v>0</v>
      </c>
      <c r="J7" s="179">
        <f>'Cascading Cap Cost &amp; Savings'!G4*('Cascading Savings'!$J$2-J6)</f>
        <v>0</v>
      </c>
      <c r="K7" s="132">
        <f t="shared" ref="K7" si="3">IF($D$2=0,0,J7/J$2)</f>
        <v>0</v>
      </c>
      <c r="L7" s="179">
        <f>'Cascading Cap Cost &amp; Savings'!H4*('Cascading Savings'!$L$2-L6)</f>
        <v>0</v>
      </c>
      <c r="M7" s="132">
        <f t="shared" ref="M7" si="4">IF($D$2=0,0,L7/L$2)</f>
        <v>0</v>
      </c>
      <c r="N7" s="179">
        <f>'Cascading Cap Cost &amp; Savings'!I4*('Cascading Savings'!$N$2-N$6)</f>
        <v>0</v>
      </c>
      <c r="O7" s="132">
        <f t="shared" ref="O7" si="5">IF($D$2=0,0,N7/N$2)</f>
        <v>0</v>
      </c>
      <c r="P7" s="179">
        <f>'Cascading Cap Cost &amp; Savings'!J4*('Cascading Savings'!$P$2-(SUM(P$6)))</f>
        <v>0</v>
      </c>
      <c r="Q7" s="132">
        <f t="shared" ref="Q7" si="6">IF($D$2=0,0,P7/P$2)</f>
        <v>0</v>
      </c>
      <c r="R7" s="179">
        <f>'Cascading Cap Cost &amp; Savings'!K4*('Cascading Savings'!$R$2-(SUM(R$6)))</f>
        <v>0</v>
      </c>
      <c r="S7" s="132">
        <f t="shared" ref="S7" si="7">IF($D$2=0,0,R7/R$2)</f>
        <v>0</v>
      </c>
      <c r="T7" s="38">
        <f t="shared" ref="T7:T29" si="8">($D7*3.412)+($F7*138.6905)+($H7*100)+(($J7*91.6476))+($L7*1194)+(N7*16400)+(P7*9500)+(R7*0)</f>
        <v>0</v>
      </c>
      <c r="U7" s="22">
        <f t="shared" ref="U7:U29" si="9">IF(T$2&gt;0, T7/T$2, 0)</f>
        <v>0</v>
      </c>
      <c r="V7" s="118" t="e">
        <f>'Individual Measure List'!I9</f>
        <v>#VALUE!</v>
      </c>
    </row>
    <row r="8" spans="1:22" ht="14.25" customHeight="1" thickBot="1" x14ac:dyDescent="0.35">
      <c r="A8" s="27"/>
      <c r="B8" s="25" t="str">
        <f>'EEM Data Entry'!A87</f>
        <v/>
      </c>
      <c r="C8" s="239" t="str">
        <f>'EEM Data Entry'!B87</f>
        <v/>
      </c>
      <c r="D8" s="138">
        <f>'Cascading Cap Cost &amp; Savings'!D5*('Cascading Savings'!$D$2-(SUM(D$6:D7)))</f>
        <v>0</v>
      </c>
      <c r="E8" s="132">
        <f t="shared" si="0"/>
        <v>0</v>
      </c>
      <c r="F8" s="179">
        <f>'Cascading Cap Cost &amp; Savings'!E5*('Cascading Savings'!$F$2-(SUM(F$6:F7)))</f>
        <v>0</v>
      </c>
      <c r="G8" s="132">
        <f t="shared" ref="G8" si="10">IF($D$2=0,0,F8/F$2)</f>
        <v>0</v>
      </c>
      <c r="H8" s="179">
        <f>'Cascading Cap Cost &amp; Savings'!F5*('Cascading Savings'!$H$2-(SUM(H$6:H7)))</f>
        <v>0</v>
      </c>
      <c r="I8" s="132">
        <f t="shared" ref="I8" si="11">IF($D$2=0,0,H8/H$2)</f>
        <v>0</v>
      </c>
      <c r="J8" s="179">
        <f>'Cascading Cap Cost &amp; Savings'!G5*('Cascading Savings'!$J$2-(SUM(J$6:J7)))</f>
        <v>0</v>
      </c>
      <c r="K8" s="132">
        <f t="shared" ref="K8" si="12">IF($D$2=0,0,J8/J$2)</f>
        <v>0</v>
      </c>
      <c r="L8" s="179">
        <f>'Cascading Cap Cost &amp; Savings'!H5*('Cascading Savings'!$L$2-(SUM(L$6:L7)))</f>
        <v>0</v>
      </c>
      <c r="M8" s="132">
        <f t="shared" ref="M8" si="13">IF($D$2=0,0,L8/L$2)</f>
        <v>0</v>
      </c>
      <c r="N8" s="179">
        <f>'Cascading Cap Cost &amp; Savings'!I5*('Cascading Savings'!$N$2-(SUM(N$6:N7)))</f>
        <v>0</v>
      </c>
      <c r="O8" s="132">
        <f t="shared" ref="O8" si="14">IF($D$2=0,0,N8/N$2)</f>
        <v>0</v>
      </c>
      <c r="P8" s="179">
        <f>'Cascading Cap Cost &amp; Savings'!J5*('Cascading Savings'!$P$2-(SUM(P$6:P7)))</f>
        <v>0</v>
      </c>
      <c r="Q8" s="132">
        <f t="shared" ref="Q8" si="15">IF($D$2=0,0,P8/P$2)</f>
        <v>0</v>
      </c>
      <c r="R8" s="179">
        <f>'Cascading Cap Cost &amp; Savings'!K5*('Cascading Savings'!$R$2-(SUM(R$6:R7)))</f>
        <v>0</v>
      </c>
      <c r="S8" s="132">
        <f t="shared" ref="S8" si="16">IF($D$2=0,0,R8/R$2)</f>
        <v>0</v>
      </c>
      <c r="T8" s="38">
        <f t="shared" si="8"/>
        <v>0</v>
      </c>
      <c r="U8" s="22">
        <f t="shared" si="9"/>
        <v>0</v>
      </c>
      <c r="V8" s="118" t="e">
        <f>'Individual Measure List'!I10</f>
        <v>#VALUE!</v>
      </c>
    </row>
    <row r="9" spans="1:22" ht="13.5" thickBot="1" x14ac:dyDescent="0.35">
      <c r="A9" s="27"/>
      <c r="B9" s="25" t="str">
        <f>'EEM Data Entry'!A88</f>
        <v/>
      </c>
      <c r="C9" s="239" t="str">
        <f>'EEM Data Entry'!B88</f>
        <v/>
      </c>
      <c r="D9" s="138">
        <f>'Cascading Cap Cost &amp; Savings'!D6*('Cascading Savings'!$D$2-(SUM(D$6:D8)))</f>
        <v>0</v>
      </c>
      <c r="E9" s="132">
        <f t="shared" si="0"/>
        <v>0</v>
      </c>
      <c r="F9" s="179">
        <f>'Cascading Cap Cost &amp; Savings'!E6*('Cascading Savings'!$F$2-(SUM(F$6:F8)))</f>
        <v>0</v>
      </c>
      <c r="G9" s="132">
        <f t="shared" ref="G9" si="17">IF($D$2=0,0,F9/F$2)</f>
        <v>0</v>
      </c>
      <c r="H9" s="179">
        <f>'Cascading Cap Cost &amp; Savings'!F6*('Cascading Savings'!$H$2-(SUM(H$6:H8)))</f>
        <v>0</v>
      </c>
      <c r="I9" s="132">
        <f t="shared" ref="I9" si="18">IF($D$2=0,0,H9/H$2)</f>
        <v>0</v>
      </c>
      <c r="J9" s="179">
        <f>'Cascading Cap Cost &amp; Savings'!G6*('Cascading Savings'!$J$2-(SUM(J$6:J8)))</f>
        <v>0</v>
      </c>
      <c r="K9" s="132">
        <f t="shared" ref="K9" si="19">IF($D$2=0,0,J9/J$2)</f>
        <v>0</v>
      </c>
      <c r="L9" s="179">
        <f>'Cascading Cap Cost &amp; Savings'!H6*('Cascading Savings'!$L$2-(SUM(L$6:L8)))</f>
        <v>0</v>
      </c>
      <c r="M9" s="132">
        <f t="shared" ref="M9" si="20">IF($D$2=0,0,L9/L$2)</f>
        <v>0</v>
      </c>
      <c r="N9" s="179">
        <f>'Cascading Cap Cost &amp; Savings'!I6*('Cascading Savings'!$N$2-(SUM(N$6:N8)))</f>
        <v>0</v>
      </c>
      <c r="O9" s="132">
        <f t="shared" ref="O9" si="21">IF($D$2=0,0,N9/N$2)</f>
        <v>0</v>
      </c>
      <c r="P9" s="179">
        <f>'Cascading Cap Cost &amp; Savings'!J6*('Cascading Savings'!$P$2-(SUM(P$6:P8)))</f>
        <v>0</v>
      </c>
      <c r="Q9" s="132">
        <f t="shared" ref="Q9" si="22">IF($D$2=0,0,P9/P$2)</f>
        <v>0</v>
      </c>
      <c r="R9" s="179">
        <f>'Cascading Cap Cost &amp; Savings'!K6*('Cascading Savings'!$R$2-(SUM(R$6:R8)))</f>
        <v>0</v>
      </c>
      <c r="S9" s="132">
        <f t="shared" ref="S9" si="23">IF($D$2=0,0,R9/R$2)</f>
        <v>0</v>
      </c>
      <c r="T9" s="38">
        <f t="shared" si="8"/>
        <v>0</v>
      </c>
      <c r="U9" s="22">
        <f t="shared" si="9"/>
        <v>0</v>
      </c>
      <c r="V9" s="118" t="e">
        <f>'Individual Measure List'!I11</f>
        <v>#VALUE!</v>
      </c>
    </row>
    <row r="10" spans="1:22" ht="13.5" thickBot="1" x14ac:dyDescent="0.35">
      <c r="A10" s="27"/>
      <c r="B10" s="25" t="str">
        <f>'EEM Data Entry'!A89</f>
        <v/>
      </c>
      <c r="C10" s="239" t="str">
        <f>'EEM Data Entry'!B89</f>
        <v/>
      </c>
      <c r="D10" s="138">
        <f>'Cascading Cap Cost &amp; Savings'!D7*('Cascading Savings'!$D$2-(SUM(D$6:D9)))</f>
        <v>0</v>
      </c>
      <c r="E10" s="132">
        <f t="shared" si="0"/>
        <v>0</v>
      </c>
      <c r="F10" s="179">
        <f>'Cascading Cap Cost &amp; Savings'!E7*('Cascading Savings'!$F$2-(SUM(F$6:F9)))</f>
        <v>0</v>
      </c>
      <c r="G10" s="132">
        <f t="shared" ref="G10" si="24">IF($D$2=0,0,F10/F$2)</f>
        <v>0</v>
      </c>
      <c r="H10" s="179">
        <f>'Cascading Cap Cost &amp; Savings'!F7*('Cascading Savings'!$H$2-(SUM(H$6:H9)))</f>
        <v>0</v>
      </c>
      <c r="I10" s="132">
        <f t="shared" ref="I10" si="25">IF($D$2=0,0,H10/H$2)</f>
        <v>0</v>
      </c>
      <c r="J10" s="179">
        <f>'Cascading Cap Cost &amp; Savings'!G7*('Cascading Savings'!$J$2-(SUM(J$6:J9)))</f>
        <v>0</v>
      </c>
      <c r="K10" s="132">
        <f t="shared" ref="K10" si="26">IF($D$2=0,0,J10/J$2)</f>
        <v>0</v>
      </c>
      <c r="L10" s="179">
        <f>'Cascading Cap Cost &amp; Savings'!H7*('Cascading Savings'!$L$2-(SUM(L$6:L9)))</f>
        <v>0</v>
      </c>
      <c r="M10" s="132">
        <f t="shared" ref="M10" si="27">IF($D$2=0,0,L10/L$2)</f>
        <v>0</v>
      </c>
      <c r="N10" s="179">
        <f>'Cascading Cap Cost &amp; Savings'!I7*('Cascading Savings'!$N$2-(SUM(N$6:N9)))</f>
        <v>0</v>
      </c>
      <c r="O10" s="132">
        <f t="shared" ref="O10" si="28">IF($D$2=0,0,N10/N$2)</f>
        <v>0</v>
      </c>
      <c r="P10" s="179">
        <f>'Cascading Cap Cost &amp; Savings'!J7*('Cascading Savings'!$P$2-(SUM(P$6:P9)))</f>
        <v>0</v>
      </c>
      <c r="Q10" s="132">
        <f t="shared" ref="Q10" si="29">IF($D$2=0,0,P10/P$2)</f>
        <v>0</v>
      </c>
      <c r="R10" s="179">
        <f>'Cascading Cap Cost &amp; Savings'!K7*('Cascading Savings'!$R$2-(SUM(R$6:R9)))</f>
        <v>0</v>
      </c>
      <c r="S10" s="132">
        <f t="shared" ref="S10" si="30">IF($D$2=0,0,R10/R$2)</f>
        <v>0</v>
      </c>
      <c r="T10" s="38">
        <f t="shared" si="8"/>
        <v>0</v>
      </c>
      <c r="U10" s="22">
        <f t="shared" si="9"/>
        <v>0</v>
      </c>
      <c r="V10" s="118" t="e">
        <f>'Individual Measure List'!I12</f>
        <v>#VALUE!</v>
      </c>
    </row>
    <row r="11" spans="1:22" ht="13.5" thickBot="1" x14ac:dyDescent="0.35">
      <c r="A11" s="27"/>
      <c r="B11" s="25" t="str">
        <f>'EEM Data Entry'!A90</f>
        <v/>
      </c>
      <c r="C11" s="239" t="str">
        <f>'EEM Data Entry'!B90</f>
        <v/>
      </c>
      <c r="D11" s="138">
        <f>'Cascading Cap Cost &amp; Savings'!D8*('Cascading Savings'!$D$2-(SUM(D$6:D10)))</f>
        <v>0</v>
      </c>
      <c r="E11" s="132">
        <f t="shared" si="0"/>
        <v>0</v>
      </c>
      <c r="F11" s="179">
        <f>'Cascading Cap Cost &amp; Savings'!E8*('Cascading Savings'!$F$2-(SUM(F$6:F10)))</f>
        <v>0</v>
      </c>
      <c r="G11" s="132">
        <f t="shared" ref="G11" si="31">IF($D$2=0,0,F11/F$2)</f>
        <v>0</v>
      </c>
      <c r="H11" s="179">
        <f>'Cascading Cap Cost &amp; Savings'!F8*('Cascading Savings'!$H$2-(SUM(H$6:H10)))</f>
        <v>0</v>
      </c>
      <c r="I11" s="132">
        <f t="shared" ref="I11" si="32">IF($D$2=0,0,H11/H$2)</f>
        <v>0</v>
      </c>
      <c r="J11" s="179">
        <f>'Cascading Cap Cost &amp; Savings'!G8*('Cascading Savings'!$J$2-(SUM(J$6:J10)))</f>
        <v>0</v>
      </c>
      <c r="K11" s="132">
        <f t="shared" ref="K11" si="33">IF($D$2=0,0,J11/J$2)</f>
        <v>0</v>
      </c>
      <c r="L11" s="179">
        <f>'Cascading Cap Cost &amp; Savings'!H8*('Cascading Savings'!$L$2-(SUM(L$6:L10)))</f>
        <v>0</v>
      </c>
      <c r="M11" s="132">
        <f t="shared" ref="M11" si="34">IF($D$2=0,0,L11/L$2)</f>
        <v>0</v>
      </c>
      <c r="N11" s="179">
        <f>'Cascading Cap Cost &amp; Savings'!I8*('Cascading Savings'!$N$2-(SUM(N$6:N10)))</f>
        <v>0</v>
      </c>
      <c r="O11" s="132">
        <f t="shared" ref="O11" si="35">IF($D$2=0,0,N11/N$2)</f>
        <v>0</v>
      </c>
      <c r="P11" s="179">
        <f>'Cascading Cap Cost &amp; Savings'!J8*('Cascading Savings'!$P$2-(SUM(P$6:P10)))</f>
        <v>0</v>
      </c>
      <c r="Q11" s="132">
        <f t="shared" ref="Q11" si="36">IF($D$2=0,0,P11/P$2)</f>
        <v>0</v>
      </c>
      <c r="R11" s="179">
        <f>'Cascading Cap Cost &amp; Savings'!K8*('Cascading Savings'!$R$2-(SUM(R$6:R10)))</f>
        <v>0</v>
      </c>
      <c r="S11" s="132">
        <f t="shared" ref="S11" si="37">IF($D$2=0,0,R11/R$2)</f>
        <v>0</v>
      </c>
      <c r="T11" s="38">
        <f t="shared" si="8"/>
        <v>0</v>
      </c>
      <c r="U11" s="22">
        <f t="shared" si="9"/>
        <v>0</v>
      </c>
      <c r="V11" s="118" t="e">
        <f>'Individual Measure List'!I13</f>
        <v>#VALUE!</v>
      </c>
    </row>
    <row r="12" spans="1:22" ht="13.5" thickBot="1" x14ac:dyDescent="0.35">
      <c r="A12" s="27"/>
      <c r="B12" s="25" t="str">
        <f>'EEM Data Entry'!A91</f>
        <v/>
      </c>
      <c r="C12" s="239" t="str">
        <f>'EEM Data Entry'!B91</f>
        <v/>
      </c>
      <c r="D12" s="138">
        <f>'Cascading Cap Cost &amp; Savings'!D9*('Cascading Savings'!$D$2-(SUM(D$6:D11)))</f>
        <v>0</v>
      </c>
      <c r="E12" s="132">
        <f>IF($D$2=0,0,D12/D$2)</f>
        <v>0</v>
      </c>
      <c r="F12" s="179">
        <f>'Cascading Cap Cost &amp; Savings'!E9*('Cascading Savings'!$F$2-(SUM(F$6:F11)))</f>
        <v>0</v>
      </c>
      <c r="G12" s="132">
        <f t="shared" ref="G12" si="38">IF($D$2=0,0,F12/F$2)</f>
        <v>0</v>
      </c>
      <c r="H12" s="179">
        <f>'Cascading Cap Cost &amp; Savings'!F9*('Cascading Savings'!$H$2-(SUM(H$6:H11)))</f>
        <v>0</v>
      </c>
      <c r="I12" s="132">
        <f t="shared" ref="I12" si="39">IF($D$2=0,0,H12/H$2)</f>
        <v>0</v>
      </c>
      <c r="J12" s="179">
        <f>'Cascading Cap Cost &amp; Savings'!G9*('Cascading Savings'!$J$2-(SUM(J$6:J11)))</f>
        <v>0</v>
      </c>
      <c r="K12" s="132">
        <f t="shared" ref="K12" si="40">IF($D$2=0,0,J12/J$2)</f>
        <v>0</v>
      </c>
      <c r="L12" s="179">
        <f>'Cascading Cap Cost &amp; Savings'!H9*('Cascading Savings'!$L$2-(SUM(L$6:L11)))</f>
        <v>0</v>
      </c>
      <c r="M12" s="132">
        <f t="shared" ref="M12" si="41">IF($D$2=0,0,L12/L$2)</f>
        <v>0</v>
      </c>
      <c r="N12" s="179">
        <f>'Cascading Cap Cost &amp; Savings'!I9*('Cascading Savings'!$N$2-(SUM(N$6:N11)))</f>
        <v>0</v>
      </c>
      <c r="O12" s="132">
        <f t="shared" ref="O12" si="42">IF($D$2=0,0,N12/N$2)</f>
        <v>0</v>
      </c>
      <c r="P12" s="179">
        <f>'Cascading Cap Cost &amp; Savings'!J9*('Cascading Savings'!$P$2-(SUM(P$6:P11)))</f>
        <v>0</v>
      </c>
      <c r="Q12" s="132">
        <f t="shared" ref="Q12" si="43">IF($D$2=0,0,P12/P$2)</f>
        <v>0</v>
      </c>
      <c r="R12" s="179">
        <f>'Cascading Cap Cost &amp; Savings'!K9*('Cascading Savings'!$R$2-(SUM(R$6:R11)))</f>
        <v>0</v>
      </c>
      <c r="S12" s="132">
        <f t="shared" ref="S12" si="44">IF($D$2=0,0,R12/R$2)</f>
        <v>0</v>
      </c>
      <c r="T12" s="38">
        <f t="shared" si="8"/>
        <v>0</v>
      </c>
      <c r="U12" s="22">
        <f t="shared" si="9"/>
        <v>0</v>
      </c>
      <c r="V12" s="118" t="e">
        <f>'Individual Measure List'!I14</f>
        <v>#VALUE!</v>
      </c>
    </row>
    <row r="13" spans="1:22" ht="13.5" thickBot="1" x14ac:dyDescent="0.35">
      <c r="A13" s="27"/>
      <c r="B13" s="25" t="str">
        <f>'EEM Data Entry'!A92</f>
        <v/>
      </c>
      <c r="C13" s="239" t="str">
        <f>'EEM Data Entry'!B92</f>
        <v/>
      </c>
      <c r="D13" s="138">
        <f>'Cascading Cap Cost &amp; Savings'!D10*('Cascading Savings'!$D$2-(SUM(D$6:D12)))</f>
        <v>0</v>
      </c>
      <c r="E13" s="132">
        <f t="shared" si="0"/>
        <v>0</v>
      </c>
      <c r="F13" s="179">
        <f>'Cascading Cap Cost &amp; Savings'!E10*('Cascading Savings'!$F$2-(SUM(F$6:F12)))</f>
        <v>0</v>
      </c>
      <c r="G13" s="132">
        <f t="shared" ref="G13" si="45">IF($D$2=0,0,F13/F$2)</f>
        <v>0</v>
      </c>
      <c r="H13" s="179">
        <f>'Cascading Cap Cost &amp; Savings'!F10*('Cascading Savings'!$H$2-(SUM(H$6:H12)))</f>
        <v>0</v>
      </c>
      <c r="I13" s="132">
        <f t="shared" ref="I13" si="46">IF($D$2=0,0,H13/H$2)</f>
        <v>0</v>
      </c>
      <c r="J13" s="179">
        <f>'Cascading Cap Cost &amp; Savings'!G10*('Cascading Savings'!$J$2-(SUM(J$6:J12)))</f>
        <v>0</v>
      </c>
      <c r="K13" s="132">
        <f t="shared" ref="K13" si="47">IF($D$2=0,0,J13/J$2)</f>
        <v>0</v>
      </c>
      <c r="L13" s="179">
        <f>'Cascading Cap Cost &amp; Savings'!H10*('Cascading Savings'!$L$2-(SUM(L$6:L12)))</f>
        <v>0</v>
      </c>
      <c r="M13" s="132">
        <f t="shared" ref="M13" si="48">IF($D$2=0,0,L13/L$2)</f>
        <v>0</v>
      </c>
      <c r="N13" s="179">
        <f>'Cascading Cap Cost &amp; Savings'!I10*('Cascading Savings'!$N$2-(SUM(N$6:N12)))</f>
        <v>0</v>
      </c>
      <c r="O13" s="132">
        <f t="shared" ref="O13" si="49">IF($D$2=0,0,N13/N$2)</f>
        <v>0</v>
      </c>
      <c r="P13" s="179">
        <f>'Cascading Cap Cost &amp; Savings'!J10*('Cascading Savings'!$P$2-(SUM(P$6:P12)))</f>
        <v>0</v>
      </c>
      <c r="Q13" s="132">
        <f t="shared" ref="Q13" si="50">IF($D$2=0,0,P13/P$2)</f>
        <v>0</v>
      </c>
      <c r="R13" s="179">
        <f>'Cascading Cap Cost &amp; Savings'!K10*('Cascading Savings'!$R$2-(SUM(R$6:R12)))</f>
        <v>0</v>
      </c>
      <c r="S13" s="132">
        <f t="shared" ref="S13" si="51">IF($D$2=0,0,R13/R$2)</f>
        <v>0</v>
      </c>
      <c r="T13" s="38">
        <f t="shared" si="8"/>
        <v>0</v>
      </c>
      <c r="U13" s="22">
        <f t="shared" si="9"/>
        <v>0</v>
      </c>
      <c r="V13" s="118" t="e">
        <f>'Individual Measure List'!I15</f>
        <v>#VALUE!</v>
      </c>
    </row>
    <row r="14" spans="1:22" ht="13.5" thickBot="1" x14ac:dyDescent="0.35">
      <c r="A14" s="27"/>
      <c r="B14" s="25" t="str">
        <f>'EEM Data Entry'!A93</f>
        <v/>
      </c>
      <c r="C14" s="239" t="str">
        <f>'EEM Data Entry'!B93</f>
        <v/>
      </c>
      <c r="D14" s="138">
        <f>'Cascading Cap Cost &amp; Savings'!D11*('Cascading Savings'!$D$2-(SUM(D$6:D13)))</f>
        <v>0</v>
      </c>
      <c r="E14" s="132">
        <f t="shared" si="0"/>
        <v>0</v>
      </c>
      <c r="F14" s="179">
        <f>'Cascading Cap Cost &amp; Savings'!E11*('Cascading Savings'!$F$2-(SUM(F$6:F13)))</f>
        <v>0</v>
      </c>
      <c r="G14" s="132">
        <f t="shared" ref="G14" si="52">IF($D$2=0,0,F14/F$2)</f>
        <v>0</v>
      </c>
      <c r="H14" s="179">
        <f>'Cascading Cap Cost &amp; Savings'!F11*('Cascading Savings'!$H$2-(SUM(H$6:H13)))</f>
        <v>0</v>
      </c>
      <c r="I14" s="132">
        <f t="shared" ref="I14" si="53">IF($D$2=0,0,H14/H$2)</f>
        <v>0</v>
      </c>
      <c r="J14" s="179">
        <f>'Cascading Cap Cost &amp; Savings'!G11*('Cascading Savings'!$J$2-(SUM(J$6:J13)))</f>
        <v>0</v>
      </c>
      <c r="K14" s="132">
        <f t="shared" ref="K14" si="54">IF($D$2=0,0,J14/J$2)</f>
        <v>0</v>
      </c>
      <c r="L14" s="179">
        <f>'Cascading Cap Cost &amp; Savings'!H11*('Cascading Savings'!$L$2-(SUM(L$6:L13)))</f>
        <v>0</v>
      </c>
      <c r="M14" s="132">
        <f t="shared" ref="M14" si="55">IF($D$2=0,0,L14/L$2)</f>
        <v>0</v>
      </c>
      <c r="N14" s="179">
        <f>'Cascading Cap Cost &amp; Savings'!I11*('Cascading Savings'!$N$2-(SUM(N$6:N13)))</f>
        <v>0</v>
      </c>
      <c r="O14" s="132">
        <f t="shared" ref="O14" si="56">IF($D$2=0,0,N14/N$2)</f>
        <v>0</v>
      </c>
      <c r="P14" s="179">
        <f>'Cascading Cap Cost &amp; Savings'!J11*('Cascading Savings'!$P$2-(SUM(P$6:P13)))</f>
        <v>0</v>
      </c>
      <c r="Q14" s="132">
        <f t="shared" ref="Q14" si="57">IF($D$2=0,0,P14/P$2)</f>
        <v>0</v>
      </c>
      <c r="R14" s="179">
        <f>'Cascading Cap Cost &amp; Savings'!K11*('Cascading Savings'!$R$2-(SUM(R$6:R13)))</f>
        <v>0</v>
      </c>
      <c r="S14" s="132">
        <f t="shared" ref="S14" si="58">IF($D$2=0,0,R14/R$2)</f>
        <v>0</v>
      </c>
      <c r="T14" s="38">
        <f t="shared" si="8"/>
        <v>0</v>
      </c>
      <c r="U14" s="22">
        <f t="shared" si="9"/>
        <v>0</v>
      </c>
      <c r="V14" s="118" t="e">
        <f>'Individual Measure List'!I16</f>
        <v>#VALUE!</v>
      </c>
    </row>
    <row r="15" spans="1:22" ht="13.5" thickBot="1" x14ac:dyDescent="0.35">
      <c r="A15" s="27"/>
      <c r="B15" s="25" t="str">
        <f>'EEM Data Entry'!A94</f>
        <v/>
      </c>
      <c r="C15" s="239" t="str">
        <f>'EEM Data Entry'!B94</f>
        <v/>
      </c>
      <c r="D15" s="138">
        <f>'Cascading Cap Cost &amp; Savings'!D12*('Cascading Savings'!$D$2-(SUM(D$6:D14)))</f>
        <v>0</v>
      </c>
      <c r="E15" s="132">
        <f t="shared" si="0"/>
        <v>0</v>
      </c>
      <c r="F15" s="179">
        <f>'Cascading Cap Cost &amp; Savings'!E12*('Cascading Savings'!$F$2-(SUM(F$6:F14)))</f>
        <v>0</v>
      </c>
      <c r="G15" s="132">
        <f t="shared" ref="G15" si="59">IF($D$2=0,0,F15/F$2)</f>
        <v>0</v>
      </c>
      <c r="H15" s="179">
        <f>'Cascading Cap Cost &amp; Savings'!F12*('Cascading Savings'!$H$2-(SUM(H$6:H14)))</f>
        <v>0</v>
      </c>
      <c r="I15" s="132">
        <f t="shared" ref="I15" si="60">IF($D$2=0,0,H15/H$2)</f>
        <v>0</v>
      </c>
      <c r="J15" s="179">
        <f>'Cascading Cap Cost &amp; Savings'!G12*('Cascading Savings'!$J$2-(SUM(J$6:J14)))</f>
        <v>0</v>
      </c>
      <c r="K15" s="132">
        <f t="shared" ref="K15" si="61">IF($D$2=0,0,J15/J$2)</f>
        <v>0</v>
      </c>
      <c r="L15" s="179">
        <f>'Cascading Cap Cost &amp; Savings'!H12*('Cascading Savings'!$L$2-(SUM(L$6:L14)))</f>
        <v>0</v>
      </c>
      <c r="M15" s="132">
        <f t="shared" ref="M15" si="62">IF($D$2=0,0,L15/L$2)</f>
        <v>0</v>
      </c>
      <c r="N15" s="179">
        <f>'Cascading Cap Cost &amp; Savings'!I12*('Cascading Savings'!$N$2-(SUM(N$6:N14)))</f>
        <v>0</v>
      </c>
      <c r="O15" s="132">
        <f t="shared" ref="O15" si="63">IF($D$2=0,0,N15/N$2)</f>
        <v>0</v>
      </c>
      <c r="P15" s="179">
        <f>'Cascading Cap Cost &amp; Savings'!J12*('Cascading Savings'!$P$2-(SUM(P$6:P14)))</f>
        <v>0</v>
      </c>
      <c r="Q15" s="132">
        <f t="shared" ref="Q15" si="64">IF($D$2=0,0,P15/P$2)</f>
        <v>0</v>
      </c>
      <c r="R15" s="179">
        <f>'Cascading Cap Cost &amp; Savings'!K12*('Cascading Savings'!$R$2-(SUM(R$6:R14)))</f>
        <v>0</v>
      </c>
      <c r="S15" s="132">
        <f t="shared" ref="S15" si="65">IF($D$2=0,0,R15/R$2)</f>
        <v>0</v>
      </c>
      <c r="T15" s="38">
        <f t="shared" si="8"/>
        <v>0</v>
      </c>
      <c r="U15" s="22">
        <f t="shared" si="9"/>
        <v>0</v>
      </c>
      <c r="V15" s="118" t="e">
        <f>'Individual Measure List'!I17</f>
        <v>#VALUE!</v>
      </c>
    </row>
    <row r="16" spans="1:22" ht="13.5" thickBot="1" x14ac:dyDescent="0.35">
      <c r="A16" s="27"/>
      <c r="B16" s="25" t="str">
        <f>'EEM Data Entry'!A95</f>
        <v/>
      </c>
      <c r="C16" s="239" t="str">
        <f>'EEM Data Entry'!B95</f>
        <v/>
      </c>
      <c r="D16" s="138">
        <f>'Cascading Cap Cost &amp; Savings'!D13*('Cascading Savings'!$D$2-(SUM(D$6:D15)))</f>
        <v>0</v>
      </c>
      <c r="E16" s="132">
        <f t="shared" si="0"/>
        <v>0</v>
      </c>
      <c r="F16" s="179">
        <f>'Cascading Cap Cost &amp; Savings'!E13*('Cascading Savings'!$F$2-(SUM(F$6:F15)))</f>
        <v>0</v>
      </c>
      <c r="G16" s="132">
        <f t="shared" ref="G16" si="66">IF($D$2=0,0,F16/F$2)</f>
        <v>0</v>
      </c>
      <c r="H16" s="179">
        <f>'Cascading Cap Cost &amp; Savings'!F13*('Cascading Savings'!$H$2-(SUM(H$6:H15)))</f>
        <v>0</v>
      </c>
      <c r="I16" s="132">
        <f t="shared" ref="I16" si="67">IF($D$2=0,0,H16/H$2)</f>
        <v>0</v>
      </c>
      <c r="J16" s="179">
        <f>'Cascading Cap Cost &amp; Savings'!G13*('Cascading Savings'!$J$2-(SUM(J$6:J15)))</f>
        <v>0</v>
      </c>
      <c r="K16" s="132">
        <f t="shared" ref="K16" si="68">IF($D$2=0,0,J16/J$2)</f>
        <v>0</v>
      </c>
      <c r="L16" s="179">
        <f>'Cascading Cap Cost &amp; Savings'!H13*('Cascading Savings'!$L$2-(SUM(L$6:L15)))</f>
        <v>0</v>
      </c>
      <c r="M16" s="132">
        <f t="shared" ref="M16" si="69">IF($D$2=0,0,L16/L$2)</f>
        <v>0</v>
      </c>
      <c r="N16" s="179">
        <f>'Cascading Cap Cost &amp; Savings'!I13*('Cascading Savings'!$N$2-(SUM(N$6:N15)))</f>
        <v>0</v>
      </c>
      <c r="O16" s="132">
        <f t="shared" ref="O16" si="70">IF($D$2=0,0,N16/N$2)</f>
        <v>0</v>
      </c>
      <c r="P16" s="179">
        <f>'Cascading Cap Cost &amp; Savings'!J13*('Cascading Savings'!$P$2-(SUM(P$6:P15)))</f>
        <v>0</v>
      </c>
      <c r="Q16" s="132">
        <f t="shared" ref="Q16" si="71">IF($D$2=0,0,P16/P$2)</f>
        <v>0</v>
      </c>
      <c r="R16" s="179">
        <f>'Cascading Cap Cost &amp; Savings'!K13*('Cascading Savings'!$R$2-(SUM(R$6:R15)))</f>
        <v>0</v>
      </c>
      <c r="S16" s="132">
        <f t="shared" ref="S16" si="72">IF($D$2=0,0,R16/R$2)</f>
        <v>0</v>
      </c>
      <c r="T16" s="38">
        <f t="shared" si="8"/>
        <v>0</v>
      </c>
      <c r="U16" s="22">
        <f t="shared" si="9"/>
        <v>0</v>
      </c>
      <c r="V16" s="118" t="e">
        <f>'Individual Measure List'!I18</f>
        <v>#VALUE!</v>
      </c>
    </row>
    <row r="17" spans="1:22" ht="13.5" thickBot="1" x14ac:dyDescent="0.35">
      <c r="A17" s="27"/>
      <c r="B17" s="25" t="str">
        <f>'EEM Data Entry'!A96</f>
        <v/>
      </c>
      <c r="C17" s="239" t="str">
        <f>'EEM Data Entry'!B96</f>
        <v/>
      </c>
      <c r="D17" s="138">
        <f>'Cascading Cap Cost &amp; Savings'!D14*('Cascading Savings'!$D$2-(SUM(D$6:D16)))</f>
        <v>0</v>
      </c>
      <c r="E17" s="132">
        <f t="shared" si="0"/>
        <v>0</v>
      </c>
      <c r="F17" s="179">
        <f>'Cascading Cap Cost &amp; Savings'!E14*('Cascading Savings'!$F$2-(SUM(F$6:F16)))</f>
        <v>0</v>
      </c>
      <c r="G17" s="132">
        <f t="shared" ref="G17" si="73">IF($D$2=0,0,F17/F$2)</f>
        <v>0</v>
      </c>
      <c r="H17" s="179">
        <f>'Cascading Cap Cost &amp; Savings'!F14*('Cascading Savings'!$H$2-(SUM(H$6:H16)))</f>
        <v>0</v>
      </c>
      <c r="I17" s="132">
        <f t="shared" ref="I17" si="74">IF($D$2=0,0,H17/H$2)</f>
        <v>0</v>
      </c>
      <c r="J17" s="179">
        <f>'Cascading Cap Cost &amp; Savings'!G14*('Cascading Savings'!$J$2-(SUM(J$6:J16)))</f>
        <v>0</v>
      </c>
      <c r="K17" s="132">
        <f t="shared" ref="K17" si="75">IF($D$2=0,0,J17/J$2)</f>
        <v>0</v>
      </c>
      <c r="L17" s="179">
        <f>'Cascading Cap Cost &amp; Savings'!H14*('Cascading Savings'!$L$2-(SUM(L$6:L16)))</f>
        <v>0</v>
      </c>
      <c r="M17" s="132">
        <f t="shared" ref="M17" si="76">IF($D$2=0,0,L17/L$2)</f>
        <v>0</v>
      </c>
      <c r="N17" s="179">
        <f>'Cascading Cap Cost &amp; Savings'!I14*('Cascading Savings'!$N$2-(SUM(N$6:N16)))</f>
        <v>0</v>
      </c>
      <c r="O17" s="132">
        <f t="shared" ref="O17" si="77">IF($D$2=0,0,N17/N$2)</f>
        <v>0</v>
      </c>
      <c r="P17" s="179">
        <f>'Cascading Cap Cost &amp; Savings'!J14*('Cascading Savings'!$P$2-(SUM(P$6:P16)))</f>
        <v>0</v>
      </c>
      <c r="Q17" s="132">
        <f t="shared" ref="Q17" si="78">IF($D$2=0,0,P17/P$2)</f>
        <v>0</v>
      </c>
      <c r="R17" s="179">
        <f>'Cascading Cap Cost &amp; Savings'!K14*('Cascading Savings'!$R$2-(SUM(R$6:R16)))</f>
        <v>0</v>
      </c>
      <c r="S17" s="132">
        <f t="shared" ref="S17" si="79">IF($D$2=0,0,R17/R$2)</f>
        <v>0</v>
      </c>
      <c r="T17" s="38">
        <f t="shared" si="8"/>
        <v>0</v>
      </c>
      <c r="U17" s="22">
        <f t="shared" si="9"/>
        <v>0</v>
      </c>
      <c r="V17" s="118" t="e">
        <f>'Individual Measure List'!I19</f>
        <v>#VALUE!</v>
      </c>
    </row>
    <row r="18" spans="1:22" ht="13.5" thickBot="1" x14ac:dyDescent="0.35">
      <c r="A18" s="27"/>
      <c r="B18" s="25" t="str">
        <f>'EEM Data Entry'!A97</f>
        <v/>
      </c>
      <c r="C18" s="239" t="str">
        <f>'EEM Data Entry'!B97</f>
        <v/>
      </c>
      <c r="D18" s="138">
        <f>'Cascading Cap Cost &amp; Savings'!D15*('Cascading Savings'!$D$2-(SUM(D$6:D17)))</f>
        <v>0</v>
      </c>
      <c r="E18" s="132">
        <f t="shared" si="0"/>
        <v>0</v>
      </c>
      <c r="F18" s="179">
        <f>'Cascading Cap Cost &amp; Savings'!E15*('Cascading Savings'!$F$2-(SUM(F$6:F17)))</f>
        <v>0</v>
      </c>
      <c r="G18" s="132">
        <f t="shared" ref="G18" si="80">IF($D$2=0,0,F18/F$2)</f>
        <v>0</v>
      </c>
      <c r="H18" s="179">
        <f>'Cascading Cap Cost &amp; Savings'!F15*('Cascading Savings'!$H$2-(SUM(H$6:H17)))</f>
        <v>0</v>
      </c>
      <c r="I18" s="132">
        <f t="shared" ref="I18" si="81">IF($D$2=0,0,H18/H$2)</f>
        <v>0</v>
      </c>
      <c r="J18" s="179">
        <f>'Cascading Cap Cost &amp; Savings'!G15*('Cascading Savings'!$J$2-(SUM(J$6:J17)))</f>
        <v>0</v>
      </c>
      <c r="K18" s="132">
        <f t="shared" ref="K18" si="82">IF($D$2=0,0,J18/J$2)</f>
        <v>0</v>
      </c>
      <c r="L18" s="179">
        <f>'Cascading Cap Cost &amp; Savings'!H15*('Cascading Savings'!$L$2-(SUM(L$6:L17)))</f>
        <v>0</v>
      </c>
      <c r="M18" s="132">
        <f t="shared" ref="M18" si="83">IF($D$2=0,0,L18/L$2)</f>
        <v>0</v>
      </c>
      <c r="N18" s="179">
        <f>'Cascading Cap Cost &amp; Savings'!I15*('Cascading Savings'!$N$2-(SUM(N$6:N17)))</f>
        <v>0</v>
      </c>
      <c r="O18" s="132">
        <f t="shared" ref="O18" si="84">IF($D$2=0,0,N18/N$2)</f>
        <v>0</v>
      </c>
      <c r="P18" s="179">
        <f>'Cascading Cap Cost &amp; Savings'!J15*('Cascading Savings'!$P$2-(SUM(P$6:P17)))</f>
        <v>0</v>
      </c>
      <c r="Q18" s="132">
        <f t="shared" ref="Q18" si="85">IF($D$2=0,0,P18/P$2)</f>
        <v>0</v>
      </c>
      <c r="R18" s="179">
        <f>'Cascading Cap Cost &amp; Savings'!K15*('Cascading Savings'!$R$2-(SUM(R$6:R17)))</f>
        <v>0</v>
      </c>
      <c r="S18" s="132">
        <f t="shared" ref="S18" si="86">IF($D$2=0,0,R18/R$2)</f>
        <v>0</v>
      </c>
      <c r="T18" s="38">
        <f t="shared" si="8"/>
        <v>0</v>
      </c>
      <c r="U18" s="22">
        <f t="shared" si="9"/>
        <v>0</v>
      </c>
      <c r="V18" s="118" t="e">
        <f>'Individual Measure List'!I20</f>
        <v>#VALUE!</v>
      </c>
    </row>
    <row r="19" spans="1:22" ht="13.5" thickBot="1" x14ac:dyDescent="0.35">
      <c r="A19" s="27"/>
      <c r="B19" s="25" t="str">
        <f>'EEM Data Entry'!A98</f>
        <v/>
      </c>
      <c r="C19" s="239" t="str">
        <f>'EEM Data Entry'!B98</f>
        <v/>
      </c>
      <c r="D19" s="138">
        <f>'Cascading Cap Cost &amp; Savings'!D16*('Cascading Savings'!$D$2-(SUM(D$6:D18)))</f>
        <v>0</v>
      </c>
      <c r="E19" s="132">
        <f t="shared" si="0"/>
        <v>0</v>
      </c>
      <c r="F19" s="179">
        <f>'Cascading Cap Cost &amp; Savings'!E16*('Cascading Savings'!$F$2-(SUM(F$6:F18)))</f>
        <v>0</v>
      </c>
      <c r="G19" s="132">
        <f t="shared" ref="G19" si="87">IF($D$2=0,0,F19/F$2)</f>
        <v>0</v>
      </c>
      <c r="H19" s="179">
        <f>'Cascading Cap Cost &amp; Savings'!F16*('Cascading Savings'!$H$2-(SUM(H$6:H18)))</f>
        <v>0</v>
      </c>
      <c r="I19" s="132">
        <f t="shared" ref="I19" si="88">IF($D$2=0,0,H19/H$2)</f>
        <v>0</v>
      </c>
      <c r="J19" s="179">
        <f>'Cascading Cap Cost &amp; Savings'!G16*('Cascading Savings'!$J$2-(SUM(J$6:J18)))</f>
        <v>0</v>
      </c>
      <c r="K19" s="132">
        <f t="shared" ref="K19" si="89">IF($D$2=0,0,J19/J$2)</f>
        <v>0</v>
      </c>
      <c r="L19" s="179">
        <f>'Cascading Cap Cost &amp; Savings'!H16*('Cascading Savings'!$L$2-(SUM(L$6:L18)))</f>
        <v>0</v>
      </c>
      <c r="M19" s="132">
        <f t="shared" ref="M19" si="90">IF($D$2=0,0,L19/L$2)</f>
        <v>0</v>
      </c>
      <c r="N19" s="179">
        <f>'Cascading Cap Cost &amp; Savings'!I16*('Cascading Savings'!$N$2-(SUM(N$6:N18)))</f>
        <v>0</v>
      </c>
      <c r="O19" s="132">
        <f t="shared" ref="O19" si="91">IF($D$2=0,0,N19/N$2)</f>
        <v>0</v>
      </c>
      <c r="P19" s="179">
        <f>'Cascading Cap Cost &amp; Savings'!J16*('Cascading Savings'!$P$2-(SUM(P$6:P18)))</f>
        <v>0</v>
      </c>
      <c r="Q19" s="132">
        <f t="shared" ref="Q19" si="92">IF($D$2=0,0,P19/P$2)</f>
        <v>0</v>
      </c>
      <c r="R19" s="179">
        <f>'Cascading Cap Cost &amp; Savings'!K16*('Cascading Savings'!$R$2-(SUM(R$6:R18)))</f>
        <v>0</v>
      </c>
      <c r="S19" s="132">
        <f t="shared" ref="S19" si="93">IF($D$2=0,0,R19/R$2)</f>
        <v>0</v>
      </c>
      <c r="T19" s="38">
        <f t="shared" si="8"/>
        <v>0</v>
      </c>
      <c r="U19" s="22">
        <f t="shared" si="9"/>
        <v>0</v>
      </c>
      <c r="V19" s="118" t="e">
        <f>'Individual Measure List'!I21</f>
        <v>#VALUE!</v>
      </c>
    </row>
    <row r="20" spans="1:22" ht="13.5" thickBot="1" x14ac:dyDescent="0.35">
      <c r="A20" s="396"/>
      <c r="B20" s="25" t="str">
        <f>'EEM Data Entry'!A99</f>
        <v/>
      </c>
      <c r="C20" s="239" t="str">
        <f>'EEM Data Entry'!B99</f>
        <v/>
      </c>
      <c r="D20" s="138">
        <f>'Cascading Cap Cost &amp; Savings'!D17*('Cascading Savings'!$D$2-(SUM(D$6:D19)))</f>
        <v>0</v>
      </c>
      <c r="E20" s="132">
        <f t="shared" si="0"/>
        <v>0</v>
      </c>
      <c r="F20" s="179">
        <f>'Cascading Cap Cost &amp; Savings'!E17*('Cascading Savings'!$F$2-(SUM(F$6:F19)))</f>
        <v>0</v>
      </c>
      <c r="G20" s="132">
        <f t="shared" ref="G20" si="94">IF($D$2=0,0,F20/F$2)</f>
        <v>0</v>
      </c>
      <c r="H20" s="179">
        <f>'Cascading Cap Cost &amp; Savings'!F17*('Cascading Savings'!$H$2-(SUM(H$6:H19)))</f>
        <v>0</v>
      </c>
      <c r="I20" s="132">
        <f t="shared" ref="I20" si="95">IF($D$2=0,0,H20/H$2)</f>
        <v>0</v>
      </c>
      <c r="J20" s="179">
        <f>'Cascading Cap Cost &amp; Savings'!G17*('Cascading Savings'!$J$2-(SUM(J$6:J19)))</f>
        <v>0</v>
      </c>
      <c r="K20" s="132">
        <f t="shared" ref="K20" si="96">IF($D$2=0,0,J20/J$2)</f>
        <v>0</v>
      </c>
      <c r="L20" s="179">
        <f>'Cascading Cap Cost &amp; Savings'!H17*('Cascading Savings'!$L$2-(SUM(L$6:L19)))</f>
        <v>0</v>
      </c>
      <c r="M20" s="132">
        <f t="shared" ref="M20" si="97">IF($D$2=0,0,L20/L$2)</f>
        <v>0</v>
      </c>
      <c r="N20" s="179">
        <f>'Cascading Cap Cost &amp; Savings'!I17*('Cascading Savings'!$N$2-(SUM(N$6:N19)))</f>
        <v>0</v>
      </c>
      <c r="O20" s="132">
        <f t="shared" ref="O20" si="98">IF($D$2=0,0,N20/N$2)</f>
        <v>0</v>
      </c>
      <c r="P20" s="179">
        <f>'Cascading Cap Cost &amp; Savings'!J17*('Cascading Savings'!$P$2-(SUM(P$6:P19)))</f>
        <v>0</v>
      </c>
      <c r="Q20" s="132">
        <f t="shared" ref="Q20" si="99">IF($D$2=0,0,P20/P$2)</f>
        <v>0</v>
      </c>
      <c r="R20" s="179">
        <f>'Cascading Cap Cost &amp; Savings'!K17*('Cascading Savings'!$R$2-(SUM(R$6:R19)))</f>
        <v>0</v>
      </c>
      <c r="S20" s="132">
        <f t="shared" ref="S20" si="100">IF($D$2=0,0,R20/R$2)</f>
        <v>0</v>
      </c>
      <c r="T20" s="38">
        <f t="shared" si="8"/>
        <v>0</v>
      </c>
      <c r="U20" s="22">
        <f t="shared" si="9"/>
        <v>0</v>
      </c>
      <c r="V20" s="118" t="e">
        <f>'Individual Measure List'!I22</f>
        <v>#VALUE!</v>
      </c>
    </row>
    <row r="21" spans="1:22" ht="13.5" thickBot="1" x14ac:dyDescent="0.35">
      <c r="A21" s="396"/>
      <c r="B21" s="25" t="str">
        <f>'EEM Data Entry'!A100</f>
        <v/>
      </c>
      <c r="C21" s="239" t="str">
        <f>'EEM Data Entry'!B100</f>
        <v/>
      </c>
      <c r="D21" s="138">
        <f>'Cascading Cap Cost &amp; Savings'!D18*('Cascading Savings'!$D$2-(SUM(D$6:D20)))</f>
        <v>0</v>
      </c>
      <c r="E21" s="132">
        <f t="shared" si="0"/>
        <v>0</v>
      </c>
      <c r="F21" s="179">
        <f>'Cascading Cap Cost &amp; Savings'!E18*('Cascading Savings'!$F$2-(SUM(F$6:F20)))</f>
        <v>0</v>
      </c>
      <c r="G21" s="132">
        <f t="shared" ref="G21" si="101">IF($D$2=0,0,F21/F$2)</f>
        <v>0</v>
      </c>
      <c r="H21" s="179">
        <f>'Cascading Cap Cost &amp; Savings'!F18*('Cascading Savings'!$H$2-(SUM(H$6:H20)))</f>
        <v>0</v>
      </c>
      <c r="I21" s="132">
        <f t="shared" ref="I21" si="102">IF($D$2=0,0,H21/H$2)</f>
        <v>0</v>
      </c>
      <c r="J21" s="179">
        <f>'Cascading Cap Cost &amp; Savings'!G18*('Cascading Savings'!$J$2-(SUM(J$6:J20)))</f>
        <v>0</v>
      </c>
      <c r="K21" s="132">
        <f t="shared" ref="K21" si="103">IF($D$2=0,0,J21/J$2)</f>
        <v>0</v>
      </c>
      <c r="L21" s="179">
        <f>'Cascading Cap Cost &amp; Savings'!H18*('Cascading Savings'!$L$2-(SUM(L$6:L20)))</f>
        <v>0</v>
      </c>
      <c r="M21" s="132">
        <f t="shared" ref="M21" si="104">IF($D$2=0,0,L21/L$2)</f>
        <v>0</v>
      </c>
      <c r="N21" s="179">
        <f>'Cascading Cap Cost &amp; Savings'!I18*('Cascading Savings'!$N$2-(SUM(N$6:N20)))</f>
        <v>0</v>
      </c>
      <c r="O21" s="132">
        <f t="shared" ref="O21" si="105">IF($D$2=0,0,N21/N$2)</f>
        <v>0</v>
      </c>
      <c r="P21" s="179">
        <f>'Cascading Cap Cost &amp; Savings'!J18*('Cascading Savings'!$P$2-(SUM(P$6:P20)))</f>
        <v>0</v>
      </c>
      <c r="Q21" s="132">
        <f t="shared" ref="Q21" si="106">IF($D$2=0,0,P21/P$2)</f>
        <v>0</v>
      </c>
      <c r="R21" s="179">
        <f>'Cascading Cap Cost &amp; Savings'!K18*('Cascading Savings'!$R$2-(SUM(R$6:R20)))</f>
        <v>0</v>
      </c>
      <c r="S21" s="132">
        <f t="shared" ref="S21" si="107">IF($D$2=0,0,R21/R$2)</f>
        <v>0</v>
      </c>
      <c r="T21" s="38">
        <f t="shared" si="8"/>
        <v>0</v>
      </c>
      <c r="U21" s="22">
        <f t="shared" si="9"/>
        <v>0</v>
      </c>
      <c r="V21" s="118" t="e">
        <f>'Individual Measure List'!I23</f>
        <v>#VALUE!</v>
      </c>
    </row>
    <row r="22" spans="1:22" ht="13.5" thickBot="1" x14ac:dyDescent="0.35">
      <c r="A22" s="396"/>
      <c r="B22" s="25" t="str">
        <f>'EEM Data Entry'!A101</f>
        <v/>
      </c>
      <c r="C22" s="239" t="str">
        <f>'EEM Data Entry'!B101</f>
        <v/>
      </c>
      <c r="D22" s="138">
        <f>'Cascading Cap Cost &amp; Savings'!D19*('Cascading Savings'!$D$2-(SUM(D$6:D21)))</f>
        <v>0</v>
      </c>
      <c r="E22" s="132">
        <f t="shared" si="0"/>
        <v>0</v>
      </c>
      <c r="F22" s="179">
        <f>'Cascading Cap Cost &amp; Savings'!E19*('Cascading Savings'!$F$2-(SUM(F$6:F21)))</f>
        <v>0</v>
      </c>
      <c r="G22" s="132">
        <f t="shared" ref="G22" si="108">IF($D$2=0,0,F22/F$2)</f>
        <v>0</v>
      </c>
      <c r="H22" s="179">
        <f>'Cascading Cap Cost &amp; Savings'!F19*('Cascading Savings'!$H$2-(SUM(H$6:H21)))</f>
        <v>0</v>
      </c>
      <c r="I22" s="132">
        <f t="shared" ref="I22" si="109">IF($D$2=0,0,H22/H$2)</f>
        <v>0</v>
      </c>
      <c r="J22" s="179">
        <f>'Cascading Cap Cost &amp; Savings'!G19*('Cascading Savings'!$J$2-(SUM(J$6:J21)))</f>
        <v>0</v>
      </c>
      <c r="K22" s="132">
        <f t="shared" ref="K22" si="110">IF($D$2=0,0,J22/J$2)</f>
        <v>0</v>
      </c>
      <c r="L22" s="179">
        <f>'Cascading Cap Cost &amp; Savings'!H19*('Cascading Savings'!$L$2-(SUM(L$6:L21)))</f>
        <v>0</v>
      </c>
      <c r="M22" s="132">
        <f t="shared" ref="M22" si="111">IF($D$2=0,0,L22/L$2)</f>
        <v>0</v>
      </c>
      <c r="N22" s="179">
        <f>'Cascading Cap Cost &amp; Savings'!I19*('Cascading Savings'!$N$2-(SUM(N$6:N21)))</f>
        <v>0</v>
      </c>
      <c r="O22" s="132">
        <f t="shared" ref="O22" si="112">IF($D$2=0,0,N22/N$2)</f>
        <v>0</v>
      </c>
      <c r="P22" s="179">
        <f>'Cascading Cap Cost &amp; Savings'!J19*('Cascading Savings'!$P$2-(SUM(P$6:P21)))</f>
        <v>0</v>
      </c>
      <c r="Q22" s="132">
        <f t="shared" ref="Q22" si="113">IF($D$2=0,0,P22/P$2)</f>
        <v>0</v>
      </c>
      <c r="R22" s="179">
        <f>'Cascading Cap Cost &amp; Savings'!K19*('Cascading Savings'!$R$2-(SUM(R$6:R21)))</f>
        <v>0</v>
      </c>
      <c r="S22" s="132">
        <f t="shared" ref="S22" si="114">IF($D$2=0,0,R22/R$2)</f>
        <v>0</v>
      </c>
      <c r="T22" s="38">
        <f t="shared" si="8"/>
        <v>0</v>
      </c>
      <c r="U22" s="22">
        <f t="shared" si="9"/>
        <v>0</v>
      </c>
      <c r="V22" s="118" t="e">
        <f>'Individual Measure List'!I24</f>
        <v>#VALUE!</v>
      </c>
    </row>
    <row r="23" spans="1:22" ht="13.5" thickBot="1" x14ac:dyDescent="0.35">
      <c r="A23" s="396"/>
      <c r="B23" s="25" t="str">
        <f>'EEM Data Entry'!A102</f>
        <v/>
      </c>
      <c r="C23" s="239" t="str">
        <f>'EEM Data Entry'!B102</f>
        <v/>
      </c>
      <c r="D23" s="138">
        <f>'Cascading Cap Cost &amp; Savings'!D20*('Cascading Savings'!$D$2-(SUM(D$6:D22)))</f>
        <v>0</v>
      </c>
      <c r="E23" s="132">
        <f t="shared" si="0"/>
        <v>0</v>
      </c>
      <c r="F23" s="179">
        <f>'Cascading Cap Cost &amp; Savings'!E20*('Cascading Savings'!$F$2-(SUM(F$6:F22)))</f>
        <v>0</v>
      </c>
      <c r="G23" s="132">
        <f t="shared" ref="G23" si="115">IF($D$2=0,0,F23/F$2)</f>
        <v>0</v>
      </c>
      <c r="H23" s="179">
        <f>'Cascading Cap Cost &amp; Savings'!F20*('Cascading Savings'!$H$2-(SUM(H$6:H22)))</f>
        <v>0</v>
      </c>
      <c r="I23" s="132">
        <f t="shared" ref="I23" si="116">IF($D$2=0,0,H23/H$2)</f>
        <v>0</v>
      </c>
      <c r="J23" s="179">
        <f>'Cascading Cap Cost &amp; Savings'!G20*('Cascading Savings'!$J$2-(SUM(J$6:J22)))</f>
        <v>0</v>
      </c>
      <c r="K23" s="132">
        <f t="shared" ref="K23" si="117">IF($D$2=0,0,J23/J$2)</f>
        <v>0</v>
      </c>
      <c r="L23" s="179">
        <f>'Cascading Cap Cost &amp; Savings'!H20*('Cascading Savings'!$L$2-(SUM(L$6:L22)))</f>
        <v>0</v>
      </c>
      <c r="M23" s="132">
        <f t="shared" ref="M23" si="118">IF($D$2=0,0,L23/L$2)</f>
        <v>0</v>
      </c>
      <c r="N23" s="179">
        <f>'Cascading Cap Cost &amp; Savings'!I20*('Cascading Savings'!$N$2-(SUM(N$6:N22)))</f>
        <v>0</v>
      </c>
      <c r="O23" s="132">
        <f t="shared" ref="O23" si="119">IF($D$2=0,0,N23/N$2)</f>
        <v>0</v>
      </c>
      <c r="P23" s="179">
        <f>'Cascading Cap Cost &amp; Savings'!J20*('Cascading Savings'!$P$2-(SUM(P$6:P22)))</f>
        <v>0</v>
      </c>
      <c r="Q23" s="132">
        <f t="shared" ref="Q23" si="120">IF($D$2=0,0,P23/P$2)</f>
        <v>0</v>
      </c>
      <c r="R23" s="179">
        <f>'Cascading Cap Cost &amp; Savings'!K20*('Cascading Savings'!$R$2-(SUM(R$6:R22)))</f>
        <v>0</v>
      </c>
      <c r="S23" s="132">
        <f t="shared" ref="S23" si="121">IF($D$2=0,0,R23/R$2)</f>
        <v>0</v>
      </c>
      <c r="T23" s="38">
        <f t="shared" si="8"/>
        <v>0</v>
      </c>
      <c r="U23" s="22">
        <f t="shared" si="9"/>
        <v>0</v>
      </c>
      <c r="V23" s="118" t="e">
        <f>'Individual Measure List'!I25</f>
        <v>#VALUE!</v>
      </c>
    </row>
    <row r="24" spans="1:22" ht="13.5" thickBot="1" x14ac:dyDescent="0.35">
      <c r="A24" s="396"/>
      <c r="B24" s="25" t="str">
        <f>'EEM Data Entry'!A103</f>
        <v/>
      </c>
      <c r="C24" s="239" t="str">
        <f>'EEM Data Entry'!B103</f>
        <v/>
      </c>
      <c r="D24" s="138">
        <f>'Cascading Cap Cost &amp; Savings'!D21*('Cascading Savings'!$D$2-(SUM(D$6:D23)))</f>
        <v>0</v>
      </c>
      <c r="E24" s="132">
        <f t="shared" si="0"/>
        <v>0</v>
      </c>
      <c r="F24" s="179">
        <f>'Cascading Cap Cost &amp; Savings'!E21*('Cascading Savings'!$F$2-(SUM(F$6:F23)))</f>
        <v>0</v>
      </c>
      <c r="G24" s="132">
        <f t="shared" ref="G24" si="122">IF($D$2=0,0,F24/F$2)</f>
        <v>0</v>
      </c>
      <c r="H24" s="179">
        <f>'Cascading Cap Cost &amp; Savings'!F21*('Cascading Savings'!$H$2-(SUM(H$6:H23)))</f>
        <v>0</v>
      </c>
      <c r="I24" s="132">
        <f t="shared" ref="I24" si="123">IF($D$2=0,0,H24/H$2)</f>
        <v>0</v>
      </c>
      <c r="J24" s="179">
        <f>'Cascading Cap Cost &amp; Savings'!G21*('Cascading Savings'!$J$2-(SUM(J$6:J23)))</f>
        <v>0</v>
      </c>
      <c r="K24" s="132">
        <f t="shared" ref="K24" si="124">IF($D$2=0,0,J24/J$2)</f>
        <v>0</v>
      </c>
      <c r="L24" s="179">
        <f>'Cascading Cap Cost &amp; Savings'!H21*('Cascading Savings'!$L$2-(SUM(L$6:L23)))</f>
        <v>0</v>
      </c>
      <c r="M24" s="132">
        <f t="shared" ref="M24" si="125">IF($D$2=0,0,L24/L$2)</f>
        <v>0</v>
      </c>
      <c r="N24" s="179">
        <f>'Cascading Cap Cost &amp; Savings'!I21*('Cascading Savings'!$N$2-(SUM(N$6:N23)))</f>
        <v>0</v>
      </c>
      <c r="O24" s="132">
        <f t="shared" ref="O24" si="126">IF($D$2=0,0,N24/N$2)</f>
        <v>0</v>
      </c>
      <c r="P24" s="179">
        <f>'Cascading Cap Cost &amp; Savings'!J21*('Cascading Savings'!$P$2-(SUM(P$6:P23)))</f>
        <v>0</v>
      </c>
      <c r="Q24" s="132">
        <f t="shared" ref="Q24" si="127">IF($D$2=0,0,P24/P$2)</f>
        <v>0</v>
      </c>
      <c r="R24" s="179">
        <f>'Cascading Cap Cost &amp; Savings'!K21*('Cascading Savings'!$R$2-(SUM(R$6:R23)))</f>
        <v>0</v>
      </c>
      <c r="S24" s="132">
        <f t="shared" ref="S24" si="128">IF($D$2=0,0,R24/R$2)</f>
        <v>0</v>
      </c>
      <c r="T24" s="38">
        <f t="shared" si="8"/>
        <v>0</v>
      </c>
      <c r="U24" s="22">
        <f t="shared" si="9"/>
        <v>0</v>
      </c>
      <c r="V24" s="118" t="e">
        <f>'Individual Measure List'!I26</f>
        <v>#VALUE!</v>
      </c>
    </row>
    <row r="25" spans="1:22" ht="13.5" thickBot="1" x14ac:dyDescent="0.35">
      <c r="A25" s="396"/>
      <c r="B25" s="25" t="str">
        <f>'EEM Data Entry'!A104</f>
        <v/>
      </c>
      <c r="C25" s="239" t="str">
        <f>'EEM Data Entry'!B104</f>
        <v/>
      </c>
      <c r="D25" s="138">
        <f>'Cascading Cap Cost &amp; Savings'!D22*('Cascading Savings'!$D$2-(SUM(D$6:D24)))</f>
        <v>0</v>
      </c>
      <c r="E25" s="132">
        <f t="shared" si="0"/>
        <v>0</v>
      </c>
      <c r="F25" s="179">
        <f>'Cascading Cap Cost &amp; Savings'!E22*('Cascading Savings'!$F$2-(SUM(F$6:F24)))</f>
        <v>0</v>
      </c>
      <c r="G25" s="132">
        <f t="shared" ref="G25" si="129">IF($D$2=0,0,F25/F$2)</f>
        <v>0</v>
      </c>
      <c r="H25" s="179">
        <f>'Cascading Cap Cost &amp; Savings'!F22*('Cascading Savings'!$H$2-(SUM(H$6:H24)))</f>
        <v>0</v>
      </c>
      <c r="I25" s="132">
        <f t="shared" ref="I25" si="130">IF($D$2=0,0,H25/H$2)</f>
        <v>0</v>
      </c>
      <c r="J25" s="179">
        <f>'Cascading Cap Cost &amp; Savings'!G22*('Cascading Savings'!$J$2-(SUM(J$6:J24)))</f>
        <v>0</v>
      </c>
      <c r="K25" s="132">
        <f t="shared" ref="K25" si="131">IF($D$2=0,0,J25/J$2)</f>
        <v>0</v>
      </c>
      <c r="L25" s="179">
        <f>'Cascading Cap Cost &amp; Savings'!H22*('Cascading Savings'!$L$2-(SUM(L$6:L24)))</f>
        <v>0</v>
      </c>
      <c r="M25" s="132">
        <f t="shared" ref="M25" si="132">IF($D$2=0,0,L25/L$2)</f>
        <v>0</v>
      </c>
      <c r="N25" s="179">
        <f>'Cascading Cap Cost &amp; Savings'!I22*('Cascading Savings'!$N$2-(SUM(N$6:N24)))</f>
        <v>0</v>
      </c>
      <c r="O25" s="132">
        <f t="shared" ref="O25" si="133">IF($D$2=0,0,N25/N$2)</f>
        <v>0</v>
      </c>
      <c r="P25" s="179">
        <f>'Cascading Cap Cost &amp; Savings'!J22*('Cascading Savings'!$P$2-(SUM(P$6:P24)))</f>
        <v>0</v>
      </c>
      <c r="Q25" s="132">
        <f t="shared" ref="Q25" si="134">IF($D$2=0,0,P25/P$2)</f>
        <v>0</v>
      </c>
      <c r="R25" s="179">
        <f>'Cascading Cap Cost &amp; Savings'!K22*('Cascading Savings'!$R$2-(SUM(R$6:R24)))</f>
        <v>0</v>
      </c>
      <c r="S25" s="132">
        <f t="shared" ref="S25" si="135">IF($D$2=0,0,R25/R$2)</f>
        <v>0</v>
      </c>
      <c r="T25" s="38">
        <f t="shared" si="8"/>
        <v>0</v>
      </c>
      <c r="U25" s="22">
        <f t="shared" si="9"/>
        <v>0</v>
      </c>
      <c r="V25" s="118" t="e">
        <f>'Individual Measure List'!I27</f>
        <v>#VALUE!</v>
      </c>
    </row>
    <row r="26" spans="1:22" ht="13.5" thickBot="1" x14ac:dyDescent="0.35">
      <c r="A26" s="396"/>
      <c r="B26" s="25" t="str">
        <f>'EEM Data Entry'!A105</f>
        <v/>
      </c>
      <c r="C26" s="239" t="str">
        <f>'EEM Data Entry'!B105</f>
        <v/>
      </c>
      <c r="D26" s="138">
        <f>'Cascading Cap Cost &amp; Savings'!D23*('Cascading Savings'!$D$2-(SUM(D$6:D25)))</f>
        <v>0</v>
      </c>
      <c r="E26" s="132">
        <f t="shared" si="0"/>
        <v>0</v>
      </c>
      <c r="F26" s="179">
        <f>'Cascading Cap Cost &amp; Savings'!E23*('Cascading Savings'!$F$2-(SUM(F$6:F25)))</f>
        <v>0</v>
      </c>
      <c r="G26" s="132">
        <f t="shared" ref="G26" si="136">IF($D$2=0,0,F26/F$2)</f>
        <v>0</v>
      </c>
      <c r="H26" s="179">
        <f>'Cascading Cap Cost &amp; Savings'!F23*('Cascading Savings'!$H$2-(SUM(H$6:H25)))</f>
        <v>0</v>
      </c>
      <c r="I26" s="132">
        <f t="shared" ref="I26" si="137">IF($D$2=0,0,H26/H$2)</f>
        <v>0</v>
      </c>
      <c r="J26" s="179">
        <f>'Cascading Cap Cost &amp; Savings'!G23*('Cascading Savings'!$J$2-(SUM(J$6:J25)))</f>
        <v>0</v>
      </c>
      <c r="K26" s="132">
        <f t="shared" ref="K26" si="138">IF($D$2=0,0,J26/J$2)</f>
        <v>0</v>
      </c>
      <c r="L26" s="179">
        <f>'Cascading Cap Cost &amp; Savings'!H23*('Cascading Savings'!$L$2-(SUM(L$6:L25)))</f>
        <v>0</v>
      </c>
      <c r="M26" s="132">
        <f t="shared" ref="M26" si="139">IF($D$2=0,0,L26/L$2)</f>
        <v>0</v>
      </c>
      <c r="N26" s="179">
        <f>'Cascading Cap Cost &amp; Savings'!I23*('Cascading Savings'!$N$2-(SUM(N$6:N25)))</f>
        <v>0</v>
      </c>
      <c r="O26" s="132">
        <f t="shared" ref="O26" si="140">IF($D$2=0,0,N26/N$2)</f>
        <v>0</v>
      </c>
      <c r="P26" s="179">
        <f>'Cascading Cap Cost &amp; Savings'!J23*('Cascading Savings'!$P$2-(SUM(P$6:P25)))</f>
        <v>0</v>
      </c>
      <c r="Q26" s="132">
        <f t="shared" ref="Q26" si="141">IF($D$2=0,0,P26/P$2)</f>
        <v>0</v>
      </c>
      <c r="R26" s="179">
        <f>'Cascading Cap Cost &amp; Savings'!K23*('Cascading Savings'!$R$2-(SUM(R$6:R25)))</f>
        <v>0</v>
      </c>
      <c r="S26" s="132">
        <f t="shared" ref="S26" si="142">IF($D$2=0,0,R26/R$2)</f>
        <v>0</v>
      </c>
      <c r="T26" s="38">
        <f t="shared" si="8"/>
        <v>0</v>
      </c>
      <c r="U26" s="22">
        <f t="shared" si="9"/>
        <v>0</v>
      </c>
      <c r="V26" s="118" t="e">
        <f>'Individual Measure List'!I28</f>
        <v>#VALUE!</v>
      </c>
    </row>
    <row r="27" spans="1:22" ht="13.5" thickBot="1" x14ac:dyDescent="0.35">
      <c r="A27" s="396"/>
      <c r="B27" s="25" t="str">
        <f>'EEM Data Entry'!A106</f>
        <v/>
      </c>
      <c r="C27" s="239" t="str">
        <f>'EEM Data Entry'!B106</f>
        <v/>
      </c>
      <c r="D27" s="138">
        <f>'Cascading Cap Cost &amp; Savings'!D24*('Cascading Savings'!$D$2-(SUM(D$6:D26)))</f>
        <v>0</v>
      </c>
      <c r="E27" s="132">
        <f t="shared" si="0"/>
        <v>0</v>
      </c>
      <c r="F27" s="179">
        <f>'Cascading Cap Cost &amp; Savings'!E24*('Cascading Savings'!$F$2-(SUM(F$6:F26)))</f>
        <v>0</v>
      </c>
      <c r="G27" s="132">
        <f t="shared" ref="G27" si="143">IF($D$2=0,0,F27/F$2)</f>
        <v>0</v>
      </c>
      <c r="H27" s="179">
        <f>'Cascading Cap Cost &amp; Savings'!F24*('Cascading Savings'!$H$2-(SUM(H$6:H26)))</f>
        <v>0</v>
      </c>
      <c r="I27" s="132">
        <f t="shared" ref="I27" si="144">IF($D$2=0,0,H27/H$2)</f>
        <v>0</v>
      </c>
      <c r="J27" s="179">
        <f>'Cascading Cap Cost &amp; Savings'!G24*('Cascading Savings'!$J$2-(SUM(J$6:J26)))</f>
        <v>0</v>
      </c>
      <c r="K27" s="132">
        <f t="shared" ref="K27" si="145">IF($D$2=0,0,J27/J$2)</f>
        <v>0</v>
      </c>
      <c r="L27" s="179">
        <f>'Cascading Cap Cost &amp; Savings'!H24*('Cascading Savings'!$L$2-(SUM(L$6:L26)))</f>
        <v>0</v>
      </c>
      <c r="M27" s="132">
        <f t="shared" ref="M27" si="146">IF($D$2=0,0,L27/L$2)</f>
        <v>0</v>
      </c>
      <c r="N27" s="179">
        <f>'Cascading Cap Cost &amp; Savings'!I24*('Cascading Savings'!$N$2-(SUM(N$6:N26)))</f>
        <v>0</v>
      </c>
      <c r="O27" s="132">
        <f t="shared" ref="O27" si="147">IF($D$2=0,0,N27/N$2)</f>
        <v>0</v>
      </c>
      <c r="P27" s="179">
        <f>'Cascading Cap Cost &amp; Savings'!J24*('Cascading Savings'!$P$2-(SUM(P$6:P26)))</f>
        <v>0</v>
      </c>
      <c r="Q27" s="132">
        <f t="shared" ref="Q27" si="148">IF($D$2=0,0,P27/P$2)</f>
        <v>0</v>
      </c>
      <c r="R27" s="179">
        <f>'Cascading Cap Cost &amp; Savings'!K24*('Cascading Savings'!$R$2-(SUM(R$6:R26)))</f>
        <v>0</v>
      </c>
      <c r="S27" s="132">
        <f t="shared" ref="S27" si="149">IF($D$2=0,0,R27/R$2)</f>
        <v>0</v>
      </c>
      <c r="T27" s="38">
        <f t="shared" si="8"/>
        <v>0</v>
      </c>
      <c r="U27" s="22">
        <f t="shared" si="9"/>
        <v>0</v>
      </c>
      <c r="V27" s="118" t="e">
        <f>'Individual Measure List'!I29</f>
        <v>#VALUE!</v>
      </c>
    </row>
    <row r="28" spans="1:22" ht="13.5" thickBot="1" x14ac:dyDescent="0.35">
      <c r="A28" s="396"/>
      <c r="B28" s="25" t="str">
        <f>'EEM Data Entry'!A107</f>
        <v/>
      </c>
      <c r="C28" s="239" t="str">
        <f>'EEM Data Entry'!B107</f>
        <v/>
      </c>
      <c r="D28" s="138">
        <f>'Cascading Cap Cost &amp; Savings'!D25*('Cascading Savings'!$D$2-(SUM(D$6:D27)))</f>
        <v>0</v>
      </c>
      <c r="E28" s="132">
        <f t="shared" si="0"/>
        <v>0</v>
      </c>
      <c r="F28" s="179">
        <f>'Cascading Cap Cost &amp; Savings'!E25*('Cascading Savings'!$F$2-(SUM(F$6:F27)))</f>
        <v>0</v>
      </c>
      <c r="G28" s="132">
        <f t="shared" ref="G28" si="150">IF($D$2=0,0,F28/F$2)</f>
        <v>0</v>
      </c>
      <c r="H28" s="179">
        <f>'Cascading Cap Cost &amp; Savings'!F25*('Cascading Savings'!$H$2-(SUM(H$6:H27)))</f>
        <v>0</v>
      </c>
      <c r="I28" s="132">
        <f t="shared" ref="I28" si="151">IF($D$2=0,0,H28/H$2)</f>
        <v>0</v>
      </c>
      <c r="J28" s="179">
        <f>'Cascading Cap Cost &amp; Savings'!G25*('Cascading Savings'!$J$2-(SUM(J$6:J27)))</f>
        <v>0</v>
      </c>
      <c r="K28" s="132">
        <f t="shared" ref="K28" si="152">IF($D$2=0,0,J28/J$2)</f>
        <v>0</v>
      </c>
      <c r="L28" s="179">
        <f>'Cascading Cap Cost &amp; Savings'!H25*('Cascading Savings'!$L$2-(SUM(L$6:L27)))</f>
        <v>0</v>
      </c>
      <c r="M28" s="132">
        <f t="shared" ref="M28" si="153">IF($D$2=0,0,L28/L$2)</f>
        <v>0</v>
      </c>
      <c r="N28" s="179">
        <f>'Cascading Cap Cost &amp; Savings'!I25*('Cascading Savings'!$N$2-(SUM(N$6:N27)))</f>
        <v>0</v>
      </c>
      <c r="O28" s="132">
        <f t="shared" ref="O28" si="154">IF($D$2=0,0,N28/N$2)</f>
        <v>0</v>
      </c>
      <c r="P28" s="179">
        <f>'Cascading Cap Cost &amp; Savings'!J25*('Cascading Savings'!$P$2-(SUM(P$6:P27)))</f>
        <v>0</v>
      </c>
      <c r="Q28" s="132">
        <f t="shared" ref="Q28" si="155">IF($D$2=0,0,P28/P$2)</f>
        <v>0</v>
      </c>
      <c r="R28" s="179">
        <f>'Cascading Cap Cost &amp; Savings'!K25*('Cascading Savings'!$R$2-(SUM(R$6:R27)))</f>
        <v>0</v>
      </c>
      <c r="S28" s="132">
        <f t="shared" ref="S28" si="156">IF($D$2=0,0,R28/R$2)</f>
        <v>0</v>
      </c>
      <c r="T28" s="38">
        <f t="shared" si="8"/>
        <v>0</v>
      </c>
      <c r="U28" s="22">
        <f t="shared" si="9"/>
        <v>0</v>
      </c>
      <c r="V28" s="118" t="e">
        <f>'Individual Measure List'!I30</f>
        <v>#VALUE!</v>
      </c>
    </row>
    <row r="29" spans="1:22" ht="13" x14ac:dyDescent="0.3">
      <c r="A29" s="396"/>
      <c r="B29" s="25" t="str">
        <f>'EEM Data Entry'!A108</f>
        <v/>
      </c>
      <c r="C29" s="239" t="str">
        <f>'EEM Data Entry'!B108</f>
        <v/>
      </c>
      <c r="D29" s="138">
        <f>'Cascading Cap Cost &amp; Savings'!D26*('Cascading Savings'!$D$2-(SUM(D$6:D28)))</f>
        <v>0</v>
      </c>
      <c r="E29" s="132">
        <f t="shared" si="0"/>
        <v>0</v>
      </c>
      <c r="F29" s="179">
        <f>'Cascading Cap Cost &amp; Savings'!E26*('Cascading Savings'!$F$2-(SUM(F$6:F28)))</f>
        <v>0</v>
      </c>
      <c r="G29" s="132">
        <f t="shared" ref="G29" si="157">IF($D$2=0,0,F29/F$2)</f>
        <v>0</v>
      </c>
      <c r="H29" s="179">
        <f>'Cascading Cap Cost &amp; Savings'!F26*('Cascading Savings'!$H$2-(SUM(H$6:H28)))</f>
        <v>0</v>
      </c>
      <c r="I29" s="132">
        <f t="shared" ref="I29" si="158">IF($D$2=0,0,H29/H$2)</f>
        <v>0</v>
      </c>
      <c r="J29" s="179">
        <f>'Cascading Cap Cost &amp; Savings'!G26*('Cascading Savings'!$J$2-(SUM(J$6:J28)))</f>
        <v>0</v>
      </c>
      <c r="K29" s="132">
        <f t="shared" ref="K29" si="159">IF($D$2=0,0,J29/J$2)</f>
        <v>0</v>
      </c>
      <c r="L29" s="179">
        <f>'Cascading Cap Cost &amp; Savings'!H26*('Cascading Savings'!$L$2-(SUM(L$6:L28)))</f>
        <v>0</v>
      </c>
      <c r="M29" s="132">
        <f t="shared" ref="M29" si="160">IF($D$2=0,0,L29/L$2)</f>
        <v>0</v>
      </c>
      <c r="N29" s="179">
        <f>'Cascading Cap Cost &amp; Savings'!I26*('Cascading Savings'!$N$2-(SUM(N$6:N28)))</f>
        <v>0</v>
      </c>
      <c r="O29" s="132">
        <f t="shared" ref="O29" si="161">IF($D$2=0,0,N29/N$2)</f>
        <v>0</v>
      </c>
      <c r="P29" s="179">
        <f>'Cascading Cap Cost &amp; Savings'!J26*('Cascading Savings'!$P$2-(SUM(P$6:P28)))</f>
        <v>0</v>
      </c>
      <c r="Q29" s="132">
        <f t="shared" ref="Q29" si="162">IF($D$2=0,0,P29/P$2)</f>
        <v>0</v>
      </c>
      <c r="R29" s="179">
        <f>'Cascading Cap Cost &amp; Savings'!K26*('Cascading Savings'!$R$2-(SUM(R$6:R28)))</f>
        <v>0</v>
      </c>
      <c r="S29" s="132">
        <f t="shared" ref="S29" si="163">IF($D$2=0,0,R29/R$2)</f>
        <v>0</v>
      </c>
      <c r="T29" s="38">
        <f t="shared" si="8"/>
        <v>0</v>
      </c>
      <c r="U29" s="22">
        <f t="shared" si="9"/>
        <v>0</v>
      </c>
      <c r="V29" s="118" t="e">
        <f>'Individual Measure List'!I31</f>
        <v>#VALUE!</v>
      </c>
    </row>
    <row r="30" spans="1:22" ht="13" x14ac:dyDescent="0.25">
      <c r="A30" s="181"/>
      <c r="B30" s="181"/>
      <c r="C30" s="386" t="s">
        <v>137</v>
      </c>
      <c r="D30" s="387">
        <f>SUM(D6:D29)</f>
        <v>0</v>
      </c>
      <c r="E30" s="375" t="e">
        <f>D30/D2</f>
        <v>#DIV/0!</v>
      </c>
      <c r="F30" s="387">
        <f>SUM(F6:F29)</f>
        <v>0</v>
      </c>
      <c r="G30" s="375" t="e">
        <f>F30/F$2</f>
        <v>#DIV/0!</v>
      </c>
      <c r="H30" s="387">
        <f>SUM(H6:H29)</f>
        <v>0</v>
      </c>
      <c r="I30" s="375" t="e">
        <f>H30/H$2</f>
        <v>#DIV/0!</v>
      </c>
      <c r="J30" s="387">
        <f>SUM(J6:J29)</f>
        <v>0</v>
      </c>
      <c r="K30" s="388" t="e">
        <f>J30/J2</f>
        <v>#DIV/0!</v>
      </c>
      <c r="L30" s="389">
        <f>SUM(L6:L29)</f>
        <v>0</v>
      </c>
      <c r="M30" s="388" t="e">
        <f>L30/L2</f>
        <v>#DIV/0!</v>
      </c>
      <c r="N30" s="389">
        <f>SUM(N6:N29)</f>
        <v>0</v>
      </c>
      <c r="O30" s="388" t="e">
        <f>N30/N2</f>
        <v>#DIV/0!</v>
      </c>
      <c r="P30" s="389">
        <f>SUM(P6:P29)</f>
        <v>0</v>
      </c>
      <c r="Q30" s="388" t="e">
        <f>P30/P2</f>
        <v>#DIV/0!</v>
      </c>
      <c r="R30" s="387">
        <f>SUM(R6:R29)</f>
        <v>0</v>
      </c>
      <c r="S30" s="397" t="e">
        <f>R30/R2</f>
        <v>#DIV/0!</v>
      </c>
      <c r="T30" s="387">
        <f>SUM(T6:T19)</f>
        <v>0</v>
      </c>
      <c r="U30" s="390" t="e">
        <f>T30/T2</f>
        <v>#DIV/0!</v>
      </c>
      <c r="V30" s="118"/>
    </row>
    <row r="31" spans="1:22" ht="13" thickBot="1" x14ac:dyDescent="0.3">
      <c r="A31" s="20"/>
      <c r="D31" s="21"/>
      <c r="E31" s="21"/>
      <c r="F31" s="21"/>
      <c r="G31" s="21"/>
      <c r="H31" s="21"/>
      <c r="I31" s="21"/>
      <c r="J31" s="21"/>
      <c r="K31" s="21"/>
      <c r="L31" s="21"/>
      <c r="M31" s="21"/>
      <c r="T31" s="4"/>
    </row>
    <row r="32" spans="1:22" ht="14.25" customHeight="1" thickBot="1" x14ac:dyDescent="0.3">
      <c r="A32" s="37"/>
      <c r="B32" s="36"/>
      <c r="C32" s="35" t="s">
        <v>127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</row>
    <row r="33" spans="1:31" ht="13.5" thickBot="1" x14ac:dyDescent="0.35">
      <c r="A33" s="27"/>
      <c r="B33" s="25" t="str">
        <f>'EEM Data Entry'!A110</f>
        <v/>
      </c>
      <c r="C33" s="163" t="str">
        <f>'Cascading Cap Cost &amp; Savings'!B28</f>
        <v/>
      </c>
      <c r="D33" s="766">
        <f>'Savings Summary'!D34</f>
        <v>0</v>
      </c>
      <c r="E33" s="132">
        <f>IF(D$2=0,0, D33/D$2)</f>
        <v>0</v>
      </c>
      <c r="F33" s="766">
        <f>'Savings Summary'!F34</f>
        <v>0</v>
      </c>
      <c r="G33" s="132">
        <f>IF(F$2=0,0, F33/F$2)</f>
        <v>0</v>
      </c>
      <c r="H33" s="766">
        <f>'Savings Summary'!H34</f>
        <v>0</v>
      </c>
      <c r="I33" s="132">
        <f>IF(H$2=0,0, H33/H$2)</f>
        <v>0</v>
      </c>
      <c r="J33" s="766">
        <f>'Savings Summary'!J34</f>
        <v>0</v>
      </c>
      <c r="K33" s="132">
        <f>IF(J$2=0,0, J33/J$2)</f>
        <v>0</v>
      </c>
      <c r="L33" s="766">
        <f>'Savings Summary'!L34</f>
        <v>0</v>
      </c>
      <c r="M33" s="132">
        <f>IF(L$2=0,0, L33/L$2)</f>
        <v>0</v>
      </c>
      <c r="N33" s="766">
        <f>'Savings Summary'!N34</f>
        <v>0</v>
      </c>
      <c r="O33" s="132">
        <f>IF(N$2=0,0, N33/N$2)</f>
        <v>0</v>
      </c>
      <c r="P33" s="766">
        <f>'Savings Summary'!P34</f>
        <v>0</v>
      </c>
      <c r="Q33" s="132">
        <f>IF(P$2=0,0, P33/P$2)</f>
        <v>0</v>
      </c>
      <c r="R33" s="766">
        <f>'Savings Summary'!R34</f>
        <v>0</v>
      </c>
      <c r="S33" s="132">
        <f>IF(R$2=0,0, R33/R$2)</f>
        <v>0</v>
      </c>
      <c r="T33" s="38">
        <f>(D33*3.412)+(F33*138.6905)+(H33*100)+(J33*91.6476)+(L33*1194)+(N33*16400)+(P33*9500)+(R33*0)</f>
        <v>0</v>
      </c>
      <c r="U33" s="22">
        <f>IF(T$2&gt;0, T33/T$2, 0)</f>
        <v>0</v>
      </c>
      <c r="V33" t="e">
        <f>'Individual Measure List'!I33</f>
        <v>#VALUE!</v>
      </c>
    </row>
    <row r="34" spans="1:31" ht="13.5" thickBot="1" x14ac:dyDescent="0.35">
      <c r="A34" s="27"/>
      <c r="B34" s="25" t="str">
        <f>'EEM Data Entry'!A111</f>
        <v/>
      </c>
      <c r="C34" s="163" t="str">
        <f>'Cascading Cap Cost &amp; Savings'!B29</f>
        <v/>
      </c>
      <c r="D34" s="766">
        <f>'Savings Summary'!D35</f>
        <v>0</v>
      </c>
      <c r="E34" s="132">
        <f t="shared" ref="E34:G46" si="164">IF(D$2=0,0, D34/D$2)</f>
        <v>0</v>
      </c>
      <c r="F34" s="766">
        <f>'Savings Summary'!F35</f>
        <v>0</v>
      </c>
      <c r="G34" s="132">
        <f t="shared" si="164"/>
        <v>0</v>
      </c>
      <c r="H34" s="766">
        <f>'Savings Summary'!H35</f>
        <v>0</v>
      </c>
      <c r="I34" s="132">
        <f t="shared" ref="I34" si="165">IF(H$2=0,0, H34/H$2)</f>
        <v>0</v>
      </c>
      <c r="J34" s="766">
        <f>'Savings Summary'!J35</f>
        <v>0</v>
      </c>
      <c r="K34" s="132">
        <f t="shared" ref="K34" si="166">IF(J$2=0,0, J34/J$2)</f>
        <v>0</v>
      </c>
      <c r="L34" s="766">
        <f>'Savings Summary'!L35</f>
        <v>0</v>
      </c>
      <c r="M34" s="132">
        <f t="shared" ref="M34" si="167">IF(L$2=0,0, L34/L$2)</f>
        <v>0</v>
      </c>
      <c r="N34" s="766">
        <f>'Savings Summary'!N35</f>
        <v>0</v>
      </c>
      <c r="O34" s="132">
        <f t="shared" ref="O34" si="168">IF(N$2=0,0, N34/N$2)</f>
        <v>0</v>
      </c>
      <c r="P34" s="766">
        <f>'Savings Summary'!P35</f>
        <v>0</v>
      </c>
      <c r="Q34" s="132">
        <f t="shared" ref="Q34" si="169">IF(P$2=0,0, P34/P$2)</f>
        <v>0</v>
      </c>
      <c r="R34" s="766">
        <f>'Savings Summary'!R35</f>
        <v>0</v>
      </c>
      <c r="S34" s="132">
        <f t="shared" ref="S34" si="170">IF(R$2=0,0, R34/R$2)</f>
        <v>0</v>
      </c>
      <c r="T34" s="38">
        <f>(D34*3.412)+(F34*138.6905)+(H34*100)+(J34*91.6476)+(L34*1194)+(N34*16400)+(P34*9500)+(R34*0)</f>
        <v>0</v>
      </c>
      <c r="U34" s="22">
        <f>IF(T$2&gt;0, T34/T$2, 0)</f>
        <v>0</v>
      </c>
      <c r="V34" t="e">
        <f>'Individual Measure List'!I34</f>
        <v>#VALUE!</v>
      </c>
      <c r="W34" s="282"/>
    </row>
    <row r="35" spans="1:31" ht="13.5" thickBot="1" x14ac:dyDescent="0.35">
      <c r="A35" s="27"/>
      <c r="B35" s="25" t="str">
        <f>'EEM Data Entry'!A112</f>
        <v/>
      </c>
      <c r="C35" s="163" t="str">
        <f>'Cascading Cap Cost &amp; Savings'!B30</f>
        <v/>
      </c>
      <c r="D35" s="766">
        <f>'Savings Summary'!D36</f>
        <v>0</v>
      </c>
      <c r="E35" s="132">
        <f t="shared" si="164"/>
        <v>0</v>
      </c>
      <c r="F35" s="766">
        <f>'Savings Summary'!F36</f>
        <v>0</v>
      </c>
      <c r="G35" s="132">
        <f t="shared" si="164"/>
        <v>0</v>
      </c>
      <c r="H35" s="766">
        <f>'Savings Summary'!H36</f>
        <v>0</v>
      </c>
      <c r="I35" s="132">
        <f t="shared" ref="I35" si="171">IF(H$2=0,0, H35/H$2)</f>
        <v>0</v>
      </c>
      <c r="J35" s="766">
        <f>'Savings Summary'!J36</f>
        <v>0</v>
      </c>
      <c r="K35" s="132">
        <f t="shared" ref="K35" si="172">IF(J$2=0,0, J35/J$2)</f>
        <v>0</v>
      </c>
      <c r="L35" s="766">
        <f>'Savings Summary'!L36</f>
        <v>0</v>
      </c>
      <c r="M35" s="132">
        <f t="shared" ref="M35" si="173">IF(L$2=0,0, L35/L$2)</f>
        <v>0</v>
      </c>
      <c r="N35" s="766">
        <f>'Savings Summary'!N36</f>
        <v>0</v>
      </c>
      <c r="O35" s="132">
        <f t="shared" ref="O35" si="174">IF(N$2=0,0, N35/N$2)</f>
        <v>0</v>
      </c>
      <c r="P35" s="766">
        <f>'Savings Summary'!P36</f>
        <v>0</v>
      </c>
      <c r="Q35" s="132">
        <f t="shared" ref="Q35" si="175">IF(P$2=0,0, P35/P$2)</f>
        <v>0</v>
      </c>
      <c r="R35" s="766">
        <f>'Savings Summary'!R36</f>
        <v>0</v>
      </c>
      <c r="S35" s="132">
        <f t="shared" ref="S35" si="176">IF(R$2=0,0, R35/R$2)</f>
        <v>0</v>
      </c>
      <c r="T35" s="38">
        <f t="shared" ref="T35:T46" si="177">(D35*3.412)+(F35*138.6905)+(H35*100)+(J35*91.6476)+(L35*1194)+(N35*16400)+(P35*9500)+(R35*0)</f>
        <v>0</v>
      </c>
      <c r="U35" s="22">
        <f t="shared" ref="U35:U46" si="178">IF(T$2&gt;0, T35/T$2, 0)</f>
        <v>0</v>
      </c>
      <c r="V35" t="e">
        <f>'Individual Measure List'!I35</f>
        <v>#VALUE!</v>
      </c>
      <c r="AC35" s="281">
        <f>D33*0.16</f>
        <v>0</v>
      </c>
      <c r="AD35" s="281">
        <f>F33*3</f>
        <v>0</v>
      </c>
      <c r="AE35" s="281">
        <f>SUM(AC35:AD35)</f>
        <v>0</v>
      </c>
    </row>
    <row r="36" spans="1:31" ht="13.5" thickBot="1" x14ac:dyDescent="0.35">
      <c r="A36" s="27"/>
      <c r="B36" s="25" t="str">
        <f>'EEM Data Entry'!A113</f>
        <v/>
      </c>
      <c r="C36" s="163" t="str">
        <f>'Cascading Cap Cost &amp; Savings'!B31</f>
        <v/>
      </c>
      <c r="D36" s="766">
        <f>'Savings Summary'!D37</f>
        <v>0</v>
      </c>
      <c r="E36" s="132">
        <f t="shared" si="164"/>
        <v>0</v>
      </c>
      <c r="F36" s="766">
        <f>'Savings Summary'!F37</f>
        <v>0</v>
      </c>
      <c r="G36" s="132">
        <f t="shared" si="164"/>
        <v>0</v>
      </c>
      <c r="H36" s="766">
        <f>'Savings Summary'!H37</f>
        <v>0</v>
      </c>
      <c r="I36" s="132">
        <f t="shared" ref="I36" si="179">IF(H$2=0,0, H36/H$2)</f>
        <v>0</v>
      </c>
      <c r="J36" s="766">
        <f>'Savings Summary'!J37</f>
        <v>0</v>
      </c>
      <c r="K36" s="132">
        <f t="shared" ref="K36" si="180">IF(J$2=0,0, J36/J$2)</f>
        <v>0</v>
      </c>
      <c r="L36" s="766">
        <f>'Savings Summary'!L37</f>
        <v>0</v>
      </c>
      <c r="M36" s="132">
        <f t="shared" ref="M36" si="181">IF(L$2=0,0, L36/L$2)</f>
        <v>0</v>
      </c>
      <c r="N36" s="766">
        <f>'Savings Summary'!N37</f>
        <v>0</v>
      </c>
      <c r="O36" s="132">
        <f t="shared" ref="O36" si="182">IF(N$2=0,0, N36/N$2)</f>
        <v>0</v>
      </c>
      <c r="P36" s="766">
        <f>'Savings Summary'!P37</f>
        <v>0</v>
      </c>
      <c r="Q36" s="132">
        <f t="shared" ref="Q36" si="183">IF(P$2=0,0, P36/P$2)</f>
        <v>0</v>
      </c>
      <c r="R36" s="766">
        <f>'Savings Summary'!R37</f>
        <v>0</v>
      </c>
      <c r="S36" s="132">
        <f t="shared" ref="S36" si="184">IF(R$2=0,0, R36/R$2)</f>
        <v>0</v>
      </c>
      <c r="T36" s="38">
        <f t="shared" si="177"/>
        <v>0</v>
      </c>
      <c r="U36" s="22">
        <f t="shared" si="178"/>
        <v>0</v>
      </c>
      <c r="V36" t="e">
        <f>'Individual Measure List'!I36</f>
        <v>#VALUE!</v>
      </c>
      <c r="AC36" s="281">
        <f>D34*0.16</f>
        <v>0</v>
      </c>
      <c r="AD36" s="281">
        <f>F34*3</f>
        <v>0</v>
      </c>
      <c r="AE36" s="281">
        <f>SUM(AC36:AD36)</f>
        <v>0</v>
      </c>
    </row>
    <row r="37" spans="1:31" ht="13.5" thickBot="1" x14ac:dyDescent="0.35">
      <c r="A37" s="27"/>
      <c r="B37" s="25" t="str">
        <f>'EEM Data Entry'!A114</f>
        <v/>
      </c>
      <c r="C37" s="163" t="str">
        <f>'Cascading Cap Cost &amp; Savings'!B32</f>
        <v/>
      </c>
      <c r="D37" s="766">
        <f>'Savings Summary'!D38</f>
        <v>0</v>
      </c>
      <c r="E37" s="132">
        <f t="shared" si="164"/>
        <v>0</v>
      </c>
      <c r="F37" s="766">
        <f>'Savings Summary'!F38</f>
        <v>0</v>
      </c>
      <c r="G37" s="132">
        <f t="shared" si="164"/>
        <v>0</v>
      </c>
      <c r="H37" s="766">
        <f>'Savings Summary'!H38</f>
        <v>0</v>
      </c>
      <c r="I37" s="132">
        <f t="shared" ref="I37" si="185">IF(H$2=0,0, H37/H$2)</f>
        <v>0</v>
      </c>
      <c r="J37" s="766">
        <f>'Savings Summary'!J38</f>
        <v>0</v>
      </c>
      <c r="K37" s="132">
        <f t="shared" ref="K37" si="186">IF(J$2=0,0, J37/J$2)</f>
        <v>0</v>
      </c>
      <c r="L37" s="766">
        <f>'Savings Summary'!L38</f>
        <v>0</v>
      </c>
      <c r="M37" s="132">
        <f t="shared" ref="M37" si="187">IF(L$2=0,0, L37/L$2)</f>
        <v>0</v>
      </c>
      <c r="N37" s="766">
        <f>'Savings Summary'!N38</f>
        <v>0</v>
      </c>
      <c r="O37" s="132">
        <f t="shared" ref="O37" si="188">IF(N$2=0,0, N37/N$2)</f>
        <v>0</v>
      </c>
      <c r="P37" s="766">
        <f>'Savings Summary'!P38</f>
        <v>0</v>
      </c>
      <c r="Q37" s="132">
        <f t="shared" ref="Q37" si="189">IF(P$2=0,0, P37/P$2)</f>
        <v>0</v>
      </c>
      <c r="R37" s="766">
        <f>'Savings Summary'!R38</f>
        <v>0</v>
      </c>
      <c r="S37" s="132">
        <f t="shared" ref="S37" si="190">IF(R$2=0,0, R37/R$2)</f>
        <v>0</v>
      </c>
      <c r="T37" s="38">
        <f t="shared" si="177"/>
        <v>0</v>
      </c>
      <c r="U37" s="22">
        <f t="shared" si="178"/>
        <v>0</v>
      </c>
      <c r="V37" t="e">
        <f>'Individual Measure List'!I37</f>
        <v>#VALUE!</v>
      </c>
    </row>
    <row r="38" spans="1:31" ht="13.5" thickBot="1" x14ac:dyDescent="0.35">
      <c r="A38" s="27"/>
      <c r="B38" s="25" t="str">
        <f>'EEM Data Entry'!A115</f>
        <v/>
      </c>
      <c r="C38" s="163" t="str">
        <f>'Cascading Cap Cost &amp; Savings'!B33</f>
        <v/>
      </c>
      <c r="D38" s="766">
        <f>'Savings Summary'!D39</f>
        <v>0</v>
      </c>
      <c r="E38" s="132">
        <f t="shared" si="164"/>
        <v>0</v>
      </c>
      <c r="F38" s="766">
        <f>'Savings Summary'!F39</f>
        <v>0</v>
      </c>
      <c r="G38" s="132">
        <f t="shared" si="164"/>
        <v>0</v>
      </c>
      <c r="H38" s="766">
        <f>'Savings Summary'!H39</f>
        <v>0</v>
      </c>
      <c r="I38" s="132">
        <f t="shared" ref="I38" si="191">IF(H$2=0,0, H38/H$2)</f>
        <v>0</v>
      </c>
      <c r="J38" s="766">
        <f>'Savings Summary'!J39</f>
        <v>0</v>
      </c>
      <c r="K38" s="132">
        <f t="shared" ref="K38" si="192">IF(J$2=0,0, J38/J$2)</f>
        <v>0</v>
      </c>
      <c r="L38" s="766">
        <f>'Savings Summary'!L39</f>
        <v>0</v>
      </c>
      <c r="M38" s="132">
        <f t="shared" ref="M38" si="193">IF(L$2=0,0, L38/L$2)</f>
        <v>0</v>
      </c>
      <c r="N38" s="766">
        <f>'Savings Summary'!N39</f>
        <v>0</v>
      </c>
      <c r="O38" s="132">
        <f t="shared" ref="O38" si="194">IF(N$2=0,0, N38/N$2)</f>
        <v>0</v>
      </c>
      <c r="P38" s="766">
        <f>'Savings Summary'!P39</f>
        <v>0</v>
      </c>
      <c r="Q38" s="132">
        <f t="shared" ref="Q38" si="195">IF(P$2=0,0, P38/P$2)</f>
        <v>0</v>
      </c>
      <c r="R38" s="766">
        <f>'Savings Summary'!R39</f>
        <v>0</v>
      </c>
      <c r="S38" s="132">
        <f t="shared" ref="S38" si="196">IF(R$2=0,0, R38/R$2)</f>
        <v>0</v>
      </c>
      <c r="T38" s="38">
        <f t="shared" si="177"/>
        <v>0</v>
      </c>
      <c r="U38" s="22">
        <f t="shared" si="178"/>
        <v>0</v>
      </c>
      <c r="V38" t="e">
        <f>'Individual Measure List'!I38</f>
        <v>#VALUE!</v>
      </c>
    </row>
    <row r="39" spans="1:31" ht="13.5" thickBot="1" x14ac:dyDescent="0.35">
      <c r="A39" s="27"/>
      <c r="B39" s="25" t="str">
        <f>'EEM Data Entry'!A116</f>
        <v/>
      </c>
      <c r="C39" s="163" t="str">
        <f>'Cascading Cap Cost &amp; Savings'!B34</f>
        <v/>
      </c>
      <c r="D39" s="766">
        <f>'Savings Summary'!D40</f>
        <v>0</v>
      </c>
      <c r="E39" s="132">
        <f t="shared" si="164"/>
        <v>0</v>
      </c>
      <c r="F39" s="766">
        <f>'Savings Summary'!F40</f>
        <v>0</v>
      </c>
      <c r="G39" s="132">
        <f t="shared" si="164"/>
        <v>0</v>
      </c>
      <c r="H39" s="766">
        <f>'Savings Summary'!H40</f>
        <v>0</v>
      </c>
      <c r="I39" s="132">
        <f t="shared" ref="I39" si="197">IF(H$2=0,0, H39/H$2)</f>
        <v>0</v>
      </c>
      <c r="J39" s="766">
        <f>'Savings Summary'!J40</f>
        <v>0</v>
      </c>
      <c r="K39" s="132">
        <f t="shared" ref="K39" si="198">IF(J$2=0,0, J39/J$2)</f>
        <v>0</v>
      </c>
      <c r="L39" s="766">
        <f>'Savings Summary'!L40</f>
        <v>0</v>
      </c>
      <c r="M39" s="132">
        <f t="shared" ref="M39" si="199">IF(L$2=0,0, L39/L$2)</f>
        <v>0</v>
      </c>
      <c r="N39" s="766">
        <f>'Savings Summary'!N40</f>
        <v>0</v>
      </c>
      <c r="O39" s="132">
        <f t="shared" ref="O39" si="200">IF(N$2=0,0, N39/N$2)</f>
        <v>0</v>
      </c>
      <c r="P39" s="766">
        <f>'Savings Summary'!P40</f>
        <v>0</v>
      </c>
      <c r="Q39" s="132">
        <f t="shared" ref="Q39" si="201">IF(P$2=0,0, P39/P$2)</f>
        <v>0</v>
      </c>
      <c r="R39" s="766">
        <f>'Savings Summary'!R40</f>
        <v>0</v>
      </c>
      <c r="S39" s="132">
        <f t="shared" ref="S39" si="202">IF(R$2=0,0, R39/R$2)</f>
        <v>0</v>
      </c>
      <c r="T39" s="38">
        <f t="shared" si="177"/>
        <v>0</v>
      </c>
      <c r="U39" s="22">
        <f t="shared" si="178"/>
        <v>0</v>
      </c>
      <c r="V39" t="e">
        <f>'Individual Measure List'!I39</f>
        <v>#VALUE!</v>
      </c>
    </row>
    <row r="40" spans="1:31" ht="13.5" thickBot="1" x14ac:dyDescent="0.35">
      <c r="A40" s="27"/>
      <c r="B40" s="25" t="str">
        <f>'EEM Data Entry'!A117</f>
        <v/>
      </c>
      <c r="C40" s="163" t="str">
        <f>'Cascading Cap Cost &amp; Savings'!B35</f>
        <v/>
      </c>
      <c r="D40" s="766">
        <f>'Savings Summary'!D41</f>
        <v>0</v>
      </c>
      <c r="E40" s="132">
        <f t="shared" si="164"/>
        <v>0</v>
      </c>
      <c r="F40" s="766">
        <f>'Savings Summary'!F41</f>
        <v>0</v>
      </c>
      <c r="G40" s="132">
        <f t="shared" si="164"/>
        <v>0</v>
      </c>
      <c r="H40" s="766">
        <f>'Savings Summary'!H41</f>
        <v>0</v>
      </c>
      <c r="I40" s="132">
        <f t="shared" ref="I40" si="203">IF(H$2=0,0, H40/H$2)</f>
        <v>0</v>
      </c>
      <c r="J40" s="766">
        <f>'Savings Summary'!J41</f>
        <v>0</v>
      </c>
      <c r="K40" s="132">
        <f t="shared" ref="K40" si="204">IF(J$2=0,0, J40/J$2)</f>
        <v>0</v>
      </c>
      <c r="L40" s="766">
        <f>'Savings Summary'!L41</f>
        <v>0</v>
      </c>
      <c r="M40" s="132">
        <f t="shared" ref="M40" si="205">IF(L$2=0,0, L40/L$2)</f>
        <v>0</v>
      </c>
      <c r="N40" s="766">
        <f>'Savings Summary'!N41</f>
        <v>0</v>
      </c>
      <c r="O40" s="132">
        <f t="shared" ref="O40" si="206">IF(N$2=0,0, N40/N$2)</f>
        <v>0</v>
      </c>
      <c r="P40" s="766">
        <f>'Savings Summary'!P41</f>
        <v>0</v>
      </c>
      <c r="Q40" s="132">
        <f t="shared" ref="Q40" si="207">IF(P$2=0,0, P40/P$2)</f>
        <v>0</v>
      </c>
      <c r="R40" s="766">
        <f>'Savings Summary'!R41</f>
        <v>0</v>
      </c>
      <c r="S40" s="132">
        <f t="shared" ref="S40" si="208">IF(R$2=0,0, R40/R$2)</f>
        <v>0</v>
      </c>
      <c r="T40" s="38">
        <f t="shared" si="177"/>
        <v>0</v>
      </c>
      <c r="U40" s="22">
        <f t="shared" si="178"/>
        <v>0</v>
      </c>
      <c r="V40" t="e">
        <f>'Individual Measure List'!I40</f>
        <v>#VALUE!</v>
      </c>
    </row>
    <row r="41" spans="1:31" ht="13.5" thickBot="1" x14ac:dyDescent="0.35">
      <c r="A41" s="27"/>
      <c r="B41" s="25" t="str">
        <f>'EEM Data Entry'!A118</f>
        <v/>
      </c>
      <c r="C41" s="163" t="str">
        <f>'Cascading Cap Cost &amp; Savings'!B36</f>
        <v/>
      </c>
      <c r="D41" s="766">
        <f>'Savings Summary'!D42</f>
        <v>0</v>
      </c>
      <c r="E41" s="132">
        <f t="shared" si="164"/>
        <v>0</v>
      </c>
      <c r="F41" s="766">
        <f>'Savings Summary'!F42</f>
        <v>0</v>
      </c>
      <c r="G41" s="132">
        <f t="shared" si="164"/>
        <v>0</v>
      </c>
      <c r="H41" s="766">
        <f>'Savings Summary'!H42</f>
        <v>0</v>
      </c>
      <c r="I41" s="132">
        <f t="shared" ref="I41" si="209">IF(H$2=0,0, H41/H$2)</f>
        <v>0</v>
      </c>
      <c r="J41" s="766">
        <f>'Savings Summary'!J42</f>
        <v>0</v>
      </c>
      <c r="K41" s="132">
        <f t="shared" ref="K41" si="210">IF(J$2=0,0, J41/J$2)</f>
        <v>0</v>
      </c>
      <c r="L41" s="766">
        <f>'Savings Summary'!L42</f>
        <v>0</v>
      </c>
      <c r="M41" s="132">
        <f t="shared" ref="M41" si="211">IF(L$2=0,0, L41/L$2)</f>
        <v>0</v>
      </c>
      <c r="N41" s="766">
        <f>'Savings Summary'!N42</f>
        <v>0</v>
      </c>
      <c r="O41" s="132">
        <f t="shared" ref="O41" si="212">IF(N$2=0,0, N41/N$2)</f>
        <v>0</v>
      </c>
      <c r="P41" s="766">
        <f>'Savings Summary'!P42</f>
        <v>0</v>
      </c>
      <c r="Q41" s="132">
        <f t="shared" ref="Q41" si="213">IF(P$2=0,0, P41/P$2)</f>
        <v>0</v>
      </c>
      <c r="R41" s="766">
        <f>'Savings Summary'!R42</f>
        <v>0</v>
      </c>
      <c r="S41" s="132">
        <f t="shared" ref="S41" si="214">IF(R$2=0,0, R41/R$2)</f>
        <v>0</v>
      </c>
      <c r="T41" s="38">
        <f t="shared" si="177"/>
        <v>0</v>
      </c>
      <c r="U41" s="22">
        <f t="shared" si="178"/>
        <v>0</v>
      </c>
      <c r="V41" t="e">
        <f>'Individual Measure List'!I41</f>
        <v>#VALUE!</v>
      </c>
    </row>
    <row r="42" spans="1:31" ht="18.75" customHeight="1" thickBot="1" x14ac:dyDescent="0.35">
      <c r="A42" s="27"/>
      <c r="B42" s="25" t="str">
        <f>'EEM Data Entry'!A119</f>
        <v/>
      </c>
      <c r="C42" s="163" t="str">
        <f>'Cascading Cap Cost &amp; Savings'!B37</f>
        <v/>
      </c>
      <c r="D42" s="766">
        <f>'Savings Summary'!D43</f>
        <v>0</v>
      </c>
      <c r="E42" s="132">
        <f t="shared" si="164"/>
        <v>0</v>
      </c>
      <c r="F42" s="766">
        <f>'Savings Summary'!F43</f>
        <v>0</v>
      </c>
      <c r="G42" s="132">
        <f t="shared" si="164"/>
        <v>0</v>
      </c>
      <c r="H42" s="766">
        <f>'Savings Summary'!H43</f>
        <v>0</v>
      </c>
      <c r="I42" s="132">
        <f t="shared" ref="I42" si="215">IF(H$2=0,0, H42/H$2)</f>
        <v>0</v>
      </c>
      <c r="J42" s="766">
        <f>'Savings Summary'!J43</f>
        <v>0</v>
      </c>
      <c r="K42" s="132">
        <f t="shared" ref="K42" si="216">IF(J$2=0,0, J42/J$2)</f>
        <v>0</v>
      </c>
      <c r="L42" s="766">
        <f>'Savings Summary'!L43</f>
        <v>0</v>
      </c>
      <c r="M42" s="132">
        <f t="shared" ref="M42" si="217">IF(L$2=0,0, L42/L$2)</f>
        <v>0</v>
      </c>
      <c r="N42" s="766">
        <f>'Savings Summary'!N43</f>
        <v>0</v>
      </c>
      <c r="O42" s="132">
        <f t="shared" ref="O42" si="218">IF(N$2=0,0, N42/N$2)</f>
        <v>0</v>
      </c>
      <c r="P42" s="766">
        <f>'Savings Summary'!P43</f>
        <v>0</v>
      </c>
      <c r="Q42" s="132">
        <f t="shared" ref="Q42" si="219">IF(P$2=0,0, P42/P$2)</f>
        <v>0</v>
      </c>
      <c r="R42" s="766">
        <f>'Savings Summary'!R43</f>
        <v>0</v>
      </c>
      <c r="S42" s="132">
        <f t="shared" ref="S42" si="220">IF(R$2=0,0, R42/R$2)</f>
        <v>0</v>
      </c>
      <c r="T42" s="38">
        <f t="shared" si="177"/>
        <v>0</v>
      </c>
      <c r="U42" s="22">
        <f t="shared" si="178"/>
        <v>0</v>
      </c>
      <c r="V42" t="e">
        <f>'Individual Measure List'!I42</f>
        <v>#VALUE!</v>
      </c>
    </row>
    <row r="43" spans="1:31" ht="18.75" customHeight="1" thickBot="1" x14ac:dyDescent="0.35">
      <c r="A43" s="27"/>
      <c r="B43" s="25" t="str">
        <f>'EEM Data Entry'!A120</f>
        <v/>
      </c>
      <c r="C43" s="163" t="str">
        <f>'Cascading Cap Cost &amp; Savings'!B38</f>
        <v/>
      </c>
      <c r="D43" s="766">
        <f>'Savings Summary'!D44</f>
        <v>0</v>
      </c>
      <c r="E43" s="132">
        <f t="shared" si="164"/>
        <v>0</v>
      </c>
      <c r="F43" s="766">
        <f>'Savings Summary'!F44</f>
        <v>0</v>
      </c>
      <c r="G43" s="132">
        <f t="shared" si="164"/>
        <v>0</v>
      </c>
      <c r="H43" s="766">
        <f>'Savings Summary'!H44</f>
        <v>0</v>
      </c>
      <c r="I43" s="132">
        <f t="shared" ref="I43" si="221">IF(H$2=0,0, H43/H$2)</f>
        <v>0</v>
      </c>
      <c r="J43" s="766">
        <f>'Savings Summary'!J44</f>
        <v>0</v>
      </c>
      <c r="K43" s="132">
        <f t="shared" ref="K43" si="222">IF(J$2=0,0, J43/J$2)</f>
        <v>0</v>
      </c>
      <c r="L43" s="766">
        <f>'Savings Summary'!L44</f>
        <v>0</v>
      </c>
      <c r="M43" s="132">
        <f t="shared" ref="M43" si="223">IF(L$2=0,0, L43/L$2)</f>
        <v>0</v>
      </c>
      <c r="N43" s="766">
        <f>'Savings Summary'!N44</f>
        <v>0</v>
      </c>
      <c r="O43" s="132">
        <f t="shared" ref="O43" si="224">IF(N$2=0,0, N43/N$2)</f>
        <v>0</v>
      </c>
      <c r="P43" s="766">
        <f>'Savings Summary'!P44</f>
        <v>0</v>
      </c>
      <c r="Q43" s="132">
        <f t="shared" ref="Q43" si="225">IF(P$2=0,0, P43/P$2)</f>
        <v>0</v>
      </c>
      <c r="R43" s="766">
        <f>'Savings Summary'!R44</f>
        <v>0</v>
      </c>
      <c r="S43" s="132">
        <f t="shared" ref="S43" si="226">IF(R$2=0,0, R43/R$2)</f>
        <v>0</v>
      </c>
      <c r="T43" s="38">
        <f t="shared" si="177"/>
        <v>0</v>
      </c>
      <c r="U43" s="22">
        <f t="shared" si="178"/>
        <v>0</v>
      </c>
      <c r="V43" t="e">
        <f>'Individual Measure List'!I43</f>
        <v>#VALUE!</v>
      </c>
    </row>
    <row r="44" spans="1:31" ht="29.25" customHeight="1" thickBot="1" x14ac:dyDescent="0.35">
      <c r="A44" s="27"/>
      <c r="B44" s="25" t="str">
        <f>'EEM Data Entry'!A121</f>
        <v/>
      </c>
      <c r="C44" s="163" t="str">
        <f>'Cascading Cap Cost &amp; Savings'!B39</f>
        <v/>
      </c>
      <c r="D44" s="766">
        <f>'Savings Summary'!D45</f>
        <v>0</v>
      </c>
      <c r="E44" s="132">
        <f t="shared" si="164"/>
        <v>0</v>
      </c>
      <c r="F44" s="766">
        <f>'Savings Summary'!F45</f>
        <v>0</v>
      </c>
      <c r="G44" s="132">
        <f t="shared" si="164"/>
        <v>0</v>
      </c>
      <c r="H44" s="766">
        <f>'Savings Summary'!H45</f>
        <v>0</v>
      </c>
      <c r="I44" s="132">
        <f t="shared" ref="I44" si="227">IF(H$2=0,0, H44/H$2)</f>
        <v>0</v>
      </c>
      <c r="J44" s="766">
        <f>'Savings Summary'!J45</f>
        <v>0</v>
      </c>
      <c r="K44" s="132">
        <f t="shared" ref="K44" si="228">IF(J$2=0,0, J44/J$2)</f>
        <v>0</v>
      </c>
      <c r="L44" s="766">
        <f>'Savings Summary'!L45</f>
        <v>0</v>
      </c>
      <c r="M44" s="132">
        <f t="shared" ref="M44" si="229">IF(L$2=0,0, L44/L$2)</f>
        <v>0</v>
      </c>
      <c r="N44" s="766">
        <f>'Savings Summary'!N45</f>
        <v>0</v>
      </c>
      <c r="O44" s="132">
        <f t="shared" ref="O44" si="230">IF(N$2=0,0, N44/N$2)</f>
        <v>0</v>
      </c>
      <c r="P44" s="766">
        <f>'Savings Summary'!P45</f>
        <v>0</v>
      </c>
      <c r="Q44" s="132">
        <f t="shared" ref="Q44" si="231">IF(P$2=0,0, P44/P$2)</f>
        <v>0</v>
      </c>
      <c r="R44" s="766">
        <f>'Savings Summary'!R45</f>
        <v>0</v>
      </c>
      <c r="S44" s="132">
        <f t="shared" ref="S44" si="232">IF(R$2=0,0, R44/R$2)</f>
        <v>0</v>
      </c>
      <c r="T44" s="38">
        <f t="shared" si="177"/>
        <v>0</v>
      </c>
      <c r="U44" s="22">
        <f t="shared" si="178"/>
        <v>0</v>
      </c>
      <c r="V44" t="e">
        <f>'Individual Measure List'!I44</f>
        <v>#VALUE!</v>
      </c>
    </row>
    <row r="45" spans="1:31" ht="29.25" customHeight="1" thickBot="1" x14ac:dyDescent="0.35">
      <c r="A45" s="27"/>
      <c r="B45" s="25" t="str">
        <f>'EEM Data Entry'!A122</f>
        <v/>
      </c>
      <c r="C45" s="163" t="str">
        <f>'Cascading Cap Cost &amp; Savings'!B40</f>
        <v/>
      </c>
      <c r="D45" s="766">
        <f>'Savings Summary'!D46</f>
        <v>0</v>
      </c>
      <c r="E45" s="132">
        <f t="shared" si="164"/>
        <v>0</v>
      </c>
      <c r="F45" s="766">
        <f>'Savings Summary'!F46</f>
        <v>0</v>
      </c>
      <c r="G45" s="132">
        <f t="shared" si="164"/>
        <v>0</v>
      </c>
      <c r="H45" s="766">
        <f>'Savings Summary'!H46</f>
        <v>0</v>
      </c>
      <c r="I45" s="132">
        <f t="shared" ref="I45" si="233">IF(H$2=0,0, H45/H$2)</f>
        <v>0</v>
      </c>
      <c r="J45" s="766">
        <f>'Savings Summary'!J46</f>
        <v>0</v>
      </c>
      <c r="K45" s="132">
        <f t="shared" ref="K45" si="234">IF(J$2=0,0, J45/J$2)</f>
        <v>0</v>
      </c>
      <c r="L45" s="766">
        <f>'Savings Summary'!L46</f>
        <v>0</v>
      </c>
      <c r="M45" s="132">
        <f t="shared" ref="M45" si="235">IF(L$2=0,0, L45/L$2)</f>
        <v>0</v>
      </c>
      <c r="N45" s="766">
        <f>'Savings Summary'!N46</f>
        <v>0</v>
      </c>
      <c r="O45" s="132">
        <f t="shared" ref="O45" si="236">IF(N$2=0,0, N45/N$2)</f>
        <v>0</v>
      </c>
      <c r="P45" s="766">
        <f>'Savings Summary'!P46</f>
        <v>0</v>
      </c>
      <c r="Q45" s="132">
        <f t="shared" ref="Q45" si="237">IF(P$2=0,0, P45/P$2)</f>
        <v>0</v>
      </c>
      <c r="R45" s="766">
        <f>'Savings Summary'!R46</f>
        <v>0</v>
      </c>
      <c r="S45" s="132">
        <f t="shared" ref="S45" si="238">IF(R$2=0,0, R45/R$2)</f>
        <v>0</v>
      </c>
      <c r="T45" s="38">
        <f t="shared" si="177"/>
        <v>0</v>
      </c>
      <c r="U45" s="22">
        <f t="shared" si="178"/>
        <v>0</v>
      </c>
      <c r="V45" t="e">
        <f>'Individual Measure List'!I44</f>
        <v>#VALUE!</v>
      </c>
    </row>
    <row r="46" spans="1:31" ht="29.25" customHeight="1" thickBot="1" x14ac:dyDescent="0.35">
      <c r="A46" s="27"/>
      <c r="B46" s="25" t="str">
        <f>'EEM Data Entry'!A123</f>
        <v/>
      </c>
      <c r="C46" s="163" t="str">
        <f>'Cascading Cap Cost &amp; Savings'!B41</f>
        <v/>
      </c>
      <c r="D46" s="766">
        <f>'Savings Summary'!D47</f>
        <v>0</v>
      </c>
      <c r="E46" s="132">
        <f t="shared" si="164"/>
        <v>0</v>
      </c>
      <c r="F46" s="766">
        <f>'Savings Summary'!F47</f>
        <v>0</v>
      </c>
      <c r="G46" s="132">
        <f t="shared" si="164"/>
        <v>0</v>
      </c>
      <c r="H46" s="766">
        <f>'Savings Summary'!H47</f>
        <v>0</v>
      </c>
      <c r="I46" s="132">
        <f t="shared" ref="I46" si="239">IF(H$2=0,0, H46/H$2)</f>
        <v>0</v>
      </c>
      <c r="J46" s="766">
        <f>'Savings Summary'!J47</f>
        <v>0</v>
      </c>
      <c r="K46" s="132">
        <f t="shared" ref="K46" si="240">IF(J$2=0,0, J46/J$2)</f>
        <v>0</v>
      </c>
      <c r="L46" s="766">
        <f>'Savings Summary'!L47</f>
        <v>0</v>
      </c>
      <c r="M46" s="132">
        <f t="shared" ref="M46" si="241">IF(L$2=0,0, L46/L$2)</f>
        <v>0</v>
      </c>
      <c r="N46" s="766">
        <f>'Savings Summary'!N47</f>
        <v>0</v>
      </c>
      <c r="O46" s="132">
        <f t="shared" ref="O46" si="242">IF(N$2=0,0, N46/N$2)</f>
        <v>0</v>
      </c>
      <c r="P46" s="766">
        <f>'Savings Summary'!P47</f>
        <v>0</v>
      </c>
      <c r="Q46" s="132">
        <f t="shared" ref="Q46" si="243">IF(P$2=0,0, P46/P$2)</f>
        <v>0</v>
      </c>
      <c r="R46" s="766">
        <f>'Savings Summary'!R47</f>
        <v>0</v>
      </c>
      <c r="S46" s="132">
        <f t="shared" ref="S46" si="244">IF(R$2=0,0, R46/R$2)</f>
        <v>0</v>
      </c>
      <c r="T46" s="38">
        <f t="shared" si="177"/>
        <v>0</v>
      </c>
      <c r="U46" s="185">
        <f t="shared" si="178"/>
        <v>0</v>
      </c>
      <c r="V46" t="e">
        <f>'Individual Measure List'!I45</f>
        <v>#VALUE!</v>
      </c>
    </row>
    <row r="47" spans="1:31" ht="29.25" customHeight="1" thickBot="1" x14ac:dyDescent="0.3">
      <c r="A47" s="24"/>
      <c r="B47" s="24"/>
      <c r="C47" s="180" t="s">
        <v>137</v>
      </c>
      <c r="D47" s="182">
        <f>SUM(D33:D46)</f>
        <v>0</v>
      </c>
      <c r="E47" s="132" t="e">
        <f>D47/$D$2</f>
        <v>#DIV/0!</v>
      </c>
      <c r="F47" s="182">
        <f>SUM(F33:F46)</f>
        <v>0</v>
      </c>
      <c r="G47" s="132" t="e">
        <f>F47/F$2</f>
        <v>#DIV/0!</v>
      </c>
      <c r="H47" s="182">
        <f t="shared" ref="H47:R47" si="245">SUM(H33:H46)</f>
        <v>0</v>
      </c>
      <c r="I47" s="132" t="e">
        <f>H47/H$2</f>
        <v>#DIV/0!</v>
      </c>
      <c r="J47" s="182">
        <f>SUM(J33:J46)</f>
        <v>0</v>
      </c>
      <c r="K47" s="132" t="e">
        <f>J47/J$2</f>
        <v>#DIV/0!</v>
      </c>
      <c r="L47" s="182">
        <f>SUM(L33:L46)</f>
        <v>0</v>
      </c>
      <c r="M47" s="132" t="e">
        <f>L47/L$2</f>
        <v>#DIV/0!</v>
      </c>
      <c r="N47" s="182">
        <f t="shared" si="245"/>
        <v>0</v>
      </c>
      <c r="O47" s="132" t="e">
        <f>N47/N$2</f>
        <v>#DIV/0!</v>
      </c>
      <c r="P47" s="182">
        <f>SUM(P33:P46)</f>
        <v>0</v>
      </c>
      <c r="Q47" s="132" t="e">
        <f>P47/P$2</f>
        <v>#DIV/0!</v>
      </c>
      <c r="R47" s="182">
        <f t="shared" si="245"/>
        <v>0</v>
      </c>
      <c r="S47" s="132" t="e">
        <f>R47/R$2</f>
        <v>#DIV/0!</v>
      </c>
      <c r="T47" s="182">
        <f>SUM(T33:T46)</f>
        <v>0</v>
      </c>
      <c r="U47" s="385" t="e">
        <f>T47/T2</f>
        <v>#DIV/0!</v>
      </c>
    </row>
    <row r="48" spans="1:31" ht="21" customHeight="1" thickBot="1" x14ac:dyDescent="0.3">
      <c r="A48" s="20"/>
      <c r="D48" s="21"/>
      <c r="E48" s="21"/>
      <c r="F48" s="21"/>
      <c r="G48" s="21"/>
      <c r="H48" s="21"/>
      <c r="I48" s="21"/>
      <c r="J48" s="21"/>
      <c r="K48" s="21"/>
      <c r="L48" s="21"/>
      <c r="M48" s="21"/>
      <c r="T48" s="4"/>
    </row>
    <row r="49" spans="1:22" ht="21" customHeight="1" thickBot="1" x14ac:dyDescent="0.3">
      <c r="A49" s="37"/>
      <c r="B49" s="36"/>
      <c r="C49" s="35" t="s">
        <v>407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</row>
    <row r="50" spans="1:22" ht="21" customHeight="1" thickBot="1" x14ac:dyDescent="0.35">
      <c r="A50" s="27"/>
      <c r="B50" s="25" t="str">
        <f>'EEM Data Entry'!A125</f>
        <v/>
      </c>
      <c r="C50" s="164" t="str">
        <f>'Cascading Cap Cost &amp; Savings'!B43</f>
        <v/>
      </c>
      <c r="D50" s="178">
        <f>'Savings Summary'!D51</f>
        <v>0</v>
      </c>
      <c r="E50" s="132">
        <f>IF($D$2=0,0,IF('Individual Measure List'!$I49="yes", D50/D$2, 0))</f>
        <v>0</v>
      </c>
      <c r="F50" s="178">
        <f>'Savings Summary'!F51</f>
        <v>0</v>
      </c>
      <c r="G50" s="132">
        <f>IF($F$2=0,0,IF('Individual Measure List'!$I49="yes", F50/F$2, 0))</f>
        <v>0</v>
      </c>
      <c r="H50" s="178">
        <f>'Savings Summary'!H51</f>
        <v>0</v>
      </c>
      <c r="I50" s="383">
        <f>IF($H$2=0,0,IF('Individual Measure List'!$I49="yes", H50/H$2, 0))</f>
        <v>0</v>
      </c>
      <c r="J50" s="178">
        <f>'Savings Summary'!J51</f>
        <v>0</v>
      </c>
      <c r="K50" s="383">
        <f>IF($J$2=0,0,IF('Individual Measure List'!$I49="yes", J50/J$2, 0))</f>
        <v>0</v>
      </c>
      <c r="L50" s="178">
        <f>'Savings Summary'!L51</f>
        <v>0</v>
      </c>
      <c r="M50" s="132">
        <f>IF($L$2=0,0,IF('Individual Measure List'!$I50="yes", L50/L$2, 0))</f>
        <v>0</v>
      </c>
      <c r="N50" s="178">
        <f>'Savings Summary'!N51</f>
        <v>0</v>
      </c>
      <c r="O50" s="132">
        <f>IF($N$2=0,0,IF('Individual Measure List'!$I50="yes", N50/N$2, 0))</f>
        <v>0</v>
      </c>
      <c r="P50" s="178">
        <f>'Savings Summary'!P51</f>
        <v>0</v>
      </c>
      <c r="Q50" s="132">
        <f>IF($P$2=0,0,IF('Individual Measure List'!$I50="yes", P50/P$2, 0))</f>
        <v>0</v>
      </c>
      <c r="R50" s="178">
        <f>'Savings Summary'!R51</f>
        <v>0</v>
      </c>
      <c r="S50" s="132">
        <f>IF($R$2=0,0,IF('Individual Measure List'!$I49="yes", R50/R$2, 0))</f>
        <v>0</v>
      </c>
      <c r="T50" s="38">
        <f>(D50*3.412)+(F50*138.6905)+(H50*100)+(J50*91.6476)+(L50*1194)+(N50*16400)+(P50*9500)+(R50*0)</f>
        <v>0</v>
      </c>
      <c r="U50" s="22">
        <f>IF(T$2&gt;0, T50/T$2, 0)</f>
        <v>0</v>
      </c>
      <c r="V50" t="e">
        <f>'Individual Measure List'!I49</f>
        <v>#VALUE!</v>
      </c>
    </row>
    <row r="51" spans="1:22" ht="13.5" thickBot="1" x14ac:dyDescent="0.35">
      <c r="A51" s="27"/>
      <c r="B51" s="25" t="str">
        <f>'EEM Data Entry'!A126</f>
        <v/>
      </c>
      <c r="C51" s="164" t="str">
        <f>'Cascading Cap Cost &amp; Savings'!B44</f>
        <v/>
      </c>
      <c r="D51" s="178">
        <f>'Savings Summary'!D52</f>
        <v>0</v>
      </c>
      <c r="E51" s="132">
        <f>IF($D$2=0,0,IF('Individual Measure List'!$I50="yes", D51/D$2, 0))</f>
        <v>0</v>
      </c>
      <c r="F51" s="178">
        <f>'Savings Summary'!F52</f>
        <v>0</v>
      </c>
      <c r="G51" s="132">
        <f>IF($F$2=0,0,IF('Individual Measure List'!$I50="yes", F51/F$2, 0))</f>
        <v>0</v>
      </c>
      <c r="H51" s="178">
        <f>'Savings Summary'!H52</f>
        <v>0</v>
      </c>
      <c r="I51" s="383">
        <f>IF($H$2=0,0,IF('Individual Measure List'!$I50="yes", H51/H$2, 0))</f>
        <v>0</v>
      </c>
      <c r="J51" s="178">
        <f>'Savings Summary'!J52</f>
        <v>0</v>
      </c>
      <c r="K51" s="383">
        <f>IF($J$2=0,0,IF('Individual Measure List'!$I50="yes", J51/J$2, 0))</f>
        <v>0</v>
      </c>
      <c r="L51" s="178">
        <f>'Savings Summary'!L52</f>
        <v>0</v>
      </c>
      <c r="M51" s="383">
        <f>IF($L$2=0,0,IF('Individual Measure List'!$I50="yes", L51/L$2, 0))</f>
        <v>0</v>
      </c>
      <c r="N51" s="178">
        <f>'Savings Summary'!N52</f>
        <v>0</v>
      </c>
      <c r="O51" s="132">
        <f>IF($N$2=0,0,IF('Individual Measure List'!$I51="yes", N51/N$2, 0))</f>
        <v>0</v>
      </c>
      <c r="P51" s="178">
        <f>'Savings Summary'!P52</f>
        <v>0</v>
      </c>
      <c r="Q51" s="132">
        <f>IF($P$2=0,0,IF('Individual Measure List'!$I51="yes", P51/P$2, 0))</f>
        <v>0</v>
      </c>
      <c r="R51" s="178">
        <f>'Savings Summary'!R52</f>
        <v>0</v>
      </c>
      <c r="S51" s="132">
        <f>IF($R$2=0,0,IF('Individual Measure List'!$I50="yes", R51/R$2, 0))</f>
        <v>0</v>
      </c>
      <c r="T51" s="38">
        <f>(D51*3.412)+(F51*138.6905)+(H51*100)+(J51*91.6476)+(L51*1194)+(N51*16400)+(P51*9500)+(R51*0)</f>
        <v>0</v>
      </c>
      <c r="U51" s="22">
        <f t="shared" ref="U51:U64" si="246">IF(T$2&gt;0, T51/T$2, 0)</f>
        <v>0</v>
      </c>
      <c r="V51" t="e">
        <f>'Individual Measure List'!I50</f>
        <v>#VALUE!</v>
      </c>
    </row>
    <row r="52" spans="1:22" ht="13.5" thickBot="1" x14ac:dyDescent="0.35">
      <c r="A52" s="27"/>
      <c r="B52" s="25" t="str">
        <f>'EEM Data Entry'!A127</f>
        <v/>
      </c>
      <c r="C52" s="164" t="str">
        <f>'Cascading Cap Cost &amp; Savings'!B45</f>
        <v/>
      </c>
      <c r="D52" s="178">
        <f>'Savings Summary'!D53</f>
        <v>0</v>
      </c>
      <c r="E52" s="132">
        <f>IF($D$2=0,0,IF('Individual Measure List'!$I51="yes", D52/D$2, 0))</f>
        <v>0</v>
      </c>
      <c r="F52" s="178">
        <f>'Savings Summary'!F53</f>
        <v>0</v>
      </c>
      <c r="G52" s="132">
        <f>IF($F$2=0,0,IF('Individual Measure List'!$I51="yes", F52/F$2, 0))</f>
        <v>0</v>
      </c>
      <c r="H52" s="178">
        <f>'Savings Summary'!H53</f>
        <v>0</v>
      </c>
      <c r="I52" s="383">
        <f>IF($H$2=0,0,IF('Individual Measure List'!$I51="yes", H52/H$2, 0))</f>
        <v>0</v>
      </c>
      <c r="J52" s="178">
        <f>'Savings Summary'!J53</f>
        <v>0</v>
      </c>
      <c r="K52" s="383">
        <f>IF($J$2=0,0,IF('Individual Measure List'!$I51="yes", J52/J$2, 0))</f>
        <v>0</v>
      </c>
      <c r="L52" s="178">
        <f>'Savings Summary'!L53</f>
        <v>0</v>
      </c>
      <c r="M52" s="383">
        <f>IF($L$2=0,0,IF('Individual Measure List'!$I51="yes", L52/L$2, 0))</f>
        <v>0</v>
      </c>
      <c r="N52" s="178">
        <f>'Savings Summary'!N53</f>
        <v>0</v>
      </c>
      <c r="O52" s="132">
        <f>IF($N$2=0,0,IF('Individual Measure List'!$I52="yes", N52/N$2, 0))</f>
        <v>0</v>
      </c>
      <c r="P52" s="178">
        <f>'Savings Summary'!P53</f>
        <v>0</v>
      </c>
      <c r="Q52" s="132">
        <f>IF($P$2=0,0,IF('Individual Measure List'!$I52="yes", P52/P$2, 0))</f>
        <v>0</v>
      </c>
      <c r="R52" s="178">
        <f>'Savings Summary'!R53</f>
        <v>0</v>
      </c>
      <c r="S52" s="132">
        <f>IF($R$2=0,0,IF('Individual Measure List'!$I51="yes", R52/R$2, 0))</f>
        <v>0</v>
      </c>
      <c r="T52" s="38">
        <f t="shared" ref="T52:T57" si="247">(D52*3.412)+(F52*138.6905)+(H52*100)+(J52*91.6476)+(L52*1194)+(N52*16400)+(P52*9500)+(R52*0)</f>
        <v>0</v>
      </c>
      <c r="U52" s="22">
        <f t="shared" si="246"/>
        <v>0</v>
      </c>
      <c r="V52" t="e">
        <f>'Individual Measure List'!I51</f>
        <v>#VALUE!</v>
      </c>
    </row>
    <row r="53" spans="1:22" ht="13.5" thickBot="1" x14ac:dyDescent="0.35">
      <c r="A53" s="27"/>
      <c r="B53" s="25" t="str">
        <f>'EEM Data Entry'!A128</f>
        <v/>
      </c>
      <c r="C53" s="164" t="str">
        <f>'Cascading Cap Cost &amp; Savings'!B46</f>
        <v/>
      </c>
      <c r="D53" s="178">
        <f>'Savings Summary'!D54</f>
        <v>0</v>
      </c>
      <c r="E53" s="132">
        <f>IF($D$2=0,0,IF('Individual Measure List'!$I52="yes", D53/D$2, 0))</f>
        <v>0</v>
      </c>
      <c r="F53" s="178">
        <f>'Savings Summary'!F54</f>
        <v>0</v>
      </c>
      <c r="G53" s="132">
        <f>IF($F$2=0,0,IF('Individual Measure List'!$I52="yes", F53/F$2, 0))</f>
        <v>0</v>
      </c>
      <c r="H53" s="178">
        <f>'Savings Summary'!H54</f>
        <v>0</v>
      </c>
      <c r="I53" s="383">
        <f>IF($H$2=0,0,IF('Individual Measure List'!$I52="yes", H53/H$2, 0))</f>
        <v>0</v>
      </c>
      <c r="J53" s="178">
        <f>'Savings Summary'!J54</f>
        <v>0</v>
      </c>
      <c r="K53" s="383">
        <f>IF($J$2=0,0,IF('Individual Measure List'!$I52="yes", J53/J$2, 0))</f>
        <v>0</v>
      </c>
      <c r="L53" s="178">
        <f>'Savings Summary'!L54</f>
        <v>0</v>
      </c>
      <c r="M53" s="383">
        <f>IF($L$2=0,0,IF('Individual Measure List'!$I52="yes", L53/L$2, 0))</f>
        <v>0</v>
      </c>
      <c r="N53" s="178">
        <f>'Savings Summary'!N54</f>
        <v>0</v>
      </c>
      <c r="O53" s="132">
        <f>IF($N$2=0,0,IF('Individual Measure List'!$I53="yes", N53/N$2, 0))</f>
        <v>0</v>
      </c>
      <c r="P53" s="178">
        <f>'Savings Summary'!P54</f>
        <v>0</v>
      </c>
      <c r="Q53" s="132">
        <f>IF($P$2=0,0,IF('Individual Measure List'!$I53="yes", P53/P$2, 0))</f>
        <v>0</v>
      </c>
      <c r="R53" s="178">
        <f>'Savings Summary'!R54</f>
        <v>0</v>
      </c>
      <c r="S53" s="132">
        <f>IF($R$2=0,0,IF('Individual Measure List'!$I52="yes", R53/R$2, 0))</f>
        <v>0</v>
      </c>
      <c r="T53" s="38">
        <f t="shared" si="247"/>
        <v>0</v>
      </c>
      <c r="U53" s="22">
        <f t="shared" si="246"/>
        <v>0</v>
      </c>
      <c r="V53" t="e">
        <f>'Individual Measure List'!I52</f>
        <v>#VALUE!</v>
      </c>
    </row>
    <row r="54" spans="1:22" ht="13.5" thickBot="1" x14ac:dyDescent="0.35">
      <c r="A54" s="27"/>
      <c r="B54" s="25" t="str">
        <f>'EEM Data Entry'!A129</f>
        <v/>
      </c>
      <c r="C54" s="164" t="str">
        <f>'Cascading Cap Cost &amp; Savings'!B47</f>
        <v/>
      </c>
      <c r="D54" s="178">
        <f>'Savings Summary'!D55</f>
        <v>0</v>
      </c>
      <c r="E54" s="132">
        <f>IF($D$2=0,0,IF('Individual Measure List'!$I53="yes", D54/D$2, 0))</f>
        <v>0</v>
      </c>
      <c r="F54" s="178">
        <f>'Savings Summary'!F55</f>
        <v>0</v>
      </c>
      <c r="G54" s="132">
        <f>IF($F$2=0,0,IF('Individual Measure List'!$I53="yes", F54/F$2, 0))</f>
        <v>0</v>
      </c>
      <c r="H54" s="178">
        <f>'Savings Summary'!H55</f>
        <v>0</v>
      </c>
      <c r="I54" s="383">
        <f>IF($H$2=0,0,IF('Individual Measure List'!$I53="yes", H54/H$2, 0))</f>
        <v>0</v>
      </c>
      <c r="J54" s="178">
        <f>'Savings Summary'!J55</f>
        <v>0</v>
      </c>
      <c r="K54" s="383">
        <f>IF($J$2=0,0,IF('Individual Measure List'!$I53="yes", J54/J$2, 0))</f>
        <v>0</v>
      </c>
      <c r="L54" s="178">
        <f>'Savings Summary'!L55</f>
        <v>0</v>
      </c>
      <c r="M54" s="383">
        <f>IF($L$2=0,0,IF('Individual Measure List'!$I53="yes", L54/L$2, 0))</f>
        <v>0</v>
      </c>
      <c r="N54" s="178">
        <f>'Savings Summary'!N55</f>
        <v>0</v>
      </c>
      <c r="O54" s="132">
        <f>IF($N$2=0,0,IF('Individual Measure List'!$I54="yes", N54/N$2, 0))</f>
        <v>0</v>
      </c>
      <c r="P54" s="178">
        <f>'Savings Summary'!P55</f>
        <v>0</v>
      </c>
      <c r="Q54" s="132">
        <f>IF($P$2=0,0,IF('Individual Measure List'!$I54="yes", P54/P$2, 0))</f>
        <v>0</v>
      </c>
      <c r="R54" s="178">
        <f>'Savings Summary'!R55</f>
        <v>0</v>
      </c>
      <c r="S54" s="132">
        <f>IF($R$2=0,0,IF('Individual Measure List'!$I53="yes", R54/R$2, 0))</f>
        <v>0</v>
      </c>
      <c r="T54" s="38">
        <f t="shared" si="247"/>
        <v>0</v>
      </c>
      <c r="U54" s="22">
        <f t="shared" si="246"/>
        <v>0</v>
      </c>
      <c r="V54" t="e">
        <f>'Individual Measure List'!I53</f>
        <v>#VALUE!</v>
      </c>
    </row>
    <row r="55" spans="1:22" ht="13.5" thickBot="1" x14ac:dyDescent="0.35">
      <c r="A55" s="27"/>
      <c r="B55" s="25" t="str">
        <f>'EEM Data Entry'!A130</f>
        <v/>
      </c>
      <c r="C55" s="164" t="str">
        <f>'Cascading Cap Cost &amp; Savings'!B48</f>
        <v/>
      </c>
      <c r="D55" s="178">
        <f>'Savings Summary'!D56</f>
        <v>0</v>
      </c>
      <c r="E55" s="132">
        <f>IF($D$2=0,0,IF('Individual Measure List'!$I54="yes", D55/D$2, 0))</f>
        <v>0</v>
      </c>
      <c r="F55" s="178">
        <f>'Savings Summary'!F56</f>
        <v>0</v>
      </c>
      <c r="G55" s="132">
        <f>IF($F$2=0,0,IF('Individual Measure List'!$I54="yes", F55/F$2, 0))</f>
        <v>0</v>
      </c>
      <c r="H55" s="178">
        <f>'Savings Summary'!H56</f>
        <v>0</v>
      </c>
      <c r="I55" s="383">
        <f>IF($H$2=0,0,IF('Individual Measure List'!$I54="yes", H55/H$2, 0))</f>
        <v>0</v>
      </c>
      <c r="J55" s="178">
        <f>'Savings Summary'!J56</f>
        <v>0</v>
      </c>
      <c r="K55" s="383">
        <f>IF($J$2=0,0,IF('Individual Measure List'!$I54="yes", J55/J$2, 0))</f>
        <v>0</v>
      </c>
      <c r="L55" s="178">
        <f>'Savings Summary'!L56</f>
        <v>0</v>
      </c>
      <c r="M55" s="383">
        <f>IF($L$2=0,0,IF('Individual Measure List'!$I54="yes", L55/L$2, 0))</f>
        <v>0</v>
      </c>
      <c r="N55" s="178">
        <f>'Savings Summary'!N56</f>
        <v>0</v>
      </c>
      <c r="O55" s="132">
        <f>IF($N$2=0,0,IF('Individual Measure List'!$I55="yes", N55/N$2, 0))</f>
        <v>0</v>
      </c>
      <c r="P55" s="178">
        <f>'Savings Summary'!P56</f>
        <v>0</v>
      </c>
      <c r="Q55" s="132">
        <f>IF($P$2=0,0,IF('Individual Measure List'!$I55="yes", P55/P$2, 0))</f>
        <v>0</v>
      </c>
      <c r="R55" s="178">
        <f>'Savings Summary'!R56</f>
        <v>0</v>
      </c>
      <c r="S55" s="132">
        <f>IF($R$2=0,0,IF('Individual Measure List'!$I54="yes", R55/R$2, 0))</f>
        <v>0</v>
      </c>
      <c r="T55" s="38">
        <f t="shared" si="247"/>
        <v>0</v>
      </c>
      <c r="U55" s="22">
        <f t="shared" si="246"/>
        <v>0</v>
      </c>
      <c r="V55" t="e">
        <f>'Individual Measure List'!I54</f>
        <v>#VALUE!</v>
      </c>
    </row>
    <row r="56" spans="1:22" ht="13.5" thickBot="1" x14ac:dyDescent="0.35">
      <c r="A56" s="27"/>
      <c r="B56" s="25" t="str">
        <f>'EEM Data Entry'!A131</f>
        <v/>
      </c>
      <c r="C56" s="164" t="str">
        <f>'Cascading Cap Cost &amp; Savings'!B49</f>
        <v/>
      </c>
      <c r="D56" s="178">
        <f>'Savings Summary'!D57</f>
        <v>0</v>
      </c>
      <c r="E56" s="132">
        <f>IF($D$2=0,0,IF('Individual Measure List'!$I55="yes", D56/D$2, 0))</f>
        <v>0</v>
      </c>
      <c r="F56" s="178">
        <f>'Savings Summary'!F57</f>
        <v>0</v>
      </c>
      <c r="G56" s="132">
        <f>IF($F$2=0,0,IF('Individual Measure List'!$I55="yes", F56/F$2, 0))</f>
        <v>0</v>
      </c>
      <c r="H56" s="178">
        <f>'Savings Summary'!H57</f>
        <v>0</v>
      </c>
      <c r="I56" s="383">
        <f>IF($H$2=0,0,IF('Individual Measure List'!$I55="yes", H56/H$2, 0))</f>
        <v>0</v>
      </c>
      <c r="J56" s="178">
        <f>'Savings Summary'!J57</f>
        <v>0</v>
      </c>
      <c r="K56" s="383">
        <f>IF($J$2=0,0,IF('Individual Measure List'!$I55="yes", J56/J$2, 0))</f>
        <v>0</v>
      </c>
      <c r="L56" s="178">
        <f>'Savings Summary'!L57</f>
        <v>0</v>
      </c>
      <c r="M56" s="383">
        <f>IF($L$2=0,0,IF('Individual Measure List'!$I55="yes", L56/L$2, 0))</f>
        <v>0</v>
      </c>
      <c r="N56" s="178">
        <f>'Savings Summary'!N57</f>
        <v>0</v>
      </c>
      <c r="O56" s="132">
        <f>IF($N$2=0,0,IF('Individual Measure List'!$I56="yes", N56/N$2, 0))</f>
        <v>0</v>
      </c>
      <c r="P56" s="178">
        <f>'Savings Summary'!P57</f>
        <v>0</v>
      </c>
      <c r="Q56" s="132">
        <f>IF($P$2=0,0,IF('Individual Measure List'!$I56="yes", P56/P$2, 0))</f>
        <v>0</v>
      </c>
      <c r="R56" s="178">
        <f>'Savings Summary'!R57</f>
        <v>0</v>
      </c>
      <c r="S56" s="132">
        <f>IF($R$2=0,0,IF('Individual Measure List'!$I55="yes", R56/R$2, 0))</f>
        <v>0</v>
      </c>
      <c r="T56" s="38">
        <f t="shared" si="247"/>
        <v>0</v>
      </c>
      <c r="U56" s="22">
        <f t="shared" si="246"/>
        <v>0</v>
      </c>
      <c r="V56" t="e">
        <f>'Individual Measure List'!I55</f>
        <v>#VALUE!</v>
      </c>
    </row>
    <row r="57" spans="1:22" ht="18.75" customHeight="1" thickBot="1" x14ac:dyDescent="0.35">
      <c r="A57" s="27"/>
      <c r="B57" s="25" t="str">
        <f>'EEM Data Entry'!A132</f>
        <v/>
      </c>
      <c r="C57" s="164" t="str">
        <f>'Cascading Cap Cost &amp; Savings'!B50</f>
        <v/>
      </c>
      <c r="D57" s="178">
        <f>'Savings Summary'!D58</f>
        <v>0</v>
      </c>
      <c r="E57" s="132">
        <f>IF($D$2=0,0,IF('Individual Measure List'!$I56="yes", D57/D$2, 0))</f>
        <v>0</v>
      </c>
      <c r="F57" s="178">
        <f>'Savings Summary'!F58</f>
        <v>0</v>
      </c>
      <c r="G57" s="132">
        <f>IF($F$2=0,0,IF('Individual Measure List'!$I56="yes", F57/F$2, 0))</f>
        <v>0</v>
      </c>
      <c r="H57" s="178">
        <f>'Savings Summary'!H58</f>
        <v>0</v>
      </c>
      <c r="I57" s="383">
        <f>IF($H$2=0,0,IF('Individual Measure List'!$I56="yes", H57/H$2, 0))</f>
        <v>0</v>
      </c>
      <c r="J57" s="178">
        <f>'Savings Summary'!J58</f>
        <v>0</v>
      </c>
      <c r="K57" s="383">
        <f>IF($J$2=0,0,IF('Individual Measure List'!$I56="yes", J57/J$2, 0))</f>
        <v>0</v>
      </c>
      <c r="L57" s="178">
        <f>'Savings Summary'!L58</f>
        <v>0</v>
      </c>
      <c r="M57" s="383">
        <f>IF($L$2=0,0,IF('Individual Measure List'!$I56="yes", L57/L$2, 0))</f>
        <v>0</v>
      </c>
      <c r="N57" s="178">
        <f>'Savings Summary'!N58</f>
        <v>0</v>
      </c>
      <c r="O57" s="132">
        <f>IF($N$2=0,0,IF('Individual Measure List'!$I57="yes", N57/N$2, 0))</f>
        <v>0</v>
      </c>
      <c r="P57" s="178">
        <f>'Savings Summary'!P58</f>
        <v>0</v>
      </c>
      <c r="Q57" s="132">
        <f>IF($P$2=0,0,IF('Individual Measure List'!$I57="yes", P57/P$2, 0))</f>
        <v>0</v>
      </c>
      <c r="R57" s="178">
        <f>'Savings Summary'!R58</f>
        <v>0</v>
      </c>
      <c r="S57" s="132">
        <f>IF($R$2=0,0,IF('Individual Measure List'!$I56="yes", R57/R$2, 0))</f>
        <v>0</v>
      </c>
      <c r="T57" s="38">
        <f t="shared" si="247"/>
        <v>0</v>
      </c>
      <c r="U57" s="22">
        <f>IF(T$2&gt;0, T57/T$2, 0)</f>
        <v>0</v>
      </c>
      <c r="V57" t="e">
        <f>'Individual Measure List'!I56</f>
        <v>#VALUE!</v>
      </c>
    </row>
    <row r="58" spans="1:22" ht="18.75" customHeight="1" thickBot="1" x14ac:dyDescent="0.35">
      <c r="A58" s="27"/>
      <c r="B58" s="25" t="str">
        <f>'EEM Data Entry'!A133</f>
        <v/>
      </c>
      <c r="C58" s="164" t="str">
        <f>'Cascading Cap Cost &amp; Savings'!B51</f>
        <v/>
      </c>
      <c r="D58" s="178">
        <f>'Savings Summary'!D59</f>
        <v>0</v>
      </c>
      <c r="E58" s="132">
        <f>IF($D$2=0,0,IF('Individual Measure List'!$I57="yes", D58/D$2, 0))</f>
        <v>0</v>
      </c>
      <c r="F58" s="178">
        <f>'Savings Summary'!F59</f>
        <v>0</v>
      </c>
      <c r="G58" s="132">
        <f>IF($F$2=0,0,IF('Individual Measure List'!$I57="yes", F58/F$2, 0))</f>
        <v>0</v>
      </c>
      <c r="H58" s="178">
        <f>'Savings Summary'!H59</f>
        <v>0</v>
      </c>
      <c r="I58" s="383">
        <f>IF($H$2=0,0,IF('Individual Measure List'!$I57="yes", H58/H$2, 0))</f>
        <v>0</v>
      </c>
      <c r="J58" s="178">
        <f>'Savings Summary'!J59</f>
        <v>0</v>
      </c>
      <c r="K58" s="383">
        <f>IF($J$2=0,0,IF('Individual Measure List'!$I57="yes", J58/J$2, 0))</f>
        <v>0</v>
      </c>
      <c r="L58" s="178">
        <f>'Savings Summary'!L59</f>
        <v>0</v>
      </c>
      <c r="M58" s="383">
        <f>IF($L$2=0,0,IF('Individual Measure List'!$I57="yes", L58/L$2, 0))</f>
        <v>0</v>
      </c>
      <c r="N58" s="178">
        <f>'Savings Summary'!N59</f>
        <v>0</v>
      </c>
      <c r="O58" s="132">
        <v>0</v>
      </c>
      <c r="P58" s="178">
        <f>'Savings Summary'!P59</f>
        <v>0</v>
      </c>
      <c r="Q58" s="384">
        <v>0</v>
      </c>
      <c r="R58" s="178">
        <f>'Savings Summary'!R59</f>
        <v>0</v>
      </c>
      <c r="S58" s="132">
        <v>0</v>
      </c>
      <c r="T58" s="38">
        <f t="shared" ref="T58:T64" si="248">(D58*3.412)+(F58*138.6905)+(H58*100)+(J58*91.6476)+(L58*1194)+(N58*16400)+(P58*9500)+(R58*0)</f>
        <v>0</v>
      </c>
      <c r="U58" s="22">
        <f t="shared" si="246"/>
        <v>0</v>
      </c>
      <c r="V58" t="e">
        <f>'Individual Measure List'!I57</f>
        <v>#VALUE!</v>
      </c>
    </row>
    <row r="59" spans="1:22" ht="18.75" customHeight="1" thickBot="1" x14ac:dyDescent="0.35">
      <c r="A59" s="27"/>
      <c r="B59" s="25" t="str">
        <f>'EEM Data Entry'!A134</f>
        <v/>
      </c>
      <c r="C59" s="164" t="str">
        <f>'Cascading Cap Cost &amp; Savings'!B52</f>
        <v/>
      </c>
      <c r="D59" s="178">
        <f>'Savings Summary'!D60</f>
        <v>0</v>
      </c>
      <c r="E59" s="132">
        <f>IF($D$2=0,0,IF('Individual Measure List'!$I58="yes", D59/D$2, 0))</f>
        <v>0</v>
      </c>
      <c r="F59" s="178">
        <f>'Savings Summary'!F60</f>
        <v>0</v>
      </c>
      <c r="G59" s="132">
        <f>IF($F$2=0,0,IF('Individual Measure List'!$I58="yes", F59/F$2, 0))</f>
        <v>0</v>
      </c>
      <c r="H59" s="178">
        <f>'Savings Summary'!H60</f>
        <v>0</v>
      </c>
      <c r="I59" s="383">
        <f>IF($H$2=0,0,IF('Individual Measure List'!$I58="yes", H59/H$2, 0))</f>
        <v>0</v>
      </c>
      <c r="J59" s="178">
        <f>'Savings Summary'!J60</f>
        <v>0</v>
      </c>
      <c r="K59" s="383">
        <f>IF($J$2=0,0,IF('Individual Measure List'!$I58="yes", J59/J$2, 0))</f>
        <v>0</v>
      </c>
      <c r="L59" s="178">
        <f>'Savings Summary'!L60</f>
        <v>0</v>
      </c>
      <c r="M59" s="383">
        <f>IF($L$2=0,0,IF('Individual Measure List'!$I58="yes", L59/L$2, 0))</f>
        <v>0</v>
      </c>
      <c r="N59" s="178">
        <f>'Savings Summary'!N60</f>
        <v>0</v>
      </c>
      <c r="O59" s="132">
        <v>0</v>
      </c>
      <c r="P59" s="178">
        <f>'Savings Summary'!P60</f>
        <v>0</v>
      </c>
      <c r="Q59" s="384">
        <v>0</v>
      </c>
      <c r="R59" s="178">
        <f>'Savings Summary'!R60</f>
        <v>0</v>
      </c>
      <c r="S59" s="132">
        <v>0</v>
      </c>
      <c r="T59" s="38">
        <f t="shared" si="248"/>
        <v>0</v>
      </c>
      <c r="U59" s="22">
        <f>IF(T$2&gt;0, T59/T$2, 0)</f>
        <v>0</v>
      </c>
      <c r="V59" t="e">
        <f>'Individual Measure List'!I58</f>
        <v>#VALUE!</v>
      </c>
    </row>
    <row r="60" spans="1:22" ht="18.75" customHeight="1" thickBot="1" x14ac:dyDescent="0.35">
      <c r="A60" s="27"/>
      <c r="B60" s="25" t="str">
        <f>'EEM Data Entry'!A135</f>
        <v/>
      </c>
      <c r="C60" s="164" t="str">
        <f>'Cascading Cap Cost &amp; Savings'!B53</f>
        <v/>
      </c>
      <c r="D60" s="178">
        <f>'Savings Summary'!D61</f>
        <v>0</v>
      </c>
      <c r="E60" s="132">
        <f>IF($D$2=0,0,IF('Individual Measure List'!$I59="yes", D60/D$2, 0))</f>
        <v>0</v>
      </c>
      <c r="F60" s="178">
        <f>'Savings Summary'!F61</f>
        <v>0</v>
      </c>
      <c r="G60" s="132">
        <f>IF($F$2=0,0,IF('Individual Measure List'!$I59="yes", F60/F$2, 0))</f>
        <v>0</v>
      </c>
      <c r="H60" s="178">
        <f>'Savings Summary'!H61</f>
        <v>0</v>
      </c>
      <c r="I60" s="383">
        <f>IF($H$2=0,0,IF('Individual Measure List'!$I59="yes", H60/H$2, 0))</f>
        <v>0</v>
      </c>
      <c r="J60" s="178">
        <f>'Savings Summary'!J61</f>
        <v>0</v>
      </c>
      <c r="K60" s="383">
        <f>IF($J$2=0,0,IF('Individual Measure List'!$I59="yes", J60/J$2, 0))</f>
        <v>0</v>
      </c>
      <c r="L60" s="178">
        <f>'Savings Summary'!L61</f>
        <v>0</v>
      </c>
      <c r="M60" s="383">
        <f>IF($L$2=0,0,IF('Individual Measure List'!$I59="yes", L60/L$2, 0))</f>
        <v>0</v>
      </c>
      <c r="N60" s="178">
        <f>'Savings Summary'!N61</f>
        <v>0</v>
      </c>
      <c r="O60" s="132">
        <v>0</v>
      </c>
      <c r="P60" s="178">
        <f>'Savings Summary'!P61</f>
        <v>0</v>
      </c>
      <c r="Q60" s="384">
        <v>0</v>
      </c>
      <c r="R60" s="178">
        <f>'Savings Summary'!R61</f>
        <v>0</v>
      </c>
      <c r="S60" s="132">
        <v>0</v>
      </c>
      <c r="T60" s="38">
        <f t="shared" si="248"/>
        <v>0</v>
      </c>
      <c r="U60" s="22">
        <f t="shared" si="246"/>
        <v>0</v>
      </c>
      <c r="V60" t="e">
        <f>'Individual Measure List'!I59</f>
        <v>#VALUE!</v>
      </c>
    </row>
    <row r="61" spans="1:22" ht="18.75" customHeight="1" thickBot="1" x14ac:dyDescent="0.35">
      <c r="A61" s="27"/>
      <c r="B61" s="25" t="str">
        <f>'EEM Data Entry'!A136</f>
        <v/>
      </c>
      <c r="C61" s="164" t="str">
        <f>'Cascading Cap Cost &amp; Savings'!B54</f>
        <v/>
      </c>
      <c r="D61" s="178">
        <f>'Savings Summary'!D62</f>
        <v>0</v>
      </c>
      <c r="E61" s="132">
        <f>IF($D$2=0,0,IF('Individual Measure List'!$I60="yes", D61/D$2, 0))</f>
        <v>0</v>
      </c>
      <c r="F61" s="178">
        <f>'Savings Summary'!F62</f>
        <v>0</v>
      </c>
      <c r="G61" s="132">
        <f>IF($F$2=0,0,IF('Individual Measure List'!$I60="yes", F61/F$2, 0))</f>
        <v>0</v>
      </c>
      <c r="H61" s="178">
        <f>'Savings Summary'!H62</f>
        <v>0</v>
      </c>
      <c r="I61" s="383">
        <f>IF($H$2=0,0,IF('Individual Measure List'!$I60="yes", H61/H$2, 0))</f>
        <v>0</v>
      </c>
      <c r="J61" s="178">
        <f>'Savings Summary'!J62</f>
        <v>0</v>
      </c>
      <c r="K61" s="383">
        <f>IF($J$2=0,0,IF('Individual Measure List'!$I60="yes", J61/J$2, 0))</f>
        <v>0</v>
      </c>
      <c r="L61" s="178">
        <f>'Savings Summary'!L62</f>
        <v>0</v>
      </c>
      <c r="M61" s="383">
        <f>IF($L$2=0,0,IF('Individual Measure List'!$I60="yes", L61/L$2, 0))</f>
        <v>0</v>
      </c>
      <c r="N61" s="178">
        <f>'Savings Summary'!N62</f>
        <v>0</v>
      </c>
      <c r="O61" s="132">
        <v>0</v>
      </c>
      <c r="P61" s="178">
        <f>'Savings Summary'!P62</f>
        <v>0</v>
      </c>
      <c r="Q61" s="384">
        <v>0</v>
      </c>
      <c r="R61" s="178">
        <f>'Savings Summary'!R62</f>
        <v>0</v>
      </c>
      <c r="S61" s="132">
        <v>0</v>
      </c>
      <c r="T61" s="38">
        <f t="shared" si="248"/>
        <v>0</v>
      </c>
      <c r="U61" s="22">
        <f t="shared" si="246"/>
        <v>0</v>
      </c>
      <c r="V61" t="e">
        <f>'Individual Measure List'!I60</f>
        <v>#VALUE!</v>
      </c>
    </row>
    <row r="62" spans="1:22" ht="18.75" customHeight="1" thickBot="1" x14ac:dyDescent="0.35">
      <c r="A62" s="27"/>
      <c r="B62" s="25" t="str">
        <f>'EEM Data Entry'!A137</f>
        <v/>
      </c>
      <c r="C62" s="164" t="str">
        <f>'Cascading Cap Cost &amp; Savings'!B55</f>
        <v/>
      </c>
      <c r="D62" s="178">
        <f>'Savings Summary'!D63</f>
        <v>0</v>
      </c>
      <c r="E62" s="132">
        <f>IF($D$2=0,0,IF('Individual Measure List'!$I61="yes", D62/D$2, 0))</f>
        <v>0</v>
      </c>
      <c r="F62" s="178">
        <f>'Savings Summary'!F63</f>
        <v>0</v>
      </c>
      <c r="G62" s="132">
        <f>IF($F$2=0,0,IF('Individual Measure List'!$I61="yes", F62/F$2, 0))</f>
        <v>0</v>
      </c>
      <c r="H62" s="178">
        <f>'Savings Summary'!H63</f>
        <v>0</v>
      </c>
      <c r="I62" s="383">
        <f>IF($H$2=0,0,IF('Individual Measure List'!$I61="yes", H62/H$2, 0))</f>
        <v>0</v>
      </c>
      <c r="J62" s="178">
        <f>'Savings Summary'!J63</f>
        <v>0</v>
      </c>
      <c r="K62" s="383">
        <f>IF($J$2=0,0,IF('Individual Measure List'!$I61="yes", J62/J$2, 0))</f>
        <v>0</v>
      </c>
      <c r="L62" s="178">
        <f>'Savings Summary'!L63</f>
        <v>0</v>
      </c>
      <c r="M62" s="383">
        <f>IF($L$2=0,0,IF('Individual Measure List'!$I61="yes", L62/L$2, 0))</f>
        <v>0</v>
      </c>
      <c r="N62" s="178">
        <f>'Savings Summary'!N63</f>
        <v>0</v>
      </c>
      <c r="O62" s="132">
        <v>0</v>
      </c>
      <c r="P62" s="178">
        <f>'Savings Summary'!P63</f>
        <v>0</v>
      </c>
      <c r="Q62" s="384">
        <v>0</v>
      </c>
      <c r="R62" s="178">
        <f>'Savings Summary'!R63</f>
        <v>0</v>
      </c>
      <c r="S62" s="132">
        <v>0</v>
      </c>
      <c r="T62" s="38">
        <f t="shared" si="248"/>
        <v>0</v>
      </c>
      <c r="U62" s="22">
        <f t="shared" si="246"/>
        <v>0</v>
      </c>
      <c r="V62" t="e">
        <f>'Individual Measure List'!I61</f>
        <v>#VALUE!</v>
      </c>
    </row>
    <row r="63" spans="1:22" ht="18.75" customHeight="1" thickBot="1" x14ac:dyDescent="0.35">
      <c r="A63" s="27"/>
      <c r="B63" s="25" t="str">
        <f>'EEM Data Entry'!A138</f>
        <v/>
      </c>
      <c r="C63" s="164" t="str">
        <f>'Cascading Cap Cost &amp; Savings'!B56</f>
        <v/>
      </c>
      <c r="D63" s="178">
        <f>'Savings Summary'!D64</f>
        <v>0</v>
      </c>
      <c r="E63" s="132">
        <f>IF($D$2=0,0,IF('Individual Measure List'!$I62="yes", D63/D$2, 0))</f>
        <v>0</v>
      </c>
      <c r="F63" s="178">
        <f>'Savings Summary'!F64</f>
        <v>0</v>
      </c>
      <c r="G63" s="132">
        <f>IF($F$2=0,0,IF('Individual Measure List'!$I62="yes", F63/F$2, 0))</f>
        <v>0</v>
      </c>
      <c r="H63" s="178">
        <f>'Savings Summary'!H64</f>
        <v>0</v>
      </c>
      <c r="I63" s="383">
        <f>IF($H$2=0,0,IF('Individual Measure List'!$I62="yes", H63/H$2, 0))</f>
        <v>0</v>
      </c>
      <c r="J63" s="178">
        <f>'Savings Summary'!J64</f>
        <v>0</v>
      </c>
      <c r="K63" s="383">
        <f>IF($J$2=0,0,IF('Individual Measure List'!$I62="yes", J63/J$2, 0))</f>
        <v>0</v>
      </c>
      <c r="L63" s="178">
        <f>'Savings Summary'!L64</f>
        <v>0</v>
      </c>
      <c r="M63" s="383">
        <f>IF($L$2=0,0,IF('Individual Measure List'!$I62="yes", L63/L$2, 0))</f>
        <v>0</v>
      </c>
      <c r="N63" s="178">
        <f>'Savings Summary'!N64</f>
        <v>0</v>
      </c>
      <c r="O63" s="132">
        <v>0</v>
      </c>
      <c r="P63" s="178">
        <f>'Savings Summary'!P64</f>
        <v>0</v>
      </c>
      <c r="Q63" s="384">
        <v>0</v>
      </c>
      <c r="R63" s="178">
        <f>'Savings Summary'!R64</f>
        <v>0</v>
      </c>
      <c r="S63" s="132">
        <v>0</v>
      </c>
      <c r="T63" s="38">
        <f t="shared" si="248"/>
        <v>0</v>
      </c>
      <c r="U63" s="22">
        <f t="shared" si="246"/>
        <v>0</v>
      </c>
      <c r="V63" t="e">
        <f>'Individual Measure List'!I62</f>
        <v>#VALUE!</v>
      </c>
    </row>
    <row r="64" spans="1:22" ht="18.75" customHeight="1" thickBot="1" x14ac:dyDescent="0.35">
      <c r="A64" s="187"/>
      <c r="B64" s="25" t="str">
        <f>'EEM Data Entry'!A139</f>
        <v/>
      </c>
      <c r="C64" s="164" t="str">
        <f>'Cascading Cap Cost &amp; Savings'!B57</f>
        <v/>
      </c>
      <c r="D64" s="178">
        <f>'Savings Summary'!D65</f>
        <v>0</v>
      </c>
      <c r="E64" s="132">
        <f>IF($D$2=0,0,IF('Individual Measure List'!$I63="yes", D64/D$2, 0))</f>
        <v>0</v>
      </c>
      <c r="F64" s="178">
        <f>'Savings Summary'!F65</f>
        <v>0</v>
      </c>
      <c r="G64" s="132">
        <f>IF($F$2=0,0,IF('Individual Measure List'!$I63="yes", F64/F$2, 0))</f>
        <v>0</v>
      </c>
      <c r="H64" s="178">
        <f>'Savings Summary'!H65</f>
        <v>0</v>
      </c>
      <c r="I64" s="383">
        <f>IF($H$2=0,0,IF('Individual Measure List'!$I63="yes", H64/H$2, 0))</f>
        <v>0</v>
      </c>
      <c r="J64" s="178">
        <f>'Savings Summary'!J65</f>
        <v>0</v>
      </c>
      <c r="K64" s="383">
        <f>IF($J$2=0,0,IF('Individual Measure List'!$I63="yes", J64/J$2, 0))</f>
        <v>0</v>
      </c>
      <c r="L64" s="178">
        <f>'Savings Summary'!L65</f>
        <v>0</v>
      </c>
      <c r="M64" s="383">
        <f>IF($L$2=0,0,IF('Individual Measure List'!$I63="yes", L64/L$2, 0))</f>
        <v>0</v>
      </c>
      <c r="N64" s="178">
        <f>'Savings Summary'!N65</f>
        <v>0</v>
      </c>
      <c r="O64" s="132">
        <v>0</v>
      </c>
      <c r="P64" s="178">
        <f>'Savings Summary'!P65</f>
        <v>0</v>
      </c>
      <c r="Q64" s="384">
        <v>0</v>
      </c>
      <c r="R64" s="178">
        <f>'Savings Summary'!R65</f>
        <v>0</v>
      </c>
      <c r="S64" s="132">
        <v>0</v>
      </c>
      <c r="T64" s="38">
        <f t="shared" si="248"/>
        <v>0</v>
      </c>
      <c r="U64" s="22">
        <f t="shared" si="246"/>
        <v>0</v>
      </c>
      <c r="V64" t="e">
        <f>'Individual Measure List'!I63</f>
        <v>#VALUE!</v>
      </c>
    </row>
    <row r="65" spans="1:22" ht="30" customHeight="1" thickBot="1" x14ac:dyDescent="0.3">
      <c r="A65" s="24"/>
      <c r="B65" s="24"/>
      <c r="C65" s="180" t="s">
        <v>137</v>
      </c>
      <c r="D65" s="182">
        <f>SUM(D50:D64)</f>
        <v>0</v>
      </c>
      <c r="E65" s="132" t="e">
        <f>D65/$D$2</f>
        <v>#DIV/0!</v>
      </c>
      <c r="F65" s="182">
        <f>SUM(F50:F64)</f>
        <v>0</v>
      </c>
      <c r="G65" s="132" t="e">
        <f>F65/F$2</f>
        <v>#DIV/0!</v>
      </c>
      <c r="H65" s="182">
        <f>SUM(H50:H64)</f>
        <v>0</v>
      </c>
      <c r="I65" s="132" t="e">
        <f>H65/H$2</f>
        <v>#DIV/0!</v>
      </c>
      <c r="J65" s="182">
        <f>SUM(J50:J64)</f>
        <v>0</v>
      </c>
      <c r="K65" s="132" t="e">
        <f>J65/J$2</f>
        <v>#DIV/0!</v>
      </c>
      <c r="L65" s="182">
        <f>SUM(L50:L64)</f>
        <v>0</v>
      </c>
      <c r="M65" s="132" t="e">
        <f>L65/L$2</f>
        <v>#DIV/0!</v>
      </c>
      <c r="N65" s="182">
        <f>SUM(N50:N64)</f>
        <v>0</v>
      </c>
      <c r="O65" s="132" t="e">
        <f>N65/N$2</f>
        <v>#DIV/0!</v>
      </c>
      <c r="P65" s="182">
        <f>SUM(P50:P64)</f>
        <v>0</v>
      </c>
      <c r="Q65" s="132" t="e">
        <f>P65/P$2</f>
        <v>#DIV/0!</v>
      </c>
      <c r="R65" s="182">
        <f>SUM(R50:R64)</f>
        <v>0</v>
      </c>
      <c r="S65" s="132" t="e">
        <f>R65/R$2</f>
        <v>#DIV/0!</v>
      </c>
      <c r="T65" s="182">
        <f>SUM(T50:T57)</f>
        <v>0</v>
      </c>
      <c r="U65" s="132" t="e">
        <f>T65/T$2</f>
        <v>#DIV/0!</v>
      </c>
    </row>
    <row r="66" spans="1:22" ht="30" customHeight="1" thickBot="1" x14ac:dyDescent="0.3">
      <c r="A66" s="20"/>
      <c r="D66" s="21"/>
      <c r="E66" s="21"/>
      <c r="F66" s="21"/>
      <c r="G66" s="21"/>
      <c r="H66" s="21"/>
      <c r="I66" s="21"/>
      <c r="J66" s="21"/>
      <c r="K66" s="21"/>
      <c r="L66" s="21"/>
      <c r="M66" s="21"/>
      <c r="T66" s="4"/>
    </row>
    <row r="67" spans="1:22" ht="30" customHeight="1" thickBot="1" x14ac:dyDescent="0.3">
      <c r="A67" s="37"/>
      <c r="B67" s="36"/>
      <c r="C67" s="35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</row>
    <row r="68" spans="1:22" ht="30" customHeight="1" thickBot="1" x14ac:dyDescent="0.3">
      <c r="A68" s="28"/>
      <c r="B68" s="23"/>
      <c r="C68" s="399" t="s">
        <v>170</v>
      </c>
      <c r="D68" s="161"/>
      <c r="E68" s="160"/>
      <c r="F68" s="161"/>
      <c r="G68" s="160"/>
      <c r="H68" s="161"/>
      <c r="I68" s="160"/>
      <c r="J68" s="161"/>
      <c r="K68" s="160"/>
      <c r="L68" s="161"/>
      <c r="M68" s="160"/>
      <c r="N68" s="161"/>
      <c r="O68" s="160"/>
      <c r="P68" s="161"/>
      <c r="Q68" s="160"/>
      <c r="R68" s="161"/>
      <c r="S68" s="160"/>
      <c r="T68" s="161"/>
      <c r="U68" s="162"/>
    </row>
    <row r="69" spans="1:22" ht="30" customHeight="1" thickBot="1" x14ac:dyDescent="0.3">
      <c r="B69" s="25" t="str">
        <f>'EEM Data Entry'!A141</f>
        <v/>
      </c>
      <c r="C69" s="367" t="str">
        <f>'EEM Data Entry'!B141</f>
        <v/>
      </c>
      <c r="D69" s="178">
        <f>'Savings Summary'!D69</f>
        <v>0</v>
      </c>
      <c r="E69" s="383">
        <f>IF($D$2=0,0,IF('Individual Measure List'!$I66="yes", D69/D$2, 0))</f>
        <v>0</v>
      </c>
      <c r="F69" s="178">
        <f>'Savings Summary'!F69</f>
        <v>0</v>
      </c>
      <c r="G69" s="383">
        <f>IF($F$2=0,0,IF('Individual Measure List'!$I66="yes", F69/F$2, 0))</f>
        <v>0</v>
      </c>
      <c r="H69" s="178">
        <f>'Savings Summary'!H69</f>
        <v>0</v>
      </c>
      <c r="I69" s="383">
        <f>IF($H$2=0,0,IF('Individual Measure List'!$I66="yes", H69/H$2, 0))</f>
        <v>0</v>
      </c>
      <c r="J69" s="178">
        <f>'Savings Summary'!J69</f>
        <v>0</v>
      </c>
      <c r="K69" s="383">
        <f>IF($J$2=0,0,IF('Individual Measure List'!$I66="yes", J69/J$2, 0))</f>
        <v>0</v>
      </c>
      <c r="L69" s="178">
        <f>'Savings Summary'!L69</f>
        <v>0</v>
      </c>
      <c r="M69" s="383">
        <f>IF($L$2=0,0,IF('Individual Measure List'!$I66="yes", L69/L$2, 0))</f>
        <v>0</v>
      </c>
      <c r="N69" s="178">
        <f>'Savings Summary'!N69</f>
        <v>0</v>
      </c>
      <c r="O69" s="383">
        <f>IF($N$2=0,0,IF('Individual Measure List'!$I66="yes", N69/N$2, 0))</f>
        <v>0</v>
      </c>
      <c r="P69" s="178">
        <f>'Savings Summary'!P69</f>
        <v>0</v>
      </c>
      <c r="Q69" s="383">
        <f>IF($P$2=0,0,IF('Individual Measure List'!$I66="yes", P69/P$2, 0))</f>
        <v>0</v>
      </c>
      <c r="R69" s="178">
        <f>'Savings Summary'!R69</f>
        <v>0</v>
      </c>
      <c r="S69" s="383">
        <f>IF($R$2=0,0,IF('Individual Measure List'!$I66="yes", R69/R$2, 0))</f>
        <v>0</v>
      </c>
      <c r="T69" s="38">
        <f>(D69*3.412)+(F69*138.6905)+(H69*100)+(J69*91.6476)+(L69*1194)+(N69*16400)+(P69*9500)+(R69*0)</f>
        <v>0</v>
      </c>
      <c r="U69" s="22">
        <f>IF(T$2&gt;0, T69/T$2, 0)</f>
        <v>0</v>
      </c>
      <c r="V69" t="e">
        <f>'Individual Measure List'!I66</f>
        <v>#VALUE!</v>
      </c>
    </row>
    <row r="70" spans="1:22" ht="13.5" thickBot="1" x14ac:dyDescent="0.3">
      <c r="B70" s="25" t="str">
        <f>'EEM Data Entry'!A142</f>
        <v/>
      </c>
      <c r="C70" s="367" t="str">
        <f>'EEM Data Entry'!B142</f>
        <v/>
      </c>
      <c r="D70" s="178">
        <f>'Savings Summary'!D70</f>
        <v>0</v>
      </c>
      <c r="E70" s="383">
        <f>IF($D$2=0,0,IF('Individual Measure List'!$I67="yes", D70/D$2, 0))</f>
        <v>0</v>
      </c>
      <c r="F70" s="178">
        <f>'Savings Summary'!F70</f>
        <v>0</v>
      </c>
      <c r="G70" s="383">
        <f>IF($F$2=0,0,IF('Individual Measure List'!$I67="yes", F70/F$2, 0))</f>
        <v>0</v>
      </c>
      <c r="H70" s="178">
        <f>'Savings Summary'!H70</f>
        <v>0</v>
      </c>
      <c r="I70" s="383">
        <f>IF($H$2=0,0,IF('Individual Measure List'!$I67="yes", H70/H$2, 0))</f>
        <v>0</v>
      </c>
      <c r="J70" s="178">
        <f>'Savings Summary'!J70</f>
        <v>0</v>
      </c>
      <c r="K70" s="383">
        <f>IF($J$2=0,0,IF('Individual Measure List'!$I67="yes", J70/J$2, 0))</f>
        <v>0</v>
      </c>
      <c r="L70" s="178">
        <f>'Savings Summary'!L70</f>
        <v>0</v>
      </c>
      <c r="M70" s="383">
        <f>IF($L$2=0,0,IF('Individual Measure List'!$I67="yes", L70/L$2, 0))</f>
        <v>0</v>
      </c>
      <c r="N70" s="178">
        <f>'Savings Summary'!N70</f>
        <v>0</v>
      </c>
      <c r="O70" s="383">
        <f>IF($N$2=0,0,IF('Individual Measure List'!$I67="yes", N70/N$2, 0))</f>
        <v>0</v>
      </c>
      <c r="P70" s="178">
        <f>'Savings Summary'!P70</f>
        <v>0</v>
      </c>
      <c r="Q70" s="383">
        <f>IF($P$2=0,0,IF('Individual Measure List'!$I67="yes", P70/P$2, 0))</f>
        <v>0</v>
      </c>
      <c r="R70" s="178">
        <f>'Savings Summary'!R70</f>
        <v>0</v>
      </c>
      <c r="S70" s="383">
        <f>IF($R$2=0,0,IF('Individual Measure List'!$I67="yes", R70/R$2, 0))</f>
        <v>0</v>
      </c>
      <c r="T70" s="38">
        <f t="shared" ref="T70:T82" si="249">(D70*3.412)+(F70*138.6905)+(H70*100)+(J70*91.6476)+(L70*1194)+(N70*16400)+(P70*9500)+(R70*0)</f>
        <v>0</v>
      </c>
      <c r="U70" s="22">
        <f>IF(T$2&gt;0, T70/T$2, 0)</f>
        <v>0</v>
      </c>
      <c r="V70" t="e">
        <f>'Individual Measure List'!I67</f>
        <v>#VALUE!</v>
      </c>
    </row>
    <row r="71" spans="1:22" ht="13.5" thickBot="1" x14ac:dyDescent="0.3">
      <c r="B71" s="25" t="str">
        <f>'EEM Data Entry'!A143</f>
        <v/>
      </c>
      <c r="C71" s="367" t="str">
        <f>'EEM Data Entry'!B143</f>
        <v/>
      </c>
      <c r="D71" s="178">
        <f>'Savings Summary'!D71</f>
        <v>0</v>
      </c>
      <c r="E71" s="383">
        <f>IF($D$2=0,0,IF('Individual Measure List'!$I68="yes", D71/D$2, 0))</f>
        <v>0</v>
      </c>
      <c r="F71" s="178">
        <f>'Savings Summary'!F71</f>
        <v>0</v>
      </c>
      <c r="G71" s="383">
        <f>IF($F$2=0,0,IF('Individual Measure List'!$I68="yes", F71/F$2, 0))</f>
        <v>0</v>
      </c>
      <c r="H71" s="178">
        <f>'Savings Summary'!H71</f>
        <v>0</v>
      </c>
      <c r="I71" s="383">
        <f>IF($H$2=0,0,IF('Individual Measure List'!$I68="yes", H71/H$2, 0))</f>
        <v>0</v>
      </c>
      <c r="J71" s="178">
        <f>'Savings Summary'!J71</f>
        <v>0</v>
      </c>
      <c r="K71" s="383">
        <f>IF($J$2=0,0,IF('Individual Measure List'!$I68="yes", J71/J$2, 0))</f>
        <v>0</v>
      </c>
      <c r="L71" s="178">
        <f>'Savings Summary'!L71</f>
        <v>0</v>
      </c>
      <c r="M71" s="383">
        <f>IF($L$2=0,0,IF('Individual Measure List'!$I68="yes", L71/L$2, 0))</f>
        <v>0</v>
      </c>
      <c r="N71" s="178">
        <f>'Savings Summary'!N71</f>
        <v>0</v>
      </c>
      <c r="O71" s="383">
        <f>IF($N$2=0,0,IF('Individual Measure List'!$I68="yes", N71/N$2, 0))</f>
        <v>0</v>
      </c>
      <c r="P71" s="178">
        <f>'Savings Summary'!P71</f>
        <v>0</v>
      </c>
      <c r="Q71" s="383">
        <f>IF($P$2=0,0,IF('Individual Measure List'!$I68="yes", P71/P$2, 0))</f>
        <v>0</v>
      </c>
      <c r="R71" s="178">
        <f>'Savings Summary'!R71</f>
        <v>0</v>
      </c>
      <c r="S71" s="383">
        <f>IF($R$2=0,0,IF('Individual Measure List'!$I68="yes", R71/R$2, 0))</f>
        <v>0</v>
      </c>
      <c r="T71" s="38">
        <f t="shared" si="249"/>
        <v>0</v>
      </c>
      <c r="U71" s="22">
        <f>IF(T$2&gt;0, T71/T$2, 0)</f>
        <v>0</v>
      </c>
      <c r="V71" t="e">
        <f>'Individual Measure List'!I68</f>
        <v>#VALUE!</v>
      </c>
    </row>
    <row r="72" spans="1:22" ht="13.5" thickBot="1" x14ac:dyDescent="0.3">
      <c r="B72" s="25" t="str">
        <f>'EEM Data Entry'!A144</f>
        <v/>
      </c>
      <c r="C72" s="367" t="str">
        <f>'EEM Data Entry'!B144</f>
        <v/>
      </c>
      <c r="D72" s="178">
        <f>'Savings Summary'!D72</f>
        <v>0</v>
      </c>
      <c r="E72" s="383">
        <f>IF($D$2=0,0,IF('Individual Measure List'!$I69="yes", D72/D$2, 0))</f>
        <v>0</v>
      </c>
      <c r="F72" s="178">
        <f>'Savings Summary'!F72</f>
        <v>0</v>
      </c>
      <c r="G72" s="383">
        <f>IF($F$2=0,0,IF('Individual Measure List'!$I69="yes", F72/F$2, 0))</f>
        <v>0</v>
      </c>
      <c r="H72" s="178">
        <f>'Savings Summary'!H72</f>
        <v>0</v>
      </c>
      <c r="I72" s="383">
        <f>IF($H$2=0,0,IF('Individual Measure List'!$I69="yes", H72/H$2, 0))</f>
        <v>0</v>
      </c>
      <c r="J72" s="178">
        <f>'Savings Summary'!J72</f>
        <v>0</v>
      </c>
      <c r="K72" s="383">
        <f>IF($J$2=0,0,IF('Individual Measure List'!$I69="yes", J72/J$2, 0))</f>
        <v>0</v>
      </c>
      <c r="L72" s="178">
        <f>'Savings Summary'!L72</f>
        <v>0</v>
      </c>
      <c r="M72" s="383">
        <f>IF($L$2=0,0,IF('Individual Measure List'!$I69="yes", L72/L$2, 0))</f>
        <v>0</v>
      </c>
      <c r="N72" s="178">
        <f>'Savings Summary'!N72</f>
        <v>0</v>
      </c>
      <c r="O72" s="383">
        <f>IF($N$2=0,0,IF('Individual Measure List'!$I69="yes", N72/N$2, 0))</f>
        <v>0</v>
      </c>
      <c r="P72" s="178">
        <f>'Savings Summary'!P72</f>
        <v>0</v>
      </c>
      <c r="Q72" s="383">
        <f>IF($P$2=0,0,IF('Individual Measure List'!$I69="yes", P72/P$2, 0))</f>
        <v>0</v>
      </c>
      <c r="R72" s="178">
        <f>'Savings Summary'!R72</f>
        <v>0</v>
      </c>
      <c r="S72" s="383">
        <f>IF($R$2=0,0,IF('Individual Measure List'!$I69="yes", R72/R$2, 0))</f>
        <v>0</v>
      </c>
      <c r="T72" s="38">
        <f t="shared" si="249"/>
        <v>0</v>
      </c>
      <c r="U72" s="22">
        <f t="shared" ref="U72:U82" si="250">IF(T$2&gt;0, T72/T$2, 0)</f>
        <v>0</v>
      </c>
      <c r="V72" t="e">
        <f>'Individual Measure List'!I69</f>
        <v>#VALUE!</v>
      </c>
    </row>
    <row r="73" spans="1:22" ht="13.5" thickBot="1" x14ac:dyDescent="0.3">
      <c r="B73" s="25" t="str">
        <f>'EEM Data Entry'!A145</f>
        <v/>
      </c>
      <c r="C73" s="367" t="str">
        <f>'EEM Data Entry'!B145</f>
        <v/>
      </c>
      <c r="D73" s="178">
        <f>'Savings Summary'!D73</f>
        <v>0</v>
      </c>
      <c r="E73" s="383">
        <f>IF($D$2=0,0,IF('Individual Measure List'!$I70="yes", D73/D$2, 0))</f>
        <v>0</v>
      </c>
      <c r="F73" s="178">
        <f>'Savings Summary'!F73</f>
        <v>0</v>
      </c>
      <c r="G73" s="383">
        <f>IF($F$2=0,0,IF('Individual Measure List'!$I70="yes", F73/F$2, 0))</f>
        <v>0</v>
      </c>
      <c r="H73" s="178">
        <f>'Savings Summary'!H73</f>
        <v>0</v>
      </c>
      <c r="I73" s="383">
        <f>IF($H$2=0,0,IF('Individual Measure List'!$I70="yes", H73/H$2, 0))</f>
        <v>0</v>
      </c>
      <c r="J73" s="178">
        <f>'Savings Summary'!J73</f>
        <v>0</v>
      </c>
      <c r="K73" s="383">
        <f>IF($J$2=0,0,IF('Individual Measure List'!$I70="yes", J73/J$2, 0))</f>
        <v>0</v>
      </c>
      <c r="L73" s="178">
        <f>'Savings Summary'!L73</f>
        <v>0</v>
      </c>
      <c r="M73" s="383">
        <f>IF($L$2=0,0,IF('Individual Measure List'!$I70="yes", L73/L$2, 0))</f>
        <v>0</v>
      </c>
      <c r="N73" s="178">
        <f>'Savings Summary'!N73</f>
        <v>0</v>
      </c>
      <c r="O73" s="383">
        <f>IF($N$2=0,0,IF('Individual Measure List'!$I70="yes", N73/N$2, 0))</f>
        <v>0</v>
      </c>
      <c r="P73" s="178">
        <f>'Savings Summary'!P73</f>
        <v>0</v>
      </c>
      <c r="Q73" s="383">
        <f>IF($P$2=0,0,IF('Individual Measure List'!$I70="yes", P73/P$2, 0))</f>
        <v>0</v>
      </c>
      <c r="R73" s="178">
        <f>'Savings Summary'!R73</f>
        <v>0</v>
      </c>
      <c r="S73" s="383">
        <f>IF($R$2=0,0,IF('Individual Measure List'!$I70="yes", R73/R$2, 0))</f>
        <v>0</v>
      </c>
      <c r="T73" s="38">
        <f t="shared" si="249"/>
        <v>0</v>
      </c>
      <c r="U73" s="22">
        <f t="shared" si="250"/>
        <v>0</v>
      </c>
      <c r="V73" t="e">
        <f>'Individual Measure List'!I70</f>
        <v>#VALUE!</v>
      </c>
    </row>
    <row r="74" spans="1:22" ht="13.5" thickBot="1" x14ac:dyDescent="0.3">
      <c r="B74" s="25" t="str">
        <f>'EEM Data Entry'!A146</f>
        <v/>
      </c>
      <c r="C74" s="367" t="str">
        <f>'EEM Data Entry'!B146</f>
        <v/>
      </c>
      <c r="D74" s="178">
        <f>'Savings Summary'!D74</f>
        <v>0</v>
      </c>
      <c r="E74" s="383">
        <f>IF($D$2=0,0,IF('Individual Measure List'!$I71="yes", D74/D$2, 0))</f>
        <v>0</v>
      </c>
      <c r="F74" s="178">
        <f>'Savings Summary'!F74</f>
        <v>0</v>
      </c>
      <c r="G74" s="383">
        <f>IF($F$2=0,0,IF('Individual Measure List'!$I71="yes", F74/F$2, 0))</f>
        <v>0</v>
      </c>
      <c r="H74" s="178">
        <f>'Savings Summary'!H74</f>
        <v>0</v>
      </c>
      <c r="I74" s="383">
        <f>IF($H$2=0,0,IF('Individual Measure List'!$I71="yes", H74/H$2, 0))</f>
        <v>0</v>
      </c>
      <c r="J74" s="178">
        <f>'Savings Summary'!J74</f>
        <v>0</v>
      </c>
      <c r="K74" s="383">
        <f>IF($J$2=0,0,IF('Individual Measure List'!$I71="yes", J74/J$2, 0))</f>
        <v>0</v>
      </c>
      <c r="L74" s="178">
        <f>'Savings Summary'!L74</f>
        <v>0</v>
      </c>
      <c r="M74" s="383">
        <f>IF($L$2=0,0,IF('Individual Measure List'!$I71="yes", L74/L$2, 0))</f>
        <v>0</v>
      </c>
      <c r="N74" s="178">
        <f>'Savings Summary'!N74</f>
        <v>0</v>
      </c>
      <c r="O74" s="383">
        <f>IF($N$2=0,0,IF('Individual Measure List'!$I71="yes", N74/N$2, 0))</f>
        <v>0</v>
      </c>
      <c r="P74" s="178">
        <f>'Savings Summary'!P74</f>
        <v>0</v>
      </c>
      <c r="Q74" s="383">
        <f>IF($P$2=0,0,IF('Individual Measure List'!$I71="yes", P74/P$2, 0))</f>
        <v>0</v>
      </c>
      <c r="R74" s="178">
        <f>'Savings Summary'!R74</f>
        <v>0</v>
      </c>
      <c r="S74" s="383">
        <f>IF($R$2=0,0,IF('Individual Measure List'!$I71="yes", R74/R$2, 0))</f>
        <v>0</v>
      </c>
      <c r="T74" s="38">
        <f t="shared" si="249"/>
        <v>0</v>
      </c>
      <c r="U74" s="22">
        <f t="shared" si="250"/>
        <v>0</v>
      </c>
      <c r="V74" t="e">
        <f>'Individual Measure List'!I71</f>
        <v>#VALUE!</v>
      </c>
    </row>
    <row r="75" spans="1:22" ht="13.5" thickBot="1" x14ac:dyDescent="0.3">
      <c r="B75" s="25" t="str">
        <f>'EEM Data Entry'!A147</f>
        <v/>
      </c>
      <c r="C75" s="367" t="str">
        <f>'EEM Data Entry'!B147</f>
        <v/>
      </c>
      <c r="D75" s="178">
        <f>'Savings Summary'!D75</f>
        <v>0</v>
      </c>
      <c r="E75" s="383">
        <f>IF($D$2=0,0,IF('Individual Measure List'!$I72="yes", D75/D$2, 0))</f>
        <v>0</v>
      </c>
      <c r="F75" s="178">
        <f>'Savings Summary'!F75</f>
        <v>0</v>
      </c>
      <c r="G75" s="383">
        <f>IF($F$2=0,0,IF('Individual Measure List'!$I72="yes", F75/F$2, 0))</f>
        <v>0</v>
      </c>
      <c r="H75" s="178">
        <f>'Savings Summary'!H75</f>
        <v>0</v>
      </c>
      <c r="I75" s="383">
        <f>IF($H$2=0,0,IF('Individual Measure List'!$I72="yes", H75/H$2, 0))</f>
        <v>0</v>
      </c>
      <c r="J75" s="178">
        <f>'Savings Summary'!J75</f>
        <v>0</v>
      </c>
      <c r="K75" s="383">
        <f>IF($J$2=0,0,IF('Individual Measure List'!$I72="yes", J75/J$2, 0))</f>
        <v>0</v>
      </c>
      <c r="L75" s="178">
        <f>'Savings Summary'!L75</f>
        <v>0</v>
      </c>
      <c r="M75" s="383">
        <f>IF($L$2=0,0,IF('Individual Measure List'!$I72="yes", L75/L$2, 0))</f>
        <v>0</v>
      </c>
      <c r="N75" s="178">
        <f>'Savings Summary'!N75</f>
        <v>0</v>
      </c>
      <c r="O75" s="383">
        <f>IF($N$2=0,0,IF('Individual Measure List'!$I72="yes", N75/N$2, 0))</f>
        <v>0</v>
      </c>
      <c r="P75" s="178">
        <f>'Savings Summary'!P75</f>
        <v>0</v>
      </c>
      <c r="Q75" s="383">
        <f>IF($P$2=0,0,IF('Individual Measure List'!$I72="yes", P75/P$2, 0))</f>
        <v>0</v>
      </c>
      <c r="R75" s="178">
        <f>'Savings Summary'!R75</f>
        <v>0</v>
      </c>
      <c r="S75" s="383">
        <f>IF($R$2=0,0,IF('Individual Measure List'!$I72="yes", R75/R$2, 0))</f>
        <v>0</v>
      </c>
      <c r="T75" s="38">
        <f t="shared" si="249"/>
        <v>0</v>
      </c>
      <c r="U75" s="22">
        <f t="shared" si="250"/>
        <v>0</v>
      </c>
      <c r="V75" t="e">
        <f>'Individual Measure List'!I72</f>
        <v>#VALUE!</v>
      </c>
    </row>
    <row r="76" spans="1:22" ht="13.5" thickBot="1" x14ac:dyDescent="0.3">
      <c r="B76" s="25" t="str">
        <f>'EEM Data Entry'!A148</f>
        <v/>
      </c>
      <c r="C76" s="367" t="str">
        <f>'EEM Data Entry'!B148</f>
        <v/>
      </c>
      <c r="D76" s="178">
        <f>'Savings Summary'!D76</f>
        <v>0</v>
      </c>
      <c r="E76" s="383">
        <f>IF($D$2=0,0,IF('Individual Measure List'!$I73="yes", D76/D$2, 0))</f>
        <v>0</v>
      </c>
      <c r="F76" s="178">
        <f>'Savings Summary'!F76</f>
        <v>0</v>
      </c>
      <c r="G76" s="383">
        <f>IF($F$2=0,0,IF('Individual Measure List'!$I73="yes", F76/F$2, 0))</f>
        <v>0</v>
      </c>
      <c r="H76" s="178">
        <f>'Savings Summary'!H76</f>
        <v>0</v>
      </c>
      <c r="I76" s="383">
        <f>IF($H$2=0,0,IF('Individual Measure List'!$I73="yes", H76/H$2, 0))</f>
        <v>0</v>
      </c>
      <c r="J76" s="178">
        <f>'Savings Summary'!J76</f>
        <v>0</v>
      </c>
      <c r="K76" s="383">
        <f>IF($J$2=0,0,IF('Individual Measure List'!$I73="yes", J76/J$2, 0))</f>
        <v>0</v>
      </c>
      <c r="L76" s="178">
        <f>'Savings Summary'!L76</f>
        <v>0</v>
      </c>
      <c r="M76" s="383">
        <f>IF($L$2=0,0,IF('Individual Measure List'!$I73="yes", L76/L$2, 0))</f>
        <v>0</v>
      </c>
      <c r="N76" s="178">
        <f>'Savings Summary'!N76</f>
        <v>0</v>
      </c>
      <c r="O76" s="383">
        <f>IF($N$2=0,0,IF('Individual Measure List'!$I73="yes", N76/N$2, 0))</f>
        <v>0</v>
      </c>
      <c r="P76" s="178">
        <f>'Savings Summary'!P76</f>
        <v>0</v>
      </c>
      <c r="Q76" s="383">
        <f>IF($P$2=0,0,IF('Individual Measure List'!$I73="yes", P76/P$2, 0))</f>
        <v>0</v>
      </c>
      <c r="R76" s="178">
        <f>'Savings Summary'!R76</f>
        <v>0</v>
      </c>
      <c r="S76" s="383">
        <f>IF($R$2=0,0,IF('Individual Measure List'!$I73="yes", R76/R$2, 0))</f>
        <v>0</v>
      </c>
      <c r="T76" s="38">
        <f t="shared" si="249"/>
        <v>0</v>
      </c>
      <c r="U76" s="22">
        <f t="shared" si="250"/>
        <v>0</v>
      </c>
      <c r="V76" t="e">
        <f>'Individual Measure List'!I73</f>
        <v>#VALUE!</v>
      </c>
    </row>
    <row r="77" spans="1:22" ht="18.75" customHeight="1" thickBot="1" x14ac:dyDescent="0.3">
      <c r="B77" s="25" t="str">
        <f>'EEM Data Entry'!A149</f>
        <v/>
      </c>
      <c r="C77" s="367" t="str">
        <f>'EEM Data Entry'!B149</f>
        <v/>
      </c>
      <c r="D77" s="178">
        <f>'Savings Summary'!D77</f>
        <v>0</v>
      </c>
      <c r="E77" s="383">
        <f>IF($D$2=0,0,IF('Individual Measure List'!$I74="yes", D77/D$2, 0))</f>
        <v>0</v>
      </c>
      <c r="F77" s="178">
        <f>'Savings Summary'!F77</f>
        <v>0</v>
      </c>
      <c r="G77" s="383">
        <f>IF($F$2=0,0,IF('Individual Measure List'!$I74="yes", F77/F$2, 0))</f>
        <v>0</v>
      </c>
      <c r="H77" s="178">
        <f>'Savings Summary'!H77</f>
        <v>0</v>
      </c>
      <c r="I77" s="383">
        <f>IF($H$2=0,0,IF('Individual Measure List'!$I74="yes", H77/H$2, 0))</f>
        <v>0</v>
      </c>
      <c r="J77" s="178">
        <f>'Savings Summary'!J77</f>
        <v>0</v>
      </c>
      <c r="K77" s="383">
        <f>IF($J$2=0,0,IF('Individual Measure List'!$I74="yes", J77/J$2, 0))</f>
        <v>0</v>
      </c>
      <c r="L77" s="178">
        <f>'Savings Summary'!L77</f>
        <v>0</v>
      </c>
      <c r="M77" s="383">
        <f>IF($L$2=0,0,IF('Individual Measure List'!$I74="yes", L77/L$2, 0))</f>
        <v>0</v>
      </c>
      <c r="N77" s="178">
        <f>'Savings Summary'!N77</f>
        <v>0</v>
      </c>
      <c r="O77" s="383">
        <f>IF($N$2=0,0,IF('Individual Measure List'!$I74="yes", N77/N$2, 0))</f>
        <v>0</v>
      </c>
      <c r="P77" s="178">
        <f>'Savings Summary'!P77</f>
        <v>0</v>
      </c>
      <c r="Q77" s="383">
        <f>IF($P$2=0,0,IF('Individual Measure List'!$I74="yes", P77/P$2, 0))</f>
        <v>0</v>
      </c>
      <c r="R77" s="178">
        <f>'Savings Summary'!R77</f>
        <v>0</v>
      </c>
      <c r="S77" s="383">
        <f>IF($R$2=0,0,IF('Individual Measure List'!$I74="yes", R77/R$2, 0))</f>
        <v>0</v>
      </c>
      <c r="T77" s="38">
        <f t="shared" si="249"/>
        <v>0</v>
      </c>
      <c r="U77" s="22">
        <f t="shared" si="250"/>
        <v>0</v>
      </c>
      <c r="V77" t="e">
        <f>'Individual Measure List'!I74</f>
        <v>#VALUE!</v>
      </c>
    </row>
    <row r="78" spans="1:22" ht="18.75" customHeight="1" thickBot="1" x14ac:dyDescent="0.3">
      <c r="B78" s="25" t="str">
        <f>'EEM Data Entry'!A150</f>
        <v/>
      </c>
      <c r="C78" s="367" t="str">
        <f>'EEM Data Entry'!B150</f>
        <v/>
      </c>
      <c r="D78" s="178">
        <f>'Savings Summary'!D78</f>
        <v>0</v>
      </c>
      <c r="E78" s="383">
        <f>IF($D$2=0,0,IF('Individual Measure List'!$I75="yes", D78/D$2, 0))</f>
        <v>0</v>
      </c>
      <c r="F78" s="178">
        <f>'Savings Summary'!F78</f>
        <v>0</v>
      </c>
      <c r="G78" s="383">
        <f>IF($F$2=0,0,IF('Individual Measure List'!$I75="yes", F78/F$2, 0))</f>
        <v>0</v>
      </c>
      <c r="H78" s="178">
        <f>'Savings Summary'!H78</f>
        <v>0</v>
      </c>
      <c r="I78" s="383">
        <f>IF($H$2=0,0,IF('Individual Measure List'!$I75="yes", H78/H$2, 0))</f>
        <v>0</v>
      </c>
      <c r="J78" s="178">
        <f>'Savings Summary'!J78</f>
        <v>0</v>
      </c>
      <c r="K78" s="383">
        <f>IF($J$2=0,0,IF('Individual Measure List'!$I75="yes", J78/J$2, 0))</f>
        <v>0</v>
      </c>
      <c r="L78" s="178">
        <f>'Savings Summary'!L78</f>
        <v>0</v>
      </c>
      <c r="M78" s="383">
        <f>IF($L$2=0,0,IF('Individual Measure List'!$I75="yes", L78/L$2, 0))</f>
        <v>0</v>
      </c>
      <c r="N78" s="178">
        <f>'Savings Summary'!N78</f>
        <v>0</v>
      </c>
      <c r="O78" s="383">
        <f>IF($N$2=0,0,IF('Individual Measure List'!$I75="yes", N78/N$2, 0))</f>
        <v>0</v>
      </c>
      <c r="P78" s="178">
        <f>'Savings Summary'!P78</f>
        <v>0</v>
      </c>
      <c r="Q78" s="383">
        <f>IF($P$2=0,0,IF('Individual Measure List'!$I75="yes", P78/P$2, 0))</f>
        <v>0</v>
      </c>
      <c r="R78" s="178">
        <f>'Savings Summary'!R78</f>
        <v>0</v>
      </c>
      <c r="S78" s="383">
        <f>IF($R$2=0,0,IF('Individual Measure List'!$I75="yes", R78/R$2, 0))</f>
        <v>0</v>
      </c>
      <c r="T78" s="38">
        <f t="shared" si="249"/>
        <v>0</v>
      </c>
      <c r="U78" s="22">
        <f t="shared" si="250"/>
        <v>0</v>
      </c>
      <c r="V78" t="e">
        <f>'Individual Measure List'!I75</f>
        <v>#VALUE!</v>
      </c>
    </row>
    <row r="79" spans="1:22" ht="13.5" thickBot="1" x14ac:dyDescent="0.3">
      <c r="B79" s="25" t="str">
        <f>'EEM Data Entry'!A151</f>
        <v/>
      </c>
      <c r="C79" s="367" t="str">
        <f>'EEM Data Entry'!B151</f>
        <v/>
      </c>
      <c r="D79" s="178">
        <f>'Savings Summary'!D79</f>
        <v>0</v>
      </c>
      <c r="E79" s="383">
        <f>IF($D$2=0,0,IF('Individual Measure List'!$I76="yes", D79/D$2, 0))</f>
        <v>0</v>
      </c>
      <c r="F79" s="178">
        <f>'Savings Summary'!F79</f>
        <v>0</v>
      </c>
      <c r="G79" s="383">
        <f>IF($F$2=0,0,IF('Individual Measure List'!$I76="yes", F79/F$2, 0))</f>
        <v>0</v>
      </c>
      <c r="H79" s="178">
        <f>'Savings Summary'!H79</f>
        <v>0</v>
      </c>
      <c r="I79" s="383">
        <f>IF($H$2=0,0,IF('Individual Measure List'!$I76="yes", H79/H$2, 0))</f>
        <v>0</v>
      </c>
      <c r="J79" s="178">
        <f>'Savings Summary'!J79</f>
        <v>0</v>
      </c>
      <c r="K79" s="383">
        <f>IF($J$2=0,0,IF('Individual Measure List'!$I76="yes", J79/J$2, 0))</f>
        <v>0</v>
      </c>
      <c r="L79" s="178">
        <f>'Savings Summary'!L79</f>
        <v>0</v>
      </c>
      <c r="M79" s="383">
        <f>IF($L$2=0,0,IF('Individual Measure List'!$I76="yes", L79/L$2, 0))</f>
        <v>0</v>
      </c>
      <c r="N79" s="178">
        <f>'Savings Summary'!N79</f>
        <v>0</v>
      </c>
      <c r="O79" s="383">
        <f>IF($N$2=0,0,IF('Individual Measure List'!$I76="yes", N79/N$2, 0))</f>
        <v>0</v>
      </c>
      <c r="P79" s="178">
        <f>'Savings Summary'!P79</f>
        <v>0</v>
      </c>
      <c r="Q79" s="383">
        <f>IF($P$2=0,0,IF('Individual Measure List'!$I76="yes", P79/P$2, 0))</f>
        <v>0</v>
      </c>
      <c r="R79" s="178">
        <f>'Savings Summary'!R79</f>
        <v>0</v>
      </c>
      <c r="S79" s="383">
        <f>IF($R$2=0,0,IF('Individual Measure List'!$I76="yes", R79/R$2, 0))</f>
        <v>0</v>
      </c>
      <c r="T79" s="38">
        <f t="shared" si="249"/>
        <v>0</v>
      </c>
      <c r="U79" s="22">
        <f t="shared" si="250"/>
        <v>0</v>
      </c>
      <c r="V79" t="e">
        <f>'Individual Measure List'!I76</f>
        <v>#VALUE!</v>
      </c>
    </row>
    <row r="80" spans="1:22" ht="13.5" thickBot="1" x14ac:dyDescent="0.3">
      <c r="B80" s="25" t="str">
        <f>'EEM Data Entry'!A152</f>
        <v/>
      </c>
      <c r="C80" s="367" t="str">
        <f>'EEM Data Entry'!B152</f>
        <v/>
      </c>
      <c r="D80" s="178">
        <f>'Savings Summary'!D80</f>
        <v>0</v>
      </c>
      <c r="E80" s="383">
        <f>IF($D$2=0,0,IF('Individual Measure List'!$I77="yes", D80/D$2, 0))</f>
        <v>0</v>
      </c>
      <c r="F80" s="178">
        <f>'Savings Summary'!F80</f>
        <v>0</v>
      </c>
      <c r="G80" s="383">
        <f>IF($F$2=0,0,IF('Individual Measure List'!$I77="yes", F80/F$2, 0))</f>
        <v>0</v>
      </c>
      <c r="H80" s="178">
        <f>'Savings Summary'!H80</f>
        <v>0</v>
      </c>
      <c r="I80" s="383">
        <f>IF($H$2=0,0,IF('Individual Measure List'!$I77="yes", H80/H$2, 0))</f>
        <v>0</v>
      </c>
      <c r="J80" s="178">
        <f>'Savings Summary'!J80</f>
        <v>0</v>
      </c>
      <c r="K80" s="383">
        <f>IF($J$2=0,0,IF('Individual Measure List'!$I77="yes", J80/J$2, 0))</f>
        <v>0</v>
      </c>
      <c r="L80" s="178">
        <f>'Savings Summary'!L80</f>
        <v>0</v>
      </c>
      <c r="M80" s="383">
        <f>IF($L$2=0,0,IF('Individual Measure List'!$I77="yes", L80/L$2, 0))</f>
        <v>0</v>
      </c>
      <c r="N80" s="178">
        <f>'Savings Summary'!N80</f>
        <v>0</v>
      </c>
      <c r="O80" s="383">
        <f>IF($N$2=0,0,IF('Individual Measure List'!$I77="yes", N80/N$2, 0))</f>
        <v>0</v>
      </c>
      <c r="P80" s="178">
        <f>'Savings Summary'!P80</f>
        <v>0</v>
      </c>
      <c r="Q80" s="383">
        <f>IF($P$2=0,0,IF('Individual Measure List'!$I77="yes", P80/P$2, 0))</f>
        <v>0</v>
      </c>
      <c r="R80" s="178">
        <f>'Savings Summary'!R80</f>
        <v>0</v>
      </c>
      <c r="S80" s="383">
        <f>IF($R$2=0,0,IF('Individual Measure List'!$I77="yes", R80/R$2, 0))</f>
        <v>0</v>
      </c>
      <c r="T80" s="38">
        <f t="shared" si="249"/>
        <v>0</v>
      </c>
      <c r="U80" s="22">
        <f t="shared" si="250"/>
        <v>0</v>
      </c>
      <c r="V80" t="e">
        <f>'Individual Measure List'!I77</f>
        <v>#VALUE!</v>
      </c>
    </row>
    <row r="81" spans="2:22" ht="13.5" thickBot="1" x14ac:dyDescent="0.3">
      <c r="B81" s="25" t="str">
        <f>'EEM Data Entry'!A153</f>
        <v/>
      </c>
      <c r="C81" s="367" t="str">
        <f>'EEM Data Entry'!B153</f>
        <v/>
      </c>
      <c r="D81" s="178">
        <f>'Savings Summary'!D81</f>
        <v>0</v>
      </c>
      <c r="E81" s="383">
        <f>IF($D$2=0,0,IF('Individual Measure List'!$I78="yes", D81/D$2, 0))</f>
        <v>0</v>
      </c>
      <c r="F81" s="178">
        <f>'Savings Summary'!F81</f>
        <v>0</v>
      </c>
      <c r="G81" s="383">
        <f>IF($F$2=0,0,IF('Individual Measure List'!$I78="yes", F81/F$2, 0))</f>
        <v>0</v>
      </c>
      <c r="H81" s="178">
        <f>'Savings Summary'!H81</f>
        <v>0</v>
      </c>
      <c r="I81" s="383">
        <f>IF($H$2=0,0,IF('Individual Measure List'!$I78="yes", H81/H$2, 0))</f>
        <v>0</v>
      </c>
      <c r="J81" s="178">
        <f>'Savings Summary'!J81</f>
        <v>0</v>
      </c>
      <c r="K81" s="383">
        <f>IF($J$2=0,0,IF('Individual Measure List'!$I78="yes", J81/J$2, 0))</f>
        <v>0</v>
      </c>
      <c r="L81" s="178">
        <f>'Savings Summary'!L81</f>
        <v>0</v>
      </c>
      <c r="M81" s="383">
        <f>IF($L$2=0,0,IF('Individual Measure List'!$I78="yes", L81/L$2, 0))</f>
        <v>0</v>
      </c>
      <c r="N81" s="178">
        <f>'Savings Summary'!N81</f>
        <v>0</v>
      </c>
      <c r="O81" s="383">
        <f>IF($N$2=0,0,IF('Individual Measure List'!$I78="yes", N81/N$2, 0))</f>
        <v>0</v>
      </c>
      <c r="P81" s="178">
        <f>'Savings Summary'!P81</f>
        <v>0</v>
      </c>
      <c r="Q81" s="383">
        <f>IF($P$2=0,0,IF('Individual Measure List'!$I78="yes", P81/P$2, 0))</f>
        <v>0</v>
      </c>
      <c r="R81" s="178">
        <f>'Savings Summary'!R81</f>
        <v>0</v>
      </c>
      <c r="S81" s="383">
        <f>IF($R$2=0,0,IF('Individual Measure List'!$I78="yes", R81/R$2, 0))</f>
        <v>0</v>
      </c>
      <c r="T81" s="38">
        <f t="shared" si="249"/>
        <v>0</v>
      </c>
      <c r="U81" s="22">
        <f t="shared" si="250"/>
        <v>0</v>
      </c>
      <c r="V81" t="e">
        <f>'Individual Measure List'!I78</f>
        <v>#VALUE!</v>
      </c>
    </row>
    <row r="82" spans="2:22" ht="13" x14ac:dyDescent="0.25">
      <c r="B82" s="25" t="str">
        <f>'EEM Data Entry'!A154</f>
        <v/>
      </c>
      <c r="C82" s="367" t="str">
        <f>'EEM Data Entry'!B154</f>
        <v/>
      </c>
      <c r="D82" s="178">
        <f>'Savings Summary'!D82</f>
        <v>0</v>
      </c>
      <c r="E82" s="383">
        <f>IF($D$2=0,0,IF('Individual Measure List'!$I79="yes", D82/D$2, 0))</f>
        <v>0</v>
      </c>
      <c r="F82" s="178">
        <f>'Savings Summary'!F82</f>
        <v>0</v>
      </c>
      <c r="G82" s="383">
        <f>IF($F$2=0,0,IF('Individual Measure List'!$I79="yes", F82/F$2, 0))</f>
        <v>0</v>
      </c>
      <c r="H82" s="178">
        <f>'Savings Summary'!H82</f>
        <v>0</v>
      </c>
      <c r="I82" s="383">
        <f>IF($H$2=0,0,IF('Individual Measure List'!$I79="yes", H82/H$2, 0))</f>
        <v>0</v>
      </c>
      <c r="J82" s="178">
        <f>'Savings Summary'!J82</f>
        <v>0</v>
      </c>
      <c r="K82" s="383">
        <f>IF($J$2=0,0,IF('Individual Measure List'!$I79="yes", J82/J$2, 0))</f>
        <v>0</v>
      </c>
      <c r="L82" s="178">
        <f>'Savings Summary'!L82</f>
        <v>0</v>
      </c>
      <c r="M82" s="383">
        <f>IF($L$2=0,0,IF('Individual Measure List'!$I79="yes", L82/L$2, 0))</f>
        <v>0</v>
      </c>
      <c r="N82" s="178">
        <f>'Savings Summary'!N82</f>
        <v>0</v>
      </c>
      <c r="O82" s="383">
        <f>IF($N$2=0,0,IF('Individual Measure List'!$I79="yes", N82/N$2, 0))</f>
        <v>0</v>
      </c>
      <c r="P82" s="178">
        <f>'Savings Summary'!P82</f>
        <v>0</v>
      </c>
      <c r="Q82" s="383">
        <f>IF($P$2=0,0,IF('Individual Measure List'!$I79="yes", P82/P$2, 0))</f>
        <v>0</v>
      </c>
      <c r="R82" s="178">
        <f>'Savings Summary'!R82</f>
        <v>0</v>
      </c>
      <c r="S82" s="383">
        <f>IF($R$2=0,0,IF('Individual Measure List'!$I79="yes", R82/R$2, 0))</f>
        <v>0</v>
      </c>
      <c r="T82" s="38">
        <f t="shared" si="249"/>
        <v>0</v>
      </c>
      <c r="U82" s="22">
        <f t="shared" si="250"/>
        <v>0</v>
      </c>
      <c r="V82" t="e">
        <f>'Individual Measure List'!I79</f>
        <v>#VALUE!</v>
      </c>
    </row>
    <row r="83" spans="2:22" ht="13.5" thickBot="1" x14ac:dyDescent="0.3">
      <c r="C83" s="180" t="s">
        <v>137</v>
      </c>
      <c r="D83" s="182">
        <f>SUM(D69:D82)</f>
        <v>0</v>
      </c>
      <c r="E83" s="132" t="e">
        <f>D83/$D$2</f>
        <v>#DIV/0!</v>
      </c>
      <c r="F83" s="182">
        <f>SUM(F69:F82)</f>
        <v>0</v>
      </c>
      <c r="G83" s="132" t="e">
        <f>F83/F$2</f>
        <v>#DIV/0!</v>
      </c>
      <c r="H83" s="182">
        <f>SUM(H69:H82)</f>
        <v>0</v>
      </c>
      <c r="I83" s="132" t="e">
        <f>H83/H$2</f>
        <v>#DIV/0!</v>
      </c>
      <c r="J83" s="182">
        <f>SUM(J69:J82)</f>
        <v>0</v>
      </c>
      <c r="K83" s="132" t="e">
        <f>J83/J$2</f>
        <v>#DIV/0!</v>
      </c>
      <c r="L83" s="182">
        <f>SUM(L69:L82)</f>
        <v>0</v>
      </c>
      <c r="M83" s="132" t="e">
        <f>L83/L$2</f>
        <v>#DIV/0!</v>
      </c>
      <c r="N83" s="182">
        <f>SUM(N69:N82)</f>
        <v>0</v>
      </c>
      <c r="O83" s="132" t="e">
        <f>N83/N$2</f>
        <v>#DIV/0!</v>
      </c>
      <c r="P83" s="182">
        <f>SUM(P69:P82)</f>
        <v>0</v>
      </c>
      <c r="Q83" s="132" t="e">
        <f>P83/P$2</f>
        <v>#DIV/0!</v>
      </c>
      <c r="R83" s="182">
        <f>SUM(R69:R82)</f>
        <v>0</v>
      </c>
      <c r="S83" s="132" t="e">
        <f>R83/R$2</f>
        <v>#DIV/0!</v>
      </c>
      <c r="T83" s="182">
        <f>SUM(T69:T82)</f>
        <v>0</v>
      </c>
      <c r="U83" s="132" t="e">
        <f>T83/T$2</f>
        <v>#DIV/0!</v>
      </c>
    </row>
    <row r="84" spans="2:22" ht="13" x14ac:dyDescent="0.25">
      <c r="C84" s="354"/>
    </row>
    <row r="85" spans="2:22" ht="13" thickBot="1" x14ac:dyDescent="0.3"/>
    <row r="86" spans="2:22" ht="13" thickBot="1" x14ac:dyDescent="0.3">
      <c r="C86" s="797" t="s">
        <v>229</v>
      </c>
      <c r="D86" s="800">
        <f>IF(ISNUMBER(SUM(D30,D47,D65,D83)/D2)=TRUE,SUM(D30,D47,D65,D83)/D2,0)</f>
        <v>0</v>
      </c>
      <c r="E86" s="798"/>
      <c r="F86" s="800">
        <f t="shared" ref="F86:R86" si="251">IF(ISNUMBER(SUM(F30,F47,F65,F83)/F2)=TRUE,SUM(F30,F47,F65,F83)/F2,0)</f>
        <v>0</v>
      </c>
      <c r="G86" s="798"/>
      <c r="H86" s="800">
        <f t="shared" si="251"/>
        <v>0</v>
      </c>
      <c r="I86" s="798"/>
      <c r="J86" s="800">
        <f t="shared" si="251"/>
        <v>0</v>
      </c>
      <c r="K86" s="798"/>
      <c r="L86" s="800">
        <f t="shared" si="251"/>
        <v>0</v>
      </c>
      <c r="M86" s="798"/>
      <c r="N86" s="800">
        <f t="shared" si="251"/>
        <v>0</v>
      </c>
      <c r="O86" s="798"/>
      <c r="P86" s="800">
        <f t="shared" si="251"/>
        <v>0</v>
      </c>
      <c r="Q86" s="798"/>
      <c r="R86" s="800">
        <f t="shared" si="251"/>
        <v>0</v>
      </c>
      <c r="S86" s="799"/>
    </row>
    <row r="87" spans="2:22" x14ac:dyDescent="0.25">
      <c r="D87">
        <f>D86*D2</f>
        <v>0</v>
      </c>
      <c r="F87">
        <f>F86*F2</f>
        <v>0</v>
      </c>
      <c r="H87">
        <f>H86*H2</f>
        <v>0</v>
      </c>
      <c r="J87">
        <f>J86*J2</f>
        <v>0</v>
      </c>
      <c r="L87">
        <f>L86*L2</f>
        <v>0</v>
      </c>
      <c r="N87">
        <f>N86*N2</f>
        <v>0</v>
      </c>
      <c r="P87">
        <f>P86*P2</f>
        <v>0</v>
      </c>
      <c r="R87">
        <f>R86*R2</f>
        <v>0</v>
      </c>
    </row>
  </sheetData>
  <mergeCells count="18">
    <mergeCell ref="L1:M1"/>
    <mergeCell ref="R5:S5"/>
    <mergeCell ref="P1:Q1"/>
    <mergeCell ref="R1:S1"/>
    <mergeCell ref="T1:U1"/>
    <mergeCell ref="N1:O1"/>
    <mergeCell ref="N5:O5"/>
    <mergeCell ref="P5:Q5"/>
    <mergeCell ref="L5:M5"/>
    <mergeCell ref="D1:E1"/>
    <mergeCell ref="F1:G1"/>
    <mergeCell ref="H1:I1"/>
    <mergeCell ref="J1:K1"/>
    <mergeCell ref="B5:C5"/>
    <mergeCell ref="D5:E5"/>
    <mergeCell ref="F5:G5"/>
    <mergeCell ref="H5:I5"/>
    <mergeCell ref="J5:K5"/>
  </mergeCells>
  <pageMargins left="0.7" right="0.7" top="0.75" bottom="0.75" header="0.3" footer="0.3"/>
  <pageSetup paperSize="3" orientation="landscape" r:id="rId1"/>
  <headerFooter>
    <oddFooter>&amp;CResilient Buildings Group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1:BD104"/>
  <sheetViews>
    <sheetView topLeftCell="A31" workbookViewId="0">
      <selection activeCell="B48" sqref="B48"/>
    </sheetView>
  </sheetViews>
  <sheetFormatPr defaultRowHeight="12.5" x14ac:dyDescent="0.25"/>
  <cols>
    <col min="1" max="1" width="8.7265625" customWidth="1"/>
    <col min="2" max="2" width="86.6328125" customWidth="1"/>
    <col min="3" max="3" width="18.6328125" style="3" customWidth="1"/>
    <col min="4" max="4" width="18.26953125" style="3" customWidth="1"/>
    <col min="5" max="5" width="20.08984375" style="3" customWidth="1"/>
    <col min="6" max="7" width="23.08984375" style="3" customWidth="1"/>
    <col min="8" max="8" width="29.08984375" style="3" customWidth="1"/>
    <col min="9" max="9" width="7.08984375" style="3" customWidth="1"/>
    <col min="10" max="10" width="31.36328125" style="3" customWidth="1"/>
    <col min="11" max="11" width="18" style="3" customWidth="1"/>
    <col min="12" max="12" width="16.36328125" customWidth="1"/>
    <col min="13" max="13" width="12.26953125" customWidth="1"/>
    <col min="14" max="14" width="10.26953125" customWidth="1"/>
    <col min="16" max="16" width="14.08984375" bestFit="1" customWidth="1"/>
    <col min="17" max="17" width="11.6328125" customWidth="1"/>
    <col min="18" max="18" width="13.7265625" customWidth="1"/>
    <col min="19" max="20" width="16.7265625" customWidth="1"/>
    <col min="23" max="23" width="10.6328125" bestFit="1" customWidth="1"/>
    <col min="24" max="24" width="10" customWidth="1"/>
    <col min="43" max="44" width="10.6328125" bestFit="1" customWidth="1"/>
    <col min="45" max="45" width="10.08984375" bestFit="1" customWidth="1"/>
    <col min="46" max="46" width="10.6328125" bestFit="1" customWidth="1"/>
  </cols>
  <sheetData>
    <row r="1" spans="1:56" ht="18.75" customHeight="1" x14ac:dyDescent="0.35">
      <c r="B1" s="158"/>
      <c r="C1" s="279" t="s">
        <v>146</v>
      </c>
      <c r="D1" s="1006" t="s">
        <v>0</v>
      </c>
      <c r="E1" s="1006"/>
      <c r="F1" s="1006" t="s">
        <v>1</v>
      </c>
      <c r="G1" s="1006"/>
      <c r="H1" s="1006" t="s">
        <v>2</v>
      </c>
      <c r="I1" s="1006"/>
      <c r="J1" s="1006" t="s">
        <v>3</v>
      </c>
      <c r="K1" s="1006"/>
      <c r="L1" s="1008" t="s">
        <v>175</v>
      </c>
      <c r="M1" s="1008"/>
      <c r="N1" s="1008" t="s">
        <v>23</v>
      </c>
      <c r="O1" s="1008"/>
      <c r="P1" s="1008" t="s">
        <v>26</v>
      </c>
      <c r="Q1" s="1008"/>
      <c r="R1" s="1008" t="s">
        <v>176</v>
      </c>
      <c r="S1" s="1009"/>
      <c r="T1" s="1006" t="s">
        <v>4</v>
      </c>
      <c r="U1" s="1007"/>
    </row>
    <row r="2" spans="1:56" ht="12.75" customHeight="1" x14ac:dyDescent="0.25">
      <c r="A2" s="158"/>
      <c r="B2" s="158"/>
      <c r="C2" s="273" t="s">
        <v>20</v>
      </c>
      <c r="D2" s="274">
        <f>'Savings Summary'!D3</f>
        <v>0</v>
      </c>
      <c r="E2" s="274" t="str">
        <f>'Savings Summary'!E3</f>
        <v>kWH</v>
      </c>
      <c r="F2" s="274">
        <f>'Savings Summary'!F3</f>
        <v>0</v>
      </c>
      <c r="G2" s="274" t="str">
        <f>'Savings Summary'!G3</f>
        <v>Gallons</v>
      </c>
      <c r="H2" s="274">
        <f>'Savings Summary'!H3</f>
        <v>0</v>
      </c>
      <c r="I2" s="274" t="str">
        <f>'Savings Summary'!I3</f>
        <v>Therms</v>
      </c>
      <c r="J2" s="274">
        <f>'Savings Summary'!J3</f>
        <v>0</v>
      </c>
      <c r="K2" s="274" t="str">
        <f>'Savings Summary'!K3</f>
        <v>gallons</v>
      </c>
      <c r="L2" s="274">
        <f>'Savings Summary'!L3</f>
        <v>0</v>
      </c>
      <c r="M2" s="274" t="str">
        <f>'Savings Summary'!M3</f>
        <v>kPounds</v>
      </c>
      <c r="N2" s="274">
        <f>'Savings Summary'!N3</f>
        <v>0</v>
      </c>
      <c r="O2" s="274" t="str">
        <f>'Savings Summary'!O3</f>
        <v>tons</v>
      </c>
      <c r="P2" s="274">
        <f>'Savings Summary'!P3</f>
        <v>0</v>
      </c>
      <c r="Q2" s="274" t="str">
        <f>'Savings Summary'!Q3</f>
        <v>tons</v>
      </c>
      <c r="R2" s="274">
        <f>'Savings Summary'!R3</f>
        <v>0</v>
      </c>
      <c r="S2" s="274" t="str">
        <f>'Savings Summary'!S3</f>
        <v>kGallons</v>
      </c>
      <c r="T2" s="274">
        <f>'Savings Summary'!T3</f>
        <v>0</v>
      </c>
      <c r="U2" s="274" t="str">
        <f>'Savings Summary'!U3</f>
        <v>kBTU</v>
      </c>
    </row>
    <row r="3" spans="1:56" ht="12.75" customHeight="1" x14ac:dyDescent="0.25">
      <c r="A3" s="158"/>
      <c r="B3" s="158"/>
      <c r="C3" s="275" t="s">
        <v>147</v>
      </c>
      <c r="D3" s="276">
        <f>'Savings Summary'!D4</f>
        <v>0</v>
      </c>
      <c r="E3" s="276" t="str">
        <f>'Savings Summary'!E4</f>
        <v>(elect.)</v>
      </c>
      <c r="F3" s="276">
        <f>'Savings Summary'!F4</f>
        <v>0</v>
      </c>
      <c r="G3" s="276">
        <f>'Savings Summary'!G4</f>
        <v>0</v>
      </c>
      <c r="H3" s="276">
        <f>'Savings Summary'!H4</f>
        <v>0</v>
      </c>
      <c r="I3" s="276">
        <f>'Savings Summary'!I4</f>
        <v>0</v>
      </c>
      <c r="J3" s="276">
        <f>'Savings Summary'!J4</f>
        <v>0</v>
      </c>
      <c r="K3" s="276">
        <f>'Savings Summary'!K4</f>
        <v>0</v>
      </c>
      <c r="L3" s="276">
        <f>'Savings Summary'!L4</f>
        <v>0</v>
      </c>
      <c r="M3" s="276">
        <f>'Savings Summary'!M4</f>
        <v>0</v>
      </c>
      <c r="N3" s="276">
        <f>'Savings Summary'!N4</f>
        <v>0</v>
      </c>
      <c r="O3" s="276">
        <f>'Savings Summary'!O4</f>
        <v>0</v>
      </c>
      <c r="P3" s="276">
        <f>'Savings Summary'!P4</f>
        <v>0</v>
      </c>
      <c r="Q3" s="276">
        <f>'Savings Summary'!Q4</f>
        <v>0</v>
      </c>
      <c r="R3" s="276">
        <f>'Savings Summary'!R4</f>
        <v>0</v>
      </c>
      <c r="S3" s="276">
        <f>'Savings Summary'!S4</f>
        <v>0</v>
      </c>
      <c r="T3" s="276">
        <f>'Savings Summary'!T4</f>
        <v>0</v>
      </c>
      <c r="U3" s="276">
        <f>'Savings Summary'!U4</f>
        <v>0</v>
      </c>
    </row>
    <row r="4" spans="1:56" ht="12.75" customHeight="1" x14ac:dyDescent="0.25">
      <c r="A4" s="158"/>
      <c r="B4" s="158"/>
      <c r="C4" s="277" t="s">
        <v>11</v>
      </c>
      <c r="D4" s="278">
        <f>'Savings Summary'!D5</f>
        <v>0</v>
      </c>
      <c r="E4" s="278" t="str">
        <f>'Savings Summary'!E5</f>
        <v>($/kWh)</v>
      </c>
      <c r="F4" s="278">
        <f>'Savings Summary'!F5</f>
        <v>0</v>
      </c>
      <c r="G4" s="278" t="str">
        <f>'Savings Summary'!G5</f>
        <v>($/gal.)</v>
      </c>
      <c r="H4" s="278">
        <f>'Savings Summary'!H5</f>
        <v>0</v>
      </c>
      <c r="I4" s="278" t="str">
        <f>'Savings Summary'!I5</f>
        <v>($/therm)</v>
      </c>
      <c r="J4" s="278">
        <f>'Savings Summary'!J5</f>
        <v>0</v>
      </c>
      <c r="K4" s="278" t="str">
        <f>'Savings Summary'!K5</f>
        <v>($/gal.)</v>
      </c>
      <c r="L4" s="278">
        <f>'Savings Summary'!L5</f>
        <v>0</v>
      </c>
      <c r="M4" s="278" t="str">
        <f>'Savings Summary'!M5</f>
        <v>($/kLbs..)</v>
      </c>
      <c r="N4" s="278">
        <f>'Savings Summary'!N5</f>
        <v>0</v>
      </c>
      <c r="O4" s="278" t="str">
        <f>'Savings Summary'!O5</f>
        <v>($/ton)</v>
      </c>
      <c r="P4" s="278">
        <f>'Savings Summary'!P5</f>
        <v>0</v>
      </c>
      <c r="Q4" s="278" t="str">
        <f>'Savings Summary'!Q5</f>
        <v>($/ton)</v>
      </c>
      <c r="R4" s="278">
        <f>'Savings Summary'!R5</f>
        <v>0</v>
      </c>
      <c r="S4" s="278" t="str">
        <f>'Savings Summary'!S5</f>
        <v>($/gal.)</v>
      </c>
      <c r="T4" s="278">
        <f>'Savings Summary'!T5</f>
        <v>0</v>
      </c>
      <c r="U4" s="278">
        <f>'Savings Summary'!U5</f>
        <v>0</v>
      </c>
    </row>
    <row r="5" spans="1:56" ht="27" customHeight="1" x14ac:dyDescent="0.45">
      <c r="A5" s="189" t="s">
        <v>174</v>
      </c>
      <c r="B5" s="265"/>
      <c r="D5" s="272"/>
      <c r="K5" s="272"/>
    </row>
    <row r="6" spans="1:56" s="148" customFormat="1" ht="51.75" customHeight="1" x14ac:dyDescent="0.3">
      <c r="A6" s="266" t="s">
        <v>144</v>
      </c>
      <c r="B6" s="437" t="s">
        <v>42</v>
      </c>
      <c r="C6" s="438" t="s">
        <v>35</v>
      </c>
      <c r="D6" s="438" t="s">
        <v>90</v>
      </c>
      <c r="E6" s="438" t="s">
        <v>119</v>
      </c>
      <c r="F6" s="438" t="s">
        <v>118</v>
      </c>
      <c r="G6" s="438" t="s">
        <v>121</v>
      </c>
      <c r="H6" s="438" t="s">
        <v>117</v>
      </c>
      <c r="I6" s="438" t="s">
        <v>135</v>
      </c>
      <c r="J6" s="412" t="s">
        <v>17</v>
      </c>
      <c r="K6" s="412" t="s">
        <v>22</v>
      </c>
      <c r="L6" s="240" t="s">
        <v>157</v>
      </c>
      <c r="M6" s="224" t="s">
        <v>138</v>
      </c>
      <c r="N6" s="224" t="s">
        <v>161</v>
      </c>
      <c r="P6" s="433"/>
      <c r="Q6" s="433">
        <v>1</v>
      </c>
      <c r="R6" s="433">
        <v>2</v>
      </c>
      <c r="S6" s="433">
        <v>3</v>
      </c>
      <c r="T6" s="433">
        <v>4</v>
      </c>
      <c r="U6" s="433">
        <v>5</v>
      </c>
      <c r="V6" s="433">
        <v>6</v>
      </c>
      <c r="W6" s="433">
        <v>7</v>
      </c>
      <c r="X6" s="433">
        <v>8</v>
      </c>
      <c r="Y6" s="433">
        <v>9</v>
      </c>
      <c r="Z6" s="433">
        <v>10</v>
      </c>
      <c r="AA6" s="433">
        <v>11</v>
      </c>
      <c r="AB6" s="433">
        <v>12</v>
      </c>
      <c r="AC6" s="433">
        <v>13</v>
      </c>
      <c r="AD6" s="433">
        <v>14</v>
      </c>
      <c r="AE6" s="433">
        <v>15</v>
      </c>
      <c r="AF6" s="433">
        <v>16</v>
      </c>
      <c r="AG6" s="433">
        <v>17</v>
      </c>
      <c r="AH6" s="433">
        <v>18</v>
      </c>
      <c r="AI6" s="433">
        <v>19</v>
      </c>
      <c r="AJ6" s="433">
        <v>20</v>
      </c>
      <c r="AK6" s="433">
        <v>21</v>
      </c>
      <c r="AL6" s="433">
        <v>22</v>
      </c>
      <c r="AM6" s="433">
        <v>23</v>
      </c>
      <c r="AN6" s="433">
        <v>24</v>
      </c>
      <c r="AO6" s="433">
        <v>25</v>
      </c>
      <c r="AP6" s="433">
        <v>26</v>
      </c>
      <c r="AQ6" s="433">
        <v>27</v>
      </c>
      <c r="AR6" s="433">
        <v>28</v>
      </c>
      <c r="AS6" s="433">
        <v>29</v>
      </c>
      <c r="AT6" s="433">
        <v>30</v>
      </c>
      <c r="AU6" s="433">
        <v>31</v>
      </c>
      <c r="AV6" s="433">
        <v>32</v>
      </c>
      <c r="AW6" s="433">
        <v>33</v>
      </c>
      <c r="AX6" s="433">
        <v>34</v>
      </c>
      <c r="AY6" s="433">
        <v>35</v>
      </c>
      <c r="AZ6" s="433">
        <v>36</v>
      </c>
      <c r="BA6" s="433">
        <v>37</v>
      </c>
      <c r="BB6" s="433">
        <v>38</v>
      </c>
      <c r="BC6" s="433">
        <v>39</v>
      </c>
      <c r="BD6" s="433">
        <v>40</v>
      </c>
    </row>
    <row r="7" spans="1:56" s="148" customFormat="1" ht="35.25" customHeight="1" x14ac:dyDescent="0.4">
      <c r="A7" s="312" t="str">
        <f>'EEM Data Entry'!A85</f>
        <v/>
      </c>
      <c r="B7" s="500" t="str">
        <f>IF('Cascading Cap Cost &amp; Savings'!B45="  ","  ", 'Cascading Cap Cost &amp; Savings'!B3)</f>
        <v/>
      </c>
      <c r="C7" s="296" t="str">
        <f>'Cascading Cap Cost &amp; Savings'!C3</f>
        <v/>
      </c>
      <c r="D7" s="296">
        <v>0</v>
      </c>
      <c r="E7" s="296" t="e">
        <f>C7-D7</f>
        <v>#VALUE!</v>
      </c>
      <c r="F7" s="501">
        <f>('Cascading Savings'!D6*'Cascading Savings'!D$4)+('Cascading Savings'!F6*'Cascading Savings'!F$4)+('Cascading Savings'!H6*'Cascading Savings'!H$4)+('Cascading Savings'!J6*'Cascading Savings'!J$4)+('Cascading Savings'!L6*'Cascading Savings'!L$4)+('Cascading Savings'!N6*'Cascading Savings'!N$4)+('Cascading Savings'!P6*'Cascading Savings'!P$4)+('Cascading Savings'!R6*'Cascading Savings'!R$4)</f>
        <v>0</v>
      </c>
      <c r="G7" s="301">
        <f>'Cascading Savings'!T6</f>
        <v>0</v>
      </c>
      <c r="H7" s="297" t="e">
        <f>IF(C7=0,"n/a",E7/F7)</f>
        <v>#VALUE!</v>
      </c>
      <c r="I7" s="298" t="e">
        <f t="shared" ref="I7:I9" si="0">IF(H7=0, "n/a", IF(H7&gt;100, "no",IF(H7&lt;0, "no", "yes")))</f>
        <v>#VALUE!</v>
      </c>
      <c r="J7" s="421" t="e">
        <f>IRR(P7:AT7,0.1)</f>
        <v>#VALUE!</v>
      </c>
      <c r="K7" s="422" t="e">
        <f>NPV(0.05,P7:AT7)</f>
        <v>#VALUE!</v>
      </c>
      <c r="L7" s="510" t="str">
        <f>'Cascading Cap Cost &amp; Savings'!L3</f>
        <v/>
      </c>
      <c r="M7" s="225">
        <f>'Cascading Savings'!D6</f>
        <v>0</v>
      </c>
      <c r="N7" s="225">
        <f>'Cascading Savings'!H6+'Cascading Savings'!F6+'Cascading Savings'!J6</f>
        <v>0</v>
      </c>
      <c r="P7" s="434" t="e">
        <f>-E7</f>
        <v>#VALUE!</v>
      </c>
      <c r="Q7" s="434">
        <f>F7</f>
        <v>0</v>
      </c>
      <c r="R7" s="434">
        <f t="shared" ref="R7:R22" si="1">Q7*1.05</f>
        <v>0</v>
      </c>
      <c r="S7" s="434">
        <f t="shared" ref="S7:S30" si="2">R7*1.05</f>
        <v>0</v>
      </c>
      <c r="T7" s="434">
        <f t="shared" ref="T7:T30" si="3">S7*1.05</f>
        <v>0</v>
      </c>
      <c r="U7" s="434">
        <f t="shared" ref="U7:U30" si="4">T7*1.05</f>
        <v>0</v>
      </c>
      <c r="V7" s="434">
        <f t="shared" ref="V7:V30" si="5">U7*1.05</f>
        <v>0</v>
      </c>
      <c r="W7" s="434">
        <f t="shared" ref="W7:W30" si="6">V7*1.05</f>
        <v>0</v>
      </c>
      <c r="X7" s="434">
        <f t="shared" ref="X7:X30" si="7">W7*1.05</f>
        <v>0</v>
      </c>
      <c r="Y7" s="434">
        <f t="shared" ref="Y7:Y30" si="8">X7*1.05</f>
        <v>0</v>
      </c>
      <c r="Z7" s="434">
        <f t="shared" ref="Z7:Z30" si="9">Y7*1.05</f>
        <v>0</v>
      </c>
      <c r="AA7" s="434">
        <f t="shared" ref="AA7:AA30" si="10">Z7*1.05</f>
        <v>0</v>
      </c>
      <c r="AB7" s="434">
        <f t="shared" ref="AB7:AB30" si="11">AA7*1.05</f>
        <v>0</v>
      </c>
      <c r="AC7" s="434">
        <f t="shared" ref="AC7:AC30" si="12">AB7*1.05</f>
        <v>0</v>
      </c>
      <c r="AD7" s="434">
        <f t="shared" ref="AD7:AD30" si="13">AC7*1.05</f>
        <v>0</v>
      </c>
      <c r="AE7" s="434">
        <f t="shared" ref="AE7:AE30" si="14">AD7*1.05</f>
        <v>0</v>
      </c>
      <c r="AF7" s="434">
        <f t="shared" ref="AF7:AF30" si="15">AE7*1.05</f>
        <v>0</v>
      </c>
      <c r="AG7" s="434">
        <f t="shared" ref="AG7:AG30" si="16">AF7*1.05</f>
        <v>0</v>
      </c>
      <c r="AH7" s="434">
        <f t="shared" ref="AH7:AH30" si="17">AG7*1.05</f>
        <v>0</v>
      </c>
      <c r="AI7" s="434">
        <f t="shared" ref="AI7:AI30" si="18">AH7*1.05</f>
        <v>0</v>
      </c>
      <c r="AJ7" s="434">
        <f t="shared" ref="AJ7:AJ30" si="19">AI7*1.05</f>
        <v>0</v>
      </c>
      <c r="AK7" s="434">
        <f t="shared" ref="AK7:AK30" si="20">AJ7*1.05</f>
        <v>0</v>
      </c>
      <c r="AL7" s="434">
        <f t="shared" ref="AL7:AL30" si="21">AK7*1.05</f>
        <v>0</v>
      </c>
      <c r="AM7" s="434">
        <f t="shared" ref="AM7:AM30" si="22">AL7*1.05</f>
        <v>0</v>
      </c>
      <c r="AN7" s="434">
        <f t="shared" ref="AN7:AN30" si="23">AM7*1.05</f>
        <v>0</v>
      </c>
      <c r="AO7" s="434">
        <f t="shared" ref="AO7:AO30" si="24">AN7*1.05</f>
        <v>0</v>
      </c>
      <c r="AP7" s="434">
        <f t="shared" ref="AP7:AP30" si="25">AO7*1.05</f>
        <v>0</v>
      </c>
      <c r="AQ7" s="434">
        <f t="shared" ref="AQ7:AQ30" si="26">AP7*1.05</f>
        <v>0</v>
      </c>
      <c r="AR7" s="434">
        <f t="shared" ref="AR7:AR30" si="27">AQ7*1.05</f>
        <v>0</v>
      </c>
      <c r="AS7" s="434">
        <f t="shared" ref="AS7:AS30" si="28">AR7*1.05</f>
        <v>0</v>
      </c>
      <c r="AT7" s="434">
        <f t="shared" ref="AT7:AT30" si="29">AS7*1.05</f>
        <v>0</v>
      </c>
      <c r="AU7" s="434">
        <f t="shared" ref="AU7:AU30" si="30">AT7*1.05</f>
        <v>0</v>
      </c>
      <c r="AV7" s="434">
        <f t="shared" ref="AV7:AV30" si="31">AU7*1.05</f>
        <v>0</v>
      </c>
      <c r="AW7" s="434">
        <f t="shared" ref="AW7:AW30" si="32">AV7*1.05</f>
        <v>0</v>
      </c>
      <c r="AX7" s="434">
        <f t="shared" ref="AX7:AX30" si="33">AW7*1.05</f>
        <v>0</v>
      </c>
      <c r="AY7" s="434">
        <f t="shared" ref="AY7:AY30" si="34">AX7*1.05</f>
        <v>0</v>
      </c>
      <c r="AZ7" s="434">
        <f t="shared" ref="AZ7:AZ30" si="35">AY7*1.05</f>
        <v>0</v>
      </c>
      <c r="BA7" s="434">
        <f t="shared" ref="BA7:BA30" si="36">AZ7*1.05</f>
        <v>0</v>
      </c>
      <c r="BB7" s="434">
        <f t="shared" ref="BB7:BB30" si="37">BA7*1.05</f>
        <v>0</v>
      </c>
      <c r="BC7" s="434">
        <f t="shared" ref="BC7:BC30" si="38">BB7*1.05</f>
        <v>0</v>
      </c>
      <c r="BD7" s="434">
        <f t="shared" ref="BD7:BD30" si="39">BC7*1.05</f>
        <v>0</v>
      </c>
    </row>
    <row r="8" spans="1:56" s="150" customFormat="1" ht="35.25" customHeight="1" x14ac:dyDescent="0.4">
      <c r="A8" s="313" t="str">
        <f>'EEM Data Entry'!A86</f>
        <v/>
      </c>
      <c r="B8" s="505" t="str">
        <f>IF('Cascading Cap Cost &amp; Savings'!B46="  ","  ", 'Cascading Cap Cost &amp; Savings'!B4)</f>
        <v/>
      </c>
      <c r="C8" s="303" t="str">
        <f>'Cascading Cap Cost &amp; Savings'!C4</f>
        <v/>
      </c>
      <c r="D8" s="303">
        <v>0</v>
      </c>
      <c r="E8" s="303" t="e">
        <f t="shared" ref="E8:E9" si="40">C8-D8</f>
        <v>#VALUE!</v>
      </c>
      <c r="F8" s="506">
        <f>('Cascading Savings'!D7*'Cascading Savings'!D$4)+('Cascading Savings'!F7*'Cascading Savings'!F$4)+('Cascading Savings'!H7*'Cascading Savings'!H$4)+('Cascading Savings'!J7*'Cascading Savings'!J$4)+('Cascading Savings'!L7*'Cascading Savings'!L$4)+('Cascading Savings'!N7*'Cascading Savings'!N$4)+('Cascading Savings'!P7*'Cascading Savings'!P$4)+('Cascading Savings'!R7*'Cascading Savings'!R$4)</f>
        <v>0</v>
      </c>
      <c r="G8" s="314">
        <f>'Cascading Savings'!T7</f>
        <v>0</v>
      </c>
      <c r="H8" s="304" t="e">
        <f t="shared" ref="H8:H10" si="41">IF(C8=0,"n/a",E8/F8)</f>
        <v>#VALUE!</v>
      </c>
      <c r="I8" s="305" t="e">
        <f t="shared" si="0"/>
        <v>#VALUE!</v>
      </c>
      <c r="J8" s="507" t="e">
        <f>IRR(P8:AT8,0.1)</f>
        <v>#VALUE!</v>
      </c>
      <c r="K8" s="508" t="e">
        <f>NPV(0.05,P8:AT8)</f>
        <v>#VALUE!</v>
      </c>
      <c r="L8" s="511" t="str">
        <f>'Cascading Cap Cost &amp; Savings'!L4</f>
        <v/>
      </c>
      <c r="M8" s="225">
        <f>'Cascading Savings'!D7</f>
        <v>0</v>
      </c>
      <c r="N8" s="225">
        <f>'Cascading Savings'!H7+'Cascading Savings'!F7+'Cascading Savings'!J7</f>
        <v>0</v>
      </c>
      <c r="P8" s="434" t="e">
        <f t="shared" ref="P8:P29" si="42">-E8</f>
        <v>#VALUE!</v>
      </c>
      <c r="Q8" s="434">
        <f t="shared" ref="Q8:Q29" si="43">F8</f>
        <v>0</v>
      </c>
      <c r="R8" s="434">
        <f t="shared" si="1"/>
        <v>0</v>
      </c>
      <c r="S8" s="434">
        <f t="shared" si="2"/>
        <v>0</v>
      </c>
      <c r="T8" s="434">
        <f t="shared" si="3"/>
        <v>0</v>
      </c>
      <c r="U8" s="434">
        <f t="shared" si="4"/>
        <v>0</v>
      </c>
      <c r="V8" s="434">
        <f t="shared" si="5"/>
        <v>0</v>
      </c>
      <c r="W8" s="434">
        <f t="shared" si="6"/>
        <v>0</v>
      </c>
      <c r="X8" s="434">
        <f t="shared" si="7"/>
        <v>0</v>
      </c>
      <c r="Y8" s="434">
        <f t="shared" si="8"/>
        <v>0</v>
      </c>
      <c r="Z8" s="434">
        <f t="shared" si="9"/>
        <v>0</v>
      </c>
      <c r="AA8" s="434">
        <f t="shared" si="10"/>
        <v>0</v>
      </c>
      <c r="AB8" s="434">
        <f t="shared" si="11"/>
        <v>0</v>
      </c>
      <c r="AC8" s="434">
        <f t="shared" si="12"/>
        <v>0</v>
      </c>
      <c r="AD8" s="434">
        <f t="shared" si="13"/>
        <v>0</v>
      </c>
      <c r="AE8" s="434">
        <f t="shared" si="14"/>
        <v>0</v>
      </c>
      <c r="AF8" s="434">
        <f t="shared" si="15"/>
        <v>0</v>
      </c>
      <c r="AG8" s="434">
        <f t="shared" si="16"/>
        <v>0</v>
      </c>
      <c r="AH8" s="434">
        <f t="shared" si="17"/>
        <v>0</v>
      </c>
      <c r="AI8" s="434">
        <f t="shared" si="18"/>
        <v>0</v>
      </c>
      <c r="AJ8" s="434">
        <f t="shared" si="19"/>
        <v>0</v>
      </c>
      <c r="AK8" s="434">
        <f t="shared" si="20"/>
        <v>0</v>
      </c>
      <c r="AL8" s="434">
        <f t="shared" si="21"/>
        <v>0</v>
      </c>
      <c r="AM8" s="434">
        <f t="shared" si="22"/>
        <v>0</v>
      </c>
      <c r="AN8" s="434">
        <f t="shared" si="23"/>
        <v>0</v>
      </c>
      <c r="AO8" s="434">
        <f t="shared" si="24"/>
        <v>0</v>
      </c>
      <c r="AP8" s="434">
        <f t="shared" si="25"/>
        <v>0</v>
      </c>
      <c r="AQ8" s="434">
        <f t="shared" si="26"/>
        <v>0</v>
      </c>
      <c r="AR8" s="434">
        <f t="shared" si="27"/>
        <v>0</v>
      </c>
      <c r="AS8" s="434">
        <f t="shared" si="28"/>
        <v>0</v>
      </c>
      <c r="AT8" s="434">
        <f t="shared" si="29"/>
        <v>0</v>
      </c>
      <c r="AU8" s="434">
        <f t="shared" si="30"/>
        <v>0</v>
      </c>
      <c r="AV8" s="434">
        <f t="shared" si="31"/>
        <v>0</v>
      </c>
      <c r="AW8" s="434">
        <f t="shared" si="32"/>
        <v>0</v>
      </c>
      <c r="AX8" s="434">
        <f t="shared" si="33"/>
        <v>0</v>
      </c>
      <c r="AY8" s="434">
        <f t="shared" si="34"/>
        <v>0</v>
      </c>
      <c r="AZ8" s="434">
        <f t="shared" si="35"/>
        <v>0</v>
      </c>
      <c r="BA8" s="434">
        <f t="shared" si="36"/>
        <v>0</v>
      </c>
      <c r="BB8" s="434">
        <f t="shared" si="37"/>
        <v>0</v>
      </c>
      <c r="BC8" s="434">
        <f t="shared" si="38"/>
        <v>0</v>
      </c>
      <c r="BD8" s="434">
        <f t="shared" si="39"/>
        <v>0</v>
      </c>
    </row>
    <row r="9" spans="1:56" s="148" customFormat="1" ht="35.25" customHeight="1" x14ac:dyDescent="0.4">
      <c r="A9" s="312" t="str">
        <f>'EEM Data Entry'!A87</f>
        <v/>
      </c>
      <c r="B9" s="500" t="str">
        <f>IF('Cascading Cap Cost &amp; Savings'!B47="  ","  ", 'Cascading Cap Cost &amp; Savings'!B5)</f>
        <v/>
      </c>
      <c r="C9" s="296" t="str">
        <f>'Cascading Cap Cost &amp; Savings'!C5</f>
        <v/>
      </c>
      <c r="D9" s="296">
        <v>0</v>
      </c>
      <c r="E9" s="296" t="e">
        <f t="shared" si="40"/>
        <v>#VALUE!</v>
      </c>
      <c r="F9" s="501">
        <f>('Cascading Savings'!D8*'Cascading Savings'!D$4)+('Cascading Savings'!F8*'Cascading Savings'!F$4)+('Cascading Savings'!H8*'Cascading Savings'!H$4)+('Cascading Savings'!J8*'Cascading Savings'!J$4)+('Cascading Savings'!L8*'Cascading Savings'!L$4)+('Cascading Savings'!N8*'Cascading Savings'!N$4)+('Cascading Savings'!P8*'Cascading Savings'!P$4)+('Cascading Savings'!R8*'Cascading Savings'!R$4)</f>
        <v>0</v>
      </c>
      <c r="G9" s="301">
        <f>'Cascading Savings'!T8</f>
        <v>0</v>
      </c>
      <c r="H9" s="297" t="e">
        <f t="shared" si="41"/>
        <v>#VALUE!</v>
      </c>
      <c r="I9" s="298" t="e">
        <f t="shared" si="0"/>
        <v>#VALUE!</v>
      </c>
      <c r="J9" s="421" t="e">
        <f t="shared" ref="J9:J30" si="44">IRR(P9:AT9,0.1)</f>
        <v>#VALUE!</v>
      </c>
      <c r="K9" s="422" t="e">
        <f t="shared" ref="K9" si="45">NPV(0.05,P9:AT9)</f>
        <v>#VALUE!</v>
      </c>
      <c r="L9" s="510" t="str">
        <f>'Cascading Cap Cost &amp; Savings'!L5</f>
        <v/>
      </c>
      <c r="M9" s="225">
        <f>'Cascading Savings'!D8</f>
        <v>0</v>
      </c>
      <c r="N9" s="225">
        <f>'Cascading Savings'!H8+'Cascading Savings'!F8+'Cascading Savings'!J8</f>
        <v>0</v>
      </c>
      <c r="P9" s="434" t="e">
        <f t="shared" si="42"/>
        <v>#VALUE!</v>
      </c>
      <c r="Q9" s="434">
        <f t="shared" si="43"/>
        <v>0</v>
      </c>
      <c r="R9" s="434">
        <f t="shared" si="1"/>
        <v>0</v>
      </c>
      <c r="S9" s="434">
        <f t="shared" si="2"/>
        <v>0</v>
      </c>
      <c r="T9" s="434">
        <f t="shared" si="3"/>
        <v>0</v>
      </c>
      <c r="U9" s="434">
        <f t="shared" si="4"/>
        <v>0</v>
      </c>
      <c r="V9" s="434">
        <f t="shared" si="5"/>
        <v>0</v>
      </c>
      <c r="W9" s="434">
        <f t="shared" si="6"/>
        <v>0</v>
      </c>
      <c r="X9" s="434">
        <f t="shared" si="7"/>
        <v>0</v>
      </c>
      <c r="Y9" s="434">
        <f t="shared" si="8"/>
        <v>0</v>
      </c>
      <c r="Z9" s="434">
        <f t="shared" si="9"/>
        <v>0</v>
      </c>
      <c r="AA9" s="434">
        <f t="shared" si="10"/>
        <v>0</v>
      </c>
      <c r="AB9" s="434">
        <f t="shared" si="11"/>
        <v>0</v>
      </c>
      <c r="AC9" s="434">
        <f t="shared" si="12"/>
        <v>0</v>
      </c>
      <c r="AD9" s="434">
        <f t="shared" si="13"/>
        <v>0</v>
      </c>
      <c r="AE9" s="434">
        <f t="shared" si="14"/>
        <v>0</v>
      </c>
      <c r="AF9" s="434">
        <f t="shared" si="15"/>
        <v>0</v>
      </c>
      <c r="AG9" s="434">
        <f t="shared" si="16"/>
        <v>0</v>
      </c>
      <c r="AH9" s="434">
        <f t="shared" si="17"/>
        <v>0</v>
      </c>
      <c r="AI9" s="434">
        <f t="shared" si="18"/>
        <v>0</v>
      </c>
      <c r="AJ9" s="434">
        <f t="shared" si="19"/>
        <v>0</v>
      </c>
      <c r="AK9" s="434">
        <f t="shared" si="20"/>
        <v>0</v>
      </c>
      <c r="AL9" s="434">
        <f t="shared" si="21"/>
        <v>0</v>
      </c>
      <c r="AM9" s="434">
        <f t="shared" si="22"/>
        <v>0</v>
      </c>
      <c r="AN9" s="434">
        <f t="shared" si="23"/>
        <v>0</v>
      </c>
      <c r="AO9" s="434">
        <f t="shared" si="24"/>
        <v>0</v>
      </c>
      <c r="AP9" s="434">
        <f t="shared" si="25"/>
        <v>0</v>
      </c>
      <c r="AQ9" s="434">
        <f t="shared" si="26"/>
        <v>0</v>
      </c>
      <c r="AR9" s="434">
        <f t="shared" si="27"/>
        <v>0</v>
      </c>
      <c r="AS9" s="434">
        <f t="shared" si="28"/>
        <v>0</v>
      </c>
      <c r="AT9" s="434">
        <f t="shared" si="29"/>
        <v>0</v>
      </c>
      <c r="AU9" s="434">
        <f t="shared" si="30"/>
        <v>0</v>
      </c>
      <c r="AV9" s="434">
        <f t="shared" si="31"/>
        <v>0</v>
      </c>
      <c r="AW9" s="434">
        <f t="shared" si="32"/>
        <v>0</v>
      </c>
      <c r="AX9" s="434">
        <f t="shared" si="33"/>
        <v>0</v>
      </c>
      <c r="AY9" s="434">
        <f t="shared" si="34"/>
        <v>0</v>
      </c>
      <c r="AZ9" s="434">
        <f t="shared" si="35"/>
        <v>0</v>
      </c>
      <c r="BA9" s="434">
        <f t="shared" si="36"/>
        <v>0</v>
      </c>
      <c r="BB9" s="434">
        <f t="shared" si="37"/>
        <v>0</v>
      </c>
      <c r="BC9" s="434">
        <f t="shared" si="38"/>
        <v>0</v>
      </c>
      <c r="BD9" s="434">
        <f t="shared" si="39"/>
        <v>0</v>
      </c>
    </row>
    <row r="10" spans="1:56" s="148" customFormat="1" ht="35.25" customHeight="1" x14ac:dyDescent="0.4">
      <c r="A10" s="313" t="str">
        <f>'EEM Data Entry'!A88</f>
        <v/>
      </c>
      <c r="B10" s="505" t="str">
        <f>IF('Cascading Cap Cost &amp; Savings'!B48="  ","  ", 'Cascading Cap Cost &amp; Savings'!B6)</f>
        <v/>
      </c>
      <c r="C10" s="303" t="str">
        <f>'Cascading Cap Cost &amp; Savings'!C6</f>
        <v/>
      </c>
      <c r="D10" s="303">
        <v>0</v>
      </c>
      <c r="E10" s="303" t="e">
        <f t="shared" ref="E10:E30" si="46">C10-D10</f>
        <v>#VALUE!</v>
      </c>
      <c r="F10" s="506">
        <f>('Cascading Savings'!D9*'Cascading Savings'!D$4)+('Cascading Savings'!F9*'Cascading Savings'!F$4)+('Cascading Savings'!H9*'Cascading Savings'!H$4)+('Cascading Savings'!J9*'Cascading Savings'!J$4)+('Cascading Savings'!L9*'Cascading Savings'!L$4)+('Cascading Savings'!N9*'Cascading Savings'!N$4)+('Cascading Savings'!P9*'Cascading Savings'!P$4)+('Cascading Savings'!R9*'Cascading Savings'!R$4)</f>
        <v>0</v>
      </c>
      <c r="G10" s="314">
        <f>'Cascading Savings'!T9</f>
        <v>0</v>
      </c>
      <c r="H10" s="304" t="e">
        <f t="shared" si="41"/>
        <v>#VALUE!</v>
      </c>
      <c r="I10" s="305" t="e">
        <f t="shared" ref="I10:I30" si="47">IF(H10=0, "n/a", IF(H10&gt;100, "no",IF(H10&lt;0, "no", "yes")))</f>
        <v>#VALUE!</v>
      </c>
      <c r="J10" s="507" t="e">
        <f t="shared" si="44"/>
        <v>#VALUE!</v>
      </c>
      <c r="K10" s="508" t="e">
        <f t="shared" ref="K10:K30" si="48">NPV(0.05,P10:AT10)</f>
        <v>#VALUE!</v>
      </c>
      <c r="L10" s="511" t="str">
        <f>'Cascading Cap Cost &amp; Savings'!L6</f>
        <v/>
      </c>
      <c r="M10" s="225">
        <f>'Cascading Savings'!D9</f>
        <v>0</v>
      </c>
      <c r="N10" s="225">
        <f>'Cascading Savings'!H9+'Cascading Savings'!F9+'Cascading Savings'!J9</f>
        <v>0</v>
      </c>
      <c r="P10" s="434" t="e">
        <f t="shared" si="42"/>
        <v>#VALUE!</v>
      </c>
      <c r="Q10" s="434">
        <f t="shared" si="43"/>
        <v>0</v>
      </c>
      <c r="R10" s="434">
        <f t="shared" si="1"/>
        <v>0</v>
      </c>
      <c r="S10" s="434">
        <f t="shared" si="2"/>
        <v>0</v>
      </c>
      <c r="T10" s="434">
        <f t="shared" si="3"/>
        <v>0</v>
      </c>
      <c r="U10" s="434">
        <f t="shared" si="4"/>
        <v>0</v>
      </c>
      <c r="V10" s="434">
        <f t="shared" si="5"/>
        <v>0</v>
      </c>
      <c r="W10" s="434">
        <f t="shared" si="6"/>
        <v>0</v>
      </c>
      <c r="X10" s="434">
        <f t="shared" si="7"/>
        <v>0</v>
      </c>
      <c r="Y10" s="434">
        <f t="shared" si="8"/>
        <v>0</v>
      </c>
      <c r="Z10" s="434">
        <f t="shared" si="9"/>
        <v>0</v>
      </c>
      <c r="AA10" s="434">
        <f t="shared" si="10"/>
        <v>0</v>
      </c>
      <c r="AB10" s="434">
        <f t="shared" si="11"/>
        <v>0</v>
      </c>
      <c r="AC10" s="434">
        <f t="shared" si="12"/>
        <v>0</v>
      </c>
      <c r="AD10" s="434">
        <f t="shared" si="13"/>
        <v>0</v>
      </c>
      <c r="AE10" s="434">
        <f t="shared" si="14"/>
        <v>0</v>
      </c>
      <c r="AF10" s="434">
        <f t="shared" si="15"/>
        <v>0</v>
      </c>
      <c r="AG10" s="434">
        <f t="shared" si="16"/>
        <v>0</v>
      </c>
      <c r="AH10" s="434">
        <f t="shared" si="17"/>
        <v>0</v>
      </c>
      <c r="AI10" s="434">
        <f t="shared" si="18"/>
        <v>0</v>
      </c>
      <c r="AJ10" s="434">
        <f t="shared" si="19"/>
        <v>0</v>
      </c>
      <c r="AK10" s="434">
        <f t="shared" si="20"/>
        <v>0</v>
      </c>
      <c r="AL10" s="434">
        <f t="shared" si="21"/>
        <v>0</v>
      </c>
      <c r="AM10" s="434">
        <f t="shared" si="22"/>
        <v>0</v>
      </c>
      <c r="AN10" s="434">
        <f t="shared" si="23"/>
        <v>0</v>
      </c>
      <c r="AO10" s="434">
        <f t="shared" si="24"/>
        <v>0</v>
      </c>
      <c r="AP10" s="434">
        <f t="shared" si="25"/>
        <v>0</v>
      </c>
      <c r="AQ10" s="434">
        <f t="shared" si="26"/>
        <v>0</v>
      </c>
      <c r="AR10" s="434">
        <f t="shared" si="27"/>
        <v>0</v>
      </c>
      <c r="AS10" s="434">
        <f t="shared" si="28"/>
        <v>0</v>
      </c>
      <c r="AT10" s="434">
        <f t="shared" si="29"/>
        <v>0</v>
      </c>
      <c r="AU10" s="434">
        <f t="shared" si="30"/>
        <v>0</v>
      </c>
      <c r="AV10" s="434">
        <f t="shared" si="31"/>
        <v>0</v>
      </c>
      <c r="AW10" s="434">
        <f t="shared" si="32"/>
        <v>0</v>
      </c>
      <c r="AX10" s="434">
        <f t="shared" si="33"/>
        <v>0</v>
      </c>
      <c r="AY10" s="434">
        <f t="shared" si="34"/>
        <v>0</v>
      </c>
      <c r="AZ10" s="434">
        <f t="shared" si="35"/>
        <v>0</v>
      </c>
      <c r="BA10" s="434">
        <f t="shared" si="36"/>
        <v>0</v>
      </c>
      <c r="BB10" s="434">
        <f t="shared" si="37"/>
        <v>0</v>
      </c>
      <c r="BC10" s="434">
        <f t="shared" si="38"/>
        <v>0</v>
      </c>
      <c r="BD10" s="434">
        <f t="shared" si="39"/>
        <v>0</v>
      </c>
    </row>
    <row r="11" spans="1:56" s="148" customFormat="1" ht="35.25" customHeight="1" x14ac:dyDescent="0.4">
      <c r="A11" s="294" t="str">
        <f>'EEM Data Entry'!A89</f>
        <v/>
      </c>
      <c r="B11" s="500" t="str">
        <f>IF('Cascading Cap Cost &amp; Savings'!B49="  ","  ", 'Cascading Cap Cost &amp; Savings'!B7)</f>
        <v/>
      </c>
      <c r="C11" s="288" t="str">
        <f>'Cascading Cap Cost &amp; Savings'!C7</f>
        <v/>
      </c>
      <c r="D11" s="296">
        <v>0</v>
      </c>
      <c r="E11" s="288" t="e">
        <f t="shared" si="46"/>
        <v>#VALUE!</v>
      </c>
      <c r="F11" s="501">
        <f>('Cascading Savings'!D10*'Cascading Savings'!D$4)+('Cascading Savings'!F10*'Cascading Savings'!F$4)+('Cascading Savings'!H10*'Cascading Savings'!H$4)+('Cascading Savings'!J10*'Cascading Savings'!J$4)+('Cascading Savings'!L10*'Cascading Savings'!L$4)+('Cascading Savings'!N10*'Cascading Savings'!N$4)+('Cascading Savings'!P10*'Cascading Savings'!P$4)+('Cascading Savings'!R10*'Cascading Savings'!R$4)</f>
        <v>0</v>
      </c>
      <c r="G11" s="301">
        <f>'Cascading Savings'!T10</f>
        <v>0</v>
      </c>
      <c r="H11" s="297" t="e">
        <f>IF(C11=0,"n/a",E11/F11)</f>
        <v>#VALUE!</v>
      </c>
      <c r="I11" s="291" t="e">
        <f t="shared" si="47"/>
        <v>#VALUE!</v>
      </c>
      <c r="J11" s="421" t="e">
        <f t="shared" si="44"/>
        <v>#VALUE!</v>
      </c>
      <c r="K11" s="423" t="e">
        <f>NPV(0.05,P11:AT11)</f>
        <v>#VALUE!</v>
      </c>
      <c r="L11" s="510" t="str">
        <f>'Cascading Cap Cost &amp; Savings'!L7</f>
        <v/>
      </c>
      <c r="M11" s="225">
        <f>'Cascading Savings'!D10</f>
        <v>0</v>
      </c>
      <c r="N11" s="225">
        <f>'Cascading Savings'!H10+'Cascading Savings'!F10+'Cascading Savings'!J10</f>
        <v>0</v>
      </c>
      <c r="P11" s="434" t="e">
        <f t="shared" si="42"/>
        <v>#VALUE!</v>
      </c>
      <c r="Q11" s="434">
        <f t="shared" si="43"/>
        <v>0</v>
      </c>
      <c r="R11" s="434">
        <f t="shared" si="1"/>
        <v>0</v>
      </c>
      <c r="S11" s="434">
        <f t="shared" si="2"/>
        <v>0</v>
      </c>
      <c r="T11" s="434">
        <f t="shared" si="3"/>
        <v>0</v>
      </c>
      <c r="U11" s="434">
        <f t="shared" si="4"/>
        <v>0</v>
      </c>
      <c r="V11" s="434">
        <f t="shared" si="5"/>
        <v>0</v>
      </c>
      <c r="W11" s="434">
        <f t="shared" si="6"/>
        <v>0</v>
      </c>
      <c r="X11" s="434">
        <f t="shared" si="7"/>
        <v>0</v>
      </c>
      <c r="Y11" s="434">
        <f t="shared" si="8"/>
        <v>0</v>
      </c>
      <c r="Z11" s="434">
        <f t="shared" si="9"/>
        <v>0</v>
      </c>
      <c r="AA11" s="434">
        <f t="shared" si="10"/>
        <v>0</v>
      </c>
      <c r="AB11" s="434">
        <f t="shared" si="11"/>
        <v>0</v>
      </c>
      <c r="AC11" s="434">
        <f t="shared" si="12"/>
        <v>0</v>
      </c>
      <c r="AD11" s="434">
        <f t="shared" si="13"/>
        <v>0</v>
      </c>
      <c r="AE11" s="434">
        <f t="shared" si="14"/>
        <v>0</v>
      </c>
      <c r="AF11" s="434">
        <f t="shared" si="15"/>
        <v>0</v>
      </c>
      <c r="AG11" s="434">
        <f t="shared" si="16"/>
        <v>0</v>
      </c>
      <c r="AH11" s="434">
        <f t="shared" si="17"/>
        <v>0</v>
      </c>
      <c r="AI11" s="434">
        <f t="shared" si="18"/>
        <v>0</v>
      </c>
      <c r="AJ11" s="434">
        <f t="shared" si="19"/>
        <v>0</v>
      </c>
      <c r="AK11" s="434">
        <f t="shared" si="20"/>
        <v>0</v>
      </c>
      <c r="AL11" s="434">
        <f t="shared" si="21"/>
        <v>0</v>
      </c>
      <c r="AM11" s="434">
        <f t="shared" si="22"/>
        <v>0</v>
      </c>
      <c r="AN11" s="434">
        <f t="shared" si="23"/>
        <v>0</v>
      </c>
      <c r="AO11" s="434">
        <f t="shared" si="24"/>
        <v>0</v>
      </c>
      <c r="AP11" s="434">
        <f t="shared" si="25"/>
        <v>0</v>
      </c>
      <c r="AQ11" s="434">
        <f t="shared" si="26"/>
        <v>0</v>
      </c>
      <c r="AR11" s="434">
        <f t="shared" si="27"/>
        <v>0</v>
      </c>
      <c r="AS11" s="434">
        <f t="shared" si="28"/>
        <v>0</v>
      </c>
      <c r="AT11" s="434">
        <f t="shared" si="29"/>
        <v>0</v>
      </c>
      <c r="AU11" s="434">
        <f t="shared" si="30"/>
        <v>0</v>
      </c>
      <c r="AV11" s="434">
        <f t="shared" si="31"/>
        <v>0</v>
      </c>
      <c r="AW11" s="434">
        <f t="shared" si="32"/>
        <v>0</v>
      </c>
      <c r="AX11" s="434">
        <f t="shared" si="33"/>
        <v>0</v>
      </c>
      <c r="AY11" s="434">
        <f t="shared" si="34"/>
        <v>0</v>
      </c>
      <c r="AZ11" s="434">
        <f t="shared" si="35"/>
        <v>0</v>
      </c>
      <c r="BA11" s="434">
        <f t="shared" si="36"/>
        <v>0</v>
      </c>
      <c r="BB11" s="434">
        <f t="shared" si="37"/>
        <v>0</v>
      </c>
      <c r="BC11" s="434">
        <f t="shared" si="38"/>
        <v>0</v>
      </c>
      <c r="BD11" s="434">
        <f t="shared" si="39"/>
        <v>0</v>
      </c>
    </row>
    <row r="12" spans="1:56" s="148" customFormat="1" ht="35.25" customHeight="1" x14ac:dyDescent="0.4">
      <c r="A12" s="313" t="str">
        <f>'EEM Data Entry'!A90</f>
        <v/>
      </c>
      <c r="B12" s="505" t="str">
        <f>IF('Cascading Cap Cost &amp; Savings'!B50="  ","  ", 'Cascading Cap Cost &amp; Savings'!B8)</f>
        <v/>
      </c>
      <c r="C12" s="303" t="str">
        <f>'Cascading Cap Cost &amp; Savings'!C8</f>
        <v/>
      </c>
      <c r="D12" s="303">
        <v>0</v>
      </c>
      <c r="E12" s="303" t="e">
        <f t="shared" si="46"/>
        <v>#VALUE!</v>
      </c>
      <c r="F12" s="506">
        <f>('Cascading Savings'!D11*'Cascading Savings'!D$4)+('Cascading Savings'!F11*'Cascading Savings'!F$4)+('Cascading Savings'!H11*'Cascading Savings'!H$4)+('Cascading Savings'!J11*'Cascading Savings'!J$4)+('Cascading Savings'!L11*'Cascading Savings'!L$4)+('Cascading Savings'!N11*'Cascading Savings'!N$4)+('Cascading Savings'!P11*'Cascading Savings'!P$4)+('Cascading Savings'!R11*'Cascading Savings'!R$4)</f>
        <v>0</v>
      </c>
      <c r="G12" s="314">
        <f>'Cascading Savings'!T11</f>
        <v>0</v>
      </c>
      <c r="H12" s="304" t="e">
        <f t="shared" ref="H12:H30" si="49">IF(C12=0,"n/a",E12/F12)</f>
        <v>#VALUE!</v>
      </c>
      <c r="I12" s="305" t="e">
        <f t="shared" si="47"/>
        <v>#VALUE!</v>
      </c>
      <c r="J12" s="507" t="e">
        <f t="shared" si="44"/>
        <v>#VALUE!</v>
      </c>
      <c r="K12" s="508" t="e">
        <f t="shared" si="48"/>
        <v>#VALUE!</v>
      </c>
      <c r="L12" s="511" t="str">
        <f>'Cascading Cap Cost &amp; Savings'!L8</f>
        <v/>
      </c>
      <c r="M12" s="225">
        <f>'Cascading Savings'!D11</f>
        <v>0</v>
      </c>
      <c r="N12" s="225">
        <f>'Cascading Savings'!H11+'Cascading Savings'!F11+'Cascading Savings'!J11</f>
        <v>0</v>
      </c>
      <c r="P12" s="434" t="e">
        <f t="shared" si="42"/>
        <v>#VALUE!</v>
      </c>
      <c r="Q12" s="434">
        <f t="shared" si="43"/>
        <v>0</v>
      </c>
      <c r="R12" s="434">
        <f t="shared" si="1"/>
        <v>0</v>
      </c>
      <c r="S12" s="434">
        <f t="shared" si="2"/>
        <v>0</v>
      </c>
      <c r="T12" s="434">
        <f t="shared" si="3"/>
        <v>0</v>
      </c>
      <c r="U12" s="434">
        <f t="shared" si="4"/>
        <v>0</v>
      </c>
      <c r="V12" s="434">
        <f t="shared" si="5"/>
        <v>0</v>
      </c>
      <c r="W12" s="434">
        <f t="shared" si="6"/>
        <v>0</v>
      </c>
      <c r="X12" s="434">
        <f t="shared" si="7"/>
        <v>0</v>
      </c>
      <c r="Y12" s="434">
        <f t="shared" si="8"/>
        <v>0</v>
      </c>
      <c r="Z12" s="434">
        <f t="shared" si="9"/>
        <v>0</v>
      </c>
      <c r="AA12" s="434">
        <f t="shared" si="10"/>
        <v>0</v>
      </c>
      <c r="AB12" s="434">
        <f t="shared" si="11"/>
        <v>0</v>
      </c>
      <c r="AC12" s="434">
        <f t="shared" si="12"/>
        <v>0</v>
      </c>
      <c r="AD12" s="434">
        <f t="shared" si="13"/>
        <v>0</v>
      </c>
      <c r="AE12" s="434">
        <f t="shared" si="14"/>
        <v>0</v>
      </c>
      <c r="AF12" s="434">
        <f t="shared" si="15"/>
        <v>0</v>
      </c>
      <c r="AG12" s="434">
        <f t="shared" si="16"/>
        <v>0</v>
      </c>
      <c r="AH12" s="434">
        <f t="shared" si="17"/>
        <v>0</v>
      </c>
      <c r="AI12" s="434">
        <f t="shared" si="18"/>
        <v>0</v>
      </c>
      <c r="AJ12" s="434">
        <f t="shared" si="19"/>
        <v>0</v>
      </c>
      <c r="AK12" s="434">
        <f t="shared" si="20"/>
        <v>0</v>
      </c>
      <c r="AL12" s="434">
        <f t="shared" si="21"/>
        <v>0</v>
      </c>
      <c r="AM12" s="434">
        <f t="shared" si="22"/>
        <v>0</v>
      </c>
      <c r="AN12" s="434">
        <f t="shared" si="23"/>
        <v>0</v>
      </c>
      <c r="AO12" s="434">
        <f t="shared" si="24"/>
        <v>0</v>
      </c>
      <c r="AP12" s="434">
        <f t="shared" si="25"/>
        <v>0</v>
      </c>
      <c r="AQ12" s="434">
        <f t="shared" si="26"/>
        <v>0</v>
      </c>
      <c r="AR12" s="434">
        <f t="shared" si="27"/>
        <v>0</v>
      </c>
      <c r="AS12" s="434">
        <f t="shared" si="28"/>
        <v>0</v>
      </c>
      <c r="AT12" s="434">
        <f t="shared" si="29"/>
        <v>0</v>
      </c>
      <c r="AU12" s="434">
        <f t="shared" si="30"/>
        <v>0</v>
      </c>
      <c r="AV12" s="434">
        <f t="shared" si="31"/>
        <v>0</v>
      </c>
      <c r="AW12" s="434">
        <f t="shared" si="32"/>
        <v>0</v>
      </c>
      <c r="AX12" s="434">
        <f t="shared" si="33"/>
        <v>0</v>
      </c>
      <c r="AY12" s="434">
        <f t="shared" si="34"/>
        <v>0</v>
      </c>
      <c r="AZ12" s="434">
        <f t="shared" si="35"/>
        <v>0</v>
      </c>
      <c r="BA12" s="434">
        <f t="shared" si="36"/>
        <v>0</v>
      </c>
      <c r="BB12" s="434">
        <f t="shared" si="37"/>
        <v>0</v>
      </c>
      <c r="BC12" s="434">
        <f t="shared" si="38"/>
        <v>0</v>
      </c>
      <c r="BD12" s="434">
        <f t="shared" si="39"/>
        <v>0</v>
      </c>
    </row>
    <row r="13" spans="1:56" s="148" customFormat="1" ht="35.25" customHeight="1" x14ac:dyDescent="0.4">
      <c r="A13" s="294" t="str">
        <f>'EEM Data Entry'!A91</f>
        <v/>
      </c>
      <c r="B13" s="500" t="str">
        <f>IF('Cascading Cap Cost &amp; Savings'!B51="  ","  ", 'Cascading Cap Cost &amp; Savings'!B9)</f>
        <v/>
      </c>
      <c r="C13" s="288" t="str">
        <f>'Cascading Cap Cost &amp; Savings'!C9</f>
        <v/>
      </c>
      <c r="D13" s="296">
        <v>0</v>
      </c>
      <c r="E13" s="288" t="e">
        <f t="shared" si="46"/>
        <v>#VALUE!</v>
      </c>
      <c r="F13" s="501">
        <f>('Cascading Savings'!D12*'Cascading Savings'!D$4)+('Cascading Savings'!F12*'Cascading Savings'!F$4)+('Cascading Savings'!H12*'Cascading Savings'!H$4)+('Cascading Savings'!J12*'Cascading Savings'!J$4)+('Cascading Savings'!L12*'Cascading Savings'!L$4)+('Cascading Savings'!N12*'Cascading Savings'!N$4)+('Cascading Savings'!P12*'Cascading Savings'!P$4)+('Cascading Savings'!R12*'Cascading Savings'!R$4)</f>
        <v>0</v>
      </c>
      <c r="G13" s="301">
        <f>'Cascading Savings'!T12</f>
        <v>0</v>
      </c>
      <c r="H13" s="297" t="e">
        <f t="shared" si="49"/>
        <v>#VALUE!</v>
      </c>
      <c r="I13" s="291" t="e">
        <f t="shared" si="47"/>
        <v>#VALUE!</v>
      </c>
      <c r="J13" s="421" t="e">
        <f>IRR(P13:AT13,0.1)</f>
        <v>#VALUE!</v>
      </c>
      <c r="K13" s="423" t="e">
        <f t="shared" si="48"/>
        <v>#VALUE!</v>
      </c>
      <c r="L13" s="510" t="str">
        <f>'Cascading Cap Cost &amp; Savings'!L9</f>
        <v/>
      </c>
      <c r="M13" s="225">
        <f>'Cascading Savings'!D12</f>
        <v>0</v>
      </c>
      <c r="N13" s="225">
        <f>'Cascading Savings'!H12+'Cascading Savings'!F12+'Cascading Savings'!J12</f>
        <v>0</v>
      </c>
      <c r="P13" s="434" t="e">
        <f t="shared" si="42"/>
        <v>#VALUE!</v>
      </c>
      <c r="Q13" s="434">
        <f t="shared" si="43"/>
        <v>0</v>
      </c>
      <c r="R13" s="434">
        <f t="shared" si="1"/>
        <v>0</v>
      </c>
      <c r="S13" s="434">
        <f t="shared" si="2"/>
        <v>0</v>
      </c>
      <c r="T13" s="434">
        <f t="shared" si="3"/>
        <v>0</v>
      </c>
      <c r="U13" s="434">
        <f t="shared" si="4"/>
        <v>0</v>
      </c>
      <c r="V13" s="434">
        <f t="shared" si="5"/>
        <v>0</v>
      </c>
      <c r="W13" s="434">
        <f t="shared" si="6"/>
        <v>0</v>
      </c>
      <c r="X13" s="434">
        <f t="shared" si="7"/>
        <v>0</v>
      </c>
      <c r="Y13" s="434">
        <f t="shared" si="8"/>
        <v>0</v>
      </c>
      <c r="Z13" s="434">
        <f t="shared" si="9"/>
        <v>0</v>
      </c>
      <c r="AA13" s="434">
        <f t="shared" si="10"/>
        <v>0</v>
      </c>
      <c r="AB13" s="434">
        <f t="shared" si="11"/>
        <v>0</v>
      </c>
      <c r="AC13" s="434">
        <f t="shared" si="12"/>
        <v>0</v>
      </c>
      <c r="AD13" s="434">
        <f t="shared" si="13"/>
        <v>0</v>
      </c>
      <c r="AE13" s="434">
        <f t="shared" si="14"/>
        <v>0</v>
      </c>
      <c r="AF13" s="434">
        <f t="shared" si="15"/>
        <v>0</v>
      </c>
      <c r="AG13" s="434">
        <f t="shared" si="16"/>
        <v>0</v>
      </c>
      <c r="AH13" s="434">
        <f t="shared" si="17"/>
        <v>0</v>
      </c>
      <c r="AI13" s="434">
        <f t="shared" si="18"/>
        <v>0</v>
      </c>
      <c r="AJ13" s="434">
        <f t="shared" si="19"/>
        <v>0</v>
      </c>
      <c r="AK13" s="434">
        <f t="shared" si="20"/>
        <v>0</v>
      </c>
      <c r="AL13" s="434">
        <f t="shared" si="21"/>
        <v>0</v>
      </c>
      <c r="AM13" s="434">
        <f t="shared" si="22"/>
        <v>0</v>
      </c>
      <c r="AN13" s="434">
        <f t="shared" si="23"/>
        <v>0</v>
      </c>
      <c r="AO13" s="434">
        <f t="shared" si="24"/>
        <v>0</v>
      </c>
      <c r="AP13" s="434">
        <f t="shared" si="25"/>
        <v>0</v>
      </c>
      <c r="AQ13" s="434">
        <f t="shared" si="26"/>
        <v>0</v>
      </c>
      <c r="AR13" s="434">
        <f t="shared" si="27"/>
        <v>0</v>
      </c>
      <c r="AS13" s="434">
        <f t="shared" si="28"/>
        <v>0</v>
      </c>
      <c r="AT13" s="434">
        <f t="shared" si="29"/>
        <v>0</v>
      </c>
      <c r="AU13" s="434">
        <f t="shared" si="30"/>
        <v>0</v>
      </c>
      <c r="AV13" s="434">
        <f t="shared" si="31"/>
        <v>0</v>
      </c>
      <c r="AW13" s="434">
        <f t="shared" si="32"/>
        <v>0</v>
      </c>
      <c r="AX13" s="434">
        <f t="shared" si="33"/>
        <v>0</v>
      </c>
      <c r="AY13" s="434">
        <f t="shared" si="34"/>
        <v>0</v>
      </c>
      <c r="AZ13" s="434">
        <f t="shared" si="35"/>
        <v>0</v>
      </c>
      <c r="BA13" s="434">
        <f t="shared" si="36"/>
        <v>0</v>
      </c>
      <c r="BB13" s="434">
        <f t="shared" si="37"/>
        <v>0</v>
      </c>
      <c r="BC13" s="434">
        <f t="shared" si="38"/>
        <v>0</v>
      </c>
      <c r="BD13" s="434">
        <f t="shared" si="39"/>
        <v>0</v>
      </c>
    </row>
    <row r="14" spans="1:56" s="148" customFormat="1" ht="24.75" customHeight="1" x14ac:dyDescent="0.4">
      <c r="A14" s="313" t="str">
        <f>'EEM Data Entry'!A92</f>
        <v/>
      </c>
      <c r="B14" s="505" t="str">
        <f>IF('Cascading Cap Cost &amp; Savings'!B52="  ","  ", 'Cascading Cap Cost &amp; Savings'!B10)</f>
        <v/>
      </c>
      <c r="C14" s="303" t="str">
        <f>'Cascading Cap Cost &amp; Savings'!C10</f>
        <v/>
      </c>
      <c r="D14" s="303">
        <v>0</v>
      </c>
      <c r="E14" s="303" t="e">
        <f t="shared" si="46"/>
        <v>#VALUE!</v>
      </c>
      <c r="F14" s="506">
        <f>('Cascading Savings'!D13*'Cascading Savings'!D$4)+('Cascading Savings'!F13*'Cascading Savings'!F$4)+('Cascading Savings'!H13*'Cascading Savings'!H$4)+('Cascading Savings'!J13*'Cascading Savings'!J$4)+('Cascading Savings'!L13*'Cascading Savings'!L$4)+('Cascading Savings'!N13*'Cascading Savings'!N$4)+('Cascading Savings'!P13*'Cascading Savings'!P$4)+('Cascading Savings'!R13*'Cascading Savings'!R$4)</f>
        <v>0</v>
      </c>
      <c r="G14" s="314">
        <f>'Cascading Savings'!T13</f>
        <v>0</v>
      </c>
      <c r="H14" s="304" t="e">
        <f t="shared" si="49"/>
        <v>#VALUE!</v>
      </c>
      <c r="I14" s="305" t="e">
        <f t="shared" si="47"/>
        <v>#VALUE!</v>
      </c>
      <c r="J14" s="507" t="e">
        <f t="shared" si="44"/>
        <v>#VALUE!</v>
      </c>
      <c r="K14" s="508" t="e">
        <f t="shared" si="48"/>
        <v>#VALUE!</v>
      </c>
      <c r="L14" s="511" t="str">
        <f>'Cascading Cap Cost &amp; Savings'!L10</f>
        <v/>
      </c>
      <c r="M14" s="225">
        <f>'Cascading Savings'!D13</f>
        <v>0</v>
      </c>
      <c r="N14" s="225">
        <f>'Cascading Savings'!H13+'Cascading Savings'!F13+'Cascading Savings'!J13</f>
        <v>0</v>
      </c>
      <c r="P14" s="434" t="e">
        <f>-E14</f>
        <v>#VALUE!</v>
      </c>
      <c r="Q14" s="434">
        <f t="shared" si="43"/>
        <v>0</v>
      </c>
      <c r="R14" s="434">
        <f t="shared" si="1"/>
        <v>0</v>
      </c>
      <c r="S14" s="434">
        <f t="shared" si="2"/>
        <v>0</v>
      </c>
      <c r="T14" s="434">
        <f t="shared" si="3"/>
        <v>0</v>
      </c>
      <c r="U14" s="434">
        <f t="shared" si="4"/>
        <v>0</v>
      </c>
      <c r="V14" s="434">
        <f t="shared" si="5"/>
        <v>0</v>
      </c>
      <c r="W14" s="434">
        <f t="shared" si="6"/>
        <v>0</v>
      </c>
      <c r="X14" s="434">
        <f t="shared" si="7"/>
        <v>0</v>
      </c>
      <c r="Y14" s="434">
        <f t="shared" si="8"/>
        <v>0</v>
      </c>
      <c r="Z14" s="434">
        <f t="shared" si="9"/>
        <v>0</v>
      </c>
      <c r="AA14" s="434">
        <f t="shared" si="10"/>
        <v>0</v>
      </c>
      <c r="AB14" s="434">
        <f t="shared" si="11"/>
        <v>0</v>
      </c>
      <c r="AC14" s="434">
        <f t="shared" si="12"/>
        <v>0</v>
      </c>
      <c r="AD14" s="434">
        <f t="shared" si="13"/>
        <v>0</v>
      </c>
      <c r="AE14" s="434">
        <f t="shared" si="14"/>
        <v>0</v>
      </c>
      <c r="AF14" s="434">
        <f t="shared" si="15"/>
        <v>0</v>
      </c>
      <c r="AG14" s="434">
        <f t="shared" si="16"/>
        <v>0</v>
      </c>
      <c r="AH14" s="434">
        <f t="shared" si="17"/>
        <v>0</v>
      </c>
      <c r="AI14" s="434">
        <f t="shared" si="18"/>
        <v>0</v>
      </c>
      <c r="AJ14" s="434">
        <f t="shared" si="19"/>
        <v>0</v>
      </c>
      <c r="AK14" s="434">
        <f t="shared" si="20"/>
        <v>0</v>
      </c>
      <c r="AL14" s="434">
        <f t="shared" si="21"/>
        <v>0</v>
      </c>
      <c r="AM14" s="434">
        <f t="shared" si="22"/>
        <v>0</v>
      </c>
      <c r="AN14" s="434">
        <f t="shared" si="23"/>
        <v>0</v>
      </c>
      <c r="AO14" s="434">
        <f t="shared" si="24"/>
        <v>0</v>
      </c>
      <c r="AP14" s="434">
        <f t="shared" si="25"/>
        <v>0</v>
      </c>
      <c r="AQ14" s="434">
        <f t="shared" si="26"/>
        <v>0</v>
      </c>
      <c r="AR14" s="434">
        <f t="shared" si="27"/>
        <v>0</v>
      </c>
      <c r="AS14" s="434">
        <f t="shared" si="28"/>
        <v>0</v>
      </c>
      <c r="AT14" s="434">
        <f t="shared" si="29"/>
        <v>0</v>
      </c>
      <c r="AU14" s="434">
        <f t="shared" si="30"/>
        <v>0</v>
      </c>
      <c r="AV14" s="434">
        <f t="shared" si="31"/>
        <v>0</v>
      </c>
      <c r="AW14" s="434">
        <f t="shared" si="32"/>
        <v>0</v>
      </c>
      <c r="AX14" s="434">
        <f t="shared" si="33"/>
        <v>0</v>
      </c>
      <c r="AY14" s="434">
        <f t="shared" si="34"/>
        <v>0</v>
      </c>
      <c r="AZ14" s="434">
        <f t="shared" si="35"/>
        <v>0</v>
      </c>
      <c r="BA14" s="434">
        <f t="shared" si="36"/>
        <v>0</v>
      </c>
      <c r="BB14" s="434">
        <f t="shared" si="37"/>
        <v>0</v>
      </c>
      <c r="BC14" s="434">
        <f t="shared" si="38"/>
        <v>0</v>
      </c>
      <c r="BD14" s="434">
        <f t="shared" si="39"/>
        <v>0</v>
      </c>
    </row>
    <row r="15" spans="1:56" s="148" customFormat="1" ht="24.75" customHeight="1" x14ac:dyDescent="0.4">
      <c r="A15" s="294" t="str">
        <f>'EEM Data Entry'!A93</f>
        <v/>
      </c>
      <c r="B15" s="500" t="str">
        <f>IF('Cascading Cap Cost &amp; Savings'!B53="  ","  ", 'Cascading Cap Cost &amp; Savings'!B11)</f>
        <v/>
      </c>
      <c r="C15" s="288" t="str">
        <f>'Cascading Cap Cost &amp; Savings'!C11</f>
        <v/>
      </c>
      <c r="D15" s="296">
        <v>0</v>
      </c>
      <c r="E15" s="288" t="e">
        <f t="shared" si="46"/>
        <v>#VALUE!</v>
      </c>
      <c r="F15" s="501">
        <f>('Cascading Savings'!D14*'Cascading Savings'!D$4)+('Cascading Savings'!F14*'Cascading Savings'!F$4)+('Cascading Savings'!H14*'Cascading Savings'!H$4)+('Cascading Savings'!J14*'Cascading Savings'!J$4)+('Cascading Savings'!L14*'Cascading Savings'!L$4)+('Cascading Savings'!N14*'Cascading Savings'!N$4)+('Cascading Savings'!P14*'Cascading Savings'!P$4)+('Cascading Savings'!R14*'Cascading Savings'!R$4)</f>
        <v>0</v>
      </c>
      <c r="G15" s="301">
        <f>'Cascading Savings'!T14</f>
        <v>0</v>
      </c>
      <c r="H15" s="297" t="e">
        <f t="shared" si="49"/>
        <v>#VALUE!</v>
      </c>
      <c r="I15" s="291" t="e">
        <f t="shared" si="47"/>
        <v>#VALUE!</v>
      </c>
      <c r="J15" s="421" t="e">
        <f>IRR(P15:AT15,0.1)</f>
        <v>#VALUE!</v>
      </c>
      <c r="K15" s="423" t="e">
        <f>NPV(0.05,P15:AT15)</f>
        <v>#VALUE!</v>
      </c>
      <c r="L15" s="510" t="str">
        <f>'Cascading Cap Cost &amp; Savings'!L11</f>
        <v/>
      </c>
      <c r="M15" s="225">
        <f>'Cascading Savings'!D14</f>
        <v>0</v>
      </c>
      <c r="N15" s="225">
        <f>'Cascading Savings'!H14+'Cascading Savings'!F14+'Cascading Savings'!J14</f>
        <v>0</v>
      </c>
      <c r="P15" s="434" t="e">
        <f t="shared" si="42"/>
        <v>#VALUE!</v>
      </c>
      <c r="Q15" s="434">
        <f t="shared" si="43"/>
        <v>0</v>
      </c>
      <c r="R15" s="434">
        <f t="shared" si="1"/>
        <v>0</v>
      </c>
      <c r="S15" s="434">
        <f t="shared" si="2"/>
        <v>0</v>
      </c>
      <c r="T15" s="434">
        <f t="shared" si="3"/>
        <v>0</v>
      </c>
      <c r="U15" s="434">
        <f t="shared" si="4"/>
        <v>0</v>
      </c>
      <c r="V15" s="434">
        <f t="shared" si="5"/>
        <v>0</v>
      </c>
      <c r="W15" s="434">
        <f t="shared" si="6"/>
        <v>0</v>
      </c>
      <c r="X15" s="434">
        <f t="shared" si="7"/>
        <v>0</v>
      </c>
      <c r="Y15" s="434">
        <f t="shared" si="8"/>
        <v>0</v>
      </c>
      <c r="Z15" s="434">
        <f t="shared" si="9"/>
        <v>0</v>
      </c>
      <c r="AA15" s="434">
        <f t="shared" si="10"/>
        <v>0</v>
      </c>
      <c r="AB15" s="434">
        <f t="shared" si="11"/>
        <v>0</v>
      </c>
      <c r="AC15" s="434">
        <f t="shared" si="12"/>
        <v>0</v>
      </c>
      <c r="AD15" s="434">
        <f t="shared" si="13"/>
        <v>0</v>
      </c>
      <c r="AE15" s="434">
        <f t="shared" si="14"/>
        <v>0</v>
      </c>
      <c r="AF15" s="434">
        <f t="shared" si="15"/>
        <v>0</v>
      </c>
      <c r="AG15" s="434">
        <f t="shared" si="16"/>
        <v>0</v>
      </c>
      <c r="AH15" s="434">
        <f t="shared" si="17"/>
        <v>0</v>
      </c>
      <c r="AI15" s="434">
        <f t="shared" si="18"/>
        <v>0</v>
      </c>
      <c r="AJ15" s="434">
        <f t="shared" si="19"/>
        <v>0</v>
      </c>
      <c r="AK15" s="434">
        <f t="shared" si="20"/>
        <v>0</v>
      </c>
      <c r="AL15" s="434">
        <f t="shared" si="21"/>
        <v>0</v>
      </c>
      <c r="AM15" s="434">
        <f t="shared" si="22"/>
        <v>0</v>
      </c>
      <c r="AN15" s="434">
        <f t="shared" si="23"/>
        <v>0</v>
      </c>
      <c r="AO15" s="434">
        <f t="shared" si="24"/>
        <v>0</v>
      </c>
      <c r="AP15" s="434">
        <f t="shared" si="25"/>
        <v>0</v>
      </c>
      <c r="AQ15" s="434">
        <f t="shared" si="26"/>
        <v>0</v>
      </c>
      <c r="AR15" s="434">
        <f t="shared" si="27"/>
        <v>0</v>
      </c>
      <c r="AS15" s="434">
        <f t="shared" si="28"/>
        <v>0</v>
      </c>
      <c r="AT15" s="434">
        <f t="shared" si="29"/>
        <v>0</v>
      </c>
      <c r="AU15" s="434">
        <f t="shared" si="30"/>
        <v>0</v>
      </c>
      <c r="AV15" s="434">
        <f t="shared" si="31"/>
        <v>0</v>
      </c>
      <c r="AW15" s="434">
        <f t="shared" si="32"/>
        <v>0</v>
      </c>
      <c r="AX15" s="434">
        <f t="shared" si="33"/>
        <v>0</v>
      </c>
      <c r="AY15" s="434">
        <f t="shared" si="34"/>
        <v>0</v>
      </c>
      <c r="AZ15" s="434">
        <f t="shared" si="35"/>
        <v>0</v>
      </c>
      <c r="BA15" s="434">
        <f t="shared" si="36"/>
        <v>0</v>
      </c>
      <c r="BB15" s="434">
        <f t="shared" si="37"/>
        <v>0</v>
      </c>
      <c r="BC15" s="434">
        <f t="shared" si="38"/>
        <v>0</v>
      </c>
      <c r="BD15" s="434">
        <f t="shared" si="39"/>
        <v>0</v>
      </c>
    </row>
    <row r="16" spans="1:56" s="148" customFormat="1" ht="24.75" customHeight="1" x14ac:dyDescent="0.4">
      <c r="A16" s="313" t="str">
        <f>'EEM Data Entry'!A94</f>
        <v/>
      </c>
      <c r="B16" s="505" t="str">
        <f>IF('Cascading Cap Cost &amp; Savings'!B54="  ","  ", 'Cascading Cap Cost &amp; Savings'!B12)</f>
        <v/>
      </c>
      <c r="C16" s="303" t="str">
        <f>'Cascading Cap Cost &amp; Savings'!C12</f>
        <v/>
      </c>
      <c r="D16" s="303">
        <v>0</v>
      </c>
      <c r="E16" s="303" t="e">
        <f t="shared" si="46"/>
        <v>#VALUE!</v>
      </c>
      <c r="F16" s="506">
        <f>('Cascading Savings'!D15*'Cascading Savings'!D$4)+('Cascading Savings'!F15*'Cascading Savings'!F$4)+('Cascading Savings'!H15*'Cascading Savings'!H$4)+('Cascading Savings'!J15*'Cascading Savings'!J$4)+('Cascading Savings'!L15*'Cascading Savings'!L$4)+('Cascading Savings'!N15*'Cascading Savings'!N$4)+('Cascading Savings'!P15*'Cascading Savings'!P$4)+('Cascading Savings'!R15*'Cascading Savings'!R$4)</f>
        <v>0</v>
      </c>
      <c r="G16" s="314">
        <f>'Cascading Savings'!T15</f>
        <v>0</v>
      </c>
      <c r="H16" s="304" t="e">
        <f t="shared" si="49"/>
        <v>#VALUE!</v>
      </c>
      <c r="I16" s="305" t="e">
        <f t="shared" si="47"/>
        <v>#VALUE!</v>
      </c>
      <c r="J16" s="507" t="e">
        <f t="shared" si="44"/>
        <v>#VALUE!</v>
      </c>
      <c r="K16" s="508" t="e">
        <f t="shared" si="48"/>
        <v>#VALUE!</v>
      </c>
      <c r="L16" s="511" t="str">
        <f>'Cascading Cap Cost &amp; Savings'!L12</f>
        <v/>
      </c>
      <c r="M16" s="225">
        <f>'Cascading Savings'!D15</f>
        <v>0</v>
      </c>
      <c r="N16" s="225">
        <f>'Cascading Savings'!H15+'Cascading Savings'!F15+'Cascading Savings'!J15</f>
        <v>0</v>
      </c>
      <c r="P16" s="434" t="e">
        <f t="shared" si="42"/>
        <v>#VALUE!</v>
      </c>
      <c r="Q16" s="434">
        <f t="shared" si="43"/>
        <v>0</v>
      </c>
      <c r="R16" s="434">
        <f t="shared" si="1"/>
        <v>0</v>
      </c>
      <c r="S16" s="434">
        <f t="shared" si="2"/>
        <v>0</v>
      </c>
      <c r="T16" s="434">
        <f t="shared" si="3"/>
        <v>0</v>
      </c>
      <c r="U16" s="434">
        <f t="shared" si="4"/>
        <v>0</v>
      </c>
      <c r="V16" s="434">
        <f t="shared" si="5"/>
        <v>0</v>
      </c>
      <c r="W16" s="434">
        <f t="shared" si="6"/>
        <v>0</v>
      </c>
      <c r="X16" s="434">
        <f t="shared" si="7"/>
        <v>0</v>
      </c>
      <c r="Y16" s="434">
        <f t="shared" si="8"/>
        <v>0</v>
      </c>
      <c r="Z16" s="434">
        <f t="shared" si="9"/>
        <v>0</v>
      </c>
      <c r="AA16" s="434">
        <f t="shared" si="10"/>
        <v>0</v>
      </c>
      <c r="AB16" s="434">
        <f t="shared" si="11"/>
        <v>0</v>
      </c>
      <c r="AC16" s="434">
        <f t="shared" si="12"/>
        <v>0</v>
      </c>
      <c r="AD16" s="434">
        <f t="shared" si="13"/>
        <v>0</v>
      </c>
      <c r="AE16" s="434">
        <f t="shared" si="14"/>
        <v>0</v>
      </c>
      <c r="AF16" s="434">
        <f t="shared" si="15"/>
        <v>0</v>
      </c>
      <c r="AG16" s="434">
        <f t="shared" si="16"/>
        <v>0</v>
      </c>
      <c r="AH16" s="434">
        <f t="shared" si="17"/>
        <v>0</v>
      </c>
      <c r="AI16" s="434">
        <f t="shared" si="18"/>
        <v>0</v>
      </c>
      <c r="AJ16" s="434">
        <f t="shared" si="19"/>
        <v>0</v>
      </c>
      <c r="AK16" s="434">
        <f t="shared" si="20"/>
        <v>0</v>
      </c>
      <c r="AL16" s="434">
        <f t="shared" si="21"/>
        <v>0</v>
      </c>
      <c r="AM16" s="434">
        <f t="shared" si="22"/>
        <v>0</v>
      </c>
      <c r="AN16" s="434">
        <f t="shared" si="23"/>
        <v>0</v>
      </c>
      <c r="AO16" s="434">
        <f t="shared" si="24"/>
        <v>0</v>
      </c>
      <c r="AP16" s="434">
        <f t="shared" si="25"/>
        <v>0</v>
      </c>
      <c r="AQ16" s="434">
        <f t="shared" si="26"/>
        <v>0</v>
      </c>
      <c r="AR16" s="434">
        <f t="shared" si="27"/>
        <v>0</v>
      </c>
      <c r="AS16" s="434">
        <f t="shared" si="28"/>
        <v>0</v>
      </c>
      <c r="AT16" s="434">
        <f t="shared" si="29"/>
        <v>0</v>
      </c>
      <c r="AU16" s="434">
        <f t="shared" si="30"/>
        <v>0</v>
      </c>
      <c r="AV16" s="434">
        <f t="shared" si="31"/>
        <v>0</v>
      </c>
      <c r="AW16" s="434">
        <f t="shared" si="32"/>
        <v>0</v>
      </c>
      <c r="AX16" s="434">
        <f t="shared" si="33"/>
        <v>0</v>
      </c>
      <c r="AY16" s="434">
        <f t="shared" si="34"/>
        <v>0</v>
      </c>
      <c r="AZ16" s="434">
        <f t="shared" si="35"/>
        <v>0</v>
      </c>
      <c r="BA16" s="434">
        <f t="shared" si="36"/>
        <v>0</v>
      </c>
      <c r="BB16" s="434">
        <f t="shared" si="37"/>
        <v>0</v>
      </c>
      <c r="BC16" s="434">
        <f t="shared" si="38"/>
        <v>0</v>
      </c>
      <c r="BD16" s="434">
        <f t="shared" si="39"/>
        <v>0</v>
      </c>
    </row>
    <row r="17" spans="1:56" s="148" customFormat="1" ht="24.75" customHeight="1" x14ac:dyDescent="0.4">
      <c r="A17" s="294" t="str">
        <f>'EEM Data Entry'!A95</f>
        <v/>
      </c>
      <c r="B17" s="500" t="str">
        <f>IF('Cascading Cap Cost &amp; Savings'!B55="  ","  ", 'Cascading Cap Cost &amp; Savings'!B13)</f>
        <v/>
      </c>
      <c r="C17" s="288" t="str">
        <f>'Cascading Cap Cost &amp; Savings'!C13</f>
        <v/>
      </c>
      <c r="D17" s="296">
        <v>0</v>
      </c>
      <c r="E17" s="288" t="e">
        <f t="shared" si="46"/>
        <v>#VALUE!</v>
      </c>
      <c r="F17" s="501">
        <f>('Cascading Savings'!D16*'Cascading Savings'!D$4)+('Cascading Savings'!F16*'Cascading Savings'!F$4)+('Cascading Savings'!H16*'Cascading Savings'!H$4)+('Cascading Savings'!J16*'Cascading Savings'!J$4)+('Cascading Savings'!L16*'Cascading Savings'!L$4)+('Cascading Savings'!N16*'Cascading Savings'!N$4)+('Cascading Savings'!P16*'Cascading Savings'!P$4)+('Cascading Savings'!R16*'Cascading Savings'!R$4)</f>
        <v>0</v>
      </c>
      <c r="G17" s="301">
        <f>'Cascading Savings'!T16</f>
        <v>0</v>
      </c>
      <c r="H17" s="297" t="e">
        <f t="shared" si="49"/>
        <v>#VALUE!</v>
      </c>
      <c r="I17" s="291" t="e">
        <f t="shared" si="47"/>
        <v>#VALUE!</v>
      </c>
      <c r="J17" s="421" t="e">
        <f t="shared" si="44"/>
        <v>#VALUE!</v>
      </c>
      <c r="K17" s="423" t="e">
        <f t="shared" si="48"/>
        <v>#VALUE!</v>
      </c>
      <c r="L17" s="510" t="str">
        <f>'Cascading Cap Cost &amp; Savings'!L13</f>
        <v/>
      </c>
      <c r="M17" s="225">
        <f>'Cascading Savings'!D16</f>
        <v>0</v>
      </c>
      <c r="N17" s="225">
        <f>'Cascading Savings'!H16+'Cascading Savings'!F16+'Cascading Savings'!J16</f>
        <v>0</v>
      </c>
      <c r="P17" s="434" t="e">
        <f t="shared" si="42"/>
        <v>#VALUE!</v>
      </c>
      <c r="Q17" s="434">
        <f t="shared" si="43"/>
        <v>0</v>
      </c>
      <c r="R17" s="434">
        <f t="shared" si="1"/>
        <v>0</v>
      </c>
      <c r="S17" s="434">
        <f t="shared" si="2"/>
        <v>0</v>
      </c>
      <c r="T17" s="434">
        <f t="shared" si="3"/>
        <v>0</v>
      </c>
      <c r="U17" s="434">
        <f t="shared" si="4"/>
        <v>0</v>
      </c>
      <c r="V17" s="434">
        <f t="shared" si="5"/>
        <v>0</v>
      </c>
      <c r="W17" s="434">
        <f t="shared" si="6"/>
        <v>0</v>
      </c>
      <c r="X17" s="434">
        <f t="shared" si="7"/>
        <v>0</v>
      </c>
      <c r="Y17" s="434">
        <f t="shared" si="8"/>
        <v>0</v>
      </c>
      <c r="Z17" s="434">
        <f t="shared" si="9"/>
        <v>0</v>
      </c>
      <c r="AA17" s="434">
        <f t="shared" si="10"/>
        <v>0</v>
      </c>
      <c r="AB17" s="434">
        <f t="shared" si="11"/>
        <v>0</v>
      </c>
      <c r="AC17" s="434">
        <f t="shared" si="12"/>
        <v>0</v>
      </c>
      <c r="AD17" s="434">
        <f t="shared" si="13"/>
        <v>0</v>
      </c>
      <c r="AE17" s="434">
        <f t="shared" si="14"/>
        <v>0</v>
      </c>
      <c r="AF17" s="434">
        <f t="shared" si="15"/>
        <v>0</v>
      </c>
      <c r="AG17" s="434">
        <f t="shared" si="16"/>
        <v>0</v>
      </c>
      <c r="AH17" s="434">
        <f t="shared" si="17"/>
        <v>0</v>
      </c>
      <c r="AI17" s="434">
        <f t="shared" si="18"/>
        <v>0</v>
      </c>
      <c r="AJ17" s="434">
        <f t="shared" si="19"/>
        <v>0</v>
      </c>
      <c r="AK17" s="434">
        <f t="shared" si="20"/>
        <v>0</v>
      </c>
      <c r="AL17" s="434">
        <f t="shared" si="21"/>
        <v>0</v>
      </c>
      <c r="AM17" s="434">
        <f t="shared" si="22"/>
        <v>0</v>
      </c>
      <c r="AN17" s="434">
        <f t="shared" si="23"/>
        <v>0</v>
      </c>
      <c r="AO17" s="434">
        <f t="shared" si="24"/>
        <v>0</v>
      </c>
      <c r="AP17" s="434">
        <f t="shared" si="25"/>
        <v>0</v>
      </c>
      <c r="AQ17" s="434">
        <f t="shared" si="26"/>
        <v>0</v>
      </c>
      <c r="AR17" s="434">
        <f t="shared" si="27"/>
        <v>0</v>
      </c>
      <c r="AS17" s="434">
        <f t="shared" si="28"/>
        <v>0</v>
      </c>
      <c r="AT17" s="434">
        <f t="shared" si="29"/>
        <v>0</v>
      </c>
      <c r="AU17" s="434">
        <f t="shared" si="30"/>
        <v>0</v>
      </c>
      <c r="AV17" s="434">
        <f t="shared" si="31"/>
        <v>0</v>
      </c>
      <c r="AW17" s="434">
        <f t="shared" si="32"/>
        <v>0</v>
      </c>
      <c r="AX17" s="434">
        <f t="shared" si="33"/>
        <v>0</v>
      </c>
      <c r="AY17" s="434">
        <f t="shared" si="34"/>
        <v>0</v>
      </c>
      <c r="AZ17" s="434">
        <f t="shared" si="35"/>
        <v>0</v>
      </c>
      <c r="BA17" s="434">
        <f t="shared" si="36"/>
        <v>0</v>
      </c>
      <c r="BB17" s="434">
        <f t="shared" si="37"/>
        <v>0</v>
      </c>
      <c r="BC17" s="434">
        <f t="shared" si="38"/>
        <v>0</v>
      </c>
      <c r="BD17" s="434">
        <f t="shared" si="39"/>
        <v>0</v>
      </c>
    </row>
    <row r="18" spans="1:56" s="148" customFormat="1" ht="24.75" customHeight="1" x14ac:dyDescent="0.4">
      <c r="A18" s="313" t="str">
        <f>'EEM Data Entry'!A96</f>
        <v/>
      </c>
      <c r="B18" s="505" t="str">
        <f>IF('Cascading Cap Cost &amp; Savings'!B56="  ","  ", 'Cascading Cap Cost &amp; Savings'!B14)</f>
        <v/>
      </c>
      <c r="C18" s="303" t="str">
        <f>'Cascading Cap Cost &amp; Savings'!C14</f>
        <v/>
      </c>
      <c r="D18" s="303">
        <v>0</v>
      </c>
      <c r="E18" s="303" t="e">
        <f t="shared" si="46"/>
        <v>#VALUE!</v>
      </c>
      <c r="F18" s="506">
        <f>('Cascading Savings'!D17*'Cascading Savings'!D$4)+('Cascading Savings'!F17*'Cascading Savings'!F$4)+('Cascading Savings'!H17*'Cascading Savings'!H$4)+('Cascading Savings'!J17*'Cascading Savings'!J$4)+('Cascading Savings'!L17*'Cascading Savings'!L$4)+('Cascading Savings'!N17*'Cascading Savings'!N$4)+('Cascading Savings'!P17*'Cascading Savings'!P$4)+('Cascading Savings'!R17*'Cascading Savings'!R$4)</f>
        <v>0</v>
      </c>
      <c r="G18" s="314">
        <f>'Cascading Savings'!T17</f>
        <v>0</v>
      </c>
      <c r="H18" s="304" t="e">
        <f t="shared" si="49"/>
        <v>#VALUE!</v>
      </c>
      <c r="I18" s="305" t="e">
        <f t="shared" si="47"/>
        <v>#VALUE!</v>
      </c>
      <c r="J18" s="507" t="e">
        <f t="shared" si="44"/>
        <v>#VALUE!</v>
      </c>
      <c r="K18" s="508" t="e">
        <f t="shared" si="48"/>
        <v>#VALUE!</v>
      </c>
      <c r="L18" s="511" t="str">
        <f>'Cascading Cap Cost &amp; Savings'!L14</f>
        <v/>
      </c>
      <c r="M18" s="225">
        <f>'Cascading Savings'!D17</f>
        <v>0</v>
      </c>
      <c r="N18" s="225">
        <f>'Cascading Savings'!H17+'Cascading Savings'!F17+'Cascading Savings'!J17</f>
        <v>0</v>
      </c>
      <c r="P18" s="434" t="e">
        <f t="shared" si="42"/>
        <v>#VALUE!</v>
      </c>
      <c r="Q18" s="434">
        <f t="shared" si="43"/>
        <v>0</v>
      </c>
      <c r="R18" s="434">
        <f t="shared" si="1"/>
        <v>0</v>
      </c>
      <c r="S18" s="434">
        <f t="shared" si="2"/>
        <v>0</v>
      </c>
      <c r="T18" s="434">
        <f t="shared" si="3"/>
        <v>0</v>
      </c>
      <c r="U18" s="434">
        <f t="shared" si="4"/>
        <v>0</v>
      </c>
      <c r="V18" s="434">
        <f t="shared" si="5"/>
        <v>0</v>
      </c>
      <c r="W18" s="434">
        <f t="shared" si="6"/>
        <v>0</v>
      </c>
      <c r="X18" s="434">
        <f t="shared" si="7"/>
        <v>0</v>
      </c>
      <c r="Y18" s="434">
        <f t="shared" si="8"/>
        <v>0</v>
      </c>
      <c r="Z18" s="434">
        <f t="shared" si="9"/>
        <v>0</v>
      </c>
      <c r="AA18" s="434">
        <f t="shared" si="10"/>
        <v>0</v>
      </c>
      <c r="AB18" s="434">
        <f t="shared" si="11"/>
        <v>0</v>
      </c>
      <c r="AC18" s="434">
        <f t="shared" si="12"/>
        <v>0</v>
      </c>
      <c r="AD18" s="434">
        <f t="shared" si="13"/>
        <v>0</v>
      </c>
      <c r="AE18" s="434">
        <f t="shared" si="14"/>
        <v>0</v>
      </c>
      <c r="AF18" s="434">
        <f t="shared" si="15"/>
        <v>0</v>
      </c>
      <c r="AG18" s="434">
        <f t="shared" si="16"/>
        <v>0</v>
      </c>
      <c r="AH18" s="434">
        <f t="shared" si="17"/>
        <v>0</v>
      </c>
      <c r="AI18" s="434">
        <f t="shared" si="18"/>
        <v>0</v>
      </c>
      <c r="AJ18" s="434">
        <f t="shared" si="19"/>
        <v>0</v>
      </c>
      <c r="AK18" s="434">
        <f t="shared" si="20"/>
        <v>0</v>
      </c>
      <c r="AL18" s="434">
        <f t="shared" si="21"/>
        <v>0</v>
      </c>
      <c r="AM18" s="434">
        <f t="shared" si="22"/>
        <v>0</v>
      </c>
      <c r="AN18" s="434">
        <f t="shared" si="23"/>
        <v>0</v>
      </c>
      <c r="AO18" s="434">
        <f t="shared" si="24"/>
        <v>0</v>
      </c>
      <c r="AP18" s="434">
        <f t="shared" si="25"/>
        <v>0</v>
      </c>
      <c r="AQ18" s="434">
        <f t="shared" si="26"/>
        <v>0</v>
      </c>
      <c r="AR18" s="434">
        <f t="shared" si="27"/>
        <v>0</v>
      </c>
      <c r="AS18" s="434">
        <f t="shared" si="28"/>
        <v>0</v>
      </c>
      <c r="AT18" s="434">
        <f t="shared" si="29"/>
        <v>0</v>
      </c>
      <c r="AU18" s="434">
        <f t="shared" si="30"/>
        <v>0</v>
      </c>
      <c r="AV18" s="434">
        <f t="shared" si="31"/>
        <v>0</v>
      </c>
      <c r="AW18" s="434">
        <f t="shared" si="32"/>
        <v>0</v>
      </c>
      <c r="AX18" s="434">
        <f t="shared" si="33"/>
        <v>0</v>
      </c>
      <c r="AY18" s="434">
        <f t="shared" si="34"/>
        <v>0</v>
      </c>
      <c r="AZ18" s="434">
        <f t="shared" si="35"/>
        <v>0</v>
      </c>
      <c r="BA18" s="434">
        <f t="shared" si="36"/>
        <v>0</v>
      </c>
      <c r="BB18" s="434">
        <f t="shared" si="37"/>
        <v>0</v>
      </c>
      <c r="BC18" s="434">
        <f t="shared" si="38"/>
        <v>0</v>
      </c>
      <c r="BD18" s="434">
        <f t="shared" si="39"/>
        <v>0</v>
      </c>
    </row>
    <row r="19" spans="1:56" s="148" customFormat="1" ht="24.75" customHeight="1" x14ac:dyDescent="0.4">
      <c r="A19" s="294" t="str">
        <f>'EEM Data Entry'!A97</f>
        <v/>
      </c>
      <c r="B19" s="500" t="str">
        <f>IF('Cascading Cap Cost &amp; Savings'!B57="  ","  ", 'Cascading Cap Cost &amp; Savings'!B15)</f>
        <v/>
      </c>
      <c r="C19" s="288" t="str">
        <f>'Cascading Cap Cost &amp; Savings'!C15</f>
        <v/>
      </c>
      <c r="D19" s="296">
        <v>0</v>
      </c>
      <c r="E19" s="288" t="e">
        <f t="shared" si="46"/>
        <v>#VALUE!</v>
      </c>
      <c r="F19" s="501">
        <f>('Cascading Savings'!D18*'Cascading Savings'!D$4)+('Cascading Savings'!F18*'Cascading Savings'!F$4)+('Cascading Savings'!H18*'Cascading Savings'!H$4)+('Cascading Savings'!J18*'Cascading Savings'!J$4)+('Cascading Savings'!L18*'Cascading Savings'!L$4)+('Cascading Savings'!N18*'Cascading Savings'!N$4)+('Cascading Savings'!P18*'Cascading Savings'!P$4)+('Cascading Savings'!R18*'Cascading Savings'!R$4)</f>
        <v>0</v>
      </c>
      <c r="G19" s="301">
        <f>'Cascading Savings'!T18</f>
        <v>0</v>
      </c>
      <c r="H19" s="297" t="e">
        <f t="shared" si="49"/>
        <v>#VALUE!</v>
      </c>
      <c r="I19" s="291" t="e">
        <f t="shared" si="47"/>
        <v>#VALUE!</v>
      </c>
      <c r="J19" s="421" t="e">
        <f t="shared" si="44"/>
        <v>#VALUE!</v>
      </c>
      <c r="K19" s="423" t="e">
        <f t="shared" si="48"/>
        <v>#VALUE!</v>
      </c>
      <c r="L19" s="510" t="str">
        <f>'Cascading Cap Cost &amp; Savings'!L15</f>
        <v/>
      </c>
      <c r="M19" s="225">
        <f>'Cascading Savings'!D18</f>
        <v>0</v>
      </c>
      <c r="N19" s="225">
        <f>'Cascading Savings'!H18+'Cascading Savings'!F18+'Cascading Savings'!J18</f>
        <v>0</v>
      </c>
      <c r="P19" s="434" t="e">
        <f t="shared" si="42"/>
        <v>#VALUE!</v>
      </c>
      <c r="Q19" s="434">
        <f t="shared" si="43"/>
        <v>0</v>
      </c>
      <c r="R19" s="434">
        <f t="shared" si="1"/>
        <v>0</v>
      </c>
      <c r="S19" s="434">
        <f t="shared" si="2"/>
        <v>0</v>
      </c>
      <c r="T19" s="434">
        <f t="shared" si="3"/>
        <v>0</v>
      </c>
      <c r="U19" s="434">
        <f t="shared" si="4"/>
        <v>0</v>
      </c>
      <c r="V19" s="434">
        <f t="shared" si="5"/>
        <v>0</v>
      </c>
      <c r="W19" s="434">
        <f t="shared" si="6"/>
        <v>0</v>
      </c>
      <c r="X19" s="434">
        <f t="shared" si="7"/>
        <v>0</v>
      </c>
      <c r="Y19" s="434">
        <f t="shared" si="8"/>
        <v>0</v>
      </c>
      <c r="Z19" s="434">
        <f t="shared" si="9"/>
        <v>0</v>
      </c>
      <c r="AA19" s="434">
        <f t="shared" si="10"/>
        <v>0</v>
      </c>
      <c r="AB19" s="434">
        <f t="shared" si="11"/>
        <v>0</v>
      </c>
      <c r="AC19" s="434">
        <f t="shared" si="12"/>
        <v>0</v>
      </c>
      <c r="AD19" s="434">
        <f t="shared" si="13"/>
        <v>0</v>
      </c>
      <c r="AE19" s="434">
        <f t="shared" si="14"/>
        <v>0</v>
      </c>
      <c r="AF19" s="434">
        <f t="shared" si="15"/>
        <v>0</v>
      </c>
      <c r="AG19" s="434">
        <f t="shared" si="16"/>
        <v>0</v>
      </c>
      <c r="AH19" s="434">
        <f t="shared" si="17"/>
        <v>0</v>
      </c>
      <c r="AI19" s="434">
        <f t="shared" si="18"/>
        <v>0</v>
      </c>
      <c r="AJ19" s="434">
        <f t="shared" si="19"/>
        <v>0</v>
      </c>
      <c r="AK19" s="434">
        <f t="shared" si="20"/>
        <v>0</v>
      </c>
      <c r="AL19" s="434">
        <f t="shared" si="21"/>
        <v>0</v>
      </c>
      <c r="AM19" s="434">
        <f t="shared" si="22"/>
        <v>0</v>
      </c>
      <c r="AN19" s="434">
        <f t="shared" si="23"/>
        <v>0</v>
      </c>
      <c r="AO19" s="434">
        <f t="shared" si="24"/>
        <v>0</v>
      </c>
      <c r="AP19" s="434">
        <f t="shared" si="25"/>
        <v>0</v>
      </c>
      <c r="AQ19" s="434">
        <f t="shared" si="26"/>
        <v>0</v>
      </c>
      <c r="AR19" s="434">
        <f t="shared" si="27"/>
        <v>0</v>
      </c>
      <c r="AS19" s="434">
        <f t="shared" si="28"/>
        <v>0</v>
      </c>
      <c r="AT19" s="434">
        <f t="shared" si="29"/>
        <v>0</v>
      </c>
      <c r="AU19" s="434">
        <f t="shared" si="30"/>
        <v>0</v>
      </c>
      <c r="AV19" s="434">
        <f t="shared" si="31"/>
        <v>0</v>
      </c>
      <c r="AW19" s="434">
        <f t="shared" si="32"/>
        <v>0</v>
      </c>
      <c r="AX19" s="434">
        <f t="shared" si="33"/>
        <v>0</v>
      </c>
      <c r="AY19" s="434">
        <f t="shared" si="34"/>
        <v>0</v>
      </c>
      <c r="AZ19" s="434">
        <f t="shared" si="35"/>
        <v>0</v>
      </c>
      <c r="BA19" s="434">
        <f t="shared" si="36"/>
        <v>0</v>
      </c>
      <c r="BB19" s="434">
        <f t="shared" si="37"/>
        <v>0</v>
      </c>
      <c r="BC19" s="434">
        <f t="shared" si="38"/>
        <v>0</v>
      </c>
      <c r="BD19" s="434">
        <f t="shared" si="39"/>
        <v>0</v>
      </c>
    </row>
    <row r="20" spans="1:56" s="148" customFormat="1" ht="24.75" customHeight="1" x14ac:dyDescent="0.4">
      <c r="A20" s="313" t="str">
        <f>'EEM Data Entry'!A98</f>
        <v/>
      </c>
      <c r="B20" s="505" t="str">
        <f>IF('Cascading Cap Cost &amp; Savings'!B58="  ","  ", 'Cascading Cap Cost &amp; Savings'!B16)</f>
        <v/>
      </c>
      <c r="C20" s="303" t="str">
        <f>'Cascading Cap Cost &amp; Savings'!C16</f>
        <v/>
      </c>
      <c r="D20" s="303">
        <v>0</v>
      </c>
      <c r="E20" s="303" t="e">
        <f t="shared" si="46"/>
        <v>#VALUE!</v>
      </c>
      <c r="F20" s="506">
        <f>('Cascading Savings'!D19*'Cascading Savings'!D$4)+('Cascading Savings'!F19*'Cascading Savings'!F$4)+('Cascading Savings'!H19*'Cascading Savings'!H$4)+('Cascading Savings'!J19*'Cascading Savings'!J$4)+('Cascading Savings'!L19*'Cascading Savings'!L$4)+('Cascading Savings'!N19*'Cascading Savings'!N$4)+('Cascading Savings'!P19*'Cascading Savings'!P$4)+('Cascading Savings'!R19*'Cascading Savings'!R$4)</f>
        <v>0</v>
      </c>
      <c r="G20" s="314">
        <f>'Cascading Savings'!T19</f>
        <v>0</v>
      </c>
      <c r="H20" s="304" t="e">
        <f t="shared" si="49"/>
        <v>#VALUE!</v>
      </c>
      <c r="I20" s="305" t="e">
        <f t="shared" si="47"/>
        <v>#VALUE!</v>
      </c>
      <c r="J20" s="507" t="e">
        <f t="shared" si="44"/>
        <v>#VALUE!</v>
      </c>
      <c r="K20" s="508" t="e">
        <f t="shared" si="48"/>
        <v>#VALUE!</v>
      </c>
      <c r="L20" s="511" t="str">
        <f>'Cascading Cap Cost &amp; Savings'!L16</f>
        <v/>
      </c>
      <c r="M20" s="225">
        <f>'Cascading Savings'!D19</f>
        <v>0</v>
      </c>
      <c r="N20" s="225">
        <f>'Cascading Savings'!H19+'Cascading Savings'!F19+'Cascading Savings'!J19</f>
        <v>0</v>
      </c>
      <c r="P20" s="434" t="e">
        <f t="shared" si="42"/>
        <v>#VALUE!</v>
      </c>
      <c r="Q20" s="434">
        <f t="shared" si="43"/>
        <v>0</v>
      </c>
      <c r="R20" s="434">
        <f t="shared" si="1"/>
        <v>0</v>
      </c>
      <c r="S20" s="434">
        <f t="shared" si="2"/>
        <v>0</v>
      </c>
      <c r="T20" s="434">
        <f t="shared" si="3"/>
        <v>0</v>
      </c>
      <c r="U20" s="434">
        <f t="shared" si="4"/>
        <v>0</v>
      </c>
      <c r="V20" s="434">
        <f t="shared" si="5"/>
        <v>0</v>
      </c>
      <c r="W20" s="434">
        <f t="shared" si="6"/>
        <v>0</v>
      </c>
      <c r="X20" s="434">
        <f t="shared" si="7"/>
        <v>0</v>
      </c>
      <c r="Y20" s="434">
        <f t="shared" si="8"/>
        <v>0</v>
      </c>
      <c r="Z20" s="434">
        <f t="shared" si="9"/>
        <v>0</v>
      </c>
      <c r="AA20" s="434">
        <f t="shared" si="10"/>
        <v>0</v>
      </c>
      <c r="AB20" s="434">
        <f t="shared" si="11"/>
        <v>0</v>
      </c>
      <c r="AC20" s="434">
        <f t="shared" si="12"/>
        <v>0</v>
      </c>
      <c r="AD20" s="434">
        <f t="shared" si="13"/>
        <v>0</v>
      </c>
      <c r="AE20" s="434">
        <f t="shared" si="14"/>
        <v>0</v>
      </c>
      <c r="AF20" s="434">
        <f t="shared" si="15"/>
        <v>0</v>
      </c>
      <c r="AG20" s="434">
        <f t="shared" si="16"/>
        <v>0</v>
      </c>
      <c r="AH20" s="434">
        <f t="shared" si="17"/>
        <v>0</v>
      </c>
      <c r="AI20" s="434">
        <f t="shared" si="18"/>
        <v>0</v>
      </c>
      <c r="AJ20" s="434">
        <f t="shared" si="19"/>
        <v>0</v>
      </c>
      <c r="AK20" s="434">
        <f t="shared" si="20"/>
        <v>0</v>
      </c>
      <c r="AL20" s="434">
        <f t="shared" si="21"/>
        <v>0</v>
      </c>
      <c r="AM20" s="434">
        <f t="shared" si="22"/>
        <v>0</v>
      </c>
      <c r="AN20" s="434">
        <f t="shared" si="23"/>
        <v>0</v>
      </c>
      <c r="AO20" s="434">
        <f t="shared" si="24"/>
        <v>0</v>
      </c>
      <c r="AP20" s="434">
        <f t="shared" si="25"/>
        <v>0</v>
      </c>
      <c r="AQ20" s="434">
        <f t="shared" si="26"/>
        <v>0</v>
      </c>
      <c r="AR20" s="434">
        <f t="shared" si="27"/>
        <v>0</v>
      </c>
      <c r="AS20" s="434">
        <f t="shared" si="28"/>
        <v>0</v>
      </c>
      <c r="AT20" s="434">
        <f t="shared" si="29"/>
        <v>0</v>
      </c>
      <c r="AU20" s="434">
        <f t="shared" si="30"/>
        <v>0</v>
      </c>
      <c r="AV20" s="434">
        <f t="shared" si="31"/>
        <v>0</v>
      </c>
      <c r="AW20" s="434">
        <f t="shared" si="32"/>
        <v>0</v>
      </c>
      <c r="AX20" s="434">
        <f t="shared" si="33"/>
        <v>0</v>
      </c>
      <c r="AY20" s="434">
        <f t="shared" si="34"/>
        <v>0</v>
      </c>
      <c r="AZ20" s="434">
        <f t="shared" si="35"/>
        <v>0</v>
      </c>
      <c r="BA20" s="434">
        <f t="shared" si="36"/>
        <v>0</v>
      </c>
      <c r="BB20" s="434">
        <f t="shared" si="37"/>
        <v>0</v>
      </c>
      <c r="BC20" s="434">
        <f t="shared" si="38"/>
        <v>0</v>
      </c>
      <c r="BD20" s="434">
        <f t="shared" si="39"/>
        <v>0</v>
      </c>
    </row>
    <row r="21" spans="1:56" s="148" customFormat="1" ht="24.75" customHeight="1" x14ac:dyDescent="0.4">
      <c r="A21" s="294" t="str">
        <f>'EEM Data Entry'!A99</f>
        <v/>
      </c>
      <c r="B21" s="500" t="str">
        <f>IF('Cascading Cap Cost &amp; Savings'!B59="  ","  ", 'Cascading Cap Cost &amp; Savings'!B17)</f>
        <v/>
      </c>
      <c r="C21" s="288" t="str">
        <f>'Cascading Cap Cost &amp; Savings'!C17</f>
        <v/>
      </c>
      <c r="D21" s="296">
        <v>0</v>
      </c>
      <c r="E21" s="288" t="e">
        <f t="shared" si="46"/>
        <v>#VALUE!</v>
      </c>
      <c r="F21" s="501">
        <f>('Cascading Savings'!D20*'Cascading Savings'!D$4)+('Cascading Savings'!F20*'Cascading Savings'!F$4)+('Cascading Savings'!H20*'Cascading Savings'!H$4)+('Cascading Savings'!J20*'Cascading Savings'!J$4)+('Cascading Savings'!L20*'Cascading Savings'!L$4)+('Cascading Savings'!N20*'Cascading Savings'!N$4)+('Cascading Savings'!P20*'Cascading Savings'!P$4)+('Cascading Savings'!R20*'Cascading Savings'!R$4)</f>
        <v>0</v>
      </c>
      <c r="G21" s="301">
        <f>'Cascading Savings'!T20</f>
        <v>0</v>
      </c>
      <c r="H21" s="297" t="e">
        <f t="shared" si="49"/>
        <v>#VALUE!</v>
      </c>
      <c r="I21" s="291" t="e">
        <f t="shared" si="47"/>
        <v>#VALUE!</v>
      </c>
      <c r="J21" s="421" t="e">
        <f t="shared" si="44"/>
        <v>#VALUE!</v>
      </c>
      <c r="K21" s="423" t="e">
        <f t="shared" si="48"/>
        <v>#VALUE!</v>
      </c>
      <c r="L21" s="510" t="str">
        <f>'Cascading Cap Cost &amp; Savings'!L17</f>
        <v/>
      </c>
      <c r="M21" s="225">
        <f>'Cascading Savings'!D20</f>
        <v>0</v>
      </c>
      <c r="N21" s="225">
        <f>'Cascading Savings'!H20+'Cascading Savings'!F20+'Cascading Savings'!J20</f>
        <v>0</v>
      </c>
      <c r="P21" s="434" t="e">
        <f t="shared" si="42"/>
        <v>#VALUE!</v>
      </c>
      <c r="Q21" s="434">
        <f t="shared" si="43"/>
        <v>0</v>
      </c>
      <c r="R21" s="434">
        <f t="shared" si="1"/>
        <v>0</v>
      </c>
      <c r="S21" s="434">
        <f t="shared" si="2"/>
        <v>0</v>
      </c>
      <c r="T21" s="434">
        <f t="shared" si="3"/>
        <v>0</v>
      </c>
      <c r="U21" s="434">
        <f t="shared" si="4"/>
        <v>0</v>
      </c>
      <c r="V21" s="434">
        <f t="shared" si="5"/>
        <v>0</v>
      </c>
      <c r="W21" s="434">
        <f t="shared" si="6"/>
        <v>0</v>
      </c>
      <c r="X21" s="434">
        <f t="shared" si="7"/>
        <v>0</v>
      </c>
      <c r="Y21" s="434">
        <f t="shared" si="8"/>
        <v>0</v>
      </c>
      <c r="Z21" s="434">
        <f t="shared" si="9"/>
        <v>0</v>
      </c>
      <c r="AA21" s="434">
        <f t="shared" si="10"/>
        <v>0</v>
      </c>
      <c r="AB21" s="434">
        <f t="shared" si="11"/>
        <v>0</v>
      </c>
      <c r="AC21" s="434">
        <f t="shared" si="12"/>
        <v>0</v>
      </c>
      <c r="AD21" s="434">
        <f t="shared" si="13"/>
        <v>0</v>
      </c>
      <c r="AE21" s="434">
        <f t="shared" si="14"/>
        <v>0</v>
      </c>
      <c r="AF21" s="434">
        <f t="shared" si="15"/>
        <v>0</v>
      </c>
      <c r="AG21" s="434">
        <f t="shared" si="16"/>
        <v>0</v>
      </c>
      <c r="AH21" s="434">
        <f t="shared" si="17"/>
        <v>0</v>
      </c>
      <c r="AI21" s="434">
        <f t="shared" si="18"/>
        <v>0</v>
      </c>
      <c r="AJ21" s="434">
        <f t="shared" si="19"/>
        <v>0</v>
      </c>
      <c r="AK21" s="434">
        <f t="shared" si="20"/>
        <v>0</v>
      </c>
      <c r="AL21" s="434">
        <f t="shared" si="21"/>
        <v>0</v>
      </c>
      <c r="AM21" s="434">
        <f t="shared" si="22"/>
        <v>0</v>
      </c>
      <c r="AN21" s="434">
        <f t="shared" si="23"/>
        <v>0</v>
      </c>
      <c r="AO21" s="434">
        <f t="shared" si="24"/>
        <v>0</v>
      </c>
      <c r="AP21" s="434">
        <f t="shared" si="25"/>
        <v>0</v>
      </c>
      <c r="AQ21" s="434">
        <f t="shared" si="26"/>
        <v>0</v>
      </c>
      <c r="AR21" s="434">
        <f t="shared" si="27"/>
        <v>0</v>
      </c>
      <c r="AS21" s="434">
        <f t="shared" si="28"/>
        <v>0</v>
      </c>
      <c r="AT21" s="434">
        <f t="shared" si="29"/>
        <v>0</v>
      </c>
      <c r="AU21" s="434">
        <f t="shared" si="30"/>
        <v>0</v>
      </c>
      <c r="AV21" s="434">
        <f t="shared" si="31"/>
        <v>0</v>
      </c>
      <c r="AW21" s="434">
        <f t="shared" si="32"/>
        <v>0</v>
      </c>
      <c r="AX21" s="434">
        <f t="shared" si="33"/>
        <v>0</v>
      </c>
      <c r="AY21" s="434">
        <f t="shared" si="34"/>
        <v>0</v>
      </c>
      <c r="AZ21" s="434">
        <f t="shared" si="35"/>
        <v>0</v>
      </c>
      <c r="BA21" s="434">
        <f t="shared" si="36"/>
        <v>0</v>
      </c>
      <c r="BB21" s="434">
        <f t="shared" si="37"/>
        <v>0</v>
      </c>
      <c r="BC21" s="434">
        <f t="shared" si="38"/>
        <v>0</v>
      </c>
      <c r="BD21" s="434">
        <f t="shared" si="39"/>
        <v>0</v>
      </c>
    </row>
    <row r="22" spans="1:56" s="148" customFormat="1" ht="24.75" customHeight="1" x14ac:dyDescent="0.4">
      <c r="A22" s="313" t="str">
        <f>'EEM Data Entry'!A100</f>
        <v/>
      </c>
      <c r="B22" s="505" t="str">
        <f>IF('Cascading Cap Cost &amp; Savings'!B60="  ","  ", 'Cascading Cap Cost &amp; Savings'!B18)</f>
        <v/>
      </c>
      <c r="C22" s="303" t="str">
        <f>'Cascading Cap Cost &amp; Savings'!C18</f>
        <v/>
      </c>
      <c r="D22" s="303">
        <v>0</v>
      </c>
      <c r="E22" s="303" t="e">
        <f t="shared" si="46"/>
        <v>#VALUE!</v>
      </c>
      <c r="F22" s="506">
        <f>('Cascading Savings'!D21*'Cascading Savings'!D$4)+('Cascading Savings'!F21*'Cascading Savings'!F$4)+('Cascading Savings'!H21*'Cascading Savings'!H$4)+('Cascading Savings'!J21*'Cascading Savings'!J$4)+('Cascading Savings'!L21*'Cascading Savings'!L$4)+('Cascading Savings'!N21*'Cascading Savings'!N$4)+('Cascading Savings'!P21*'Cascading Savings'!P$4)+('Cascading Savings'!R21*'Cascading Savings'!R$4)</f>
        <v>0</v>
      </c>
      <c r="G22" s="314">
        <f>'Cascading Savings'!T21</f>
        <v>0</v>
      </c>
      <c r="H22" s="304" t="e">
        <f t="shared" si="49"/>
        <v>#VALUE!</v>
      </c>
      <c r="I22" s="305" t="e">
        <f t="shared" si="47"/>
        <v>#VALUE!</v>
      </c>
      <c r="J22" s="507" t="e">
        <f t="shared" si="44"/>
        <v>#VALUE!</v>
      </c>
      <c r="K22" s="508" t="e">
        <f t="shared" si="48"/>
        <v>#VALUE!</v>
      </c>
      <c r="L22" s="511" t="str">
        <f>'Cascading Cap Cost &amp; Savings'!L18</f>
        <v/>
      </c>
      <c r="M22" s="225">
        <f>'Cascading Savings'!D21</f>
        <v>0</v>
      </c>
      <c r="N22" s="225">
        <f>'Cascading Savings'!H21+'Cascading Savings'!F21+'Cascading Savings'!J21</f>
        <v>0</v>
      </c>
      <c r="P22" s="434" t="e">
        <f t="shared" si="42"/>
        <v>#VALUE!</v>
      </c>
      <c r="Q22" s="434">
        <f t="shared" si="43"/>
        <v>0</v>
      </c>
      <c r="R22" s="434">
        <f t="shared" si="1"/>
        <v>0</v>
      </c>
      <c r="S22" s="434">
        <f t="shared" si="2"/>
        <v>0</v>
      </c>
      <c r="T22" s="434">
        <f t="shared" si="3"/>
        <v>0</v>
      </c>
      <c r="U22" s="434">
        <f t="shared" si="4"/>
        <v>0</v>
      </c>
      <c r="V22" s="434">
        <f t="shared" si="5"/>
        <v>0</v>
      </c>
      <c r="W22" s="434">
        <f t="shared" si="6"/>
        <v>0</v>
      </c>
      <c r="X22" s="434">
        <f t="shared" si="7"/>
        <v>0</v>
      </c>
      <c r="Y22" s="434">
        <f t="shared" si="8"/>
        <v>0</v>
      </c>
      <c r="Z22" s="434">
        <f t="shared" si="9"/>
        <v>0</v>
      </c>
      <c r="AA22" s="434">
        <f t="shared" si="10"/>
        <v>0</v>
      </c>
      <c r="AB22" s="434">
        <f t="shared" si="11"/>
        <v>0</v>
      </c>
      <c r="AC22" s="434">
        <f t="shared" si="12"/>
        <v>0</v>
      </c>
      <c r="AD22" s="434">
        <f t="shared" si="13"/>
        <v>0</v>
      </c>
      <c r="AE22" s="434">
        <f t="shared" si="14"/>
        <v>0</v>
      </c>
      <c r="AF22" s="434">
        <f t="shared" si="15"/>
        <v>0</v>
      </c>
      <c r="AG22" s="434">
        <f t="shared" si="16"/>
        <v>0</v>
      </c>
      <c r="AH22" s="434">
        <f t="shared" si="17"/>
        <v>0</v>
      </c>
      <c r="AI22" s="434">
        <f t="shared" si="18"/>
        <v>0</v>
      </c>
      <c r="AJ22" s="434">
        <f t="shared" si="19"/>
        <v>0</v>
      </c>
      <c r="AK22" s="434">
        <f t="shared" si="20"/>
        <v>0</v>
      </c>
      <c r="AL22" s="434">
        <f t="shared" si="21"/>
        <v>0</v>
      </c>
      <c r="AM22" s="434">
        <f t="shared" si="22"/>
        <v>0</v>
      </c>
      <c r="AN22" s="434">
        <f t="shared" si="23"/>
        <v>0</v>
      </c>
      <c r="AO22" s="434">
        <f t="shared" si="24"/>
        <v>0</v>
      </c>
      <c r="AP22" s="434">
        <f t="shared" si="25"/>
        <v>0</v>
      </c>
      <c r="AQ22" s="434">
        <f t="shared" si="26"/>
        <v>0</v>
      </c>
      <c r="AR22" s="434">
        <f t="shared" si="27"/>
        <v>0</v>
      </c>
      <c r="AS22" s="434">
        <f t="shared" si="28"/>
        <v>0</v>
      </c>
      <c r="AT22" s="434">
        <f t="shared" si="29"/>
        <v>0</v>
      </c>
      <c r="AU22" s="434">
        <f t="shared" si="30"/>
        <v>0</v>
      </c>
      <c r="AV22" s="434">
        <f t="shared" si="31"/>
        <v>0</v>
      </c>
      <c r="AW22" s="434">
        <f t="shared" si="32"/>
        <v>0</v>
      </c>
      <c r="AX22" s="434">
        <f t="shared" si="33"/>
        <v>0</v>
      </c>
      <c r="AY22" s="434">
        <f t="shared" si="34"/>
        <v>0</v>
      </c>
      <c r="AZ22" s="434">
        <f t="shared" si="35"/>
        <v>0</v>
      </c>
      <c r="BA22" s="434">
        <f t="shared" si="36"/>
        <v>0</v>
      </c>
      <c r="BB22" s="434">
        <f t="shared" si="37"/>
        <v>0</v>
      </c>
      <c r="BC22" s="434">
        <f t="shared" si="38"/>
        <v>0</v>
      </c>
      <c r="BD22" s="434">
        <f t="shared" si="39"/>
        <v>0</v>
      </c>
    </row>
    <row r="23" spans="1:56" s="148" customFormat="1" ht="24.75" customHeight="1" x14ac:dyDescent="0.4">
      <c r="A23" s="294" t="str">
        <f>'EEM Data Entry'!A101</f>
        <v/>
      </c>
      <c r="B23" s="500" t="str">
        <f>IF('Cascading Cap Cost &amp; Savings'!B61="  ","  ", 'Cascading Cap Cost &amp; Savings'!B19)</f>
        <v/>
      </c>
      <c r="C23" s="288" t="str">
        <f>'Cascading Cap Cost &amp; Savings'!C19</f>
        <v/>
      </c>
      <c r="D23" s="296">
        <v>0</v>
      </c>
      <c r="E23" s="288" t="e">
        <f t="shared" si="46"/>
        <v>#VALUE!</v>
      </c>
      <c r="F23" s="501">
        <f>('Cascading Savings'!D22*'Cascading Savings'!D$4)+('Cascading Savings'!F22*'Cascading Savings'!F$4)+('Cascading Savings'!H22*'Cascading Savings'!H$4)+('Cascading Savings'!J22*'Cascading Savings'!J$4)+('Cascading Savings'!L22*'Cascading Savings'!L$4)+('Cascading Savings'!N22*'Cascading Savings'!N$4)+('Cascading Savings'!P22*'Cascading Savings'!P$4)+('Cascading Savings'!R22*'Cascading Savings'!R$4)</f>
        <v>0</v>
      </c>
      <c r="G23" s="301">
        <f>'Cascading Savings'!T22</f>
        <v>0</v>
      </c>
      <c r="H23" s="297" t="e">
        <f t="shared" si="49"/>
        <v>#VALUE!</v>
      </c>
      <c r="I23" s="291" t="e">
        <f t="shared" si="47"/>
        <v>#VALUE!</v>
      </c>
      <c r="J23" s="421" t="e">
        <f t="shared" si="44"/>
        <v>#VALUE!</v>
      </c>
      <c r="K23" s="423" t="e">
        <f t="shared" si="48"/>
        <v>#VALUE!</v>
      </c>
      <c r="L23" s="510" t="str">
        <f>'Cascading Cap Cost &amp; Savings'!L19</f>
        <v/>
      </c>
      <c r="M23" s="225">
        <f>'Cascading Savings'!D22</f>
        <v>0</v>
      </c>
      <c r="N23" s="225">
        <f>'Cascading Savings'!H22+'Cascading Savings'!F22+'Cascading Savings'!J22</f>
        <v>0</v>
      </c>
      <c r="P23" s="434" t="e">
        <f t="shared" si="42"/>
        <v>#VALUE!</v>
      </c>
      <c r="Q23" s="434">
        <f t="shared" si="43"/>
        <v>0</v>
      </c>
      <c r="R23" s="434">
        <f t="shared" ref="R23:R29" si="50">Q23*1.05</f>
        <v>0</v>
      </c>
      <c r="S23" s="434">
        <f t="shared" si="2"/>
        <v>0</v>
      </c>
      <c r="T23" s="434">
        <f t="shared" si="3"/>
        <v>0</v>
      </c>
      <c r="U23" s="434">
        <f t="shared" si="4"/>
        <v>0</v>
      </c>
      <c r="V23" s="434">
        <f t="shared" si="5"/>
        <v>0</v>
      </c>
      <c r="W23" s="434">
        <f t="shared" si="6"/>
        <v>0</v>
      </c>
      <c r="X23" s="434">
        <f t="shared" si="7"/>
        <v>0</v>
      </c>
      <c r="Y23" s="434">
        <f t="shared" si="8"/>
        <v>0</v>
      </c>
      <c r="Z23" s="434">
        <f t="shared" si="9"/>
        <v>0</v>
      </c>
      <c r="AA23" s="434">
        <f t="shared" si="10"/>
        <v>0</v>
      </c>
      <c r="AB23" s="434">
        <f t="shared" si="11"/>
        <v>0</v>
      </c>
      <c r="AC23" s="434">
        <f t="shared" si="12"/>
        <v>0</v>
      </c>
      <c r="AD23" s="434">
        <f t="shared" si="13"/>
        <v>0</v>
      </c>
      <c r="AE23" s="434">
        <f t="shared" si="14"/>
        <v>0</v>
      </c>
      <c r="AF23" s="434">
        <f t="shared" si="15"/>
        <v>0</v>
      </c>
      <c r="AG23" s="434">
        <f t="shared" si="16"/>
        <v>0</v>
      </c>
      <c r="AH23" s="434">
        <f t="shared" si="17"/>
        <v>0</v>
      </c>
      <c r="AI23" s="434">
        <f t="shared" si="18"/>
        <v>0</v>
      </c>
      <c r="AJ23" s="434">
        <f t="shared" si="19"/>
        <v>0</v>
      </c>
      <c r="AK23" s="434">
        <f t="shared" si="20"/>
        <v>0</v>
      </c>
      <c r="AL23" s="434">
        <f t="shared" si="21"/>
        <v>0</v>
      </c>
      <c r="AM23" s="434">
        <f t="shared" si="22"/>
        <v>0</v>
      </c>
      <c r="AN23" s="434">
        <f t="shared" si="23"/>
        <v>0</v>
      </c>
      <c r="AO23" s="434">
        <f t="shared" si="24"/>
        <v>0</v>
      </c>
      <c r="AP23" s="434">
        <f t="shared" si="25"/>
        <v>0</v>
      </c>
      <c r="AQ23" s="434">
        <f t="shared" si="26"/>
        <v>0</v>
      </c>
      <c r="AR23" s="434">
        <f t="shared" si="27"/>
        <v>0</v>
      </c>
      <c r="AS23" s="434">
        <f t="shared" si="28"/>
        <v>0</v>
      </c>
      <c r="AT23" s="434">
        <f t="shared" si="29"/>
        <v>0</v>
      </c>
      <c r="AU23" s="434">
        <f t="shared" si="30"/>
        <v>0</v>
      </c>
      <c r="AV23" s="434">
        <f t="shared" si="31"/>
        <v>0</v>
      </c>
      <c r="AW23" s="434">
        <f t="shared" si="32"/>
        <v>0</v>
      </c>
      <c r="AX23" s="434">
        <f t="shared" si="33"/>
        <v>0</v>
      </c>
      <c r="AY23" s="434">
        <f t="shared" si="34"/>
        <v>0</v>
      </c>
      <c r="AZ23" s="434">
        <f t="shared" si="35"/>
        <v>0</v>
      </c>
      <c r="BA23" s="434">
        <f t="shared" si="36"/>
        <v>0</v>
      </c>
      <c r="BB23" s="434">
        <f t="shared" si="37"/>
        <v>0</v>
      </c>
      <c r="BC23" s="434">
        <f t="shared" si="38"/>
        <v>0</v>
      </c>
      <c r="BD23" s="434">
        <f t="shared" si="39"/>
        <v>0</v>
      </c>
    </row>
    <row r="24" spans="1:56" s="148" customFormat="1" ht="24.75" customHeight="1" x14ac:dyDescent="0.4">
      <c r="A24" s="313" t="str">
        <f>'EEM Data Entry'!A102</f>
        <v/>
      </c>
      <c r="B24" s="505" t="str">
        <f>IF('Cascading Cap Cost &amp; Savings'!B62="  ","  ", 'Cascading Cap Cost &amp; Savings'!B20)</f>
        <v/>
      </c>
      <c r="C24" s="303" t="str">
        <f>'Cascading Cap Cost &amp; Savings'!C20</f>
        <v/>
      </c>
      <c r="D24" s="303">
        <v>0</v>
      </c>
      <c r="E24" s="303" t="e">
        <f t="shared" si="46"/>
        <v>#VALUE!</v>
      </c>
      <c r="F24" s="506">
        <f>('Cascading Savings'!D23*'Cascading Savings'!D$4)+('Cascading Savings'!F23*'Cascading Savings'!F$4)+('Cascading Savings'!H23*'Cascading Savings'!H$4)+('Cascading Savings'!J23*'Cascading Savings'!J$4)+('Cascading Savings'!L23*'Cascading Savings'!L$4)+('Cascading Savings'!N23*'Cascading Savings'!N$4)+('Cascading Savings'!P23*'Cascading Savings'!P$4)+('Cascading Savings'!R23*'Cascading Savings'!R$4)</f>
        <v>0</v>
      </c>
      <c r="G24" s="314">
        <f>'Cascading Savings'!T23</f>
        <v>0</v>
      </c>
      <c r="H24" s="304" t="e">
        <f t="shared" si="49"/>
        <v>#VALUE!</v>
      </c>
      <c r="I24" s="305" t="e">
        <f t="shared" si="47"/>
        <v>#VALUE!</v>
      </c>
      <c r="J24" s="507" t="e">
        <f t="shared" si="44"/>
        <v>#VALUE!</v>
      </c>
      <c r="K24" s="508" t="e">
        <f t="shared" si="48"/>
        <v>#VALUE!</v>
      </c>
      <c r="L24" s="511" t="str">
        <f>'Cascading Cap Cost &amp; Savings'!L20</f>
        <v/>
      </c>
      <c r="M24" s="225">
        <f>'Cascading Savings'!D23</f>
        <v>0</v>
      </c>
      <c r="N24" s="225">
        <f>'Cascading Savings'!H23+'Cascading Savings'!F23+'Cascading Savings'!J23</f>
        <v>0</v>
      </c>
      <c r="P24" s="434" t="e">
        <f t="shared" si="42"/>
        <v>#VALUE!</v>
      </c>
      <c r="Q24" s="434">
        <f t="shared" si="43"/>
        <v>0</v>
      </c>
      <c r="R24" s="434">
        <f t="shared" si="50"/>
        <v>0</v>
      </c>
      <c r="S24" s="434">
        <f t="shared" si="2"/>
        <v>0</v>
      </c>
      <c r="T24" s="434">
        <f t="shared" si="3"/>
        <v>0</v>
      </c>
      <c r="U24" s="434">
        <f t="shared" si="4"/>
        <v>0</v>
      </c>
      <c r="V24" s="434">
        <f t="shared" si="5"/>
        <v>0</v>
      </c>
      <c r="W24" s="434">
        <f t="shared" si="6"/>
        <v>0</v>
      </c>
      <c r="X24" s="434">
        <f t="shared" si="7"/>
        <v>0</v>
      </c>
      <c r="Y24" s="434">
        <f t="shared" si="8"/>
        <v>0</v>
      </c>
      <c r="Z24" s="434">
        <f t="shared" si="9"/>
        <v>0</v>
      </c>
      <c r="AA24" s="434">
        <f t="shared" si="10"/>
        <v>0</v>
      </c>
      <c r="AB24" s="434">
        <f t="shared" si="11"/>
        <v>0</v>
      </c>
      <c r="AC24" s="434">
        <f t="shared" si="12"/>
        <v>0</v>
      </c>
      <c r="AD24" s="434">
        <f t="shared" si="13"/>
        <v>0</v>
      </c>
      <c r="AE24" s="434">
        <f t="shared" si="14"/>
        <v>0</v>
      </c>
      <c r="AF24" s="434">
        <f t="shared" si="15"/>
        <v>0</v>
      </c>
      <c r="AG24" s="434">
        <f t="shared" si="16"/>
        <v>0</v>
      </c>
      <c r="AH24" s="434">
        <f t="shared" si="17"/>
        <v>0</v>
      </c>
      <c r="AI24" s="434">
        <f t="shared" si="18"/>
        <v>0</v>
      </c>
      <c r="AJ24" s="434">
        <f t="shared" si="19"/>
        <v>0</v>
      </c>
      <c r="AK24" s="434">
        <f t="shared" si="20"/>
        <v>0</v>
      </c>
      <c r="AL24" s="434">
        <f t="shared" si="21"/>
        <v>0</v>
      </c>
      <c r="AM24" s="434">
        <f t="shared" si="22"/>
        <v>0</v>
      </c>
      <c r="AN24" s="434">
        <f t="shared" si="23"/>
        <v>0</v>
      </c>
      <c r="AO24" s="434">
        <f t="shared" si="24"/>
        <v>0</v>
      </c>
      <c r="AP24" s="434">
        <f t="shared" si="25"/>
        <v>0</v>
      </c>
      <c r="AQ24" s="434">
        <f t="shared" si="26"/>
        <v>0</v>
      </c>
      <c r="AR24" s="434">
        <f t="shared" si="27"/>
        <v>0</v>
      </c>
      <c r="AS24" s="434">
        <f t="shared" si="28"/>
        <v>0</v>
      </c>
      <c r="AT24" s="434">
        <f t="shared" si="29"/>
        <v>0</v>
      </c>
      <c r="AU24" s="434">
        <f t="shared" si="30"/>
        <v>0</v>
      </c>
      <c r="AV24" s="434">
        <f t="shared" si="31"/>
        <v>0</v>
      </c>
      <c r="AW24" s="434">
        <f t="shared" si="32"/>
        <v>0</v>
      </c>
      <c r="AX24" s="434">
        <f t="shared" si="33"/>
        <v>0</v>
      </c>
      <c r="AY24" s="434">
        <f t="shared" si="34"/>
        <v>0</v>
      </c>
      <c r="AZ24" s="434">
        <f t="shared" si="35"/>
        <v>0</v>
      </c>
      <c r="BA24" s="434">
        <f t="shared" si="36"/>
        <v>0</v>
      </c>
      <c r="BB24" s="434">
        <f t="shared" si="37"/>
        <v>0</v>
      </c>
      <c r="BC24" s="434">
        <f t="shared" si="38"/>
        <v>0</v>
      </c>
      <c r="BD24" s="434">
        <f t="shared" si="39"/>
        <v>0</v>
      </c>
    </row>
    <row r="25" spans="1:56" s="148" customFormat="1" ht="24.75" customHeight="1" x14ac:dyDescent="0.4">
      <c r="A25" s="294" t="str">
        <f>'EEM Data Entry'!A103</f>
        <v/>
      </c>
      <c r="B25" s="500" t="str">
        <f>IF('Cascading Cap Cost &amp; Savings'!B63="  ","  ", 'Cascading Cap Cost &amp; Savings'!B21)</f>
        <v/>
      </c>
      <c r="C25" s="288" t="str">
        <f>'Cascading Cap Cost &amp; Savings'!C21</f>
        <v/>
      </c>
      <c r="D25" s="296">
        <v>0</v>
      </c>
      <c r="E25" s="288" t="e">
        <f t="shared" si="46"/>
        <v>#VALUE!</v>
      </c>
      <c r="F25" s="501">
        <f>('Cascading Savings'!D24*'Cascading Savings'!D$4)+('Cascading Savings'!F24*'Cascading Savings'!F$4)+('Cascading Savings'!H24*'Cascading Savings'!H$4)+('Cascading Savings'!J24*'Cascading Savings'!J$4)+('Cascading Savings'!L24*'Cascading Savings'!L$4)+('Cascading Savings'!N24*'Cascading Savings'!N$4)+('Cascading Savings'!P24*'Cascading Savings'!P$4)+('Cascading Savings'!R24*'Cascading Savings'!R$4)</f>
        <v>0</v>
      </c>
      <c r="G25" s="301">
        <f>'Cascading Savings'!T24</f>
        <v>0</v>
      </c>
      <c r="H25" s="297" t="e">
        <f t="shared" si="49"/>
        <v>#VALUE!</v>
      </c>
      <c r="I25" s="291" t="e">
        <f t="shared" si="47"/>
        <v>#VALUE!</v>
      </c>
      <c r="J25" s="421" t="e">
        <f t="shared" si="44"/>
        <v>#VALUE!</v>
      </c>
      <c r="K25" s="423" t="e">
        <f t="shared" si="48"/>
        <v>#VALUE!</v>
      </c>
      <c r="L25" s="510" t="str">
        <f>'Cascading Cap Cost &amp; Savings'!L21</f>
        <v/>
      </c>
      <c r="M25" s="225">
        <f>'Cascading Savings'!D24</f>
        <v>0</v>
      </c>
      <c r="N25" s="225">
        <f>'Cascading Savings'!H24+'Cascading Savings'!F24+'Cascading Savings'!J24</f>
        <v>0</v>
      </c>
      <c r="P25" s="434" t="e">
        <f t="shared" si="42"/>
        <v>#VALUE!</v>
      </c>
      <c r="Q25" s="434">
        <f t="shared" si="43"/>
        <v>0</v>
      </c>
      <c r="R25" s="434">
        <f t="shared" si="50"/>
        <v>0</v>
      </c>
      <c r="S25" s="434">
        <f t="shared" si="2"/>
        <v>0</v>
      </c>
      <c r="T25" s="434">
        <f t="shared" si="3"/>
        <v>0</v>
      </c>
      <c r="U25" s="434">
        <f t="shared" si="4"/>
        <v>0</v>
      </c>
      <c r="V25" s="434">
        <f t="shared" si="5"/>
        <v>0</v>
      </c>
      <c r="W25" s="434">
        <f t="shared" si="6"/>
        <v>0</v>
      </c>
      <c r="X25" s="434">
        <f t="shared" si="7"/>
        <v>0</v>
      </c>
      <c r="Y25" s="434">
        <f t="shared" si="8"/>
        <v>0</v>
      </c>
      <c r="Z25" s="434">
        <f t="shared" si="9"/>
        <v>0</v>
      </c>
      <c r="AA25" s="434">
        <f t="shared" si="10"/>
        <v>0</v>
      </c>
      <c r="AB25" s="434">
        <f t="shared" si="11"/>
        <v>0</v>
      </c>
      <c r="AC25" s="434">
        <f t="shared" si="12"/>
        <v>0</v>
      </c>
      <c r="AD25" s="434">
        <f t="shared" si="13"/>
        <v>0</v>
      </c>
      <c r="AE25" s="434">
        <f t="shared" si="14"/>
        <v>0</v>
      </c>
      <c r="AF25" s="434">
        <f t="shared" si="15"/>
        <v>0</v>
      </c>
      <c r="AG25" s="434">
        <f t="shared" si="16"/>
        <v>0</v>
      </c>
      <c r="AH25" s="434">
        <f t="shared" si="17"/>
        <v>0</v>
      </c>
      <c r="AI25" s="434">
        <f t="shared" si="18"/>
        <v>0</v>
      </c>
      <c r="AJ25" s="434">
        <f t="shared" si="19"/>
        <v>0</v>
      </c>
      <c r="AK25" s="434">
        <f t="shared" si="20"/>
        <v>0</v>
      </c>
      <c r="AL25" s="434">
        <f t="shared" si="21"/>
        <v>0</v>
      </c>
      <c r="AM25" s="434">
        <f t="shared" si="22"/>
        <v>0</v>
      </c>
      <c r="AN25" s="434">
        <f t="shared" si="23"/>
        <v>0</v>
      </c>
      <c r="AO25" s="434">
        <f t="shared" si="24"/>
        <v>0</v>
      </c>
      <c r="AP25" s="434">
        <f t="shared" si="25"/>
        <v>0</v>
      </c>
      <c r="AQ25" s="434">
        <f t="shared" si="26"/>
        <v>0</v>
      </c>
      <c r="AR25" s="434">
        <f t="shared" si="27"/>
        <v>0</v>
      </c>
      <c r="AS25" s="434">
        <f t="shared" si="28"/>
        <v>0</v>
      </c>
      <c r="AT25" s="434">
        <f t="shared" si="29"/>
        <v>0</v>
      </c>
      <c r="AU25" s="434">
        <f t="shared" si="30"/>
        <v>0</v>
      </c>
      <c r="AV25" s="434">
        <f t="shared" si="31"/>
        <v>0</v>
      </c>
      <c r="AW25" s="434">
        <f t="shared" si="32"/>
        <v>0</v>
      </c>
      <c r="AX25" s="434">
        <f t="shared" si="33"/>
        <v>0</v>
      </c>
      <c r="AY25" s="434">
        <f t="shared" si="34"/>
        <v>0</v>
      </c>
      <c r="AZ25" s="434">
        <f t="shared" si="35"/>
        <v>0</v>
      </c>
      <c r="BA25" s="434">
        <f t="shared" si="36"/>
        <v>0</v>
      </c>
      <c r="BB25" s="434">
        <f t="shared" si="37"/>
        <v>0</v>
      </c>
      <c r="BC25" s="434">
        <f t="shared" si="38"/>
        <v>0</v>
      </c>
      <c r="BD25" s="434">
        <f t="shared" si="39"/>
        <v>0</v>
      </c>
    </row>
    <row r="26" spans="1:56" s="148" customFormat="1" ht="24.75" customHeight="1" x14ac:dyDescent="0.4">
      <c r="A26" s="313" t="str">
        <f>'EEM Data Entry'!A104</f>
        <v/>
      </c>
      <c r="B26" s="505" t="str">
        <f>IF('Cascading Cap Cost &amp; Savings'!B64="  ","  ", 'Cascading Cap Cost &amp; Savings'!B22)</f>
        <v/>
      </c>
      <c r="C26" s="303" t="str">
        <f>'Cascading Cap Cost &amp; Savings'!C22</f>
        <v/>
      </c>
      <c r="D26" s="303">
        <v>0</v>
      </c>
      <c r="E26" s="303" t="e">
        <f t="shared" si="46"/>
        <v>#VALUE!</v>
      </c>
      <c r="F26" s="506">
        <f>('Cascading Savings'!D25*'Cascading Savings'!D$4)+('Cascading Savings'!F25*'Cascading Savings'!F$4)+('Cascading Savings'!H25*'Cascading Savings'!H$4)+('Cascading Savings'!J25*'Cascading Savings'!J$4)+('Cascading Savings'!L25*'Cascading Savings'!L$4)+('Cascading Savings'!N25*'Cascading Savings'!N$4)+('Cascading Savings'!P25*'Cascading Savings'!P$4)+('Cascading Savings'!R25*'Cascading Savings'!R$4)</f>
        <v>0</v>
      </c>
      <c r="G26" s="314">
        <f>'Cascading Savings'!T25</f>
        <v>0</v>
      </c>
      <c r="H26" s="304" t="e">
        <f t="shared" si="49"/>
        <v>#VALUE!</v>
      </c>
      <c r="I26" s="305" t="e">
        <f t="shared" si="47"/>
        <v>#VALUE!</v>
      </c>
      <c r="J26" s="507" t="e">
        <f t="shared" si="44"/>
        <v>#VALUE!</v>
      </c>
      <c r="K26" s="508" t="e">
        <f t="shared" si="48"/>
        <v>#VALUE!</v>
      </c>
      <c r="L26" s="511" t="str">
        <f>'Cascading Cap Cost &amp; Savings'!L22</f>
        <v/>
      </c>
      <c r="M26" s="225">
        <f>'Cascading Savings'!D25</f>
        <v>0</v>
      </c>
      <c r="N26" s="225">
        <f>'Cascading Savings'!H25+'Cascading Savings'!F25+'Cascading Savings'!J25</f>
        <v>0</v>
      </c>
      <c r="P26" s="434" t="e">
        <f t="shared" si="42"/>
        <v>#VALUE!</v>
      </c>
      <c r="Q26" s="434">
        <f t="shared" si="43"/>
        <v>0</v>
      </c>
      <c r="R26" s="434">
        <f t="shared" si="50"/>
        <v>0</v>
      </c>
      <c r="S26" s="434">
        <f t="shared" si="2"/>
        <v>0</v>
      </c>
      <c r="T26" s="434">
        <f t="shared" si="3"/>
        <v>0</v>
      </c>
      <c r="U26" s="434">
        <f t="shared" si="4"/>
        <v>0</v>
      </c>
      <c r="V26" s="434">
        <f t="shared" si="5"/>
        <v>0</v>
      </c>
      <c r="W26" s="434">
        <f t="shared" si="6"/>
        <v>0</v>
      </c>
      <c r="X26" s="434">
        <f t="shared" si="7"/>
        <v>0</v>
      </c>
      <c r="Y26" s="434">
        <f t="shared" si="8"/>
        <v>0</v>
      </c>
      <c r="Z26" s="434">
        <f t="shared" si="9"/>
        <v>0</v>
      </c>
      <c r="AA26" s="434">
        <f t="shared" si="10"/>
        <v>0</v>
      </c>
      <c r="AB26" s="434">
        <f t="shared" si="11"/>
        <v>0</v>
      </c>
      <c r="AC26" s="434">
        <f t="shared" si="12"/>
        <v>0</v>
      </c>
      <c r="AD26" s="434">
        <f t="shared" si="13"/>
        <v>0</v>
      </c>
      <c r="AE26" s="434">
        <f t="shared" si="14"/>
        <v>0</v>
      </c>
      <c r="AF26" s="434">
        <f t="shared" si="15"/>
        <v>0</v>
      </c>
      <c r="AG26" s="434">
        <f t="shared" si="16"/>
        <v>0</v>
      </c>
      <c r="AH26" s="434">
        <f t="shared" si="17"/>
        <v>0</v>
      </c>
      <c r="AI26" s="434">
        <f t="shared" si="18"/>
        <v>0</v>
      </c>
      <c r="AJ26" s="434">
        <f t="shared" si="19"/>
        <v>0</v>
      </c>
      <c r="AK26" s="434">
        <f t="shared" si="20"/>
        <v>0</v>
      </c>
      <c r="AL26" s="434">
        <f t="shared" si="21"/>
        <v>0</v>
      </c>
      <c r="AM26" s="434">
        <f t="shared" si="22"/>
        <v>0</v>
      </c>
      <c r="AN26" s="434">
        <f t="shared" si="23"/>
        <v>0</v>
      </c>
      <c r="AO26" s="434">
        <f t="shared" si="24"/>
        <v>0</v>
      </c>
      <c r="AP26" s="434">
        <f t="shared" si="25"/>
        <v>0</v>
      </c>
      <c r="AQ26" s="434">
        <f t="shared" si="26"/>
        <v>0</v>
      </c>
      <c r="AR26" s="434">
        <f t="shared" si="27"/>
        <v>0</v>
      </c>
      <c r="AS26" s="434">
        <f t="shared" si="28"/>
        <v>0</v>
      </c>
      <c r="AT26" s="434">
        <f t="shared" si="29"/>
        <v>0</v>
      </c>
      <c r="AU26" s="434">
        <f t="shared" si="30"/>
        <v>0</v>
      </c>
      <c r="AV26" s="434">
        <f t="shared" si="31"/>
        <v>0</v>
      </c>
      <c r="AW26" s="434">
        <f t="shared" si="32"/>
        <v>0</v>
      </c>
      <c r="AX26" s="434">
        <f t="shared" si="33"/>
        <v>0</v>
      </c>
      <c r="AY26" s="434">
        <f t="shared" si="34"/>
        <v>0</v>
      </c>
      <c r="AZ26" s="434">
        <f t="shared" si="35"/>
        <v>0</v>
      </c>
      <c r="BA26" s="434">
        <f t="shared" si="36"/>
        <v>0</v>
      </c>
      <c r="BB26" s="434">
        <f t="shared" si="37"/>
        <v>0</v>
      </c>
      <c r="BC26" s="434">
        <f t="shared" si="38"/>
        <v>0</v>
      </c>
      <c r="BD26" s="434">
        <f t="shared" si="39"/>
        <v>0</v>
      </c>
    </row>
    <row r="27" spans="1:56" s="148" customFormat="1" ht="24.75" customHeight="1" x14ac:dyDescent="0.4">
      <c r="A27" s="294" t="str">
        <f>'EEM Data Entry'!A105</f>
        <v/>
      </c>
      <c r="B27" s="500" t="str">
        <f>IF('Cascading Cap Cost &amp; Savings'!B65="  ","  ", 'Cascading Cap Cost &amp; Savings'!B23)</f>
        <v/>
      </c>
      <c r="C27" s="288" t="str">
        <f>'Cascading Cap Cost &amp; Savings'!C23</f>
        <v/>
      </c>
      <c r="D27" s="296">
        <v>0</v>
      </c>
      <c r="E27" s="288" t="e">
        <f t="shared" si="46"/>
        <v>#VALUE!</v>
      </c>
      <c r="F27" s="501">
        <f>('Cascading Savings'!D26*'Cascading Savings'!D$4)+('Cascading Savings'!F26*'Cascading Savings'!F$4)+('Cascading Savings'!H26*'Cascading Savings'!H$4)+('Cascading Savings'!J26*'Cascading Savings'!J$4)+('Cascading Savings'!L26*'Cascading Savings'!L$4)+('Cascading Savings'!N26*'Cascading Savings'!N$4)+('Cascading Savings'!P26*'Cascading Savings'!P$4)+('Cascading Savings'!R26*'Cascading Savings'!R$4)</f>
        <v>0</v>
      </c>
      <c r="G27" s="301">
        <f>'Cascading Savings'!T26</f>
        <v>0</v>
      </c>
      <c r="H27" s="297" t="e">
        <f t="shared" si="49"/>
        <v>#VALUE!</v>
      </c>
      <c r="I27" s="291" t="e">
        <f t="shared" si="47"/>
        <v>#VALUE!</v>
      </c>
      <c r="J27" s="421" t="e">
        <f t="shared" si="44"/>
        <v>#VALUE!</v>
      </c>
      <c r="K27" s="423" t="e">
        <f t="shared" si="48"/>
        <v>#VALUE!</v>
      </c>
      <c r="L27" s="510" t="str">
        <f>'Cascading Cap Cost &amp; Savings'!L23</f>
        <v/>
      </c>
      <c r="M27" s="225">
        <f>'Cascading Savings'!D26</f>
        <v>0</v>
      </c>
      <c r="N27" s="225">
        <f>'Cascading Savings'!H26+'Cascading Savings'!F26+'Cascading Savings'!J26</f>
        <v>0</v>
      </c>
      <c r="P27" s="434" t="e">
        <f t="shared" si="42"/>
        <v>#VALUE!</v>
      </c>
      <c r="Q27" s="434">
        <f t="shared" si="43"/>
        <v>0</v>
      </c>
      <c r="R27" s="434">
        <f t="shared" si="50"/>
        <v>0</v>
      </c>
      <c r="S27" s="434">
        <f t="shared" si="2"/>
        <v>0</v>
      </c>
      <c r="T27" s="434">
        <f t="shared" si="3"/>
        <v>0</v>
      </c>
      <c r="U27" s="434">
        <f t="shared" si="4"/>
        <v>0</v>
      </c>
      <c r="V27" s="434">
        <f t="shared" si="5"/>
        <v>0</v>
      </c>
      <c r="W27" s="434">
        <f t="shared" si="6"/>
        <v>0</v>
      </c>
      <c r="X27" s="434">
        <f t="shared" si="7"/>
        <v>0</v>
      </c>
      <c r="Y27" s="434">
        <f t="shared" si="8"/>
        <v>0</v>
      </c>
      <c r="Z27" s="434">
        <f t="shared" si="9"/>
        <v>0</v>
      </c>
      <c r="AA27" s="434">
        <f t="shared" si="10"/>
        <v>0</v>
      </c>
      <c r="AB27" s="434">
        <f t="shared" si="11"/>
        <v>0</v>
      </c>
      <c r="AC27" s="434">
        <f t="shared" si="12"/>
        <v>0</v>
      </c>
      <c r="AD27" s="434">
        <f t="shared" si="13"/>
        <v>0</v>
      </c>
      <c r="AE27" s="434">
        <f t="shared" si="14"/>
        <v>0</v>
      </c>
      <c r="AF27" s="434">
        <f t="shared" si="15"/>
        <v>0</v>
      </c>
      <c r="AG27" s="434">
        <f t="shared" si="16"/>
        <v>0</v>
      </c>
      <c r="AH27" s="434">
        <f t="shared" si="17"/>
        <v>0</v>
      </c>
      <c r="AI27" s="434">
        <f t="shared" si="18"/>
        <v>0</v>
      </c>
      <c r="AJ27" s="434">
        <f t="shared" si="19"/>
        <v>0</v>
      </c>
      <c r="AK27" s="434">
        <f t="shared" si="20"/>
        <v>0</v>
      </c>
      <c r="AL27" s="434">
        <f t="shared" si="21"/>
        <v>0</v>
      </c>
      <c r="AM27" s="434">
        <f t="shared" si="22"/>
        <v>0</v>
      </c>
      <c r="AN27" s="434">
        <f t="shared" si="23"/>
        <v>0</v>
      </c>
      <c r="AO27" s="434">
        <f t="shared" si="24"/>
        <v>0</v>
      </c>
      <c r="AP27" s="434">
        <f t="shared" si="25"/>
        <v>0</v>
      </c>
      <c r="AQ27" s="434">
        <f t="shared" si="26"/>
        <v>0</v>
      </c>
      <c r="AR27" s="434">
        <f t="shared" si="27"/>
        <v>0</v>
      </c>
      <c r="AS27" s="434">
        <f t="shared" si="28"/>
        <v>0</v>
      </c>
      <c r="AT27" s="434">
        <f t="shared" si="29"/>
        <v>0</v>
      </c>
      <c r="AU27" s="434">
        <f t="shared" si="30"/>
        <v>0</v>
      </c>
      <c r="AV27" s="434">
        <f t="shared" si="31"/>
        <v>0</v>
      </c>
      <c r="AW27" s="434">
        <f t="shared" si="32"/>
        <v>0</v>
      </c>
      <c r="AX27" s="434">
        <f t="shared" si="33"/>
        <v>0</v>
      </c>
      <c r="AY27" s="434">
        <f t="shared" si="34"/>
        <v>0</v>
      </c>
      <c r="AZ27" s="434">
        <f t="shared" si="35"/>
        <v>0</v>
      </c>
      <c r="BA27" s="434">
        <f t="shared" si="36"/>
        <v>0</v>
      </c>
      <c r="BB27" s="434">
        <f t="shared" si="37"/>
        <v>0</v>
      </c>
      <c r="BC27" s="434">
        <f t="shared" si="38"/>
        <v>0</v>
      </c>
      <c r="BD27" s="434">
        <f t="shared" si="39"/>
        <v>0</v>
      </c>
    </row>
    <row r="28" spans="1:56" s="148" customFormat="1" ht="24.75" customHeight="1" x14ac:dyDescent="0.4">
      <c r="A28" s="313" t="str">
        <f>'EEM Data Entry'!A106</f>
        <v/>
      </c>
      <c r="B28" s="505" t="str">
        <f>IF('Cascading Cap Cost &amp; Savings'!B66="  ","  ", 'Cascading Cap Cost &amp; Savings'!B24)</f>
        <v/>
      </c>
      <c r="C28" s="303" t="str">
        <f>'Cascading Cap Cost &amp; Savings'!C24</f>
        <v/>
      </c>
      <c r="D28" s="303">
        <v>0</v>
      </c>
      <c r="E28" s="303" t="e">
        <f t="shared" si="46"/>
        <v>#VALUE!</v>
      </c>
      <c r="F28" s="506">
        <f>('Cascading Savings'!D27*'Cascading Savings'!D$4)+('Cascading Savings'!F27*'Cascading Savings'!F$4)+('Cascading Savings'!H27*'Cascading Savings'!H$4)+('Cascading Savings'!J27*'Cascading Savings'!J$4)+('Cascading Savings'!L27*'Cascading Savings'!L$4)+('Cascading Savings'!N27*'Cascading Savings'!N$4)+('Cascading Savings'!P27*'Cascading Savings'!P$4)+('Cascading Savings'!R27*'Cascading Savings'!R$4)</f>
        <v>0</v>
      </c>
      <c r="G28" s="314">
        <f>'Cascading Savings'!T27</f>
        <v>0</v>
      </c>
      <c r="H28" s="304" t="e">
        <f t="shared" si="49"/>
        <v>#VALUE!</v>
      </c>
      <c r="I28" s="305" t="e">
        <f t="shared" si="47"/>
        <v>#VALUE!</v>
      </c>
      <c r="J28" s="507" t="e">
        <f t="shared" si="44"/>
        <v>#VALUE!</v>
      </c>
      <c r="K28" s="508" t="e">
        <f t="shared" si="48"/>
        <v>#VALUE!</v>
      </c>
      <c r="L28" s="511" t="str">
        <f>'Cascading Cap Cost &amp; Savings'!L24</f>
        <v/>
      </c>
      <c r="M28" s="225">
        <f>'Cascading Savings'!D27</f>
        <v>0</v>
      </c>
      <c r="N28" s="225">
        <f>'Cascading Savings'!H27+'Cascading Savings'!F27+'Cascading Savings'!J27</f>
        <v>0</v>
      </c>
      <c r="P28" s="434" t="e">
        <f t="shared" si="42"/>
        <v>#VALUE!</v>
      </c>
      <c r="Q28" s="434">
        <f t="shared" si="43"/>
        <v>0</v>
      </c>
      <c r="R28" s="434">
        <f t="shared" si="50"/>
        <v>0</v>
      </c>
      <c r="S28" s="434">
        <f t="shared" si="2"/>
        <v>0</v>
      </c>
      <c r="T28" s="434">
        <f t="shared" si="3"/>
        <v>0</v>
      </c>
      <c r="U28" s="434">
        <f t="shared" si="4"/>
        <v>0</v>
      </c>
      <c r="V28" s="434">
        <f t="shared" si="5"/>
        <v>0</v>
      </c>
      <c r="W28" s="434">
        <f t="shared" si="6"/>
        <v>0</v>
      </c>
      <c r="X28" s="434">
        <f t="shared" si="7"/>
        <v>0</v>
      </c>
      <c r="Y28" s="434">
        <f t="shared" si="8"/>
        <v>0</v>
      </c>
      <c r="Z28" s="434">
        <f t="shared" si="9"/>
        <v>0</v>
      </c>
      <c r="AA28" s="434">
        <f t="shared" si="10"/>
        <v>0</v>
      </c>
      <c r="AB28" s="434">
        <f t="shared" si="11"/>
        <v>0</v>
      </c>
      <c r="AC28" s="434">
        <f t="shared" si="12"/>
        <v>0</v>
      </c>
      <c r="AD28" s="434">
        <f t="shared" si="13"/>
        <v>0</v>
      </c>
      <c r="AE28" s="434">
        <f t="shared" si="14"/>
        <v>0</v>
      </c>
      <c r="AF28" s="434">
        <f t="shared" si="15"/>
        <v>0</v>
      </c>
      <c r="AG28" s="434">
        <f t="shared" si="16"/>
        <v>0</v>
      </c>
      <c r="AH28" s="434">
        <f t="shared" si="17"/>
        <v>0</v>
      </c>
      <c r="AI28" s="434">
        <f t="shared" si="18"/>
        <v>0</v>
      </c>
      <c r="AJ28" s="434">
        <f t="shared" si="19"/>
        <v>0</v>
      </c>
      <c r="AK28" s="434">
        <f t="shared" si="20"/>
        <v>0</v>
      </c>
      <c r="AL28" s="434">
        <f t="shared" si="21"/>
        <v>0</v>
      </c>
      <c r="AM28" s="434">
        <f t="shared" si="22"/>
        <v>0</v>
      </c>
      <c r="AN28" s="434">
        <f t="shared" si="23"/>
        <v>0</v>
      </c>
      <c r="AO28" s="434">
        <f t="shared" si="24"/>
        <v>0</v>
      </c>
      <c r="AP28" s="434">
        <f t="shared" si="25"/>
        <v>0</v>
      </c>
      <c r="AQ28" s="434">
        <f t="shared" si="26"/>
        <v>0</v>
      </c>
      <c r="AR28" s="434">
        <f t="shared" si="27"/>
        <v>0</v>
      </c>
      <c r="AS28" s="434">
        <f t="shared" si="28"/>
        <v>0</v>
      </c>
      <c r="AT28" s="434">
        <f t="shared" si="29"/>
        <v>0</v>
      </c>
      <c r="AU28" s="434">
        <f t="shared" si="30"/>
        <v>0</v>
      </c>
      <c r="AV28" s="434">
        <f t="shared" si="31"/>
        <v>0</v>
      </c>
      <c r="AW28" s="434">
        <f t="shared" si="32"/>
        <v>0</v>
      </c>
      <c r="AX28" s="434">
        <f t="shared" si="33"/>
        <v>0</v>
      </c>
      <c r="AY28" s="434">
        <f t="shared" si="34"/>
        <v>0</v>
      </c>
      <c r="AZ28" s="434">
        <f t="shared" si="35"/>
        <v>0</v>
      </c>
      <c r="BA28" s="434">
        <f t="shared" si="36"/>
        <v>0</v>
      </c>
      <c r="BB28" s="434">
        <f t="shared" si="37"/>
        <v>0</v>
      </c>
      <c r="BC28" s="434">
        <f t="shared" si="38"/>
        <v>0</v>
      </c>
      <c r="BD28" s="434">
        <f t="shared" si="39"/>
        <v>0</v>
      </c>
    </row>
    <row r="29" spans="1:56" s="148" customFormat="1" ht="24.75" customHeight="1" x14ac:dyDescent="0.4">
      <c r="A29" s="294" t="str">
        <f>'EEM Data Entry'!A107</f>
        <v/>
      </c>
      <c r="B29" s="500" t="str">
        <f>IF('Cascading Cap Cost &amp; Savings'!B67="  ","  ", 'Cascading Cap Cost &amp; Savings'!B25)</f>
        <v/>
      </c>
      <c r="C29" s="288" t="str">
        <f>'Cascading Cap Cost &amp; Savings'!C25</f>
        <v/>
      </c>
      <c r="D29" s="296">
        <v>0</v>
      </c>
      <c r="E29" s="288" t="e">
        <f t="shared" si="46"/>
        <v>#VALUE!</v>
      </c>
      <c r="F29" s="501">
        <f>('Cascading Savings'!D28*'Cascading Savings'!D$4)+('Cascading Savings'!F28*'Cascading Savings'!F$4)+('Cascading Savings'!H28*'Cascading Savings'!H$4)+('Cascading Savings'!J28*'Cascading Savings'!J$4)+('Cascading Savings'!L28*'Cascading Savings'!L$4)+('Cascading Savings'!N28*'Cascading Savings'!N$4)+('Cascading Savings'!P28*'Cascading Savings'!P$4)+('Cascading Savings'!R28*'Cascading Savings'!R$4)</f>
        <v>0</v>
      </c>
      <c r="G29" s="301">
        <f>'Cascading Savings'!T28</f>
        <v>0</v>
      </c>
      <c r="H29" s="297" t="e">
        <f t="shared" si="49"/>
        <v>#VALUE!</v>
      </c>
      <c r="I29" s="291" t="e">
        <f t="shared" si="47"/>
        <v>#VALUE!</v>
      </c>
      <c r="J29" s="421" t="e">
        <f t="shared" si="44"/>
        <v>#VALUE!</v>
      </c>
      <c r="K29" s="423" t="e">
        <f t="shared" si="48"/>
        <v>#VALUE!</v>
      </c>
      <c r="L29" s="510" t="str">
        <f>'Cascading Cap Cost &amp; Savings'!L25</f>
        <v/>
      </c>
      <c r="M29" s="225">
        <f>'Cascading Savings'!D28</f>
        <v>0</v>
      </c>
      <c r="N29" s="225">
        <f>'Cascading Savings'!H28+'Cascading Savings'!F28+'Cascading Savings'!J28</f>
        <v>0</v>
      </c>
      <c r="P29" s="434" t="e">
        <f t="shared" si="42"/>
        <v>#VALUE!</v>
      </c>
      <c r="Q29" s="434">
        <f t="shared" si="43"/>
        <v>0</v>
      </c>
      <c r="R29" s="434">
        <f t="shared" si="50"/>
        <v>0</v>
      </c>
      <c r="S29" s="434">
        <f t="shared" si="2"/>
        <v>0</v>
      </c>
      <c r="T29" s="434">
        <f t="shared" si="3"/>
        <v>0</v>
      </c>
      <c r="U29" s="434">
        <f t="shared" si="4"/>
        <v>0</v>
      </c>
      <c r="V29" s="434">
        <f t="shared" si="5"/>
        <v>0</v>
      </c>
      <c r="W29" s="434">
        <f t="shared" si="6"/>
        <v>0</v>
      </c>
      <c r="X29" s="434">
        <f t="shared" si="7"/>
        <v>0</v>
      </c>
      <c r="Y29" s="434">
        <f t="shared" si="8"/>
        <v>0</v>
      </c>
      <c r="Z29" s="434">
        <f t="shared" si="9"/>
        <v>0</v>
      </c>
      <c r="AA29" s="434">
        <f t="shared" si="10"/>
        <v>0</v>
      </c>
      <c r="AB29" s="434">
        <f t="shared" si="11"/>
        <v>0</v>
      </c>
      <c r="AC29" s="434">
        <f t="shared" si="12"/>
        <v>0</v>
      </c>
      <c r="AD29" s="434">
        <f t="shared" si="13"/>
        <v>0</v>
      </c>
      <c r="AE29" s="434">
        <f t="shared" si="14"/>
        <v>0</v>
      </c>
      <c r="AF29" s="434">
        <f t="shared" si="15"/>
        <v>0</v>
      </c>
      <c r="AG29" s="434">
        <f t="shared" si="16"/>
        <v>0</v>
      </c>
      <c r="AH29" s="434">
        <f t="shared" si="17"/>
        <v>0</v>
      </c>
      <c r="AI29" s="434">
        <f t="shared" si="18"/>
        <v>0</v>
      </c>
      <c r="AJ29" s="434">
        <f t="shared" si="19"/>
        <v>0</v>
      </c>
      <c r="AK29" s="434">
        <f t="shared" si="20"/>
        <v>0</v>
      </c>
      <c r="AL29" s="434">
        <f t="shared" si="21"/>
        <v>0</v>
      </c>
      <c r="AM29" s="434">
        <f t="shared" si="22"/>
        <v>0</v>
      </c>
      <c r="AN29" s="434">
        <f t="shared" si="23"/>
        <v>0</v>
      </c>
      <c r="AO29" s="434">
        <f t="shared" si="24"/>
        <v>0</v>
      </c>
      <c r="AP29" s="434">
        <f t="shared" si="25"/>
        <v>0</v>
      </c>
      <c r="AQ29" s="434">
        <f t="shared" si="26"/>
        <v>0</v>
      </c>
      <c r="AR29" s="434">
        <f t="shared" si="27"/>
        <v>0</v>
      </c>
      <c r="AS29" s="434">
        <f t="shared" si="28"/>
        <v>0</v>
      </c>
      <c r="AT29" s="434">
        <f t="shared" si="29"/>
        <v>0</v>
      </c>
      <c r="AU29" s="434">
        <f t="shared" si="30"/>
        <v>0</v>
      </c>
      <c r="AV29" s="434">
        <f t="shared" si="31"/>
        <v>0</v>
      </c>
      <c r="AW29" s="434">
        <f t="shared" si="32"/>
        <v>0</v>
      </c>
      <c r="AX29" s="434">
        <f t="shared" si="33"/>
        <v>0</v>
      </c>
      <c r="AY29" s="434">
        <f t="shared" si="34"/>
        <v>0</v>
      </c>
      <c r="AZ29" s="434">
        <f t="shared" si="35"/>
        <v>0</v>
      </c>
      <c r="BA29" s="434">
        <f t="shared" si="36"/>
        <v>0</v>
      </c>
      <c r="BB29" s="434">
        <f t="shared" si="37"/>
        <v>0</v>
      </c>
      <c r="BC29" s="434">
        <f t="shared" si="38"/>
        <v>0</v>
      </c>
      <c r="BD29" s="434">
        <f t="shared" si="39"/>
        <v>0</v>
      </c>
    </row>
    <row r="30" spans="1:56" s="148" customFormat="1" ht="24.75" customHeight="1" x14ac:dyDescent="0.4">
      <c r="A30" s="294" t="str">
        <f>'EEM Data Entry'!A108</f>
        <v/>
      </c>
      <c r="B30" s="500" t="str">
        <f>IF('Cascading Cap Cost &amp; Savings'!B68="  ","  ", 'Cascading Cap Cost &amp; Savings'!B26)</f>
        <v/>
      </c>
      <c r="C30" s="288" t="str">
        <f>'Cascading Cap Cost &amp; Savings'!C26</f>
        <v/>
      </c>
      <c r="D30" s="296">
        <v>0</v>
      </c>
      <c r="E30" s="288" t="e">
        <f t="shared" si="46"/>
        <v>#VALUE!</v>
      </c>
      <c r="F30" s="501">
        <f>('Cascading Savings'!D29*'Cascading Savings'!D$4)+('Cascading Savings'!F29*'Cascading Savings'!F$4)+('Cascading Savings'!H29*'Cascading Savings'!H$4)+('Cascading Savings'!J29*'Cascading Savings'!J$4)+('Cascading Savings'!L29*'Cascading Savings'!L$4)+('Cascading Savings'!N29*'Cascading Savings'!N$4)+('Cascading Savings'!P29*'Cascading Savings'!P$4)+('Cascading Savings'!R29*'Cascading Savings'!R$4)</f>
        <v>0</v>
      </c>
      <c r="G30" s="301">
        <f>'Cascading Savings'!T29</f>
        <v>0</v>
      </c>
      <c r="H30" s="297" t="e">
        <f t="shared" si="49"/>
        <v>#VALUE!</v>
      </c>
      <c r="I30" s="291" t="e">
        <f t="shared" si="47"/>
        <v>#VALUE!</v>
      </c>
      <c r="J30" s="421" t="e">
        <f t="shared" si="44"/>
        <v>#VALUE!</v>
      </c>
      <c r="K30" s="423" t="e">
        <f t="shared" si="48"/>
        <v>#VALUE!</v>
      </c>
      <c r="L30" s="510" t="str">
        <f>'Cascading Cap Cost &amp; Savings'!L26</f>
        <v/>
      </c>
      <c r="M30" s="225">
        <f>'Cascading Savings'!D29</f>
        <v>0</v>
      </c>
      <c r="N30" s="225">
        <f>'Cascading Savings'!H29+'Cascading Savings'!F29+'Cascading Savings'!J29</f>
        <v>0</v>
      </c>
      <c r="P30" s="434" t="e">
        <f>-E30</f>
        <v>#VALUE!</v>
      </c>
      <c r="Q30" s="434">
        <f>F30</f>
        <v>0</v>
      </c>
      <c r="R30" s="434">
        <f>Q30*1.05</f>
        <v>0</v>
      </c>
      <c r="S30" s="434">
        <f t="shared" si="2"/>
        <v>0</v>
      </c>
      <c r="T30" s="434">
        <f t="shared" si="3"/>
        <v>0</v>
      </c>
      <c r="U30" s="434">
        <f t="shared" si="4"/>
        <v>0</v>
      </c>
      <c r="V30" s="434">
        <f t="shared" si="5"/>
        <v>0</v>
      </c>
      <c r="W30" s="434">
        <f t="shared" si="6"/>
        <v>0</v>
      </c>
      <c r="X30" s="434">
        <f t="shared" si="7"/>
        <v>0</v>
      </c>
      <c r="Y30" s="434">
        <f t="shared" si="8"/>
        <v>0</v>
      </c>
      <c r="Z30" s="434">
        <f t="shared" si="9"/>
        <v>0</v>
      </c>
      <c r="AA30" s="434">
        <f t="shared" si="10"/>
        <v>0</v>
      </c>
      <c r="AB30" s="434">
        <f t="shared" si="11"/>
        <v>0</v>
      </c>
      <c r="AC30" s="434">
        <f t="shared" si="12"/>
        <v>0</v>
      </c>
      <c r="AD30" s="434">
        <f t="shared" si="13"/>
        <v>0</v>
      </c>
      <c r="AE30" s="434">
        <f t="shared" si="14"/>
        <v>0</v>
      </c>
      <c r="AF30" s="434">
        <f t="shared" si="15"/>
        <v>0</v>
      </c>
      <c r="AG30" s="434">
        <f t="shared" si="16"/>
        <v>0</v>
      </c>
      <c r="AH30" s="434">
        <f t="shared" si="17"/>
        <v>0</v>
      </c>
      <c r="AI30" s="434">
        <f t="shared" si="18"/>
        <v>0</v>
      </c>
      <c r="AJ30" s="434">
        <f t="shared" si="19"/>
        <v>0</v>
      </c>
      <c r="AK30" s="434">
        <f t="shared" si="20"/>
        <v>0</v>
      </c>
      <c r="AL30" s="434">
        <f t="shared" si="21"/>
        <v>0</v>
      </c>
      <c r="AM30" s="434">
        <f t="shared" si="22"/>
        <v>0</v>
      </c>
      <c r="AN30" s="434">
        <f t="shared" si="23"/>
        <v>0</v>
      </c>
      <c r="AO30" s="434">
        <f t="shared" si="24"/>
        <v>0</v>
      </c>
      <c r="AP30" s="434">
        <f t="shared" si="25"/>
        <v>0</v>
      </c>
      <c r="AQ30" s="434">
        <f t="shared" si="26"/>
        <v>0</v>
      </c>
      <c r="AR30" s="434">
        <f t="shared" si="27"/>
        <v>0</v>
      </c>
      <c r="AS30" s="434">
        <f t="shared" si="28"/>
        <v>0</v>
      </c>
      <c r="AT30" s="434">
        <f t="shared" si="29"/>
        <v>0</v>
      </c>
      <c r="AU30" s="434">
        <f t="shared" si="30"/>
        <v>0</v>
      </c>
      <c r="AV30" s="434">
        <f t="shared" si="31"/>
        <v>0</v>
      </c>
      <c r="AW30" s="434">
        <f t="shared" si="32"/>
        <v>0</v>
      </c>
      <c r="AX30" s="434">
        <f t="shared" si="33"/>
        <v>0</v>
      </c>
      <c r="AY30" s="434">
        <f t="shared" si="34"/>
        <v>0</v>
      </c>
      <c r="AZ30" s="434">
        <f t="shared" si="35"/>
        <v>0</v>
      </c>
      <c r="BA30" s="434">
        <f t="shared" si="36"/>
        <v>0</v>
      </c>
      <c r="BB30" s="434">
        <f t="shared" si="37"/>
        <v>0</v>
      </c>
      <c r="BC30" s="434">
        <f t="shared" si="38"/>
        <v>0</v>
      </c>
      <c r="BD30" s="434">
        <f t="shared" si="39"/>
        <v>0</v>
      </c>
    </row>
    <row r="31" spans="1:56" s="148" customFormat="1" ht="30" customHeight="1" x14ac:dyDescent="0.4">
      <c r="A31" s="241"/>
      <c r="B31" s="441"/>
      <c r="C31" s="441"/>
      <c r="D31" s="441"/>
      <c r="E31" s="442"/>
      <c r="F31" s="443"/>
      <c r="G31" s="444"/>
      <c r="H31" s="445"/>
      <c r="I31" s="414"/>
      <c r="J31" s="413"/>
      <c r="K31" s="414"/>
      <c r="M31" s="225"/>
      <c r="N31" s="225"/>
      <c r="P31" s="434"/>
      <c r="Q31" s="434"/>
      <c r="R31" s="434"/>
      <c r="S31" s="434"/>
      <c r="T31" s="434"/>
      <c r="U31" s="434"/>
      <c r="V31" s="434"/>
      <c r="W31" s="434"/>
      <c r="X31" s="434"/>
      <c r="Y31" s="434"/>
      <c r="Z31" s="434"/>
      <c r="AA31" s="434"/>
      <c r="AB31" s="434"/>
      <c r="AC31" s="434"/>
      <c r="AD31" s="434"/>
      <c r="AE31" s="434"/>
      <c r="AF31" s="434"/>
      <c r="AG31" s="434"/>
      <c r="AH31" s="434"/>
      <c r="AI31" s="434"/>
      <c r="AJ31" s="434"/>
      <c r="AK31" s="434"/>
      <c r="AL31" s="434"/>
      <c r="AM31" s="434"/>
      <c r="AN31" s="434"/>
      <c r="AO31" s="434"/>
      <c r="AP31" s="434"/>
      <c r="AQ31" s="434"/>
      <c r="AR31" s="434"/>
      <c r="AS31" s="434"/>
      <c r="AT31" s="434"/>
      <c r="AU31" s="435"/>
      <c r="AV31" s="435"/>
      <c r="AW31" s="435"/>
      <c r="AX31" s="435"/>
      <c r="AY31" s="435"/>
      <c r="AZ31" s="435"/>
      <c r="BA31" s="435"/>
      <c r="BB31" s="435"/>
      <c r="BC31" s="435"/>
      <c r="BD31" s="435"/>
    </row>
    <row r="32" spans="1:56" s="148" customFormat="1" ht="30" customHeight="1" x14ac:dyDescent="0.3">
      <c r="A32" s="267" t="s">
        <v>145</v>
      </c>
      <c r="B32" s="446" t="s">
        <v>43</v>
      </c>
      <c r="C32" s="415" t="s">
        <v>35</v>
      </c>
      <c r="D32" s="415" t="s">
        <v>90</v>
      </c>
      <c r="E32" s="415" t="s">
        <v>119</v>
      </c>
      <c r="F32" s="447" t="s">
        <v>118</v>
      </c>
      <c r="G32" s="415" t="s">
        <v>125</v>
      </c>
      <c r="H32" s="415" t="s">
        <v>124</v>
      </c>
      <c r="I32" s="415" t="s">
        <v>72</v>
      </c>
      <c r="J32" s="415" t="s">
        <v>17</v>
      </c>
      <c r="K32" s="416" t="s">
        <v>22</v>
      </c>
      <c r="L32" s="240" t="s">
        <v>157</v>
      </c>
      <c r="M32" s="225"/>
      <c r="N32" s="225"/>
      <c r="P32" s="435"/>
      <c r="Q32" s="433">
        <v>1</v>
      </c>
      <c r="R32" s="433">
        <v>2</v>
      </c>
      <c r="S32" s="433">
        <v>3</v>
      </c>
      <c r="T32" s="433">
        <v>4</v>
      </c>
      <c r="U32" s="433">
        <v>5</v>
      </c>
      <c r="V32" s="433">
        <v>6</v>
      </c>
      <c r="W32" s="433">
        <v>7</v>
      </c>
      <c r="X32" s="433">
        <v>8</v>
      </c>
      <c r="Y32" s="433">
        <v>9</v>
      </c>
      <c r="Z32" s="433">
        <v>10</v>
      </c>
      <c r="AA32" s="433">
        <v>11</v>
      </c>
      <c r="AB32" s="433">
        <v>12</v>
      </c>
      <c r="AC32" s="433">
        <v>13</v>
      </c>
      <c r="AD32" s="433">
        <v>14</v>
      </c>
      <c r="AE32" s="433">
        <v>15</v>
      </c>
      <c r="AF32" s="433">
        <v>16</v>
      </c>
      <c r="AG32" s="433">
        <v>17</v>
      </c>
      <c r="AH32" s="433">
        <v>18</v>
      </c>
      <c r="AI32" s="433">
        <v>19</v>
      </c>
      <c r="AJ32" s="433">
        <v>20</v>
      </c>
      <c r="AK32" s="433">
        <v>21</v>
      </c>
      <c r="AL32" s="433">
        <v>22</v>
      </c>
      <c r="AM32" s="433">
        <v>23</v>
      </c>
      <c r="AN32" s="433">
        <v>24</v>
      </c>
      <c r="AO32" s="433">
        <v>25</v>
      </c>
      <c r="AP32" s="433">
        <v>26</v>
      </c>
      <c r="AQ32" s="433">
        <v>27</v>
      </c>
      <c r="AR32" s="433">
        <v>28</v>
      </c>
      <c r="AS32" s="433">
        <v>29</v>
      </c>
      <c r="AT32" s="433">
        <v>30</v>
      </c>
      <c r="AU32" s="433">
        <v>31</v>
      </c>
      <c r="AV32" s="433">
        <v>32</v>
      </c>
      <c r="AW32" s="433">
        <v>33</v>
      </c>
      <c r="AX32" s="433">
        <v>34</v>
      </c>
      <c r="AY32" s="433">
        <v>35</v>
      </c>
      <c r="AZ32" s="433">
        <v>36</v>
      </c>
      <c r="BA32" s="433">
        <v>37</v>
      </c>
      <c r="BB32" s="433">
        <v>38</v>
      </c>
      <c r="BC32" s="433">
        <v>39</v>
      </c>
      <c r="BD32" s="433">
        <v>40</v>
      </c>
    </row>
    <row r="33" spans="1:56" s="148" customFormat="1" ht="30" customHeight="1" x14ac:dyDescent="0.4">
      <c r="A33" s="294" t="str">
        <f>'EEM Data Entry'!A110</f>
        <v/>
      </c>
      <c r="B33" s="448" t="str">
        <f>IF('EEM Data Entry'!B110="  ","  ", 'EEM Data Entry'!B110)</f>
        <v/>
      </c>
      <c r="C33" s="439" t="str">
        <f>'EEM Data Entry'!F110</f>
        <v/>
      </c>
      <c r="D33" s="439">
        <v>0</v>
      </c>
      <c r="E33" s="439" t="e">
        <f>C33-D33</f>
        <v>#VALUE!</v>
      </c>
      <c r="F33" s="512">
        <f>('Savings Summary'!D34*'Savings Summary'!D$5)+('Savings Summary'!F34*'Savings Summary'!F$5)+('Savings Summary'!H34*'Savings Summary'!H$5)+('Savings Summary'!J34*'Savings Summary'!J$5)+('Savings Summary'!L34*'Savings Summary'!L$5)+('Savings Summary'!N34*'Savings Summary'!N$5)+('Savings Summary'!P34*'Savings Summary'!P$5)+('Savings Summary'!R34*'Savings Summary'!R$5)</f>
        <v>0</v>
      </c>
      <c r="G33" s="450">
        <f>'Cascading Savings'!T33</f>
        <v>0</v>
      </c>
      <c r="H33" s="451" t="e">
        <f>IF(C33=0,"n/a",E33/F33)</f>
        <v>#VALUE!</v>
      </c>
      <c r="I33" s="440" t="e">
        <f>IF(H33=0, "n/a", IF(H33&gt;100, "no",IF(H33&lt;0, "no", "yes")))</f>
        <v>#VALUE!</v>
      </c>
      <c r="J33" s="424" t="e">
        <f t="shared" ref="J33:J38" si="51">IRR(P33:AT33,0.1)</f>
        <v>#VALUE!</v>
      </c>
      <c r="K33" s="423" t="e">
        <f>NPV(0.05,P33:AT33)</f>
        <v>#VALUE!</v>
      </c>
      <c r="L33" s="510" t="str">
        <f>'Cascading Cap Cost &amp; Savings'!L28</f>
        <v/>
      </c>
      <c r="M33" s="225">
        <f>'Cascading Savings'!D33</f>
        <v>0</v>
      </c>
      <c r="N33" s="225">
        <f>'Cascading Savings'!H33+'Cascading Savings'!F33+'Cascading Savings'!J33</f>
        <v>0</v>
      </c>
      <c r="P33" s="434" t="e">
        <f>-E33</f>
        <v>#VALUE!</v>
      </c>
      <c r="Q33" s="434">
        <f>F33</f>
        <v>0</v>
      </c>
      <c r="R33" s="434">
        <f>Q33*1.05</f>
        <v>0</v>
      </c>
      <c r="S33" s="434">
        <f t="shared" ref="S33:AR42" si="52">R33*1.05</f>
        <v>0</v>
      </c>
      <c r="T33" s="434">
        <f t="shared" si="52"/>
        <v>0</v>
      </c>
      <c r="U33" s="434">
        <f t="shared" si="52"/>
        <v>0</v>
      </c>
      <c r="V33" s="434">
        <f t="shared" si="52"/>
        <v>0</v>
      </c>
      <c r="W33" s="434">
        <f t="shared" si="52"/>
        <v>0</v>
      </c>
      <c r="X33" s="434">
        <f t="shared" si="52"/>
        <v>0</v>
      </c>
      <c r="Y33" s="434">
        <f t="shared" si="52"/>
        <v>0</v>
      </c>
      <c r="Z33" s="434">
        <f t="shared" si="52"/>
        <v>0</v>
      </c>
      <c r="AA33" s="434">
        <f t="shared" si="52"/>
        <v>0</v>
      </c>
      <c r="AB33" s="434">
        <f t="shared" si="52"/>
        <v>0</v>
      </c>
      <c r="AC33" s="434">
        <f t="shared" si="52"/>
        <v>0</v>
      </c>
      <c r="AD33" s="434">
        <f t="shared" si="52"/>
        <v>0</v>
      </c>
      <c r="AE33" s="434">
        <f t="shared" si="52"/>
        <v>0</v>
      </c>
      <c r="AF33" s="434">
        <f t="shared" si="52"/>
        <v>0</v>
      </c>
      <c r="AG33" s="434">
        <f t="shared" si="52"/>
        <v>0</v>
      </c>
      <c r="AH33" s="434">
        <f t="shared" si="52"/>
        <v>0</v>
      </c>
      <c r="AI33" s="434">
        <f t="shared" si="52"/>
        <v>0</v>
      </c>
      <c r="AJ33" s="434">
        <f t="shared" si="52"/>
        <v>0</v>
      </c>
      <c r="AK33" s="434">
        <f t="shared" si="52"/>
        <v>0</v>
      </c>
      <c r="AL33" s="434">
        <f t="shared" si="52"/>
        <v>0</v>
      </c>
      <c r="AM33" s="434">
        <f t="shared" si="52"/>
        <v>0</v>
      </c>
      <c r="AN33" s="434">
        <f t="shared" si="52"/>
        <v>0</v>
      </c>
      <c r="AO33" s="434">
        <f t="shared" si="52"/>
        <v>0</v>
      </c>
      <c r="AP33" s="434">
        <f t="shared" si="52"/>
        <v>0</v>
      </c>
      <c r="AQ33" s="434">
        <f t="shared" si="52"/>
        <v>0</v>
      </c>
      <c r="AR33" s="434">
        <f t="shared" si="52"/>
        <v>0</v>
      </c>
      <c r="AS33" s="434">
        <f t="shared" ref="AS33:BD46" si="53">AR33*1.05</f>
        <v>0</v>
      </c>
      <c r="AT33" s="434">
        <f t="shared" si="53"/>
        <v>0</v>
      </c>
      <c r="AU33" s="434">
        <f t="shared" si="53"/>
        <v>0</v>
      </c>
      <c r="AV33" s="434">
        <f t="shared" si="53"/>
        <v>0</v>
      </c>
      <c r="AW33" s="434">
        <f t="shared" si="53"/>
        <v>0</v>
      </c>
      <c r="AX33" s="434">
        <f t="shared" si="53"/>
        <v>0</v>
      </c>
      <c r="AY33" s="434">
        <f t="shared" si="53"/>
        <v>0</v>
      </c>
      <c r="AZ33" s="434">
        <f t="shared" si="53"/>
        <v>0</v>
      </c>
      <c r="BA33" s="434">
        <f t="shared" si="53"/>
        <v>0</v>
      </c>
      <c r="BB33" s="434">
        <f t="shared" si="53"/>
        <v>0</v>
      </c>
      <c r="BC33" s="434">
        <f t="shared" si="53"/>
        <v>0</v>
      </c>
      <c r="BD33" s="434">
        <f t="shared" si="53"/>
        <v>0</v>
      </c>
    </row>
    <row r="34" spans="1:56" s="148" customFormat="1" ht="30" customHeight="1" x14ac:dyDescent="0.4">
      <c r="A34" s="294" t="str">
        <f>'EEM Data Entry'!A111</f>
        <v/>
      </c>
      <c r="B34" s="448" t="str">
        <f>IF('EEM Data Entry'!B111="  ","  ", 'EEM Data Entry'!B111)</f>
        <v/>
      </c>
      <c r="C34" s="439" t="str">
        <f>'EEM Data Entry'!F111</f>
        <v/>
      </c>
      <c r="D34" s="439">
        <v>0</v>
      </c>
      <c r="E34" s="439" t="e">
        <f t="shared" ref="E34:E46" si="54">C34-D34</f>
        <v>#VALUE!</v>
      </c>
      <c r="F34" s="512">
        <f>('Savings Summary'!D35*'Savings Summary'!D$5)+('Savings Summary'!F35*'Savings Summary'!F$5)+('Savings Summary'!H35*'Savings Summary'!H$5)+('Savings Summary'!J35*'Savings Summary'!J$5)+('Savings Summary'!L35*'Savings Summary'!L$5)+('Savings Summary'!N35*'Savings Summary'!N$5)+('Savings Summary'!P35*'Savings Summary'!P$5)+('Savings Summary'!R35*'Savings Summary'!R$5)</f>
        <v>0</v>
      </c>
      <c r="G34" s="450">
        <f>'Cascading Savings'!T34</f>
        <v>0</v>
      </c>
      <c r="H34" s="451" t="e">
        <f>IF(C34=0,"n/a",E34/F34)</f>
        <v>#VALUE!</v>
      </c>
      <c r="I34" s="440" t="e">
        <f>IF(H34=0, "n/a", IF(H34&gt;100, "no",IF(H34&lt;0, "no", "yes")))</f>
        <v>#VALUE!</v>
      </c>
      <c r="J34" s="424" t="e">
        <f t="shared" si="51"/>
        <v>#VALUE!</v>
      </c>
      <c r="K34" s="423" t="e">
        <f>NPV(0.05,P34:AT34)</f>
        <v>#VALUE!</v>
      </c>
      <c r="L34" s="511" t="str">
        <f>'Cascading Cap Cost &amp; Savings'!L29</f>
        <v/>
      </c>
      <c r="M34" s="225">
        <f>'Cascading Savings'!D34</f>
        <v>0</v>
      </c>
      <c r="N34" s="225">
        <f>'Cascading Savings'!H34+'Cascading Savings'!F34+'Cascading Savings'!J34</f>
        <v>0</v>
      </c>
      <c r="P34" s="434" t="e">
        <f>-E34</f>
        <v>#VALUE!</v>
      </c>
      <c r="Q34" s="434">
        <f t="shared" ref="Q34:Q46" si="55">F34</f>
        <v>0</v>
      </c>
      <c r="R34" s="434">
        <f t="shared" ref="R34:AG46" si="56">Q34*1.05</f>
        <v>0</v>
      </c>
      <c r="S34" s="434">
        <f t="shared" si="56"/>
        <v>0</v>
      </c>
      <c r="T34" s="434">
        <f t="shared" si="56"/>
        <v>0</v>
      </c>
      <c r="U34" s="434">
        <f t="shared" si="56"/>
        <v>0</v>
      </c>
      <c r="V34" s="434">
        <f t="shared" si="56"/>
        <v>0</v>
      </c>
      <c r="W34" s="434">
        <f t="shared" si="56"/>
        <v>0</v>
      </c>
      <c r="X34" s="434">
        <f t="shared" si="56"/>
        <v>0</v>
      </c>
      <c r="Y34" s="434">
        <f t="shared" si="56"/>
        <v>0</v>
      </c>
      <c r="Z34" s="434">
        <f t="shared" si="56"/>
        <v>0</v>
      </c>
      <c r="AA34" s="434">
        <f t="shared" si="56"/>
        <v>0</v>
      </c>
      <c r="AB34" s="434">
        <f t="shared" si="56"/>
        <v>0</v>
      </c>
      <c r="AC34" s="434">
        <f t="shared" si="56"/>
        <v>0</v>
      </c>
      <c r="AD34" s="434">
        <f t="shared" si="56"/>
        <v>0</v>
      </c>
      <c r="AE34" s="434">
        <f t="shared" si="56"/>
        <v>0</v>
      </c>
      <c r="AF34" s="434">
        <f t="shared" si="56"/>
        <v>0</v>
      </c>
      <c r="AG34" s="434">
        <f t="shared" si="56"/>
        <v>0</v>
      </c>
      <c r="AH34" s="434">
        <f t="shared" si="52"/>
        <v>0</v>
      </c>
      <c r="AI34" s="434">
        <f t="shared" si="52"/>
        <v>0</v>
      </c>
      <c r="AJ34" s="434">
        <f t="shared" si="52"/>
        <v>0</v>
      </c>
      <c r="AK34" s="434">
        <f t="shared" si="52"/>
        <v>0</v>
      </c>
      <c r="AL34" s="434">
        <f t="shared" si="52"/>
        <v>0</v>
      </c>
      <c r="AM34" s="434">
        <f t="shared" si="52"/>
        <v>0</v>
      </c>
      <c r="AN34" s="434">
        <f t="shared" si="52"/>
        <v>0</v>
      </c>
      <c r="AO34" s="434">
        <f t="shared" si="52"/>
        <v>0</v>
      </c>
      <c r="AP34" s="434">
        <f t="shared" si="52"/>
        <v>0</v>
      </c>
      <c r="AQ34" s="434">
        <f t="shared" si="52"/>
        <v>0</v>
      </c>
      <c r="AR34" s="434">
        <f t="shared" si="52"/>
        <v>0</v>
      </c>
      <c r="AS34" s="434">
        <f t="shared" si="53"/>
        <v>0</v>
      </c>
      <c r="AT34" s="434">
        <f t="shared" si="53"/>
        <v>0</v>
      </c>
      <c r="AU34" s="434">
        <f t="shared" si="53"/>
        <v>0</v>
      </c>
      <c r="AV34" s="434">
        <f t="shared" si="53"/>
        <v>0</v>
      </c>
      <c r="AW34" s="434">
        <f t="shared" si="53"/>
        <v>0</v>
      </c>
      <c r="AX34" s="434">
        <f t="shared" si="53"/>
        <v>0</v>
      </c>
      <c r="AY34" s="434">
        <f t="shared" si="53"/>
        <v>0</v>
      </c>
      <c r="AZ34" s="434">
        <f t="shared" si="53"/>
        <v>0</v>
      </c>
      <c r="BA34" s="434">
        <f t="shared" si="53"/>
        <v>0</v>
      </c>
      <c r="BB34" s="434">
        <f t="shared" si="53"/>
        <v>0</v>
      </c>
      <c r="BC34" s="434">
        <f t="shared" si="53"/>
        <v>0</v>
      </c>
      <c r="BD34" s="434">
        <f t="shared" si="53"/>
        <v>0</v>
      </c>
    </row>
    <row r="35" spans="1:56" s="148" customFormat="1" ht="17.25" customHeight="1" x14ac:dyDescent="0.4">
      <c r="A35" s="294" t="str">
        <f>'EEM Data Entry'!A112</f>
        <v/>
      </c>
      <c r="B35" s="448" t="str">
        <f>IF('EEM Data Entry'!B112="  ","  ", 'EEM Data Entry'!B112)</f>
        <v/>
      </c>
      <c r="C35" s="439" t="str">
        <f>'EEM Data Entry'!F112</f>
        <v/>
      </c>
      <c r="D35" s="439">
        <v>0</v>
      </c>
      <c r="E35" s="439" t="e">
        <f t="shared" si="54"/>
        <v>#VALUE!</v>
      </c>
      <c r="F35" s="512">
        <f>('Savings Summary'!D36*'Savings Summary'!D$5)+('Savings Summary'!F36*'Savings Summary'!F$5)+('Savings Summary'!H36*'Savings Summary'!H$5)+('Savings Summary'!J36*'Savings Summary'!J$5)+('Savings Summary'!L36*'Savings Summary'!L$5)+('Savings Summary'!N36*'Savings Summary'!N$5)+('Savings Summary'!P36*'Savings Summary'!P$5)+('Savings Summary'!R36*'Savings Summary'!R$5)</f>
        <v>0</v>
      </c>
      <c r="G35" s="450">
        <f>'Cascading Savings'!T35</f>
        <v>0</v>
      </c>
      <c r="H35" s="451" t="e">
        <f>IF(C35=0,"n/a",E35/F35)</f>
        <v>#VALUE!</v>
      </c>
      <c r="I35" s="440" t="e">
        <f t="shared" ref="I35:I46" si="57">IF(H35=0, "n/a", IF(H35&gt;100, "no",IF(H35&lt;0, "no", "yes")))</f>
        <v>#VALUE!</v>
      </c>
      <c r="J35" s="424" t="e">
        <f t="shared" si="51"/>
        <v>#VALUE!</v>
      </c>
      <c r="K35" s="423" t="e">
        <f>NPV(0.05,P35:AT35)</f>
        <v>#VALUE!</v>
      </c>
      <c r="L35" s="510" t="str">
        <f>'Cascading Cap Cost &amp; Savings'!L30</f>
        <v/>
      </c>
      <c r="M35" s="225">
        <f>'Cascading Savings'!D35</f>
        <v>0</v>
      </c>
      <c r="N35" s="225">
        <f>'Cascading Savings'!H35+'Cascading Savings'!F35+'Cascading Savings'!J35</f>
        <v>0</v>
      </c>
      <c r="P35" s="434" t="e">
        <f>-E35</f>
        <v>#VALUE!</v>
      </c>
      <c r="Q35" s="434">
        <f t="shared" si="55"/>
        <v>0</v>
      </c>
      <c r="R35" s="434">
        <f t="shared" si="56"/>
        <v>0</v>
      </c>
      <c r="S35" s="434">
        <f t="shared" si="52"/>
        <v>0</v>
      </c>
      <c r="T35" s="434">
        <f t="shared" si="52"/>
        <v>0</v>
      </c>
      <c r="U35" s="434">
        <f t="shared" si="52"/>
        <v>0</v>
      </c>
      <c r="V35" s="434">
        <f t="shared" si="52"/>
        <v>0</v>
      </c>
      <c r="W35" s="434">
        <f t="shared" si="52"/>
        <v>0</v>
      </c>
      <c r="X35" s="434">
        <f t="shared" si="52"/>
        <v>0</v>
      </c>
      <c r="Y35" s="434">
        <f t="shared" si="52"/>
        <v>0</v>
      </c>
      <c r="Z35" s="434">
        <f t="shared" si="52"/>
        <v>0</v>
      </c>
      <c r="AA35" s="434">
        <f t="shared" si="52"/>
        <v>0</v>
      </c>
      <c r="AB35" s="434">
        <f t="shared" si="52"/>
        <v>0</v>
      </c>
      <c r="AC35" s="434">
        <f t="shared" si="52"/>
        <v>0</v>
      </c>
      <c r="AD35" s="434">
        <f t="shared" si="52"/>
        <v>0</v>
      </c>
      <c r="AE35" s="434">
        <f t="shared" si="52"/>
        <v>0</v>
      </c>
      <c r="AF35" s="434">
        <f t="shared" si="52"/>
        <v>0</v>
      </c>
      <c r="AG35" s="434">
        <f t="shared" si="52"/>
        <v>0</v>
      </c>
      <c r="AH35" s="434">
        <f t="shared" si="52"/>
        <v>0</v>
      </c>
      <c r="AI35" s="434">
        <f t="shared" si="52"/>
        <v>0</v>
      </c>
      <c r="AJ35" s="434">
        <f t="shared" si="52"/>
        <v>0</v>
      </c>
      <c r="AK35" s="434">
        <f t="shared" si="52"/>
        <v>0</v>
      </c>
      <c r="AL35" s="434">
        <f t="shared" si="52"/>
        <v>0</v>
      </c>
      <c r="AM35" s="434">
        <f t="shared" si="52"/>
        <v>0</v>
      </c>
      <c r="AN35" s="434">
        <f t="shared" si="52"/>
        <v>0</v>
      </c>
      <c r="AO35" s="434">
        <f t="shared" si="52"/>
        <v>0</v>
      </c>
      <c r="AP35" s="434">
        <f t="shared" si="52"/>
        <v>0</v>
      </c>
      <c r="AQ35" s="434">
        <f t="shared" si="52"/>
        <v>0</v>
      </c>
      <c r="AR35" s="434">
        <f t="shared" si="52"/>
        <v>0</v>
      </c>
      <c r="AS35" s="434">
        <f t="shared" si="53"/>
        <v>0</v>
      </c>
      <c r="AT35" s="434">
        <f t="shared" si="53"/>
        <v>0</v>
      </c>
      <c r="AU35" s="434">
        <f t="shared" si="53"/>
        <v>0</v>
      </c>
      <c r="AV35" s="434">
        <f t="shared" si="53"/>
        <v>0</v>
      </c>
      <c r="AW35" s="434">
        <f t="shared" si="53"/>
        <v>0</v>
      </c>
      <c r="AX35" s="434">
        <f t="shared" si="53"/>
        <v>0</v>
      </c>
      <c r="AY35" s="434">
        <f t="shared" si="53"/>
        <v>0</v>
      </c>
      <c r="AZ35" s="434">
        <f t="shared" si="53"/>
        <v>0</v>
      </c>
      <c r="BA35" s="434">
        <f t="shared" si="53"/>
        <v>0</v>
      </c>
      <c r="BB35" s="434">
        <f t="shared" si="53"/>
        <v>0</v>
      </c>
      <c r="BC35" s="434">
        <f t="shared" si="53"/>
        <v>0</v>
      </c>
      <c r="BD35" s="434">
        <f t="shared" si="53"/>
        <v>0</v>
      </c>
    </row>
    <row r="36" spans="1:56" s="148" customFormat="1" ht="17.25" customHeight="1" x14ac:dyDescent="0.4">
      <c r="A36" s="294" t="str">
        <f>'EEM Data Entry'!A113</f>
        <v/>
      </c>
      <c r="B36" s="448" t="str">
        <f>IF('EEM Data Entry'!B113="  ","  ", 'EEM Data Entry'!B113)</f>
        <v/>
      </c>
      <c r="C36" s="439" t="str">
        <f>'EEM Data Entry'!F113</f>
        <v/>
      </c>
      <c r="D36" s="439">
        <v>0</v>
      </c>
      <c r="E36" s="439" t="e">
        <f t="shared" si="54"/>
        <v>#VALUE!</v>
      </c>
      <c r="F36" s="512">
        <f>('Savings Summary'!D37*'Savings Summary'!D$5)+('Savings Summary'!F37*'Savings Summary'!F$5)+('Savings Summary'!H37*'Savings Summary'!H$5)+('Savings Summary'!J37*'Savings Summary'!J$5)+('Savings Summary'!L37*'Savings Summary'!L$5)+('Savings Summary'!N37*'Savings Summary'!N$5)+('Savings Summary'!P37*'Savings Summary'!P$5)+('Savings Summary'!R37*'Savings Summary'!R$5)</f>
        <v>0</v>
      </c>
      <c r="G36" s="450">
        <f>'Cascading Savings'!T36</f>
        <v>0</v>
      </c>
      <c r="H36" s="451" t="e">
        <f t="shared" ref="H36:H46" si="58">IF(C36=0,"n/a",E36/F36)</f>
        <v>#VALUE!</v>
      </c>
      <c r="I36" s="440" t="e">
        <f>IF(H36=0, "n/a", IF(H36&gt;100, "no",IF(H36&lt;0, "no", "yes")))</f>
        <v>#VALUE!</v>
      </c>
      <c r="J36" s="424" t="e">
        <f t="shared" si="51"/>
        <v>#VALUE!</v>
      </c>
      <c r="K36" s="423" t="e">
        <f>NPV(0.05,P36:AT36)</f>
        <v>#VALUE!</v>
      </c>
      <c r="L36" s="511" t="str">
        <f>'Cascading Cap Cost &amp; Savings'!L31</f>
        <v/>
      </c>
      <c r="M36" s="225">
        <f>'Cascading Savings'!D36</f>
        <v>0</v>
      </c>
      <c r="N36" s="225">
        <f>'Cascading Savings'!H36+'Cascading Savings'!F36+'Cascading Savings'!J36</f>
        <v>0</v>
      </c>
      <c r="P36" s="434" t="e">
        <f>-E36</f>
        <v>#VALUE!</v>
      </c>
      <c r="Q36" s="434">
        <f t="shared" si="55"/>
        <v>0</v>
      </c>
      <c r="R36" s="434">
        <f t="shared" si="56"/>
        <v>0</v>
      </c>
      <c r="S36" s="434">
        <f t="shared" si="52"/>
        <v>0</v>
      </c>
      <c r="T36" s="434">
        <f t="shared" si="52"/>
        <v>0</v>
      </c>
      <c r="U36" s="434">
        <f t="shared" si="52"/>
        <v>0</v>
      </c>
      <c r="V36" s="434">
        <f t="shared" si="52"/>
        <v>0</v>
      </c>
      <c r="W36" s="434">
        <f t="shared" si="52"/>
        <v>0</v>
      </c>
      <c r="X36" s="434">
        <f t="shared" si="52"/>
        <v>0</v>
      </c>
      <c r="Y36" s="434">
        <f t="shared" si="52"/>
        <v>0</v>
      </c>
      <c r="Z36" s="434">
        <f t="shared" si="52"/>
        <v>0</v>
      </c>
      <c r="AA36" s="434">
        <f t="shared" si="52"/>
        <v>0</v>
      </c>
      <c r="AB36" s="434">
        <f t="shared" si="52"/>
        <v>0</v>
      </c>
      <c r="AC36" s="434">
        <f t="shared" si="52"/>
        <v>0</v>
      </c>
      <c r="AD36" s="434">
        <f t="shared" si="52"/>
        <v>0</v>
      </c>
      <c r="AE36" s="434">
        <f t="shared" si="52"/>
        <v>0</v>
      </c>
      <c r="AF36" s="434">
        <f t="shared" si="52"/>
        <v>0</v>
      </c>
      <c r="AG36" s="434">
        <f t="shared" si="52"/>
        <v>0</v>
      </c>
      <c r="AH36" s="434">
        <f t="shared" si="52"/>
        <v>0</v>
      </c>
      <c r="AI36" s="434">
        <f t="shared" si="52"/>
        <v>0</v>
      </c>
      <c r="AJ36" s="434">
        <f t="shared" si="52"/>
        <v>0</v>
      </c>
      <c r="AK36" s="434">
        <f t="shared" si="52"/>
        <v>0</v>
      </c>
      <c r="AL36" s="434">
        <f t="shared" si="52"/>
        <v>0</v>
      </c>
      <c r="AM36" s="434">
        <f t="shared" si="52"/>
        <v>0</v>
      </c>
      <c r="AN36" s="434">
        <f t="shared" si="52"/>
        <v>0</v>
      </c>
      <c r="AO36" s="434">
        <f t="shared" si="52"/>
        <v>0</v>
      </c>
      <c r="AP36" s="434">
        <f t="shared" si="52"/>
        <v>0</v>
      </c>
      <c r="AQ36" s="434">
        <f t="shared" si="52"/>
        <v>0</v>
      </c>
      <c r="AR36" s="434">
        <f t="shared" si="52"/>
        <v>0</v>
      </c>
      <c r="AS36" s="434">
        <f t="shared" si="53"/>
        <v>0</v>
      </c>
      <c r="AT36" s="434">
        <f t="shared" si="53"/>
        <v>0</v>
      </c>
      <c r="AU36" s="434">
        <f t="shared" si="53"/>
        <v>0</v>
      </c>
      <c r="AV36" s="434">
        <f t="shared" si="53"/>
        <v>0</v>
      </c>
      <c r="AW36" s="434">
        <f t="shared" si="53"/>
        <v>0</v>
      </c>
      <c r="AX36" s="434">
        <f t="shared" si="53"/>
        <v>0</v>
      </c>
      <c r="AY36" s="434">
        <f t="shared" si="53"/>
        <v>0</v>
      </c>
      <c r="AZ36" s="434">
        <f t="shared" si="53"/>
        <v>0</v>
      </c>
      <c r="BA36" s="434">
        <f t="shared" si="53"/>
        <v>0</v>
      </c>
      <c r="BB36" s="434">
        <f t="shared" si="53"/>
        <v>0</v>
      </c>
      <c r="BC36" s="434">
        <f t="shared" si="53"/>
        <v>0</v>
      </c>
      <c r="BD36" s="434">
        <f t="shared" si="53"/>
        <v>0</v>
      </c>
    </row>
    <row r="37" spans="1:56" s="148" customFormat="1" ht="17.25" customHeight="1" x14ac:dyDescent="0.4">
      <c r="A37" s="294" t="str">
        <f>'EEM Data Entry'!A114</f>
        <v/>
      </c>
      <c r="B37" s="448" t="str">
        <f>IF('EEM Data Entry'!B114="  ","  ", 'EEM Data Entry'!B114)</f>
        <v/>
      </c>
      <c r="C37" s="439" t="str">
        <f>'EEM Data Entry'!F114</f>
        <v/>
      </c>
      <c r="D37" s="439">
        <v>0</v>
      </c>
      <c r="E37" s="439" t="e">
        <f t="shared" si="54"/>
        <v>#VALUE!</v>
      </c>
      <c r="F37" s="512">
        <f>('Savings Summary'!D38*'Savings Summary'!D$5)+('Savings Summary'!F38*'Savings Summary'!F$5)+('Savings Summary'!H38*'Savings Summary'!H$5)+('Savings Summary'!J38*'Savings Summary'!J$5)+('Savings Summary'!L38*'Savings Summary'!L$5)+('Savings Summary'!N38*'Savings Summary'!N$5)+('Savings Summary'!P38*'Savings Summary'!P$5)+('Savings Summary'!R38*'Savings Summary'!R$5)</f>
        <v>0</v>
      </c>
      <c r="G37" s="450">
        <f>'Cascading Savings'!T37</f>
        <v>0</v>
      </c>
      <c r="H37" s="451" t="e">
        <f t="shared" si="58"/>
        <v>#VALUE!</v>
      </c>
      <c r="I37" s="440" t="e">
        <f t="shared" si="57"/>
        <v>#VALUE!</v>
      </c>
      <c r="J37" s="424" t="e">
        <f t="shared" si="51"/>
        <v>#VALUE!</v>
      </c>
      <c r="K37" s="423" t="e">
        <f>NPV(0.05,P37:AT37)</f>
        <v>#VALUE!</v>
      </c>
      <c r="L37" s="510" t="str">
        <f>'Cascading Cap Cost &amp; Savings'!L32</f>
        <v/>
      </c>
      <c r="M37" s="225">
        <f>'Cascading Savings'!D37</f>
        <v>0</v>
      </c>
      <c r="N37" s="225">
        <f>'Cascading Savings'!H37+'Cascading Savings'!F37+'Cascading Savings'!J37</f>
        <v>0</v>
      </c>
      <c r="P37" s="434" t="e">
        <f t="shared" ref="P37:P46" si="59">-E37</f>
        <v>#VALUE!</v>
      </c>
      <c r="Q37" s="434">
        <f t="shared" si="55"/>
        <v>0</v>
      </c>
      <c r="R37" s="434">
        <f t="shared" si="56"/>
        <v>0</v>
      </c>
      <c r="S37" s="434">
        <f t="shared" si="52"/>
        <v>0</v>
      </c>
      <c r="T37" s="434">
        <f t="shared" si="52"/>
        <v>0</v>
      </c>
      <c r="U37" s="434">
        <f t="shared" si="52"/>
        <v>0</v>
      </c>
      <c r="V37" s="434">
        <f t="shared" si="52"/>
        <v>0</v>
      </c>
      <c r="W37" s="434">
        <f t="shared" si="52"/>
        <v>0</v>
      </c>
      <c r="X37" s="434">
        <f t="shared" si="52"/>
        <v>0</v>
      </c>
      <c r="Y37" s="434">
        <f t="shared" si="52"/>
        <v>0</v>
      </c>
      <c r="Z37" s="434">
        <f t="shared" si="52"/>
        <v>0</v>
      </c>
      <c r="AA37" s="434">
        <f t="shared" si="52"/>
        <v>0</v>
      </c>
      <c r="AB37" s="434">
        <f t="shared" si="52"/>
        <v>0</v>
      </c>
      <c r="AC37" s="434">
        <f t="shared" si="52"/>
        <v>0</v>
      </c>
      <c r="AD37" s="434">
        <f t="shared" si="52"/>
        <v>0</v>
      </c>
      <c r="AE37" s="434">
        <f t="shared" si="52"/>
        <v>0</v>
      </c>
      <c r="AF37" s="434">
        <f t="shared" si="52"/>
        <v>0</v>
      </c>
      <c r="AG37" s="434">
        <f t="shared" si="52"/>
        <v>0</v>
      </c>
      <c r="AH37" s="434">
        <f t="shared" si="52"/>
        <v>0</v>
      </c>
      <c r="AI37" s="434">
        <f t="shared" si="52"/>
        <v>0</v>
      </c>
      <c r="AJ37" s="434">
        <f t="shared" si="52"/>
        <v>0</v>
      </c>
      <c r="AK37" s="434">
        <f t="shared" si="52"/>
        <v>0</v>
      </c>
      <c r="AL37" s="434">
        <f t="shared" si="52"/>
        <v>0</v>
      </c>
      <c r="AM37" s="434">
        <f t="shared" si="52"/>
        <v>0</v>
      </c>
      <c r="AN37" s="434">
        <f t="shared" si="52"/>
        <v>0</v>
      </c>
      <c r="AO37" s="434">
        <f t="shared" si="52"/>
        <v>0</v>
      </c>
      <c r="AP37" s="434">
        <f t="shared" si="52"/>
        <v>0</v>
      </c>
      <c r="AQ37" s="434">
        <f t="shared" si="52"/>
        <v>0</v>
      </c>
      <c r="AR37" s="434">
        <f t="shared" si="52"/>
        <v>0</v>
      </c>
      <c r="AS37" s="434">
        <f t="shared" si="53"/>
        <v>0</v>
      </c>
      <c r="AT37" s="434">
        <f t="shared" si="53"/>
        <v>0</v>
      </c>
      <c r="AU37" s="434">
        <f t="shared" si="53"/>
        <v>0</v>
      </c>
      <c r="AV37" s="434">
        <f t="shared" si="53"/>
        <v>0</v>
      </c>
      <c r="AW37" s="434">
        <f t="shared" si="53"/>
        <v>0</v>
      </c>
      <c r="AX37" s="434">
        <f t="shared" si="53"/>
        <v>0</v>
      </c>
      <c r="AY37" s="434">
        <f t="shared" si="53"/>
        <v>0</v>
      </c>
      <c r="AZ37" s="434">
        <f t="shared" si="53"/>
        <v>0</v>
      </c>
      <c r="BA37" s="434">
        <f t="shared" si="53"/>
        <v>0</v>
      </c>
      <c r="BB37" s="434">
        <f t="shared" si="53"/>
        <v>0</v>
      </c>
      <c r="BC37" s="434">
        <f t="shared" si="53"/>
        <v>0</v>
      </c>
      <c r="BD37" s="434">
        <f t="shared" si="53"/>
        <v>0</v>
      </c>
    </row>
    <row r="38" spans="1:56" s="148" customFormat="1" ht="17.25" customHeight="1" x14ac:dyDescent="0.4">
      <c r="A38" s="294" t="str">
        <f>'EEM Data Entry'!A115</f>
        <v/>
      </c>
      <c r="B38" s="448" t="str">
        <f>IF('EEM Data Entry'!B115="  ","  ", 'EEM Data Entry'!B115)</f>
        <v/>
      </c>
      <c r="C38" s="439" t="str">
        <f>'EEM Data Entry'!F115</f>
        <v/>
      </c>
      <c r="D38" s="439">
        <v>0</v>
      </c>
      <c r="E38" s="439" t="e">
        <f t="shared" si="54"/>
        <v>#VALUE!</v>
      </c>
      <c r="F38" s="512">
        <f>('Savings Summary'!D39*'Savings Summary'!D$5)+('Savings Summary'!F39*'Savings Summary'!F$5)+('Savings Summary'!H39*'Savings Summary'!H$5)+('Savings Summary'!J39*'Savings Summary'!J$5)+('Savings Summary'!L39*'Savings Summary'!L$5)+('Savings Summary'!N39*'Savings Summary'!N$5)+('Savings Summary'!P39*'Savings Summary'!P$5)+('Savings Summary'!R39*'Savings Summary'!R$5)</f>
        <v>0</v>
      </c>
      <c r="G38" s="450">
        <f>'Savings Summary'!T39</f>
        <v>0</v>
      </c>
      <c r="H38" s="451" t="e">
        <f t="shared" si="58"/>
        <v>#VALUE!</v>
      </c>
      <c r="I38" s="440" t="e">
        <f t="shared" si="57"/>
        <v>#VALUE!</v>
      </c>
      <c r="J38" s="424" t="e">
        <f t="shared" si="51"/>
        <v>#VALUE!</v>
      </c>
      <c r="K38" s="423" t="e">
        <f t="shared" ref="K38:K46" si="60">NPV(0.05,P38:AT38)</f>
        <v>#VALUE!</v>
      </c>
      <c r="L38" s="511" t="str">
        <f>'Cascading Cap Cost &amp; Savings'!L33</f>
        <v/>
      </c>
      <c r="M38" s="225">
        <f>'Cascading Savings'!D38</f>
        <v>0</v>
      </c>
      <c r="N38" s="225">
        <f>'Cascading Savings'!H38+'Cascading Savings'!F38+'Cascading Savings'!J38</f>
        <v>0</v>
      </c>
      <c r="P38" s="434" t="e">
        <f t="shared" si="59"/>
        <v>#VALUE!</v>
      </c>
      <c r="Q38" s="434">
        <f t="shared" si="55"/>
        <v>0</v>
      </c>
      <c r="R38" s="434">
        <f t="shared" si="56"/>
        <v>0</v>
      </c>
      <c r="S38" s="434">
        <f t="shared" si="52"/>
        <v>0</v>
      </c>
      <c r="T38" s="434">
        <f t="shared" si="52"/>
        <v>0</v>
      </c>
      <c r="U38" s="434">
        <f t="shared" si="52"/>
        <v>0</v>
      </c>
      <c r="V38" s="434">
        <f t="shared" si="52"/>
        <v>0</v>
      </c>
      <c r="W38" s="434">
        <f t="shared" si="52"/>
        <v>0</v>
      </c>
      <c r="X38" s="434">
        <f t="shared" si="52"/>
        <v>0</v>
      </c>
      <c r="Y38" s="434">
        <f t="shared" si="52"/>
        <v>0</v>
      </c>
      <c r="Z38" s="434">
        <f t="shared" si="52"/>
        <v>0</v>
      </c>
      <c r="AA38" s="434">
        <f t="shared" si="52"/>
        <v>0</v>
      </c>
      <c r="AB38" s="434">
        <f t="shared" si="52"/>
        <v>0</v>
      </c>
      <c r="AC38" s="434">
        <f t="shared" si="52"/>
        <v>0</v>
      </c>
      <c r="AD38" s="434">
        <f t="shared" si="52"/>
        <v>0</v>
      </c>
      <c r="AE38" s="434">
        <f t="shared" si="52"/>
        <v>0</v>
      </c>
      <c r="AF38" s="434">
        <f t="shared" si="52"/>
        <v>0</v>
      </c>
      <c r="AG38" s="434">
        <f t="shared" si="52"/>
        <v>0</v>
      </c>
      <c r="AH38" s="434">
        <f t="shared" si="52"/>
        <v>0</v>
      </c>
      <c r="AI38" s="434">
        <f t="shared" si="52"/>
        <v>0</v>
      </c>
      <c r="AJ38" s="434">
        <f t="shared" si="52"/>
        <v>0</v>
      </c>
      <c r="AK38" s="434">
        <f t="shared" si="52"/>
        <v>0</v>
      </c>
      <c r="AL38" s="434">
        <f t="shared" si="52"/>
        <v>0</v>
      </c>
      <c r="AM38" s="434">
        <f t="shared" si="52"/>
        <v>0</v>
      </c>
      <c r="AN38" s="434">
        <f t="shared" si="52"/>
        <v>0</v>
      </c>
      <c r="AO38" s="434">
        <f t="shared" si="52"/>
        <v>0</v>
      </c>
      <c r="AP38" s="434">
        <f t="shared" si="52"/>
        <v>0</v>
      </c>
      <c r="AQ38" s="434">
        <f t="shared" si="52"/>
        <v>0</v>
      </c>
      <c r="AR38" s="434">
        <f t="shared" si="52"/>
        <v>0</v>
      </c>
      <c r="AS38" s="434">
        <f t="shared" si="53"/>
        <v>0</v>
      </c>
      <c r="AT38" s="434">
        <f t="shared" si="53"/>
        <v>0</v>
      </c>
      <c r="AU38" s="434">
        <f t="shared" si="53"/>
        <v>0</v>
      </c>
      <c r="AV38" s="434">
        <f t="shared" si="53"/>
        <v>0</v>
      </c>
      <c r="AW38" s="434">
        <f t="shared" si="53"/>
        <v>0</v>
      </c>
      <c r="AX38" s="434">
        <f t="shared" si="53"/>
        <v>0</v>
      </c>
      <c r="AY38" s="434">
        <f t="shared" si="53"/>
        <v>0</v>
      </c>
      <c r="AZ38" s="434">
        <f t="shared" si="53"/>
        <v>0</v>
      </c>
      <c r="BA38" s="434">
        <f t="shared" si="53"/>
        <v>0</v>
      </c>
      <c r="BB38" s="434">
        <f t="shared" si="53"/>
        <v>0</v>
      </c>
      <c r="BC38" s="434">
        <f t="shared" si="53"/>
        <v>0</v>
      </c>
      <c r="BD38" s="434">
        <f t="shared" si="53"/>
        <v>0</v>
      </c>
    </row>
    <row r="39" spans="1:56" s="148" customFormat="1" ht="17.25" customHeight="1" x14ac:dyDescent="0.4">
      <c r="A39" s="294" t="str">
        <f>'EEM Data Entry'!A116</f>
        <v/>
      </c>
      <c r="B39" s="448" t="str">
        <f>IF('EEM Data Entry'!B116="  ","  ", 'EEM Data Entry'!B116)</f>
        <v/>
      </c>
      <c r="C39" s="439" t="str">
        <f>'EEM Data Entry'!F116</f>
        <v/>
      </c>
      <c r="D39" s="439">
        <v>0</v>
      </c>
      <c r="E39" s="439" t="e">
        <f t="shared" si="54"/>
        <v>#VALUE!</v>
      </c>
      <c r="F39" s="512">
        <f>('Savings Summary'!D40*'Savings Summary'!D$5)+('Savings Summary'!F40*'Savings Summary'!F$5)+('Savings Summary'!H40*'Savings Summary'!H$5)+('Savings Summary'!J40*'Savings Summary'!J$5)+('Savings Summary'!L40*'Savings Summary'!L$5)+('Savings Summary'!N40*'Savings Summary'!N$5)+('Savings Summary'!P40*'Savings Summary'!P$5)+('Savings Summary'!R40*'Savings Summary'!R$5)</f>
        <v>0</v>
      </c>
      <c r="G39" s="450">
        <f>'Savings Summary'!T40</f>
        <v>0</v>
      </c>
      <c r="H39" s="451" t="e">
        <f t="shared" si="58"/>
        <v>#VALUE!</v>
      </c>
      <c r="I39" s="440" t="e">
        <f>IF(H39=0, "n/a", IF(H39&gt;100, "no",IF(H39&lt;0, "no", "yes")))</f>
        <v>#VALUE!</v>
      </c>
      <c r="J39" s="424" t="e">
        <f t="shared" ref="J39:J43" si="61">IRR(P39:AT39,0.1)</f>
        <v>#VALUE!</v>
      </c>
      <c r="K39" s="423" t="e">
        <f t="shared" si="60"/>
        <v>#VALUE!</v>
      </c>
      <c r="L39" s="510" t="str">
        <f>'Cascading Cap Cost &amp; Savings'!L34</f>
        <v/>
      </c>
      <c r="M39" s="225">
        <f>'Cascading Savings'!D39</f>
        <v>0</v>
      </c>
      <c r="N39" s="225">
        <f>'Cascading Savings'!H39+'Cascading Savings'!F39+'Cascading Savings'!J39</f>
        <v>0</v>
      </c>
      <c r="P39" s="434" t="e">
        <f t="shared" si="59"/>
        <v>#VALUE!</v>
      </c>
      <c r="Q39" s="434">
        <f t="shared" si="55"/>
        <v>0</v>
      </c>
      <c r="R39" s="434">
        <f t="shared" si="56"/>
        <v>0</v>
      </c>
      <c r="S39" s="434">
        <f t="shared" si="52"/>
        <v>0</v>
      </c>
      <c r="T39" s="434">
        <f t="shared" si="52"/>
        <v>0</v>
      </c>
      <c r="U39" s="434">
        <f t="shared" si="52"/>
        <v>0</v>
      </c>
      <c r="V39" s="434">
        <f t="shared" si="52"/>
        <v>0</v>
      </c>
      <c r="W39" s="434">
        <f t="shared" si="52"/>
        <v>0</v>
      </c>
      <c r="X39" s="434">
        <f t="shared" si="52"/>
        <v>0</v>
      </c>
      <c r="Y39" s="434">
        <f t="shared" si="52"/>
        <v>0</v>
      </c>
      <c r="Z39" s="434">
        <f t="shared" si="52"/>
        <v>0</v>
      </c>
      <c r="AA39" s="434">
        <f t="shared" si="52"/>
        <v>0</v>
      </c>
      <c r="AB39" s="434">
        <f t="shared" si="52"/>
        <v>0</v>
      </c>
      <c r="AC39" s="434">
        <f t="shared" si="52"/>
        <v>0</v>
      </c>
      <c r="AD39" s="434">
        <f t="shared" si="52"/>
        <v>0</v>
      </c>
      <c r="AE39" s="434">
        <f t="shared" si="52"/>
        <v>0</v>
      </c>
      <c r="AF39" s="434">
        <f t="shared" si="52"/>
        <v>0</v>
      </c>
      <c r="AG39" s="434">
        <f t="shared" si="52"/>
        <v>0</v>
      </c>
      <c r="AH39" s="434">
        <f t="shared" si="52"/>
        <v>0</v>
      </c>
      <c r="AI39" s="434">
        <f t="shared" si="52"/>
        <v>0</v>
      </c>
      <c r="AJ39" s="434">
        <f t="shared" si="52"/>
        <v>0</v>
      </c>
      <c r="AK39" s="434">
        <f t="shared" si="52"/>
        <v>0</v>
      </c>
      <c r="AL39" s="434">
        <f t="shared" si="52"/>
        <v>0</v>
      </c>
      <c r="AM39" s="434">
        <f t="shared" si="52"/>
        <v>0</v>
      </c>
      <c r="AN39" s="434">
        <f t="shared" si="52"/>
        <v>0</v>
      </c>
      <c r="AO39" s="434">
        <f t="shared" si="52"/>
        <v>0</v>
      </c>
      <c r="AP39" s="434">
        <f t="shared" si="52"/>
        <v>0</v>
      </c>
      <c r="AQ39" s="434">
        <f t="shared" si="52"/>
        <v>0</v>
      </c>
      <c r="AR39" s="434">
        <f t="shared" si="52"/>
        <v>0</v>
      </c>
      <c r="AS39" s="434">
        <f t="shared" si="53"/>
        <v>0</v>
      </c>
      <c r="AT39" s="434">
        <f t="shared" si="53"/>
        <v>0</v>
      </c>
      <c r="AU39" s="434">
        <f t="shared" si="53"/>
        <v>0</v>
      </c>
      <c r="AV39" s="434">
        <f t="shared" si="53"/>
        <v>0</v>
      </c>
      <c r="AW39" s="434">
        <f t="shared" si="53"/>
        <v>0</v>
      </c>
      <c r="AX39" s="434">
        <f t="shared" si="53"/>
        <v>0</v>
      </c>
      <c r="AY39" s="434">
        <f t="shared" si="53"/>
        <v>0</v>
      </c>
      <c r="AZ39" s="434">
        <f t="shared" si="53"/>
        <v>0</v>
      </c>
      <c r="BA39" s="434">
        <f t="shared" si="53"/>
        <v>0</v>
      </c>
      <c r="BB39" s="434">
        <f t="shared" si="53"/>
        <v>0</v>
      </c>
      <c r="BC39" s="434">
        <f t="shared" si="53"/>
        <v>0</v>
      </c>
      <c r="BD39" s="434">
        <f t="shared" si="53"/>
        <v>0</v>
      </c>
    </row>
    <row r="40" spans="1:56" s="148" customFormat="1" ht="17.25" customHeight="1" x14ac:dyDescent="0.4">
      <c r="A40" s="294" t="str">
        <f>'EEM Data Entry'!A117</f>
        <v/>
      </c>
      <c r="B40" s="448" t="str">
        <f>IF('EEM Data Entry'!B117="  ","  ", 'EEM Data Entry'!B117)</f>
        <v/>
      </c>
      <c r="C40" s="439" t="str">
        <f>'EEM Data Entry'!F117</f>
        <v/>
      </c>
      <c r="D40" s="439">
        <v>0</v>
      </c>
      <c r="E40" s="439" t="e">
        <f t="shared" si="54"/>
        <v>#VALUE!</v>
      </c>
      <c r="F40" s="512">
        <f>('Savings Summary'!D41*'Savings Summary'!D$5)+('Savings Summary'!F41*'Savings Summary'!F$5)+('Savings Summary'!H41*'Savings Summary'!H$5)+('Savings Summary'!J41*'Savings Summary'!J$5)+('Savings Summary'!L41*'Savings Summary'!L$5)+('Savings Summary'!N41*'Savings Summary'!N$5)+('Savings Summary'!P41*'Savings Summary'!P$5)+('Savings Summary'!R41*'Savings Summary'!R$5)</f>
        <v>0</v>
      </c>
      <c r="G40" s="450">
        <f>'Savings Summary'!T41</f>
        <v>0</v>
      </c>
      <c r="H40" s="451" t="e">
        <f t="shared" si="58"/>
        <v>#VALUE!</v>
      </c>
      <c r="I40" s="440" t="e">
        <f>IF(H40=0, "n/a", IF(H40&gt;100, "no",IF(H40&lt;0, "no", "yes")))</f>
        <v>#VALUE!</v>
      </c>
      <c r="J40" s="424" t="e">
        <f t="shared" si="61"/>
        <v>#VALUE!</v>
      </c>
      <c r="K40" s="423" t="e">
        <f t="shared" si="60"/>
        <v>#VALUE!</v>
      </c>
      <c r="L40" s="511" t="str">
        <f>'Cascading Cap Cost &amp; Savings'!L35</f>
        <v/>
      </c>
      <c r="M40" s="225">
        <f>'Cascading Savings'!D40</f>
        <v>0</v>
      </c>
      <c r="N40" s="225">
        <f>'Cascading Savings'!H40+'Cascading Savings'!F40+'Cascading Savings'!J40</f>
        <v>0</v>
      </c>
      <c r="P40" s="434" t="e">
        <f t="shared" si="59"/>
        <v>#VALUE!</v>
      </c>
      <c r="Q40" s="434">
        <f t="shared" si="55"/>
        <v>0</v>
      </c>
      <c r="R40" s="434">
        <f t="shared" si="56"/>
        <v>0</v>
      </c>
      <c r="S40" s="434">
        <f t="shared" si="52"/>
        <v>0</v>
      </c>
      <c r="T40" s="434">
        <f t="shared" si="52"/>
        <v>0</v>
      </c>
      <c r="U40" s="434">
        <f t="shared" si="52"/>
        <v>0</v>
      </c>
      <c r="V40" s="434">
        <f t="shared" si="52"/>
        <v>0</v>
      </c>
      <c r="W40" s="434">
        <f t="shared" si="52"/>
        <v>0</v>
      </c>
      <c r="X40" s="434">
        <f t="shared" si="52"/>
        <v>0</v>
      </c>
      <c r="Y40" s="434">
        <f t="shared" si="52"/>
        <v>0</v>
      </c>
      <c r="Z40" s="434">
        <f t="shared" si="52"/>
        <v>0</v>
      </c>
      <c r="AA40" s="434">
        <f t="shared" si="52"/>
        <v>0</v>
      </c>
      <c r="AB40" s="434">
        <f t="shared" si="52"/>
        <v>0</v>
      </c>
      <c r="AC40" s="434">
        <f t="shared" si="52"/>
        <v>0</v>
      </c>
      <c r="AD40" s="434">
        <f t="shared" si="52"/>
        <v>0</v>
      </c>
      <c r="AE40" s="434">
        <f t="shared" si="52"/>
        <v>0</v>
      </c>
      <c r="AF40" s="434">
        <f t="shared" si="52"/>
        <v>0</v>
      </c>
      <c r="AG40" s="434">
        <f t="shared" si="52"/>
        <v>0</v>
      </c>
      <c r="AH40" s="434">
        <f t="shared" si="52"/>
        <v>0</v>
      </c>
      <c r="AI40" s="434">
        <f t="shared" si="52"/>
        <v>0</v>
      </c>
      <c r="AJ40" s="434">
        <f t="shared" si="52"/>
        <v>0</v>
      </c>
      <c r="AK40" s="434">
        <f t="shared" si="52"/>
        <v>0</v>
      </c>
      <c r="AL40" s="434">
        <f t="shared" si="52"/>
        <v>0</v>
      </c>
      <c r="AM40" s="434">
        <f t="shared" si="52"/>
        <v>0</v>
      </c>
      <c r="AN40" s="434">
        <f t="shared" si="52"/>
        <v>0</v>
      </c>
      <c r="AO40" s="434">
        <f t="shared" si="52"/>
        <v>0</v>
      </c>
      <c r="AP40" s="434">
        <f t="shared" si="52"/>
        <v>0</v>
      </c>
      <c r="AQ40" s="434">
        <f t="shared" si="52"/>
        <v>0</v>
      </c>
      <c r="AR40" s="434">
        <f t="shared" si="52"/>
        <v>0</v>
      </c>
      <c r="AS40" s="434">
        <f t="shared" si="53"/>
        <v>0</v>
      </c>
      <c r="AT40" s="434">
        <f t="shared" si="53"/>
        <v>0</v>
      </c>
      <c r="AU40" s="434">
        <f t="shared" si="53"/>
        <v>0</v>
      </c>
      <c r="AV40" s="434">
        <f t="shared" si="53"/>
        <v>0</v>
      </c>
      <c r="AW40" s="434">
        <f t="shared" si="53"/>
        <v>0</v>
      </c>
      <c r="AX40" s="434">
        <f t="shared" si="53"/>
        <v>0</v>
      </c>
      <c r="AY40" s="434">
        <f t="shared" si="53"/>
        <v>0</v>
      </c>
      <c r="AZ40" s="434">
        <f t="shared" si="53"/>
        <v>0</v>
      </c>
      <c r="BA40" s="434">
        <f t="shared" si="53"/>
        <v>0</v>
      </c>
      <c r="BB40" s="434">
        <f t="shared" si="53"/>
        <v>0</v>
      </c>
      <c r="BC40" s="434">
        <f t="shared" si="53"/>
        <v>0</v>
      </c>
      <c r="BD40" s="434">
        <f t="shared" si="53"/>
        <v>0</v>
      </c>
    </row>
    <row r="41" spans="1:56" s="148" customFormat="1" ht="17.25" customHeight="1" x14ac:dyDescent="0.4">
      <c r="A41" s="294" t="str">
        <f>'EEM Data Entry'!A118</f>
        <v/>
      </c>
      <c r="B41" s="448" t="str">
        <f>IF('EEM Data Entry'!B118="  ","  ", 'EEM Data Entry'!B118)</f>
        <v/>
      </c>
      <c r="C41" s="439" t="str">
        <f>'EEM Data Entry'!F118</f>
        <v/>
      </c>
      <c r="D41" s="439">
        <v>0</v>
      </c>
      <c r="E41" s="439" t="e">
        <f t="shared" si="54"/>
        <v>#VALUE!</v>
      </c>
      <c r="F41" s="512">
        <f>('Savings Summary'!D42*'Savings Summary'!D$5)+('Savings Summary'!F42*'Savings Summary'!F$5)+('Savings Summary'!H42*'Savings Summary'!H$5)+('Savings Summary'!J42*'Savings Summary'!J$5)+('Savings Summary'!L42*'Savings Summary'!L$5)+('Savings Summary'!N42*'Savings Summary'!N$5)+('Savings Summary'!P42*'Savings Summary'!P$5)+('Savings Summary'!R42*'Savings Summary'!R$5)</f>
        <v>0</v>
      </c>
      <c r="G41" s="450">
        <f>'Savings Summary'!T42</f>
        <v>0</v>
      </c>
      <c r="H41" s="451" t="e">
        <f t="shared" si="58"/>
        <v>#VALUE!</v>
      </c>
      <c r="I41" s="440" t="e">
        <f t="shared" si="57"/>
        <v>#VALUE!</v>
      </c>
      <c r="J41" s="424" t="e">
        <f t="shared" si="61"/>
        <v>#VALUE!</v>
      </c>
      <c r="K41" s="423" t="e">
        <f t="shared" si="60"/>
        <v>#VALUE!</v>
      </c>
      <c r="L41" s="510" t="str">
        <f>'Cascading Cap Cost &amp; Savings'!L36</f>
        <v/>
      </c>
      <c r="M41" s="225">
        <f>'Cascading Savings'!D41</f>
        <v>0</v>
      </c>
      <c r="N41" s="225">
        <f>'Cascading Savings'!H41+'Cascading Savings'!F41+'Cascading Savings'!J41</f>
        <v>0</v>
      </c>
      <c r="P41" s="434" t="e">
        <f t="shared" si="59"/>
        <v>#VALUE!</v>
      </c>
      <c r="Q41" s="434">
        <f t="shared" si="55"/>
        <v>0</v>
      </c>
      <c r="R41" s="434">
        <f t="shared" si="56"/>
        <v>0</v>
      </c>
      <c r="S41" s="434">
        <f t="shared" si="52"/>
        <v>0</v>
      </c>
      <c r="T41" s="434">
        <f t="shared" si="52"/>
        <v>0</v>
      </c>
      <c r="U41" s="434">
        <f t="shared" si="52"/>
        <v>0</v>
      </c>
      <c r="V41" s="434">
        <f t="shared" si="52"/>
        <v>0</v>
      </c>
      <c r="W41" s="434">
        <f t="shared" si="52"/>
        <v>0</v>
      </c>
      <c r="X41" s="434">
        <f t="shared" si="52"/>
        <v>0</v>
      </c>
      <c r="Y41" s="434">
        <f t="shared" si="52"/>
        <v>0</v>
      </c>
      <c r="Z41" s="434">
        <f t="shared" si="52"/>
        <v>0</v>
      </c>
      <c r="AA41" s="434">
        <f t="shared" si="52"/>
        <v>0</v>
      </c>
      <c r="AB41" s="434">
        <f t="shared" si="52"/>
        <v>0</v>
      </c>
      <c r="AC41" s="434">
        <f t="shared" si="52"/>
        <v>0</v>
      </c>
      <c r="AD41" s="434">
        <f t="shared" si="52"/>
        <v>0</v>
      </c>
      <c r="AE41" s="434">
        <f t="shared" si="52"/>
        <v>0</v>
      </c>
      <c r="AF41" s="434">
        <f t="shared" si="52"/>
        <v>0</v>
      </c>
      <c r="AG41" s="434">
        <f t="shared" si="52"/>
        <v>0</v>
      </c>
      <c r="AH41" s="434">
        <f t="shared" si="52"/>
        <v>0</v>
      </c>
      <c r="AI41" s="434">
        <f t="shared" si="52"/>
        <v>0</v>
      </c>
      <c r="AJ41" s="434">
        <f t="shared" si="52"/>
        <v>0</v>
      </c>
      <c r="AK41" s="434">
        <f t="shared" si="52"/>
        <v>0</v>
      </c>
      <c r="AL41" s="434">
        <f t="shared" si="52"/>
        <v>0</v>
      </c>
      <c r="AM41" s="434">
        <f t="shared" si="52"/>
        <v>0</v>
      </c>
      <c r="AN41" s="434">
        <f t="shared" si="52"/>
        <v>0</v>
      </c>
      <c r="AO41" s="434">
        <f t="shared" si="52"/>
        <v>0</v>
      </c>
      <c r="AP41" s="434">
        <f t="shared" si="52"/>
        <v>0</v>
      </c>
      <c r="AQ41" s="434">
        <f t="shared" si="52"/>
        <v>0</v>
      </c>
      <c r="AR41" s="434">
        <f t="shared" si="52"/>
        <v>0</v>
      </c>
      <c r="AS41" s="434">
        <f t="shared" si="53"/>
        <v>0</v>
      </c>
      <c r="AT41" s="434">
        <f t="shared" si="53"/>
        <v>0</v>
      </c>
      <c r="AU41" s="434">
        <f t="shared" si="53"/>
        <v>0</v>
      </c>
      <c r="AV41" s="434">
        <f t="shared" si="53"/>
        <v>0</v>
      </c>
      <c r="AW41" s="434">
        <f t="shared" si="53"/>
        <v>0</v>
      </c>
      <c r="AX41" s="434">
        <f t="shared" si="53"/>
        <v>0</v>
      </c>
      <c r="AY41" s="434">
        <f t="shared" si="53"/>
        <v>0</v>
      </c>
      <c r="AZ41" s="434">
        <f t="shared" si="53"/>
        <v>0</v>
      </c>
      <c r="BA41" s="434">
        <f t="shared" si="53"/>
        <v>0</v>
      </c>
      <c r="BB41" s="434">
        <f t="shared" si="53"/>
        <v>0</v>
      </c>
      <c r="BC41" s="434">
        <f t="shared" si="53"/>
        <v>0</v>
      </c>
      <c r="BD41" s="434">
        <f t="shared" si="53"/>
        <v>0</v>
      </c>
    </row>
    <row r="42" spans="1:56" s="148" customFormat="1" ht="17.25" customHeight="1" x14ac:dyDescent="0.4">
      <c r="A42" s="294" t="str">
        <f>'EEM Data Entry'!A119</f>
        <v/>
      </c>
      <c r="B42" s="448" t="str">
        <f>IF('EEM Data Entry'!B119="  ","  ", 'EEM Data Entry'!B119)</f>
        <v/>
      </c>
      <c r="C42" s="439" t="str">
        <f>'EEM Data Entry'!F119</f>
        <v/>
      </c>
      <c r="D42" s="439">
        <v>0</v>
      </c>
      <c r="E42" s="439" t="e">
        <f t="shared" si="54"/>
        <v>#VALUE!</v>
      </c>
      <c r="F42" s="512">
        <f>('Savings Summary'!D43*'Savings Summary'!D$5)+('Savings Summary'!F43*'Savings Summary'!F$5)+('Savings Summary'!H43*'Savings Summary'!H$5)+('Savings Summary'!J43*'Savings Summary'!J$5)+('Savings Summary'!L43*'Savings Summary'!L$5)+('Savings Summary'!N43*'Savings Summary'!N$5)+('Savings Summary'!P43*'Savings Summary'!P$5)+('Savings Summary'!R43*'Savings Summary'!R$5)</f>
        <v>0</v>
      </c>
      <c r="G42" s="450">
        <f>'Savings Summary'!T43</f>
        <v>0</v>
      </c>
      <c r="H42" s="451" t="e">
        <f t="shared" si="58"/>
        <v>#VALUE!</v>
      </c>
      <c r="I42" s="440" t="e">
        <f t="shared" si="57"/>
        <v>#VALUE!</v>
      </c>
      <c r="J42" s="424" t="e">
        <f t="shared" si="61"/>
        <v>#VALUE!</v>
      </c>
      <c r="K42" s="423" t="e">
        <f t="shared" si="60"/>
        <v>#VALUE!</v>
      </c>
      <c r="L42" s="511" t="str">
        <f>'Cascading Cap Cost &amp; Savings'!L37</f>
        <v/>
      </c>
      <c r="M42" s="225">
        <f>'Cascading Savings'!D42</f>
        <v>0</v>
      </c>
      <c r="N42" s="225">
        <f>'Cascading Savings'!H42+'Cascading Savings'!F42+'Cascading Savings'!J42</f>
        <v>0</v>
      </c>
      <c r="P42" s="434" t="e">
        <f t="shared" si="59"/>
        <v>#VALUE!</v>
      </c>
      <c r="Q42" s="434">
        <f t="shared" si="55"/>
        <v>0</v>
      </c>
      <c r="R42" s="434">
        <f t="shared" si="56"/>
        <v>0</v>
      </c>
      <c r="S42" s="434">
        <f t="shared" si="52"/>
        <v>0</v>
      </c>
      <c r="T42" s="434">
        <f t="shared" si="52"/>
        <v>0</v>
      </c>
      <c r="U42" s="434">
        <f t="shared" si="52"/>
        <v>0</v>
      </c>
      <c r="V42" s="434">
        <f t="shared" si="52"/>
        <v>0</v>
      </c>
      <c r="W42" s="434">
        <f t="shared" si="52"/>
        <v>0</v>
      </c>
      <c r="X42" s="434">
        <f t="shared" si="52"/>
        <v>0</v>
      </c>
      <c r="Y42" s="434">
        <f t="shared" si="52"/>
        <v>0</v>
      </c>
      <c r="Z42" s="434">
        <f t="shared" si="52"/>
        <v>0</v>
      </c>
      <c r="AA42" s="434">
        <f t="shared" si="52"/>
        <v>0</v>
      </c>
      <c r="AB42" s="434">
        <f t="shared" si="52"/>
        <v>0</v>
      </c>
      <c r="AC42" s="434">
        <f t="shared" si="52"/>
        <v>0</v>
      </c>
      <c r="AD42" s="434">
        <f t="shared" si="52"/>
        <v>0</v>
      </c>
      <c r="AE42" s="434">
        <f t="shared" si="52"/>
        <v>0</v>
      </c>
      <c r="AF42" s="434">
        <f t="shared" si="52"/>
        <v>0</v>
      </c>
      <c r="AG42" s="434">
        <f t="shared" si="52"/>
        <v>0</v>
      </c>
      <c r="AH42" s="434">
        <f t="shared" si="52"/>
        <v>0</v>
      </c>
      <c r="AI42" s="434">
        <f t="shared" si="52"/>
        <v>0</v>
      </c>
      <c r="AJ42" s="434">
        <f t="shared" si="52"/>
        <v>0</v>
      </c>
      <c r="AK42" s="434">
        <f t="shared" ref="S42:AR46" si="62">AJ42*1.05</f>
        <v>0</v>
      </c>
      <c r="AL42" s="434">
        <f t="shared" si="62"/>
        <v>0</v>
      </c>
      <c r="AM42" s="434">
        <f t="shared" si="62"/>
        <v>0</v>
      </c>
      <c r="AN42" s="434">
        <f t="shared" si="62"/>
        <v>0</v>
      </c>
      <c r="AO42" s="434">
        <f t="shared" si="62"/>
        <v>0</v>
      </c>
      <c r="AP42" s="434">
        <f t="shared" si="62"/>
        <v>0</v>
      </c>
      <c r="AQ42" s="434">
        <f t="shared" si="62"/>
        <v>0</v>
      </c>
      <c r="AR42" s="434">
        <f t="shared" si="62"/>
        <v>0</v>
      </c>
      <c r="AS42" s="434">
        <f t="shared" si="53"/>
        <v>0</v>
      </c>
      <c r="AT42" s="434">
        <f t="shared" si="53"/>
        <v>0</v>
      </c>
      <c r="AU42" s="434">
        <f t="shared" si="53"/>
        <v>0</v>
      </c>
      <c r="AV42" s="434">
        <f t="shared" si="53"/>
        <v>0</v>
      </c>
      <c r="AW42" s="434">
        <f t="shared" si="53"/>
        <v>0</v>
      </c>
      <c r="AX42" s="434">
        <f t="shared" si="53"/>
        <v>0</v>
      </c>
      <c r="AY42" s="434">
        <f t="shared" si="53"/>
        <v>0</v>
      </c>
      <c r="AZ42" s="434">
        <f t="shared" si="53"/>
        <v>0</v>
      </c>
      <c r="BA42" s="434">
        <f t="shared" si="53"/>
        <v>0</v>
      </c>
      <c r="BB42" s="434">
        <f t="shared" si="53"/>
        <v>0</v>
      </c>
      <c r="BC42" s="434">
        <f t="shared" si="53"/>
        <v>0</v>
      </c>
      <c r="BD42" s="434">
        <f t="shared" si="53"/>
        <v>0</v>
      </c>
    </row>
    <row r="43" spans="1:56" s="148" customFormat="1" ht="39.75" customHeight="1" x14ac:dyDescent="0.4">
      <c r="A43" s="294" t="str">
        <f>'EEM Data Entry'!A120</f>
        <v/>
      </c>
      <c r="B43" s="448" t="str">
        <f>IF('EEM Data Entry'!B120="  ","  ", 'EEM Data Entry'!B120)</f>
        <v/>
      </c>
      <c r="C43" s="439" t="str">
        <f>'EEM Data Entry'!F120</f>
        <v/>
      </c>
      <c r="D43" s="439">
        <v>0</v>
      </c>
      <c r="E43" s="439" t="e">
        <f t="shared" si="54"/>
        <v>#VALUE!</v>
      </c>
      <c r="F43" s="512">
        <f>('Savings Summary'!D44*'Savings Summary'!D$5)+('Savings Summary'!F44*'Savings Summary'!F$5)+('Savings Summary'!H44*'Savings Summary'!H$5)+('Savings Summary'!J44*'Savings Summary'!J$5)+('Savings Summary'!L44*'Savings Summary'!L$5)+('Savings Summary'!N44*'Savings Summary'!N$5)+('Savings Summary'!P44*'Savings Summary'!P$5)+('Savings Summary'!R44*'Savings Summary'!R$5)</f>
        <v>0</v>
      </c>
      <c r="G43" s="450">
        <f>'Savings Summary'!T44</f>
        <v>0</v>
      </c>
      <c r="H43" s="451" t="e">
        <f t="shared" si="58"/>
        <v>#VALUE!</v>
      </c>
      <c r="I43" s="440" t="e">
        <f t="shared" si="57"/>
        <v>#VALUE!</v>
      </c>
      <c r="J43" s="424" t="e">
        <f t="shared" si="61"/>
        <v>#VALUE!</v>
      </c>
      <c r="K43" s="423" t="e">
        <f t="shared" si="60"/>
        <v>#VALUE!</v>
      </c>
      <c r="L43" s="510" t="str">
        <f>'Cascading Cap Cost &amp; Savings'!L38</f>
        <v/>
      </c>
      <c r="M43" s="225">
        <f>'Cascading Savings'!D43</f>
        <v>0</v>
      </c>
      <c r="N43" s="225">
        <f>'Cascading Savings'!H43+'Cascading Savings'!F43+'Cascading Savings'!J43</f>
        <v>0</v>
      </c>
      <c r="P43" s="434" t="e">
        <f t="shared" si="59"/>
        <v>#VALUE!</v>
      </c>
      <c r="Q43" s="434">
        <f t="shared" si="55"/>
        <v>0</v>
      </c>
      <c r="R43" s="434">
        <f t="shared" si="56"/>
        <v>0</v>
      </c>
      <c r="S43" s="434">
        <f t="shared" si="62"/>
        <v>0</v>
      </c>
      <c r="T43" s="434">
        <f t="shared" si="62"/>
        <v>0</v>
      </c>
      <c r="U43" s="434">
        <f t="shared" si="62"/>
        <v>0</v>
      </c>
      <c r="V43" s="434">
        <f t="shared" si="62"/>
        <v>0</v>
      </c>
      <c r="W43" s="434">
        <f t="shared" si="62"/>
        <v>0</v>
      </c>
      <c r="X43" s="434">
        <f t="shared" si="62"/>
        <v>0</v>
      </c>
      <c r="Y43" s="434">
        <f t="shared" si="62"/>
        <v>0</v>
      </c>
      <c r="Z43" s="434">
        <f t="shared" si="62"/>
        <v>0</v>
      </c>
      <c r="AA43" s="434">
        <f t="shared" si="62"/>
        <v>0</v>
      </c>
      <c r="AB43" s="434">
        <f t="shared" si="62"/>
        <v>0</v>
      </c>
      <c r="AC43" s="434">
        <f t="shared" si="62"/>
        <v>0</v>
      </c>
      <c r="AD43" s="434">
        <f t="shared" si="62"/>
        <v>0</v>
      </c>
      <c r="AE43" s="434">
        <f t="shared" si="62"/>
        <v>0</v>
      </c>
      <c r="AF43" s="434">
        <f t="shared" si="62"/>
        <v>0</v>
      </c>
      <c r="AG43" s="434">
        <f t="shared" si="62"/>
        <v>0</v>
      </c>
      <c r="AH43" s="434">
        <f t="shared" si="62"/>
        <v>0</v>
      </c>
      <c r="AI43" s="434">
        <f t="shared" si="62"/>
        <v>0</v>
      </c>
      <c r="AJ43" s="434">
        <f t="shared" si="62"/>
        <v>0</v>
      </c>
      <c r="AK43" s="434">
        <f t="shared" si="62"/>
        <v>0</v>
      </c>
      <c r="AL43" s="434">
        <f t="shared" si="62"/>
        <v>0</v>
      </c>
      <c r="AM43" s="434">
        <f t="shared" si="62"/>
        <v>0</v>
      </c>
      <c r="AN43" s="434">
        <f t="shared" si="62"/>
        <v>0</v>
      </c>
      <c r="AO43" s="434">
        <f t="shared" si="62"/>
        <v>0</v>
      </c>
      <c r="AP43" s="434">
        <f t="shared" si="62"/>
        <v>0</v>
      </c>
      <c r="AQ43" s="434">
        <f t="shared" si="62"/>
        <v>0</v>
      </c>
      <c r="AR43" s="434">
        <f t="shared" si="62"/>
        <v>0</v>
      </c>
      <c r="AS43" s="434">
        <f t="shared" si="53"/>
        <v>0</v>
      </c>
      <c r="AT43" s="434">
        <f t="shared" si="53"/>
        <v>0</v>
      </c>
      <c r="AU43" s="434">
        <f t="shared" si="53"/>
        <v>0</v>
      </c>
      <c r="AV43" s="434">
        <f t="shared" si="53"/>
        <v>0</v>
      </c>
      <c r="AW43" s="434">
        <f t="shared" si="53"/>
        <v>0</v>
      </c>
      <c r="AX43" s="434">
        <f t="shared" si="53"/>
        <v>0</v>
      </c>
      <c r="AY43" s="434">
        <f t="shared" si="53"/>
        <v>0</v>
      </c>
      <c r="AZ43" s="434">
        <f t="shared" si="53"/>
        <v>0</v>
      </c>
      <c r="BA43" s="434">
        <f t="shared" si="53"/>
        <v>0</v>
      </c>
      <c r="BB43" s="434">
        <f t="shared" si="53"/>
        <v>0</v>
      </c>
      <c r="BC43" s="434">
        <f t="shared" si="53"/>
        <v>0</v>
      </c>
      <c r="BD43" s="434">
        <f t="shared" si="53"/>
        <v>0</v>
      </c>
    </row>
    <row r="44" spans="1:56" s="159" customFormat="1" ht="39.75" customHeight="1" x14ac:dyDescent="0.4">
      <c r="A44" s="294" t="str">
        <f>'EEM Data Entry'!A121</f>
        <v/>
      </c>
      <c r="B44" s="448" t="str">
        <f>IF('EEM Data Entry'!B121="  ","  ", 'EEM Data Entry'!B121)</f>
        <v/>
      </c>
      <c r="C44" s="439" t="str">
        <f>'EEM Data Entry'!F121</f>
        <v/>
      </c>
      <c r="D44" s="439">
        <v>0</v>
      </c>
      <c r="E44" s="439" t="e">
        <f t="shared" si="54"/>
        <v>#VALUE!</v>
      </c>
      <c r="F44" s="512">
        <f>('Savings Summary'!D45*'Savings Summary'!D$5)+('Savings Summary'!F45*'Savings Summary'!F$5)+('Savings Summary'!H45*'Savings Summary'!H$5)+('Savings Summary'!J45*'Savings Summary'!J$5)+('Savings Summary'!L45*'Savings Summary'!L$5)+('Savings Summary'!N45*'Savings Summary'!N$5)+('Savings Summary'!P45*'Savings Summary'!P$5)+('Savings Summary'!R45*'Savings Summary'!R$5)</f>
        <v>0</v>
      </c>
      <c r="G44" s="450">
        <f>'Savings Summary'!T45</f>
        <v>0</v>
      </c>
      <c r="H44" s="451" t="e">
        <f t="shared" si="58"/>
        <v>#VALUE!</v>
      </c>
      <c r="I44" s="440" t="e">
        <f t="shared" si="57"/>
        <v>#VALUE!</v>
      </c>
      <c r="J44" s="424" t="e">
        <f>IRR(P44:AT44,0.1)</f>
        <v>#VALUE!</v>
      </c>
      <c r="K44" s="423" t="e">
        <f t="shared" si="60"/>
        <v>#VALUE!</v>
      </c>
      <c r="L44" s="511" t="str">
        <f>'Cascading Cap Cost &amp; Savings'!L39</f>
        <v/>
      </c>
      <c r="M44" s="225">
        <f>'Cascading Savings'!D44</f>
        <v>0</v>
      </c>
      <c r="N44" s="225">
        <f>'Cascading Savings'!H44+'Cascading Savings'!F44+'Cascading Savings'!J44</f>
        <v>0</v>
      </c>
      <c r="P44" s="434" t="e">
        <f t="shared" si="59"/>
        <v>#VALUE!</v>
      </c>
      <c r="Q44" s="434">
        <f t="shared" si="55"/>
        <v>0</v>
      </c>
      <c r="R44" s="434">
        <f t="shared" si="56"/>
        <v>0</v>
      </c>
      <c r="S44" s="434">
        <f t="shared" si="62"/>
        <v>0</v>
      </c>
      <c r="T44" s="434">
        <f t="shared" si="62"/>
        <v>0</v>
      </c>
      <c r="U44" s="434">
        <f t="shared" si="62"/>
        <v>0</v>
      </c>
      <c r="V44" s="434">
        <f t="shared" si="62"/>
        <v>0</v>
      </c>
      <c r="W44" s="434">
        <f t="shared" si="62"/>
        <v>0</v>
      </c>
      <c r="X44" s="434">
        <f t="shared" si="62"/>
        <v>0</v>
      </c>
      <c r="Y44" s="434">
        <f t="shared" si="62"/>
        <v>0</v>
      </c>
      <c r="Z44" s="434">
        <f t="shared" si="62"/>
        <v>0</v>
      </c>
      <c r="AA44" s="434">
        <f t="shared" si="62"/>
        <v>0</v>
      </c>
      <c r="AB44" s="434">
        <f t="shared" si="62"/>
        <v>0</v>
      </c>
      <c r="AC44" s="434">
        <f t="shared" si="62"/>
        <v>0</v>
      </c>
      <c r="AD44" s="434">
        <f t="shared" si="62"/>
        <v>0</v>
      </c>
      <c r="AE44" s="434">
        <f t="shared" si="62"/>
        <v>0</v>
      </c>
      <c r="AF44" s="434">
        <f t="shared" si="62"/>
        <v>0</v>
      </c>
      <c r="AG44" s="434">
        <f t="shared" si="62"/>
        <v>0</v>
      </c>
      <c r="AH44" s="434">
        <f t="shared" si="62"/>
        <v>0</v>
      </c>
      <c r="AI44" s="434">
        <f t="shared" si="62"/>
        <v>0</v>
      </c>
      <c r="AJ44" s="434">
        <f t="shared" si="62"/>
        <v>0</v>
      </c>
      <c r="AK44" s="434">
        <f t="shared" si="62"/>
        <v>0</v>
      </c>
      <c r="AL44" s="434">
        <f t="shared" si="62"/>
        <v>0</v>
      </c>
      <c r="AM44" s="434">
        <f t="shared" si="62"/>
        <v>0</v>
      </c>
      <c r="AN44" s="434">
        <f t="shared" si="62"/>
        <v>0</v>
      </c>
      <c r="AO44" s="434">
        <f t="shared" si="62"/>
        <v>0</v>
      </c>
      <c r="AP44" s="434">
        <f t="shared" si="62"/>
        <v>0</v>
      </c>
      <c r="AQ44" s="434">
        <f t="shared" si="62"/>
        <v>0</v>
      </c>
      <c r="AR44" s="434">
        <f t="shared" si="62"/>
        <v>0</v>
      </c>
      <c r="AS44" s="434">
        <f t="shared" si="53"/>
        <v>0</v>
      </c>
      <c r="AT44" s="434">
        <f t="shared" si="53"/>
        <v>0</v>
      </c>
      <c r="AU44" s="434">
        <f t="shared" si="53"/>
        <v>0</v>
      </c>
      <c r="AV44" s="434">
        <f t="shared" si="53"/>
        <v>0</v>
      </c>
      <c r="AW44" s="434">
        <f t="shared" si="53"/>
        <v>0</v>
      </c>
      <c r="AX44" s="434">
        <f t="shared" si="53"/>
        <v>0</v>
      </c>
      <c r="AY44" s="434">
        <f t="shared" si="53"/>
        <v>0</v>
      </c>
      <c r="AZ44" s="434">
        <f t="shared" si="53"/>
        <v>0</v>
      </c>
      <c r="BA44" s="434">
        <f t="shared" si="53"/>
        <v>0</v>
      </c>
      <c r="BB44" s="434">
        <f t="shared" si="53"/>
        <v>0</v>
      </c>
      <c r="BC44" s="434">
        <f t="shared" si="53"/>
        <v>0</v>
      </c>
      <c r="BD44" s="434">
        <f t="shared" si="53"/>
        <v>0</v>
      </c>
    </row>
    <row r="45" spans="1:56" s="148" customFormat="1" ht="39.75" customHeight="1" x14ac:dyDescent="0.4">
      <c r="A45" s="294" t="str">
        <f>'EEM Data Entry'!A122</f>
        <v/>
      </c>
      <c r="B45" s="448" t="str">
        <f>IF('EEM Data Entry'!B122="  ","  ", 'EEM Data Entry'!B122)</f>
        <v/>
      </c>
      <c r="C45" s="439" t="str">
        <f>'EEM Data Entry'!F122</f>
        <v/>
      </c>
      <c r="D45" s="439">
        <v>0</v>
      </c>
      <c r="E45" s="439" t="e">
        <f t="shared" si="54"/>
        <v>#VALUE!</v>
      </c>
      <c r="F45" s="512">
        <f>('Savings Summary'!D46*'Savings Summary'!D$5)+('Savings Summary'!F46*'Savings Summary'!F$5)+('Savings Summary'!H46*'Savings Summary'!H$5)+('Savings Summary'!J46*'Savings Summary'!J$5)+('Savings Summary'!L46*'Savings Summary'!L$5)+('Savings Summary'!N46*'Savings Summary'!N$5)+('Savings Summary'!P46*'Savings Summary'!P$5)+('Savings Summary'!R46*'Savings Summary'!R$5)</f>
        <v>0</v>
      </c>
      <c r="G45" s="450">
        <f>'Savings Summary'!T46</f>
        <v>0</v>
      </c>
      <c r="H45" s="451" t="e">
        <f t="shared" si="58"/>
        <v>#VALUE!</v>
      </c>
      <c r="I45" s="440" t="e">
        <f>IF(H45=0, "n/a", IF(H45&gt;100, "no",IF(H45&lt;0, "no", "yes")))</f>
        <v>#VALUE!</v>
      </c>
      <c r="J45" s="424" t="e">
        <f>IRR(P45:AT45,0.1)</f>
        <v>#VALUE!</v>
      </c>
      <c r="K45" s="423" t="e">
        <f t="shared" si="60"/>
        <v>#VALUE!</v>
      </c>
      <c r="L45" s="510" t="str">
        <f>'Cascading Cap Cost &amp; Savings'!L40</f>
        <v/>
      </c>
      <c r="M45" s="225">
        <f>'Cascading Savings'!D45</f>
        <v>0</v>
      </c>
      <c r="N45" s="225">
        <f>'Cascading Savings'!H45+'Cascading Savings'!F45+'Cascading Savings'!J45</f>
        <v>0</v>
      </c>
      <c r="P45" s="434" t="e">
        <f t="shared" si="59"/>
        <v>#VALUE!</v>
      </c>
      <c r="Q45" s="434">
        <f t="shared" si="55"/>
        <v>0</v>
      </c>
      <c r="R45" s="434">
        <f t="shared" si="56"/>
        <v>0</v>
      </c>
      <c r="S45" s="434">
        <f t="shared" si="62"/>
        <v>0</v>
      </c>
      <c r="T45" s="434">
        <f t="shared" si="62"/>
        <v>0</v>
      </c>
      <c r="U45" s="434">
        <f t="shared" si="62"/>
        <v>0</v>
      </c>
      <c r="V45" s="434">
        <f t="shared" si="62"/>
        <v>0</v>
      </c>
      <c r="W45" s="434">
        <f t="shared" si="62"/>
        <v>0</v>
      </c>
      <c r="X45" s="434">
        <f t="shared" si="62"/>
        <v>0</v>
      </c>
      <c r="Y45" s="434">
        <f t="shared" si="62"/>
        <v>0</v>
      </c>
      <c r="Z45" s="434">
        <f t="shared" si="62"/>
        <v>0</v>
      </c>
      <c r="AA45" s="434">
        <f t="shared" si="62"/>
        <v>0</v>
      </c>
      <c r="AB45" s="434">
        <f t="shared" si="62"/>
        <v>0</v>
      </c>
      <c r="AC45" s="434">
        <f t="shared" si="62"/>
        <v>0</v>
      </c>
      <c r="AD45" s="434">
        <f t="shared" si="62"/>
        <v>0</v>
      </c>
      <c r="AE45" s="434">
        <f t="shared" si="62"/>
        <v>0</v>
      </c>
      <c r="AF45" s="434">
        <f t="shared" si="62"/>
        <v>0</v>
      </c>
      <c r="AG45" s="434">
        <f t="shared" si="62"/>
        <v>0</v>
      </c>
      <c r="AH45" s="434">
        <f t="shared" si="62"/>
        <v>0</v>
      </c>
      <c r="AI45" s="434">
        <f t="shared" si="62"/>
        <v>0</v>
      </c>
      <c r="AJ45" s="434">
        <f t="shared" si="62"/>
        <v>0</v>
      </c>
      <c r="AK45" s="434">
        <f t="shared" si="62"/>
        <v>0</v>
      </c>
      <c r="AL45" s="434">
        <f t="shared" si="62"/>
        <v>0</v>
      </c>
      <c r="AM45" s="434">
        <f t="shared" si="62"/>
        <v>0</v>
      </c>
      <c r="AN45" s="434">
        <f t="shared" si="62"/>
        <v>0</v>
      </c>
      <c r="AO45" s="434">
        <f t="shared" si="62"/>
        <v>0</v>
      </c>
      <c r="AP45" s="434">
        <f t="shared" si="62"/>
        <v>0</v>
      </c>
      <c r="AQ45" s="434">
        <f t="shared" si="62"/>
        <v>0</v>
      </c>
      <c r="AR45" s="434">
        <f t="shared" si="62"/>
        <v>0</v>
      </c>
      <c r="AS45" s="434">
        <f t="shared" si="53"/>
        <v>0</v>
      </c>
      <c r="AT45" s="434">
        <f t="shared" si="53"/>
        <v>0</v>
      </c>
      <c r="AU45" s="434">
        <f t="shared" si="53"/>
        <v>0</v>
      </c>
      <c r="AV45" s="434">
        <f t="shared" si="53"/>
        <v>0</v>
      </c>
      <c r="AW45" s="434">
        <f t="shared" si="53"/>
        <v>0</v>
      </c>
      <c r="AX45" s="434">
        <f t="shared" si="53"/>
        <v>0</v>
      </c>
      <c r="AY45" s="434">
        <f t="shared" si="53"/>
        <v>0</v>
      </c>
      <c r="AZ45" s="434">
        <f t="shared" si="53"/>
        <v>0</v>
      </c>
      <c r="BA45" s="434">
        <f t="shared" si="53"/>
        <v>0</v>
      </c>
      <c r="BB45" s="434">
        <f t="shared" si="53"/>
        <v>0</v>
      </c>
      <c r="BC45" s="434">
        <f t="shared" si="53"/>
        <v>0</v>
      </c>
      <c r="BD45" s="434">
        <f t="shared" si="53"/>
        <v>0</v>
      </c>
    </row>
    <row r="46" spans="1:56" s="148" customFormat="1" ht="39.75" customHeight="1" x14ac:dyDescent="0.4">
      <c r="A46" s="294" t="str">
        <f>'EEM Data Entry'!A123</f>
        <v/>
      </c>
      <c r="B46" s="448" t="str">
        <f>IF('EEM Data Entry'!B123="  ","  ", 'EEM Data Entry'!B123)</f>
        <v/>
      </c>
      <c r="C46" s="439" t="str">
        <f>'EEM Data Entry'!F123</f>
        <v/>
      </c>
      <c r="D46" s="439">
        <v>0</v>
      </c>
      <c r="E46" s="439" t="e">
        <f t="shared" si="54"/>
        <v>#VALUE!</v>
      </c>
      <c r="F46" s="512">
        <f>('Savings Summary'!D47*'Savings Summary'!D$5)+('Savings Summary'!F47*'Savings Summary'!F$5)+('Savings Summary'!H47*'Savings Summary'!H$5)+('Savings Summary'!J47*'Savings Summary'!J$5)+('Savings Summary'!L47*'Savings Summary'!L$5)+('Savings Summary'!N47*'Savings Summary'!N$5)+('Savings Summary'!P47*'Savings Summary'!P$5)+('Savings Summary'!R47*'Savings Summary'!R$5)</f>
        <v>0</v>
      </c>
      <c r="G46" s="450">
        <f>'Savings Summary'!T47</f>
        <v>0</v>
      </c>
      <c r="H46" s="451" t="e">
        <f t="shared" si="58"/>
        <v>#VALUE!</v>
      </c>
      <c r="I46" s="440" t="e">
        <f t="shared" si="57"/>
        <v>#VALUE!</v>
      </c>
      <c r="J46" s="424" t="e">
        <f>IRR(P46:AT46,0.1)</f>
        <v>#VALUE!</v>
      </c>
      <c r="K46" s="423" t="e">
        <f t="shared" si="60"/>
        <v>#VALUE!</v>
      </c>
      <c r="L46" s="511" t="str">
        <f>'Cascading Cap Cost &amp; Savings'!L41</f>
        <v/>
      </c>
      <c r="M46" s="225">
        <f>'Cascading Savings'!D46</f>
        <v>0</v>
      </c>
      <c r="N46" s="225">
        <f>'Cascading Savings'!H46+'Cascading Savings'!F46+'Cascading Savings'!J46</f>
        <v>0</v>
      </c>
      <c r="P46" s="434" t="e">
        <f t="shared" si="59"/>
        <v>#VALUE!</v>
      </c>
      <c r="Q46" s="434">
        <f t="shared" si="55"/>
        <v>0</v>
      </c>
      <c r="R46" s="434">
        <f t="shared" si="56"/>
        <v>0</v>
      </c>
      <c r="S46" s="434">
        <f t="shared" si="62"/>
        <v>0</v>
      </c>
      <c r="T46" s="434">
        <f t="shared" si="62"/>
        <v>0</v>
      </c>
      <c r="U46" s="434">
        <f t="shared" si="62"/>
        <v>0</v>
      </c>
      <c r="V46" s="434">
        <f t="shared" si="62"/>
        <v>0</v>
      </c>
      <c r="W46" s="434">
        <f t="shared" si="62"/>
        <v>0</v>
      </c>
      <c r="X46" s="434">
        <f t="shared" si="62"/>
        <v>0</v>
      </c>
      <c r="Y46" s="434">
        <f t="shared" si="62"/>
        <v>0</v>
      </c>
      <c r="Z46" s="434">
        <f t="shared" si="62"/>
        <v>0</v>
      </c>
      <c r="AA46" s="434">
        <f t="shared" si="62"/>
        <v>0</v>
      </c>
      <c r="AB46" s="434">
        <f t="shared" si="62"/>
        <v>0</v>
      </c>
      <c r="AC46" s="434">
        <f t="shared" si="62"/>
        <v>0</v>
      </c>
      <c r="AD46" s="434">
        <f t="shared" si="62"/>
        <v>0</v>
      </c>
      <c r="AE46" s="434">
        <f t="shared" si="62"/>
        <v>0</v>
      </c>
      <c r="AF46" s="434">
        <f t="shared" si="62"/>
        <v>0</v>
      </c>
      <c r="AG46" s="434">
        <f t="shared" si="62"/>
        <v>0</v>
      </c>
      <c r="AH46" s="434">
        <f t="shared" si="62"/>
        <v>0</v>
      </c>
      <c r="AI46" s="434">
        <f t="shared" si="62"/>
        <v>0</v>
      </c>
      <c r="AJ46" s="434">
        <f t="shared" si="62"/>
        <v>0</v>
      </c>
      <c r="AK46" s="434">
        <f t="shared" si="62"/>
        <v>0</v>
      </c>
      <c r="AL46" s="434">
        <f t="shared" si="62"/>
        <v>0</v>
      </c>
      <c r="AM46" s="434">
        <f t="shared" si="62"/>
        <v>0</v>
      </c>
      <c r="AN46" s="434">
        <f t="shared" si="62"/>
        <v>0</v>
      </c>
      <c r="AO46" s="434">
        <f t="shared" si="62"/>
        <v>0</v>
      </c>
      <c r="AP46" s="434">
        <f t="shared" si="62"/>
        <v>0</v>
      </c>
      <c r="AQ46" s="434">
        <f t="shared" si="62"/>
        <v>0</v>
      </c>
      <c r="AR46" s="434">
        <f t="shared" si="62"/>
        <v>0</v>
      </c>
      <c r="AS46" s="434">
        <f t="shared" si="53"/>
        <v>0</v>
      </c>
      <c r="AT46" s="434">
        <f t="shared" si="53"/>
        <v>0</v>
      </c>
      <c r="AU46" s="434">
        <f t="shared" si="53"/>
        <v>0</v>
      </c>
      <c r="AV46" s="434">
        <f t="shared" si="53"/>
        <v>0</v>
      </c>
      <c r="AW46" s="434">
        <f t="shared" si="53"/>
        <v>0</v>
      </c>
      <c r="AX46" s="434">
        <f t="shared" si="53"/>
        <v>0</v>
      </c>
      <c r="AY46" s="434">
        <f t="shared" si="53"/>
        <v>0</v>
      </c>
      <c r="AZ46" s="434">
        <f t="shared" si="53"/>
        <v>0</v>
      </c>
      <c r="BA46" s="434">
        <f t="shared" si="53"/>
        <v>0</v>
      </c>
      <c r="BB46" s="434">
        <f t="shared" si="53"/>
        <v>0</v>
      </c>
      <c r="BC46" s="434">
        <f t="shared" si="53"/>
        <v>0</v>
      </c>
      <c r="BD46" s="434">
        <f t="shared" si="53"/>
        <v>0</v>
      </c>
    </row>
    <row r="47" spans="1:56" s="148" customFormat="1" ht="39.75" customHeight="1" x14ac:dyDescent="0.4">
      <c r="A47" s="217"/>
      <c r="B47" s="455"/>
      <c r="C47" s="456"/>
      <c r="D47" s="414"/>
      <c r="E47" s="456"/>
      <c r="F47" s="457"/>
      <c r="G47" s="458"/>
      <c r="H47" s="459"/>
      <c r="I47" s="414"/>
      <c r="J47" s="414"/>
      <c r="K47" s="414"/>
      <c r="M47" s="225"/>
      <c r="N47" s="225"/>
      <c r="P47" s="435"/>
      <c r="Q47" s="435"/>
      <c r="R47" s="435"/>
      <c r="S47" s="435"/>
      <c r="T47" s="435"/>
      <c r="U47" s="435"/>
      <c r="V47" s="435"/>
      <c r="W47" s="435"/>
      <c r="X47" s="435"/>
      <c r="Y47" s="435"/>
      <c r="Z47" s="435"/>
      <c r="AA47" s="435"/>
      <c r="AB47" s="435"/>
      <c r="AC47" s="435"/>
      <c r="AD47" s="435"/>
      <c r="AE47" s="435"/>
      <c r="AF47" s="435"/>
      <c r="AG47" s="435"/>
      <c r="AH47" s="435"/>
      <c r="AI47" s="435"/>
      <c r="AJ47" s="435"/>
      <c r="AK47" s="435"/>
      <c r="AL47" s="435"/>
      <c r="AM47" s="435"/>
      <c r="AN47" s="435"/>
      <c r="AO47" s="435"/>
      <c r="AP47" s="435"/>
      <c r="AQ47" s="435"/>
      <c r="AR47" s="435"/>
      <c r="AS47" s="435"/>
      <c r="AT47" s="435"/>
      <c r="AU47" s="435"/>
      <c r="AV47" s="435"/>
      <c r="AW47" s="435"/>
      <c r="AX47" s="435"/>
      <c r="AY47" s="435"/>
      <c r="AZ47" s="435"/>
      <c r="BA47" s="435"/>
      <c r="BB47" s="435"/>
      <c r="BC47" s="435"/>
      <c r="BD47" s="435"/>
    </row>
    <row r="48" spans="1:56" s="148" customFormat="1" ht="28.5" customHeight="1" thickBot="1" x14ac:dyDescent="0.35">
      <c r="A48" s="267" t="s">
        <v>145</v>
      </c>
      <c r="B48" s="446" t="s">
        <v>406</v>
      </c>
      <c r="C48" s="415" t="s">
        <v>35</v>
      </c>
      <c r="D48" s="415" t="s">
        <v>90</v>
      </c>
      <c r="E48" s="415" t="s">
        <v>119</v>
      </c>
      <c r="F48" s="447" t="s">
        <v>118</v>
      </c>
      <c r="G48" s="415" t="s">
        <v>125</v>
      </c>
      <c r="H48" s="415" t="s">
        <v>124</v>
      </c>
      <c r="I48" s="415" t="s">
        <v>72</v>
      </c>
      <c r="J48" s="415" t="s">
        <v>17</v>
      </c>
      <c r="K48" s="416" t="s">
        <v>22</v>
      </c>
      <c r="L48" s="376" t="s">
        <v>157</v>
      </c>
      <c r="M48" s="225"/>
      <c r="N48" s="225"/>
      <c r="P48" s="433"/>
      <c r="Q48" s="433">
        <v>1</v>
      </c>
      <c r="R48" s="433">
        <v>2</v>
      </c>
      <c r="S48" s="433">
        <v>3</v>
      </c>
      <c r="T48" s="433">
        <v>4</v>
      </c>
      <c r="U48" s="433">
        <v>5</v>
      </c>
      <c r="V48" s="433">
        <v>6</v>
      </c>
      <c r="W48" s="433">
        <v>7</v>
      </c>
      <c r="X48" s="433">
        <v>8</v>
      </c>
      <c r="Y48" s="433">
        <v>9</v>
      </c>
      <c r="Z48" s="433">
        <v>10</v>
      </c>
      <c r="AA48" s="433">
        <v>11</v>
      </c>
      <c r="AB48" s="433">
        <v>12</v>
      </c>
      <c r="AC48" s="433">
        <v>13</v>
      </c>
      <c r="AD48" s="433">
        <v>14</v>
      </c>
      <c r="AE48" s="433">
        <v>15</v>
      </c>
      <c r="AF48" s="433">
        <v>16</v>
      </c>
      <c r="AG48" s="433">
        <v>17</v>
      </c>
      <c r="AH48" s="433">
        <v>18</v>
      </c>
      <c r="AI48" s="433">
        <v>19</v>
      </c>
      <c r="AJ48" s="433">
        <v>20</v>
      </c>
      <c r="AK48" s="433">
        <v>21</v>
      </c>
      <c r="AL48" s="433">
        <v>22</v>
      </c>
      <c r="AM48" s="433">
        <v>23</v>
      </c>
      <c r="AN48" s="433">
        <v>24</v>
      </c>
      <c r="AO48" s="433">
        <v>25</v>
      </c>
      <c r="AP48" s="433">
        <v>26</v>
      </c>
      <c r="AQ48" s="433">
        <v>27</v>
      </c>
      <c r="AR48" s="433">
        <v>28</v>
      </c>
      <c r="AS48" s="433">
        <v>29</v>
      </c>
      <c r="AT48" s="433">
        <v>30</v>
      </c>
      <c r="AU48" s="433">
        <v>31</v>
      </c>
      <c r="AV48" s="433">
        <v>32</v>
      </c>
      <c r="AW48" s="433">
        <v>33</v>
      </c>
      <c r="AX48" s="433">
        <v>34</v>
      </c>
      <c r="AY48" s="433">
        <v>35</v>
      </c>
      <c r="AZ48" s="433">
        <v>36</v>
      </c>
      <c r="BA48" s="433">
        <v>37</v>
      </c>
      <c r="BB48" s="433">
        <v>38</v>
      </c>
      <c r="BC48" s="433">
        <v>39</v>
      </c>
      <c r="BD48" s="433">
        <v>40</v>
      </c>
    </row>
    <row r="49" spans="1:56" s="148" customFormat="1" ht="28.5" customHeight="1" x14ac:dyDescent="0.4">
      <c r="A49" s="264" t="str">
        <f>'EEM Data Entry'!A125</f>
        <v/>
      </c>
      <c r="B49" s="460" t="str">
        <f>IF('EEM Data Entry'!B125="  ","  ", 'EEM Data Entry'!B125)</f>
        <v/>
      </c>
      <c r="C49" s="461" t="str">
        <f>'EEM Data Entry'!F125</f>
        <v/>
      </c>
      <c r="D49" s="461">
        <v>0</v>
      </c>
      <c r="E49" s="461" t="e">
        <f>C49-D49</f>
        <v>#VALUE!</v>
      </c>
      <c r="F49" s="449">
        <f>('Cascading Savings'!D50*'Cascading Savings'!D$4)+('Cascading Savings'!F50*'Cascading Savings'!F$4)+('Cascading Savings'!H50*'Cascading Savings'!H$4)+('Cascading Savings'!J50*'Cascading Savings'!J$4)+('Cascading Savings'!L50*'Cascading Savings'!L$4)+('Cascading Savings'!N50*'Cascading Savings'!N$4)+('Cascading Savings'!P50*'Cascading Savings'!P$4)+('Cascading Savings'!R50*'Cascading Savings'!R$4)</f>
        <v>0</v>
      </c>
      <c r="G49" s="463">
        <f>'Cascading Savings'!T50</f>
        <v>0</v>
      </c>
      <c r="H49" s="464" t="e">
        <f>IF(C49=0,"n/a",E49/F49)</f>
        <v>#VALUE!</v>
      </c>
      <c r="I49" s="465" t="e">
        <f>IF(H49=0, "n/a", IF(H49&gt;100, "no",IF(H49&lt;0, "no", "yes")))</f>
        <v>#VALUE!</v>
      </c>
      <c r="J49" s="425" t="e">
        <f>IRR(P49:AT49,0.1)</f>
        <v>#VALUE!</v>
      </c>
      <c r="K49" s="426" t="e">
        <f>NPV(0.05,P49:AT49)</f>
        <v>#VALUE!</v>
      </c>
      <c r="L49" s="398" t="str">
        <f>'Cascading Cap Cost &amp; Savings'!L43</f>
        <v/>
      </c>
      <c r="M49" s="225">
        <f>'Cascading Savings'!D50</f>
        <v>0</v>
      </c>
      <c r="N49" s="225">
        <f>'Cascading Savings'!H50+'Cascading Savings'!F50+'Cascading Savings'!J50</f>
        <v>0</v>
      </c>
      <c r="P49" s="434" t="e">
        <f>-E49</f>
        <v>#VALUE!</v>
      </c>
      <c r="Q49" s="434">
        <f>F49</f>
        <v>0</v>
      </c>
      <c r="R49" s="434">
        <f>Q49*1.05</f>
        <v>0</v>
      </c>
      <c r="S49" s="434">
        <f t="shared" ref="S49:AI56" si="63">R49*1.05</f>
        <v>0</v>
      </c>
      <c r="T49" s="434">
        <f t="shared" si="63"/>
        <v>0</v>
      </c>
      <c r="U49" s="434">
        <f t="shared" si="63"/>
        <v>0</v>
      </c>
      <c r="V49" s="434">
        <f t="shared" si="63"/>
        <v>0</v>
      </c>
      <c r="W49" s="434">
        <f t="shared" si="63"/>
        <v>0</v>
      </c>
      <c r="X49" s="434">
        <f t="shared" si="63"/>
        <v>0</v>
      </c>
      <c r="Y49" s="434">
        <f t="shared" si="63"/>
        <v>0</v>
      </c>
      <c r="Z49" s="434">
        <f t="shared" si="63"/>
        <v>0</v>
      </c>
      <c r="AA49" s="434">
        <f t="shared" si="63"/>
        <v>0</v>
      </c>
      <c r="AB49" s="434">
        <f t="shared" si="63"/>
        <v>0</v>
      </c>
      <c r="AC49" s="434">
        <f t="shared" si="63"/>
        <v>0</v>
      </c>
      <c r="AD49" s="434">
        <f t="shared" si="63"/>
        <v>0</v>
      </c>
      <c r="AE49" s="434">
        <f>AD49*1.05</f>
        <v>0</v>
      </c>
      <c r="AF49" s="434">
        <f t="shared" si="63"/>
        <v>0</v>
      </c>
      <c r="AG49" s="434">
        <f t="shared" si="63"/>
        <v>0</v>
      </c>
      <c r="AH49" s="434">
        <f t="shared" si="63"/>
        <v>0</v>
      </c>
      <c r="AI49" s="434">
        <f t="shared" si="63"/>
        <v>0</v>
      </c>
      <c r="AJ49" s="434">
        <f t="shared" ref="AJ49:AJ63" si="64">AI49*1.05</f>
        <v>0</v>
      </c>
      <c r="AK49" s="434">
        <f t="shared" ref="AK49:AK63" si="65">AJ49*1.05</f>
        <v>0</v>
      </c>
      <c r="AL49" s="434">
        <f t="shared" ref="AL49:AL63" si="66">AK49*1.05</f>
        <v>0</v>
      </c>
      <c r="AM49" s="434">
        <f t="shared" ref="AM49:AM63" si="67">AL49*1.05</f>
        <v>0</v>
      </c>
      <c r="AN49" s="434">
        <f t="shared" ref="AN49:AN63" si="68">AM49*1.05</f>
        <v>0</v>
      </c>
      <c r="AO49" s="434">
        <f t="shared" ref="AO49:AO63" si="69">AN49*1.05</f>
        <v>0</v>
      </c>
      <c r="AP49" s="434">
        <f t="shared" ref="AP49:AP63" si="70">AO49*1.05</f>
        <v>0</v>
      </c>
      <c r="AQ49" s="434">
        <f t="shared" ref="AQ49:AQ63" si="71">AP49*1.05</f>
        <v>0</v>
      </c>
      <c r="AR49" s="434">
        <f t="shared" ref="AR49:AR63" si="72">AQ49*1.05</f>
        <v>0</v>
      </c>
      <c r="AS49" s="434">
        <f t="shared" ref="AS49:AS63" si="73">AR49*1.05</f>
        <v>0</v>
      </c>
      <c r="AT49" s="434">
        <f t="shared" ref="AT49:AT63" si="74">AS49*1.05</f>
        <v>0</v>
      </c>
      <c r="AU49" s="434">
        <f t="shared" ref="AU49:AU63" si="75">AT49*1.05</f>
        <v>0</v>
      </c>
      <c r="AV49" s="434">
        <f t="shared" ref="AV49:AV63" si="76">AU49*1.05</f>
        <v>0</v>
      </c>
      <c r="AW49" s="434">
        <f t="shared" ref="AW49:AW63" si="77">AV49*1.05</f>
        <v>0</v>
      </c>
      <c r="AX49" s="434">
        <f t="shared" ref="AX49:AX63" si="78">AW49*1.05</f>
        <v>0</v>
      </c>
      <c r="AY49" s="434">
        <f t="shared" ref="AY49:AY63" si="79">AX49*1.05</f>
        <v>0</v>
      </c>
      <c r="AZ49" s="434">
        <f t="shared" ref="AZ49:AZ63" si="80">AY49*1.05</f>
        <v>0</v>
      </c>
      <c r="BA49" s="434">
        <f t="shared" ref="BA49:BA63" si="81">AZ49*1.05</f>
        <v>0</v>
      </c>
      <c r="BB49" s="434">
        <f t="shared" ref="BB49:BB63" si="82">BA49*1.05</f>
        <v>0</v>
      </c>
      <c r="BC49" s="434">
        <f t="shared" ref="BC49:BC63" si="83">BB49*1.05</f>
        <v>0</v>
      </c>
      <c r="BD49" s="434">
        <f t="shared" ref="BD49:BD63" si="84">BC49*1.05</f>
        <v>0</v>
      </c>
    </row>
    <row r="50" spans="1:56" s="148" customFormat="1" ht="28.5" customHeight="1" thickBot="1" x14ac:dyDescent="0.45">
      <c r="A50" s="198" t="str">
        <f>'EEM Data Entry'!A126</f>
        <v/>
      </c>
      <c r="B50" s="466" t="str">
        <f>IF('EEM Data Entry'!B126="  ","  ", 'EEM Data Entry'!B126)</f>
        <v/>
      </c>
      <c r="C50" s="452" t="str">
        <f>'EEM Data Entry'!F126</f>
        <v/>
      </c>
      <c r="D50" s="467">
        <v>0</v>
      </c>
      <c r="E50" s="467" t="e">
        <f t="shared" ref="E50:E63" si="85">C50-D50</f>
        <v>#VALUE!</v>
      </c>
      <c r="F50" s="462">
        <f>('Cascading Savings'!D51*'Cascading Savings'!D$4)+('Cascading Savings'!F51*'Cascading Savings'!F$4)+('Cascading Savings'!H51*'Cascading Savings'!H$4)+('Cascading Savings'!J51*'Cascading Savings'!J$4)+('Cascading Savings'!L51*'Cascading Savings'!L$4)+('Cascading Savings'!N51*'Cascading Savings'!N$4)+('Cascading Savings'!P51*'Cascading Savings'!P$4)+('Cascading Savings'!R51*'Cascading Savings'!R$4)</f>
        <v>0</v>
      </c>
      <c r="G50" s="468">
        <f>'Cascading Savings'!T51</f>
        <v>0</v>
      </c>
      <c r="H50" s="453" t="e">
        <f>IF(C50=0,"n/a",E50/F50)</f>
        <v>#VALUE!</v>
      </c>
      <c r="I50" s="454" t="e">
        <f t="shared" ref="I50:I63" si="86">IF(H50=0, "n/a", IF(H50&gt;100, "no",IF(H50&lt;0, "no", "yes")))</f>
        <v>#VALUE!</v>
      </c>
      <c r="J50" s="425" t="e">
        <f t="shared" ref="J50:J62" si="87">IRR(P50:AT50,0.1)</f>
        <v>#VALUE!</v>
      </c>
      <c r="K50" s="426" t="e">
        <f t="shared" ref="K50:K62" si="88">NPV(0.05,P50:AT50)</f>
        <v>#VALUE!</v>
      </c>
      <c r="L50" s="509" t="str">
        <f>'Cascading Cap Cost &amp; Savings'!L44</f>
        <v/>
      </c>
      <c r="M50" s="225">
        <f>'Cascading Savings'!D51</f>
        <v>0</v>
      </c>
      <c r="N50" s="225">
        <f>'Cascading Savings'!H51+'Cascading Savings'!F51+'Cascading Savings'!J51</f>
        <v>0</v>
      </c>
      <c r="P50" s="434" t="e">
        <f t="shared" ref="P50:P62" si="89">-E50</f>
        <v>#VALUE!</v>
      </c>
      <c r="Q50" s="434">
        <f t="shared" ref="Q50:Q63" si="90">F50</f>
        <v>0</v>
      </c>
      <c r="R50" s="434">
        <f t="shared" ref="R50:AG63" si="91">Q50*1.05</f>
        <v>0</v>
      </c>
      <c r="S50" s="434">
        <f t="shared" si="63"/>
        <v>0</v>
      </c>
      <c r="T50" s="434">
        <f t="shared" si="63"/>
        <v>0</v>
      </c>
      <c r="U50" s="434">
        <f t="shared" si="63"/>
        <v>0</v>
      </c>
      <c r="V50" s="434">
        <f t="shared" si="63"/>
        <v>0</v>
      </c>
      <c r="W50" s="434">
        <f t="shared" si="63"/>
        <v>0</v>
      </c>
      <c r="X50" s="434">
        <f t="shared" si="63"/>
        <v>0</v>
      </c>
      <c r="Y50" s="434">
        <f t="shared" si="63"/>
        <v>0</v>
      </c>
      <c r="Z50" s="434">
        <f t="shared" si="63"/>
        <v>0</v>
      </c>
      <c r="AA50" s="434">
        <f t="shared" si="63"/>
        <v>0</v>
      </c>
      <c r="AB50" s="434">
        <f t="shared" si="63"/>
        <v>0</v>
      </c>
      <c r="AC50" s="434">
        <f t="shared" si="63"/>
        <v>0</v>
      </c>
      <c r="AD50" s="434">
        <f t="shared" si="63"/>
        <v>0</v>
      </c>
      <c r="AE50" s="434">
        <f t="shared" si="63"/>
        <v>0</v>
      </c>
      <c r="AF50" s="434">
        <f t="shared" si="63"/>
        <v>0</v>
      </c>
      <c r="AG50" s="434">
        <f t="shared" si="63"/>
        <v>0</v>
      </c>
      <c r="AH50" s="434">
        <f t="shared" si="63"/>
        <v>0</v>
      </c>
      <c r="AI50" s="434">
        <f t="shared" si="63"/>
        <v>0</v>
      </c>
      <c r="AJ50" s="434">
        <f t="shared" si="64"/>
        <v>0</v>
      </c>
      <c r="AK50" s="434">
        <f t="shared" si="65"/>
        <v>0</v>
      </c>
      <c r="AL50" s="434">
        <f t="shared" si="66"/>
        <v>0</v>
      </c>
      <c r="AM50" s="434">
        <f t="shared" si="67"/>
        <v>0</v>
      </c>
      <c r="AN50" s="434">
        <f t="shared" si="68"/>
        <v>0</v>
      </c>
      <c r="AO50" s="434">
        <f t="shared" si="69"/>
        <v>0</v>
      </c>
      <c r="AP50" s="434">
        <f t="shared" si="70"/>
        <v>0</v>
      </c>
      <c r="AQ50" s="434">
        <f t="shared" si="71"/>
        <v>0</v>
      </c>
      <c r="AR50" s="434">
        <f t="shared" si="72"/>
        <v>0</v>
      </c>
      <c r="AS50" s="434">
        <f t="shared" si="73"/>
        <v>0</v>
      </c>
      <c r="AT50" s="434">
        <f t="shared" si="74"/>
        <v>0</v>
      </c>
      <c r="AU50" s="434">
        <f t="shared" si="75"/>
        <v>0</v>
      </c>
      <c r="AV50" s="434">
        <f t="shared" si="76"/>
        <v>0</v>
      </c>
      <c r="AW50" s="434">
        <f t="shared" si="77"/>
        <v>0</v>
      </c>
      <c r="AX50" s="434">
        <f t="shared" si="78"/>
        <v>0</v>
      </c>
      <c r="AY50" s="434">
        <f t="shared" si="79"/>
        <v>0</v>
      </c>
      <c r="AZ50" s="434">
        <f t="shared" si="80"/>
        <v>0</v>
      </c>
      <c r="BA50" s="434">
        <f t="shared" si="81"/>
        <v>0</v>
      </c>
      <c r="BB50" s="434">
        <f t="shared" si="82"/>
        <v>0</v>
      </c>
      <c r="BC50" s="434">
        <f t="shared" si="83"/>
        <v>0</v>
      </c>
      <c r="BD50" s="434">
        <f t="shared" si="84"/>
        <v>0</v>
      </c>
    </row>
    <row r="51" spans="1:56" s="148" customFormat="1" ht="28.5" customHeight="1" thickBot="1" x14ac:dyDescent="0.45">
      <c r="A51" s="193" t="str">
        <f>'EEM Data Entry'!A127</f>
        <v/>
      </c>
      <c r="B51" s="469" t="str">
        <f>IF('EEM Data Entry'!B127="  ","  ", 'EEM Data Entry'!B127)</f>
        <v/>
      </c>
      <c r="C51" s="470" t="str">
        <f>'EEM Data Entry'!F127</f>
        <v/>
      </c>
      <c r="D51" s="471">
        <v>0</v>
      </c>
      <c r="E51" s="471" t="e">
        <f t="shared" si="85"/>
        <v>#VALUE!</v>
      </c>
      <c r="F51" s="462">
        <f>('Cascading Savings'!D52*'Cascading Savings'!D$4)+('Cascading Savings'!F52*'Cascading Savings'!F$4)+('Cascading Savings'!H52*'Cascading Savings'!H$4)+('Cascading Savings'!J52*'Cascading Savings'!J$4)+('Cascading Savings'!L52*'Cascading Savings'!L$4)+('Cascading Savings'!N52*'Cascading Savings'!N$4)+('Cascading Savings'!P52*'Cascading Savings'!P$4)+('Cascading Savings'!R52*'Cascading Savings'!R$4)</f>
        <v>0</v>
      </c>
      <c r="G51" s="472">
        <f>'Cascading Savings'!T52</f>
        <v>0</v>
      </c>
      <c r="H51" s="473" t="e">
        <f>IF(C51=0,"n/a",E51/F51)</f>
        <v>#VALUE!</v>
      </c>
      <c r="I51" s="474" t="e">
        <f t="shared" si="86"/>
        <v>#VALUE!</v>
      </c>
      <c r="J51" s="425" t="e">
        <f t="shared" si="87"/>
        <v>#VALUE!</v>
      </c>
      <c r="K51" s="426" t="e">
        <f t="shared" si="88"/>
        <v>#VALUE!</v>
      </c>
      <c r="L51" s="398" t="str">
        <f>'Cascading Cap Cost &amp; Savings'!L45</f>
        <v/>
      </c>
      <c r="M51" s="225">
        <f>'Cascading Savings'!D52</f>
        <v>0</v>
      </c>
      <c r="N51" s="225">
        <f>'Cascading Savings'!H52+'Cascading Savings'!F52+'Cascading Savings'!J52</f>
        <v>0</v>
      </c>
      <c r="P51" s="434" t="e">
        <f t="shared" si="89"/>
        <v>#VALUE!</v>
      </c>
      <c r="Q51" s="434">
        <f t="shared" si="90"/>
        <v>0</v>
      </c>
      <c r="R51" s="434">
        <f t="shared" si="91"/>
        <v>0</v>
      </c>
      <c r="S51" s="434">
        <f t="shared" si="63"/>
        <v>0</v>
      </c>
      <c r="T51" s="434">
        <f t="shared" si="63"/>
        <v>0</v>
      </c>
      <c r="U51" s="434">
        <f t="shared" si="63"/>
        <v>0</v>
      </c>
      <c r="V51" s="434">
        <f t="shared" si="63"/>
        <v>0</v>
      </c>
      <c r="W51" s="434">
        <f t="shared" si="63"/>
        <v>0</v>
      </c>
      <c r="X51" s="434">
        <f t="shared" si="63"/>
        <v>0</v>
      </c>
      <c r="Y51" s="434">
        <f t="shared" si="63"/>
        <v>0</v>
      </c>
      <c r="Z51" s="434">
        <f t="shared" si="63"/>
        <v>0</v>
      </c>
      <c r="AA51" s="434">
        <f t="shared" si="63"/>
        <v>0</v>
      </c>
      <c r="AB51" s="434">
        <f t="shared" si="63"/>
        <v>0</v>
      </c>
      <c r="AC51" s="434">
        <f t="shared" si="63"/>
        <v>0</v>
      </c>
      <c r="AD51" s="434">
        <f t="shared" si="63"/>
        <v>0</v>
      </c>
      <c r="AE51" s="434">
        <f t="shared" si="63"/>
        <v>0</v>
      </c>
      <c r="AF51" s="434">
        <f t="shared" si="63"/>
        <v>0</v>
      </c>
      <c r="AG51" s="434">
        <f t="shared" si="63"/>
        <v>0</v>
      </c>
      <c r="AH51" s="434">
        <f t="shared" si="63"/>
        <v>0</v>
      </c>
      <c r="AI51" s="434">
        <f t="shared" si="63"/>
        <v>0</v>
      </c>
      <c r="AJ51" s="434">
        <f t="shared" si="64"/>
        <v>0</v>
      </c>
      <c r="AK51" s="434">
        <f t="shared" si="65"/>
        <v>0</v>
      </c>
      <c r="AL51" s="434">
        <f t="shared" si="66"/>
        <v>0</v>
      </c>
      <c r="AM51" s="434">
        <f t="shared" si="67"/>
        <v>0</v>
      </c>
      <c r="AN51" s="434">
        <f t="shared" si="68"/>
        <v>0</v>
      </c>
      <c r="AO51" s="434">
        <f t="shared" si="69"/>
        <v>0</v>
      </c>
      <c r="AP51" s="434">
        <f t="shared" si="70"/>
        <v>0</v>
      </c>
      <c r="AQ51" s="434">
        <f t="shared" si="71"/>
        <v>0</v>
      </c>
      <c r="AR51" s="434">
        <f t="shared" si="72"/>
        <v>0</v>
      </c>
      <c r="AS51" s="434">
        <f t="shared" si="73"/>
        <v>0</v>
      </c>
      <c r="AT51" s="434">
        <f t="shared" si="74"/>
        <v>0</v>
      </c>
      <c r="AU51" s="434">
        <f t="shared" si="75"/>
        <v>0</v>
      </c>
      <c r="AV51" s="434">
        <f t="shared" si="76"/>
        <v>0</v>
      </c>
      <c r="AW51" s="434">
        <f t="shared" si="77"/>
        <v>0</v>
      </c>
      <c r="AX51" s="434">
        <f t="shared" si="78"/>
        <v>0</v>
      </c>
      <c r="AY51" s="434">
        <f t="shared" si="79"/>
        <v>0</v>
      </c>
      <c r="AZ51" s="434">
        <f t="shared" si="80"/>
        <v>0</v>
      </c>
      <c r="BA51" s="434">
        <f t="shared" si="81"/>
        <v>0</v>
      </c>
      <c r="BB51" s="434">
        <f t="shared" si="82"/>
        <v>0</v>
      </c>
      <c r="BC51" s="434">
        <f t="shared" si="83"/>
        <v>0</v>
      </c>
      <c r="BD51" s="434">
        <f t="shared" si="84"/>
        <v>0</v>
      </c>
    </row>
    <row r="52" spans="1:56" s="148" customFormat="1" ht="28.5" customHeight="1" thickBot="1" x14ac:dyDescent="0.45">
      <c r="A52" s="242" t="str">
        <f>'EEM Data Entry'!A128</f>
        <v/>
      </c>
      <c r="B52" s="469" t="str">
        <f>IF('EEM Data Entry'!B128="  ","  ", 'EEM Data Entry'!B128)</f>
        <v/>
      </c>
      <c r="C52" s="470" t="str">
        <f>'EEM Data Entry'!F128</f>
        <v/>
      </c>
      <c r="D52" s="471">
        <v>0</v>
      </c>
      <c r="E52" s="470" t="e">
        <f t="shared" si="85"/>
        <v>#VALUE!</v>
      </c>
      <c r="F52" s="462">
        <f>('Cascading Savings'!D53*'Cascading Savings'!D$4)+('Cascading Savings'!F53*'Cascading Savings'!F$4)+('Cascading Savings'!H53*'Cascading Savings'!H$4)+('Cascading Savings'!J53*'Cascading Savings'!J$4)+('Cascading Savings'!L53*'Cascading Savings'!L$4)+('Cascading Savings'!N53*'Cascading Savings'!N$4)+('Cascading Savings'!P53*'Cascading Savings'!P$4)+('Cascading Savings'!R53*'Cascading Savings'!R$4)</f>
        <v>0</v>
      </c>
      <c r="G52" s="472">
        <f>'Savings Summary'!T53</f>
        <v>0</v>
      </c>
      <c r="H52" s="473" t="e">
        <f t="shared" ref="H52:H63" si="92">IF(C52=0,"n/a",E52/F52)</f>
        <v>#VALUE!</v>
      </c>
      <c r="I52" s="474" t="e">
        <f t="shared" si="86"/>
        <v>#VALUE!</v>
      </c>
      <c r="J52" s="425" t="e">
        <f t="shared" si="87"/>
        <v>#VALUE!</v>
      </c>
      <c r="K52" s="426" t="e">
        <f t="shared" si="88"/>
        <v>#VALUE!</v>
      </c>
      <c r="L52" s="509" t="str">
        <f>'Cascading Cap Cost &amp; Savings'!L46</f>
        <v/>
      </c>
      <c r="M52" s="225">
        <f>'Cascading Savings'!D53</f>
        <v>0</v>
      </c>
      <c r="N52" s="225">
        <f>'Cascading Savings'!H53+'Cascading Savings'!F53+'Cascading Savings'!J53</f>
        <v>0</v>
      </c>
      <c r="P52" s="434" t="e">
        <f t="shared" si="89"/>
        <v>#VALUE!</v>
      </c>
      <c r="Q52" s="434">
        <f t="shared" si="90"/>
        <v>0</v>
      </c>
      <c r="R52" s="434">
        <f t="shared" si="91"/>
        <v>0</v>
      </c>
      <c r="S52" s="434">
        <f t="shared" si="63"/>
        <v>0</v>
      </c>
      <c r="T52" s="434">
        <f t="shared" si="63"/>
        <v>0</v>
      </c>
      <c r="U52" s="434">
        <f t="shared" si="63"/>
        <v>0</v>
      </c>
      <c r="V52" s="434">
        <f t="shared" si="63"/>
        <v>0</v>
      </c>
      <c r="W52" s="434">
        <f t="shared" si="63"/>
        <v>0</v>
      </c>
      <c r="X52" s="434">
        <f t="shared" si="63"/>
        <v>0</v>
      </c>
      <c r="Y52" s="434">
        <f t="shared" si="63"/>
        <v>0</v>
      </c>
      <c r="Z52" s="434">
        <f t="shared" si="63"/>
        <v>0</v>
      </c>
      <c r="AA52" s="434">
        <f t="shared" si="63"/>
        <v>0</v>
      </c>
      <c r="AB52" s="434">
        <f t="shared" si="63"/>
        <v>0</v>
      </c>
      <c r="AC52" s="434">
        <f t="shared" si="63"/>
        <v>0</v>
      </c>
      <c r="AD52" s="434">
        <f t="shared" si="63"/>
        <v>0</v>
      </c>
      <c r="AE52" s="434">
        <f t="shared" si="63"/>
        <v>0</v>
      </c>
      <c r="AF52" s="434">
        <f t="shared" si="63"/>
        <v>0</v>
      </c>
      <c r="AG52" s="434">
        <f t="shared" si="63"/>
        <v>0</v>
      </c>
      <c r="AH52" s="434">
        <f t="shared" si="63"/>
        <v>0</v>
      </c>
      <c r="AI52" s="434">
        <f t="shared" si="63"/>
        <v>0</v>
      </c>
      <c r="AJ52" s="434">
        <f t="shared" si="64"/>
        <v>0</v>
      </c>
      <c r="AK52" s="434">
        <f t="shared" si="65"/>
        <v>0</v>
      </c>
      <c r="AL52" s="434">
        <f t="shared" si="66"/>
        <v>0</v>
      </c>
      <c r="AM52" s="434">
        <f t="shared" si="67"/>
        <v>0</v>
      </c>
      <c r="AN52" s="434">
        <f t="shared" si="68"/>
        <v>0</v>
      </c>
      <c r="AO52" s="434">
        <f t="shared" si="69"/>
        <v>0</v>
      </c>
      <c r="AP52" s="434">
        <f t="shared" si="70"/>
        <v>0</v>
      </c>
      <c r="AQ52" s="434">
        <f t="shared" si="71"/>
        <v>0</v>
      </c>
      <c r="AR52" s="434">
        <f t="shared" si="72"/>
        <v>0</v>
      </c>
      <c r="AS52" s="434">
        <f t="shared" si="73"/>
        <v>0</v>
      </c>
      <c r="AT52" s="434">
        <f t="shared" si="74"/>
        <v>0</v>
      </c>
      <c r="AU52" s="434">
        <f t="shared" si="75"/>
        <v>0</v>
      </c>
      <c r="AV52" s="434">
        <f t="shared" si="76"/>
        <v>0</v>
      </c>
      <c r="AW52" s="434">
        <f t="shared" si="77"/>
        <v>0</v>
      </c>
      <c r="AX52" s="434">
        <f t="shared" si="78"/>
        <v>0</v>
      </c>
      <c r="AY52" s="434">
        <f t="shared" si="79"/>
        <v>0</v>
      </c>
      <c r="AZ52" s="434">
        <f t="shared" si="80"/>
        <v>0</v>
      </c>
      <c r="BA52" s="434">
        <f t="shared" si="81"/>
        <v>0</v>
      </c>
      <c r="BB52" s="434">
        <f t="shared" si="82"/>
        <v>0</v>
      </c>
      <c r="BC52" s="434">
        <f t="shared" si="83"/>
        <v>0</v>
      </c>
      <c r="BD52" s="434">
        <f t="shared" si="84"/>
        <v>0</v>
      </c>
    </row>
    <row r="53" spans="1:56" s="148" customFormat="1" ht="28.5" customHeight="1" thickBot="1" x14ac:dyDescent="0.45">
      <c r="A53" s="242" t="str">
        <f>'EEM Data Entry'!A129</f>
        <v/>
      </c>
      <c r="B53" s="469" t="str">
        <f>IF('EEM Data Entry'!B129="  ","  ", 'EEM Data Entry'!B129)</f>
        <v/>
      </c>
      <c r="C53" s="470" t="str">
        <f>'EEM Data Entry'!F129</f>
        <v/>
      </c>
      <c r="D53" s="471">
        <v>0</v>
      </c>
      <c r="E53" s="470" t="e">
        <f t="shared" si="85"/>
        <v>#VALUE!</v>
      </c>
      <c r="F53" s="462">
        <f>('Cascading Savings'!D54*'Cascading Savings'!D$4)+('Cascading Savings'!F54*'Cascading Savings'!F$4)+('Cascading Savings'!H54*'Cascading Savings'!H$4)+('Cascading Savings'!J54*'Cascading Savings'!J$4)+('Cascading Savings'!L54*'Cascading Savings'!L$4)+('Cascading Savings'!N54*'Cascading Savings'!N$4)+('Cascading Savings'!P54*'Cascading Savings'!P$4)+('Cascading Savings'!R54*'Cascading Savings'!R$4)</f>
        <v>0</v>
      </c>
      <c r="G53" s="472">
        <f>'Savings Summary'!T54</f>
        <v>0</v>
      </c>
      <c r="H53" s="473" t="e">
        <f t="shared" si="92"/>
        <v>#VALUE!</v>
      </c>
      <c r="I53" s="474" t="e">
        <f t="shared" si="86"/>
        <v>#VALUE!</v>
      </c>
      <c r="J53" s="425" t="e">
        <f t="shared" si="87"/>
        <v>#VALUE!</v>
      </c>
      <c r="K53" s="426" t="e">
        <f t="shared" si="88"/>
        <v>#VALUE!</v>
      </c>
      <c r="L53" s="398" t="str">
        <f>'Cascading Cap Cost &amp; Savings'!L47</f>
        <v/>
      </c>
      <c r="M53" s="225">
        <f>'Cascading Savings'!D54</f>
        <v>0</v>
      </c>
      <c r="N53" s="225">
        <f>'Cascading Savings'!H54+'Cascading Savings'!F54+'Cascading Savings'!J54</f>
        <v>0</v>
      </c>
      <c r="P53" s="434" t="e">
        <f t="shared" si="89"/>
        <v>#VALUE!</v>
      </c>
      <c r="Q53" s="434">
        <f t="shared" si="90"/>
        <v>0</v>
      </c>
      <c r="R53" s="434">
        <f t="shared" si="91"/>
        <v>0</v>
      </c>
      <c r="S53" s="434">
        <f t="shared" si="63"/>
        <v>0</v>
      </c>
      <c r="T53" s="434">
        <f t="shared" si="63"/>
        <v>0</v>
      </c>
      <c r="U53" s="434">
        <f t="shared" si="63"/>
        <v>0</v>
      </c>
      <c r="V53" s="434">
        <f t="shared" si="63"/>
        <v>0</v>
      </c>
      <c r="W53" s="434">
        <f t="shared" si="63"/>
        <v>0</v>
      </c>
      <c r="X53" s="434">
        <f t="shared" si="63"/>
        <v>0</v>
      </c>
      <c r="Y53" s="434">
        <f t="shared" si="63"/>
        <v>0</v>
      </c>
      <c r="Z53" s="434">
        <f t="shared" si="63"/>
        <v>0</v>
      </c>
      <c r="AA53" s="434">
        <f t="shared" si="63"/>
        <v>0</v>
      </c>
      <c r="AB53" s="434">
        <f t="shared" si="63"/>
        <v>0</v>
      </c>
      <c r="AC53" s="434">
        <f t="shared" si="63"/>
        <v>0</v>
      </c>
      <c r="AD53" s="434">
        <f t="shared" si="63"/>
        <v>0</v>
      </c>
      <c r="AE53" s="434">
        <f t="shared" si="63"/>
        <v>0</v>
      </c>
      <c r="AF53" s="434">
        <f t="shared" si="63"/>
        <v>0</v>
      </c>
      <c r="AG53" s="434">
        <f t="shared" si="63"/>
        <v>0</v>
      </c>
      <c r="AH53" s="434">
        <f t="shared" si="63"/>
        <v>0</v>
      </c>
      <c r="AI53" s="434">
        <f t="shared" si="63"/>
        <v>0</v>
      </c>
      <c r="AJ53" s="434">
        <f t="shared" si="64"/>
        <v>0</v>
      </c>
      <c r="AK53" s="434">
        <f t="shared" si="65"/>
        <v>0</v>
      </c>
      <c r="AL53" s="434">
        <f t="shared" si="66"/>
        <v>0</v>
      </c>
      <c r="AM53" s="434">
        <f t="shared" si="67"/>
        <v>0</v>
      </c>
      <c r="AN53" s="434">
        <f t="shared" si="68"/>
        <v>0</v>
      </c>
      <c r="AO53" s="434">
        <f t="shared" si="69"/>
        <v>0</v>
      </c>
      <c r="AP53" s="434">
        <f t="shared" si="70"/>
        <v>0</v>
      </c>
      <c r="AQ53" s="434">
        <f t="shared" si="71"/>
        <v>0</v>
      </c>
      <c r="AR53" s="434">
        <f t="shared" si="72"/>
        <v>0</v>
      </c>
      <c r="AS53" s="434">
        <f t="shared" si="73"/>
        <v>0</v>
      </c>
      <c r="AT53" s="434">
        <f t="shared" si="74"/>
        <v>0</v>
      </c>
      <c r="AU53" s="434">
        <f t="shared" si="75"/>
        <v>0</v>
      </c>
      <c r="AV53" s="434">
        <f t="shared" si="76"/>
        <v>0</v>
      </c>
      <c r="AW53" s="434">
        <f t="shared" si="77"/>
        <v>0</v>
      </c>
      <c r="AX53" s="434">
        <f t="shared" si="78"/>
        <v>0</v>
      </c>
      <c r="AY53" s="434">
        <f t="shared" si="79"/>
        <v>0</v>
      </c>
      <c r="AZ53" s="434">
        <f t="shared" si="80"/>
        <v>0</v>
      </c>
      <c r="BA53" s="434">
        <f t="shared" si="81"/>
        <v>0</v>
      </c>
      <c r="BB53" s="434">
        <f t="shared" si="82"/>
        <v>0</v>
      </c>
      <c r="BC53" s="434">
        <f t="shared" si="83"/>
        <v>0</v>
      </c>
      <c r="BD53" s="434">
        <f t="shared" si="84"/>
        <v>0</v>
      </c>
    </row>
    <row r="54" spans="1:56" s="148" customFormat="1" ht="28.5" customHeight="1" thickBot="1" x14ac:dyDescent="0.45">
      <c r="A54" s="242" t="str">
        <f>'EEM Data Entry'!A130</f>
        <v/>
      </c>
      <c r="B54" s="469" t="str">
        <f>IF('EEM Data Entry'!B130="  ","  ", 'EEM Data Entry'!B130)</f>
        <v/>
      </c>
      <c r="C54" s="470" t="str">
        <f>'EEM Data Entry'!F130</f>
        <v/>
      </c>
      <c r="D54" s="471">
        <v>0</v>
      </c>
      <c r="E54" s="470" t="e">
        <f t="shared" si="85"/>
        <v>#VALUE!</v>
      </c>
      <c r="F54" s="462">
        <f>('Cascading Savings'!D55*'Cascading Savings'!D$4)+('Cascading Savings'!F55*'Cascading Savings'!F$4)+('Cascading Savings'!H55*'Cascading Savings'!H$4)+('Cascading Savings'!J55*'Cascading Savings'!J$4)+('Cascading Savings'!L55*'Cascading Savings'!L$4)+('Cascading Savings'!N55*'Cascading Savings'!N$4)+('Cascading Savings'!P55*'Cascading Savings'!P$4)+('Cascading Savings'!R55*'Cascading Savings'!R$4)</f>
        <v>0</v>
      </c>
      <c r="G54" s="472">
        <f>'Savings Summary'!T55</f>
        <v>0</v>
      </c>
      <c r="H54" s="473" t="e">
        <f t="shared" si="92"/>
        <v>#VALUE!</v>
      </c>
      <c r="I54" s="474" t="e">
        <f t="shared" si="86"/>
        <v>#VALUE!</v>
      </c>
      <c r="J54" s="425" t="e">
        <f t="shared" si="87"/>
        <v>#VALUE!</v>
      </c>
      <c r="K54" s="426" t="e">
        <f t="shared" si="88"/>
        <v>#VALUE!</v>
      </c>
      <c r="L54" s="509" t="str">
        <f>'Cascading Cap Cost &amp; Savings'!L48</f>
        <v/>
      </c>
      <c r="M54" s="225">
        <f>'Cascading Savings'!D55</f>
        <v>0</v>
      </c>
      <c r="N54" s="225">
        <f>'Cascading Savings'!H55+'Cascading Savings'!F55+'Cascading Savings'!J55</f>
        <v>0</v>
      </c>
      <c r="P54" s="434" t="e">
        <f t="shared" si="89"/>
        <v>#VALUE!</v>
      </c>
      <c r="Q54" s="434">
        <f t="shared" si="90"/>
        <v>0</v>
      </c>
      <c r="R54" s="434">
        <f t="shared" si="91"/>
        <v>0</v>
      </c>
      <c r="S54" s="434">
        <f t="shared" si="63"/>
        <v>0</v>
      </c>
      <c r="T54" s="434">
        <f t="shared" si="63"/>
        <v>0</v>
      </c>
      <c r="U54" s="434">
        <f t="shared" si="63"/>
        <v>0</v>
      </c>
      <c r="V54" s="434">
        <f t="shared" si="63"/>
        <v>0</v>
      </c>
      <c r="W54" s="434">
        <f t="shared" si="63"/>
        <v>0</v>
      </c>
      <c r="X54" s="434">
        <f t="shared" si="63"/>
        <v>0</v>
      </c>
      <c r="Y54" s="434">
        <f t="shared" si="63"/>
        <v>0</v>
      </c>
      <c r="Z54" s="434">
        <f t="shared" si="63"/>
        <v>0</v>
      </c>
      <c r="AA54" s="434">
        <f t="shared" si="63"/>
        <v>0</v>
      </c>
      <c r="AB54" s="434">
        <f t="shared" si="63"/>
        <v>0</v>
      </c>
      <c r="AC54" s="434">
        <f t="shared" si="63"/>
        <v>0</v>
      </c>
      <c r="AD54" s="434">
        <f t="shared" si="63"/>
        <v>0</v>
      </c>
      <c r="AE54" s="434">
        <f t="shared" si="63"/>
        <v>0</v>
      </c>
      <c r="AF54" s="434">
        <f t="shared" si="63"/>
        <v>0</v>
      </c>
      <c r="AG54" s="434">
        <f t="shared" si="63"/>
        <v>0</v>
      </c>
      <c r="AH54" s="434">
        <f t="shared" si="63"/>
        <v>0</v>
      </c>
      <c r="AI54" s="434">
        <f t="shared" si="63"/>
        <v>0</v>
      </c>
      <c r="AJ54" s="434">
        <f t="shared" si="64"/>
        <v>0</v>
      </c>
      <c r="AK54" s="434">
        <f t="shared" si="65"/>
        <v>0</v>
      </c>
      <c r="AL54" s="434">
        <f t="shared" si="66"/>
        <v>0</v>
      </c>
      <c r="AM54" s="434">
        <f t="shared" si="67"/>
        <v>0</v>
      </c>
      <c r="AN54" s="434">
        <f t="shared" si="68"/>
        <v>0</v>
      </c>
      <c r="AO54" s="434">
        <f t="shared" si="69"/>
        <v>0</v>
      </c>
      <c r="AP54" s="434">
        <f t="shared" si="70"/>
        <v>0</v>
      </c>
      <c r="AQ54" s="434">
        <f t="shared" si="71"/>
        <v>0</v>
      </c>
      <c r="AR54" s="434">
        <f t="shared" si="72"/>
        <v>0</v>
      </c>
      <c r="AS54" s="434">
        <f t="shared" si="73"/>
        <v>0</v>
      </c>
      <c r="AT54" s="434">
        <f t="shared" si="74"/>
        <v>0</v>
      </c>
      <c r="AU54" s="434">
        <f t="shared" si="75"/>
        <v>0</v>
      </c>
      <c r="AV54" s="434">
        <f t="shared" si="76"/>
        <v>0</v>
      </c>
      <c r="AW54" s="434">
        <f t="shared" si="77"/>
        <v>0</v>
      </c>
      <c r="AX54" s="434">
        <f t="shared" si="78"/>
        <v>0</v>
      </c>
      <c r="AY54" s="434">
        <f t="shared" si="79"/>
        <v>0</v>
      </c>
      <c r="AZ54" s="434">
        <f t="shared" si="80"/>
        <v>0</v>
      </c>
      <c r="BA54" s="434">
        <f t="shared" si="81"/>
        <v>0</v>
      </c>
      <c r="BB54" s="434">
        <f t="shared" si="82"/>
        <v>0</v>
      </c>
      <c r="BC54" s="434">
        <f t="shared" si="83"/>
        <v>0</v>
      </c>
      <c r="BD54" s="434">
        <f t="shared" si="84"/>
        <v>0</v>
      </c>
    </row>
    <row r="55" spans="1:56" s="148" customFormat="1" ht="28.5" customHeight="1" thickBot="1" x14ac:dyDescent="0.45">
      <c r="A55" s="242" t="str">
        <f>'EEM Data Entry'!A131</f>
        <v/>
      </c>
      <c r="B55" s="469" t="str">
        <f>IF('EEM Data Entry'!B131="  ","  ", 'EEM Data Entry'!B131)</f>
        <v/>
      </c>
      <c r="C55" s="470" t="str">
        <f>'EEM Data Entry'!F131</f>
        <v/>
      </c>
      <c r="D55" s="471">
        <v>0</v>
      </c>
      <c r="E55" s="470" t="e">
        <f t="shared" si="85"/>
        <v>#VALUE!</v>
      </c>
      <c r="F55" s="462">
        <f>('Cascading Savings'!D56*'Cascading Savings'!D$4)+('Cascading Savings'!F56*'Cascading Savings'!F$4)+('Cascading Savings'!H56*'Cascading Savings'!H$4)+('Cascading Savings'!J56*'Cascading Savings'!J$4)+('Cascading Savings'!L56*'Cascading Savings'!L$4)+('Cascading Savings'!N56*'Cascading Savings'!N$4)+('Cascading Savings'!P56*'Cascading Savings'!P$4)+('Cascading Savings'!R56*'Cascading Savings'!R$4)</f>
        <v>0</v>
      </c>
      <c r="G55" s="472">
        <f>'Savings Summary'!T56</f>
        <v>0</v>
      </c>
      <c r="H55" s="473" t="e">
        <f>IF(C55=0,"n/a",E55/F55)</f>
        <v>#VALUE!</v>
      </c>
      <c r="I55" s="474" t="e">
        <f t="shared" si="86"/>
        <v>#VALUE!</v>
      </c>
      <c r="J55" s="425" t="e">
        <f t="shared" si="87"/>
        <v>#VALUE!</v>
      </c>
      <c r="K55" s="426" t="e">
        <f t="shared" si="88"/>
        <v>#VALUE!</v>
      </c>
      <c r="L55" s="398" t="str">
        <f>'Cascading Cap Cost &amp; Savings'!L49</f>
        <v/>
      </c>
      <c r="M55" s="225">
        <f>'Cascading Savings'!D56</f>
        <v>0</v>
      </c>
      <c r="N55" s="225">
        <f>'Cascading Savings'!H56+'Cascading Savings'!F56+'Cascading Savings'!J56</f>
        <v>0</v>
      </c>
      <c r="P55" s="434" t="e">
        <f t="shared" si="89"/>
        <v>#VALUE!</v>
      </c>
      <c r="Q55" s="434">
        <f t="shared" si="90"/>
        <v>0</v>
      </c>
      <c r="R55" s="434">
        <f t="shared" si="91"/>
        <v>0</v>
      </c>
      <c r="S55" s="434">
        <f t="shared" si="63"/>
        <v>0</v>
      </c>
      <c r="T55" s="434">
        <f t="shared" si="63"/>
        <v>0</v>
      </c>
      <c r="U55" s="434">
        <f t="shared" si="63"/>
        <v>0</v>
      </c>
      <c r="V55" s="434">
        <f t="shared" si="63"/>
        <v>0</v>
      </c>
      <c r="W55" s="434">
        <f t="shared" si="63"/>
        <v>0</v>
      </c>
      <c r="X55" s="434">
        <f t="shared" si="63"/>
        <v>0</v>
      </c>
      <c r="Y55" s="434">
        <f t="shared" si="63"/>
        <v>0</v>
      </c>
      <c r="Z55" s="434">
        <f t="shared" si="63"/>
        <v>0</v>
      </c>
      <c r="AA55" s="434">
        <f t="shared" si="63"/>
        <v>0</v>
      </c>
      <c r="AB55" s="434">
        <f t="shared" si="63"/>
        <v>0</v>
      </c>
      <c r="AC55" s="434">
        <f t="shared" si="63"/>
        <v>0</v>
      </c>
      <c r="AD55" s="434">
        <f t="shared" si="63"/>
        <v>0</v>
      </c>
      <c r="AE55" s="434">
        <f t="shared" si="63"/>
        <v>0</v>
      </c>
      <c r="AF55" s="434">
        <f t="shared" si="63"/>
        <v>0</v>
      </c>
      <c r="AG55" s="434">
        <f t="shared" si="63"/>
        <v>0</v>
      </c>
      <c r="AH55" s="434">
        <f t="shared" si="63"/>
        <v>0</v>
      </c>
      <c r="AI55" s="434">
        <f t="shared" si="63"/>
        <v>0</v>
      </c>
      <c r="AJ55" s="434">
        <f t="shared" si="64"/>
        <v>0</v>
      </c>
      <c r="AK55" s="434">
        <f t="shared" si="65"/>
        <v>0</v>
      </c>
      <c r="AL55" s="434">
        <f t="shared" si="66"/>
        <v>0</v>
      </c>
      <c r="AM55" s="434">
        <f t="shared" si="67"/>
        <v>0</v>
      </c>
      <c r="AN55" s="434">
        <f t="shared" si="68"/>
        <v>0</v>
      </c>
      <c r="AO55" s="434">
        <f t="shared" si="69"/>
        <v>0</v>
      </c>
      <c r="AP55" s="434">
        <f t="shared" si="70"/>
        <v>0</v>
      </c>
      <c r="AQ55" s="434">
        <f t="shared" si="71"/>
        <v>0</v>
      </c>
      <c r="AR55" s="434">
        <f t="shared" si="72"/>
        <v>0</v>
      </c>
      <c r="AS55" s="434">
        <f t="shared" si="73"/>
        <v>0</v>
      </c>
      <c r="AT55" s="434">
        <f t="shared" si="74"/>
        <v>0</v>
      </c>
      <c r="AU55" s="434">
        <f t="shared" si="75"/>
        <v>0</v>
      </c>
      <c r="AV55" s="434">
        <f t="shared" si="76"/>
        <v>0</v>
      </c>
      <c r="AW55" s="434">
        <f t="shared" si="77"/>
        <v>0</v>
      </c>
      <c r="AX55" s="434">
        <f t="shared" si="78"/>
        <v>0</v>
      </c>
      <c r="AY55" s="434">
        <f t="shared" si="79"/>
        <v>0</v>
      </c>
      <c r="AZ55" s="434">
        <f t="shared" si="80"/>
        <v>0</v>
      </c>
      <c r="BA55" s="434">
        <f t="shared" si="81"/>
        <v>0</v>
      </c>
      <c r="BB55" s="434">
        <f t="shared" si="82"/>
        <v>0</v>
      </c>
      <c r="BC55" s="434">
        <f t="shared" si="83"/>
        <v>0</v>
      </c>
      <c r="BD55" s="434">
        <f t="shared" si="84"/>
        <v>0</v>
      </c>
    </row>
    <row r="56" spans="1:56" s="148" customFormat="1" ht="28.5" customHeight="1" thickBot="1" x14ac:dyDescent="0.45">
      <c r="A56" s="242" t="str">
        <f>'EEM Data Entry'!A132</f>
        <v/>
      </c>
      <c r="B56" s="469" t="str">
        <f>IF('EEM Data Entry'!B132="  ","  ", 'EEM Data Entry'!B132)</f>
        <v/>
      </c>
      <c r="C56" s="470" t="str">
        <f>'EEM Data Entry'!F132</f>
        <v/>
      </c>
      <c r="D56" s="471">
        <v>0</v>
      </c>
      <c r="E56" s="470" t="e">
        <f t="shared" si="85"/>
        <v>#VALUE!</v>
      </c>
      <c r="F56" s="462">
        <f>('Cascading Savings'!D57*'Cascading Savings'!D$4)+('Cascading Savings'!F57*'Cascading Savings'!F$4)+('Cascading Savings'!H57*'Cascading Savings'!H$4)+('Cascading Savings'!J57*'Cascading Savings'!J$4)+('Cascading Savings'!L57*'Cascading Savings'!L$4)+('Cascading Savings'!N57*'Cascading Savings'!N$4)+('Cascading Savings'!P57*'Cascading Savings'!P$4)+('Cascading Savings'!R57*'Cascading Savings'!R$4)</f>
        <v>0</v>
      </c>
      <c r="G56" s="472">
        <f>'Savings Summary'!T57</f>
        <v>0</v>
      </c>
      <c r="H56" s="473" t="e">
        <f>IF(C56=0,"n/a",E56/F56)</f>
        <v>#VALUE!</v>
      </c>
      <c r="I56" s="474" t="e">
        <f t="shared" si="86"/>
        <v>#VALUE!</v>
      </c>
      <c r="J56" s="425" t="e">
        <f>IRR(P56:AT56,0.1)</f>
        <v>#VALUE!</v>
      </c>
      <c r="K56" s="426" t="e">
        <f t="shared" si="88"/>
        <v>#VALUE!</v>
      </c>
      <c r="L56" s="509" t="str">
        <f>'Cascading Cap Cost &amp; Savings'!L50</f>
        <v/>
      </c>
      <c r="M56" s="225">
        <f>'Cascading Savings'!D57</f>
        <v>0</v>
      </c>
      <c r="N56" s="225">
        <f>'Cascading Savings'!H57+'Cascading Savings'!F57+'Cascading Savings'!J57</f>
        <v>0</v>
      </c>
      <c r="P56" s="434" t="e">
        <f t="shared" si="89"/>
        <v>#VALUE!</v>
      </c>
      <c r="Q56" s="434">
        <f t="shared" si="90"/>
        <v>0</v>
      </c>
      <c r="R56" s="434">
        <f t="shared" si="91"/>
        <v>0</v>
      </c>
      <c r="S56" s="434">
        <f t="shared" si="63"/>
        <v>0</v>
      </c>
      <c r="T56" s="434">
        <f t="shared" si="63"/>
        <v>0</v>
      </c>
      <c r="U56" s="434">
        <f t="shared" si="63"/>
        <v>0</v>
      </c>
      <c r="V56" s="434">
        <f t="shared" si="63"/>
        <v>0</v>
      </c>
      <c r="W56" s="434">
        <f t="shared" si="63"/>
        <v>0</v>
      </c>
      <c r="X56" s="434">
        <f t="shared" si="63"/>
        <v>0</v>
      </c>
      <c r="Y56" s="434">
        <f t="shared" si="63"/>
        <v>0</v>
      </c>
      <c r="Z56" s="434">
        <f t="shared" si="63"/>
        <v>0</v>
      </c>
      <c r="AA56" s="434">
        <f t="shared" si="63"/>
        <v>0</v>
      </c>
      <c r="AB56" s="434">
        <f t="shared" si="63"/>
        <v>0</v>
      </c>
      <c r="AC56" s="434">
        <f t="shared" si="63"/>
        <v>0</v>
      </c>
      <c r="AD56" s="434">
        <f t="shared" si="63"/>
        <v>0</v>
      </c>
      <c r="AE56" s="434">
        <f t="shared" si="63"/>
        <v>0</v>
      </c>
      <c r="AF56" s="434">
        <f t="shared" si="63"/>
        <v>0</v>
      </c>
      <c r="AG56" s="434">
        <f t="shared" si="63"/>
        <v>0</v>
      </c>
      <c r="AH56" s="434">
        <f t="shared" si="63"/>
        <v>0</v>
      </c>
      <c r="AI56" s="434">
        <f t="shared" si="63"/>
        <v>0</v>
      </c>
      <c r="AJ56" s="434">
        <f t="shared" si="64"/>
        <v>0</v>
      </c>
      <c r="AK56" s="434">
        <f t="shared" si="65"/>
        <v>0</v>
      </c>
      <c r="AL56" s="434">
        <f t="shared" si="66"/>
        <v>0</v>
      </c>
      <c r="AM56" s="434">
        <f t="shared" si="67"/>
        <v>0</v>
      </c>
      <c r="AN56" s="434">
        <f t="shared" si="68"/>
        <v>0</v>
      </c>
      <c r="AO56" s="434">
        <f t="shared" si="69"/>
        <v>0</v>
      </c>
      <c r="AP56" s="434">
        <f t="shared" si="70"/>
        <v>0</v>
      </c>
      <c r="AQ56" s="434">
        <f t="shared" si="71"/>
        <v>0</v>
      </c>
      <c r="AR56" s="434">
        <f t="shared" si="72"/>
        <v>0</v>
      </c>
      <c r="AS56" s="434">
        <f t="shared" si="73"/>
        <v>0</v>
      </c>
      <c r="AT56" s="434">
        <f t="shared" si="74"/>
        <v>0</v>
      </c>
      <c r="AU56" s="434">
        <f t="shared" si="75"/>
        <v>0</v>
      </c>
      <c r="AV56" s="434">
        <f t="shared" si="76"/>
        <v>0</v>
      </c>
      <c r="AW56" s="434">
        <f t="shared" si="77"/>
        <v>0</v>
      </c>
      <c r="AX56" s="434">
        <f t="shared" si="78"/>
        <v>0</v>
      </c>
      <c r="AY56" s="434">
        <f t="shared" si="79"/>
        <v>0</v>
      </c>
      <c r="AZ56" s="434">
        <f t="shared" si="80"/>
        <v>0</v>
      </c>
      <c r="BA56" s="434">
        <f t="shared" si="81"/>
        <v>0</v>
      </c>
      <c r="BB56" s="434">
        <f t="shared" si="82"/>
        <v>0</v>
      </c>
      <c r="BC56" s="434">
        <f t="shared" si="83"/>
        <v>0</v>
      </c>
      <c r="BD56" s="434">
        <f t="shared" si="84"/>
        <v>0</v>
      </c>
    </row>
    <row r="57" spans="1:56" s="148" customFormat="1" ht="28.5" customHeight="1" thickBot="1" x14ac:dyDescent="0.45">
      <c r="A57" s="242" t="str">
        <f>'EEM Data Entry'!A133</f>
        <v/>
      </c>
      <c r="B57" s="475" t="str">
        <f>IF('EEM Data Entry'!B133="  ","  ", 'EEM Data Entry'!B133)</f>
        <v/>
      </c>
      <c r="C57" s="476" t="str">
        <f>'EEM Data Entry'!F133</f>
        <v/>
      </c>
      <c r="D57" s="477">
        <v>0</v>
      </c>
      <c r="E57" s="476" t="e">
        <f t="shared" si="85"/>
        <v>#VALUE!</v>
      </c>
      <c r="F57" s="462">
        <f>('Cascading Savings'!D58*'Cascading Savings'!D$4)+('Cascading Savings'!F58*'Cascading Savings'!F$4)+('Cascading Savings'!H58*'Cascading Savings'!H$4)+('Cascading Savings'!J58*'Cascading Savings'!J$4)+('Cascading Savings'!L58*'Cascading Savings'!L$4)+('Cascading Savings'!N58*'Cascading Savings'!N$4)+('Cascading Savings'!P58*'Cascading Savings'!P$4)+('Cascading Savings'!R58*'Cascading Savings'!R$4)</f>
        <v>0</v>
      </c>
      <c r="G57" s="472">
        <f>'Savings Summary'!T58</f>
        <v>0</v>
      </c>
      <c r="H57" s="480" t="e">
        <f t="shared" si="92"/>
        <v>#VALUE!</v>
      </c>
      <c r="I57" s="481" t="e">
        <f t="shared" si="86"/>
        <v>#VALUE!</v>
      </c>
      <c r="J57" s="425" t="e">
        <f t="shared" si="87"/>
        <v>#VALUE!</v>
      </c>
      <c r="K57" s="426" t="e">
        <f t="shared" si="88"/>
        <v>#VALUE!</v>
      </c>
      <c r="L57" s="398" t="str">
        <f>'Cascading Cap Cost &amp; Savings'!L51</f>
        <v/>
      </c>
      <c r="M57" s="225">
        <f>'Cascading Savings'!D58</f>
        <v>0</v>
      </c>
      <c r="N57" s="225">
        <f>'Cascading Savings'!H58+'Cascading Savings'!F58+'Cascading Savings'!J58</f>
        <v>0</v>
      </c>
      <c r="P57" s="434" t="e">
        <f t="shared" si="89"/>
        <v>#VALUE!</v>
      </c>
      <c r="Q57" s="434">
        <f t="shared" si="90"/>
        <v>0</v>
      </c>
      <c r="R57" s="434">
        <f t="shared" si="91"/>
        <v>0</v>
      </c>
      <c r="S57" s="434">
        <f t="shared" ref="S57:AI63" si="93">R57*1.05</f>
        <v>0</v>
      </c>
      <c r="T57" s="434">
        <f t="shared" si="93"/>
        <v>0</v>
      </c>
      <c r="U57" s="434">
        <f t="shared" si="93"/>
        <v>0</v>
      </c>
      <c r="V57" s="434">
        <f t="shared" si="93"/>
        <v>0</v>
      </c>
      <c r="W57" s="434">
        <f t="shared" si="93"/>
        <v>0</v>
      </c>
      <c r="X57" s="434">
        <f t="shared" si="93"/>
        <v>0</v>
      </c>
      <c r="Y57" s="434">
        <f t="shared" si="93"/>
        <v>0</v>
      </c>
      <c r="Z57" s="434">
        <f t="shared" si="93"/>
        <v>0</v>
      </c>
      <c r="AA57" s="434">
        <f t="shared" si="93"/>
        <v>0</v>
      </c>
      <c r="AB57" s="434">
        <f t="shared" si="93"/>
        <v>0</v>
      </c>
      <c r="AC57" s="434">
        <f t="shared" si="93"/>
        <v>0</v>
      </c>
      <c r="AD57" s="434">
        <f t="shared" si="93"/>
        <v>0</v>
      </c>
      <c r="AE57" s="434">
        <f t="shared" si="93"/>
        <v>0</v>
      </c>
      <c r="AF57" s="434">
        <f t="shared" si="93"/>
        <v>0</v>
      </c>
      <c r="AG57" s="434">
        <f t="shared" si="93"/>
        <v>0</v>
      </c>
      <c r="AH57" s="434">
        <f t="shared" si="93"/>
        <v>0</v>
      </c>
      <c r="AI57" s="434">
        <f t="shared" si="93"/>
        <v>0</v>
      </c>
      <c r="AJ57" s="434">
        <f t="shared" si="64"/>
        <v>0</v>
      </c>
      <c r="AK57" s="434">
        <f t="shared" si="65"/>
        <v>0</v>
      </c>
      <c r="AL57" s="434">
        <f t="shared" si="66"/>
        <v>0</v>
      </c>
      <c r="AM57" s="434">
        <f t="shared" si="67"/>
        <v>0</v>
      </c>
      <c r="AN57" s="434">
        <f t="shared" si="68"/>
        <v>0</v>
      </c>
      <c r="AO57" s="434">
        <f t="shared" si="69"/>
        <v>0</v>
      </c>
      <c r="AP57" s="434">
        <f t="shared" si="70"/>
        <v>0</v>
      </c>
      <c r="AQ57" s="434">
        <f t="shared" si="71"/>
        <v>0</v>
      </c>
      <c r="AR57" s="434">
        <f t="shared" si="72"/>
        <v>0</v>
      </c>
      <c r="AS57" s="434">
        <f t="shared" si="73"/>
        <v>0</v>
      </c>
      <c r="AT57" s="434">
        <f t="shared" si="74"/>
        <v>0</v>
      </c>
      <c r="AU57" s="434">
        <f t="shared" si="75"/>
        <v>0</v>
      </c>
      <c r="AV57" s="434">
        <f t="shared" si="76"/>
        <v>0</v>
      </c>
      <c r="AW57" s="434">
        <f t="shared" si="77"/>
        <v>0</v>
      </c>
      <c r="AX57" s="434">
        <f t="shared" si="78"/>
        <v>0</v>
      </c>
      <c r="AY57" s="434">
        <f t="shared" si="79"/>
        <v>0</v>
      </c>
      <c r="AZ57" s="434">
        <f t="shared" si="80"/>
        <v>0</v>
      </c>
      <c r="BA57" s="434">
        <f t="shared" si="81"/>
        <v>0</v>
      </c>
      <c r="BB57" s="434">
        <f t="shared" si="82"/>
        <v>0</v>
      </c>
      <c r="BC57" s="434">
        <f t="shared" si="83"/>
        <v>0</v>
      </c>
      <c r="BD57" s="434">
        <f t="shared" si="84"/>
        <v>0</v>
      </c>
    </row>
    <row r="58" spans="1:56" s="148" customFormat="1" ht="28.5" customHeight="1" thickBot="1" x14ac:dyDescent="0.45">
      <c r="A58" s="242" t="str">
        <f>'EEM Data Entry'!A134</f>
        <v/>
      </c>
      <c r="B58" s="475" t="str">
        <f>IF('EEM Data Entry'!B134="  ","  ", 'EEM Data Entry'!B134)</f>
        <v/>
      </c>
      <c r="C58" s="476" t="str">
        <f>'EEM Data Entry'!F134</f>
        <v/>
      </c>
      <c r="D58" s="477">
        <v>0</v>
      </c>
      <c r="E58" s="476" t="e">
        <f t="shared" si="85"/>
        <v>#VALUE!</v>
      </c>
      <c r="F58" s="462">
        <f>('Cascading Savings'!D59*'Cascading Savings'!D$4)+('Cascading Savings'!F59*'Cascading Savings'!F$4)+('Cascading Savings'!H59*'Cascading Savings'!H$4)+('Cascading Savings'!J59*'Cascading Savings'!J$4)+('Cascading Savings'!L59*'Cascading Savings'!L$4)+('Cascading Savings'!N59*'Cascading Savings'!N$4)+('Cascading Savings'!P59*'Cascading Savings'!P$4)+('Cascading Savings'!R59*'Cascading Savings'!R$4)</f>
        <v>0</v>
      </c>
      <c r="G58" s="479">
        <f>'Savings Summary'!T59</f>
        <v>0</v>
      </c>
      <c r="H58" s="480" t="e">
        <f t="shared" si="92"/>
        <v>#VALUE!</v>
      </c>
      <c r="I58" s="481" t="e">
        <f t="shared" si="86"/>
        <v>#VALUE!</v>
      </c>
      <c r="J58" s="425" t="e">
        <f t="shared" si="87"/>
        <v>#VALUE!</v>
      </c>
      <c r="K58" s="426" t="e">
        <f t="shared" si="88"/>
        <v>#VALUE!</v>
      </c>
      <c r="L58" s="509" t="str">
        <f>'Cascading Cap Cost &amp; Savings'!L52</f>
        <v/>
      </c>
      <c r="M58" s="225">
        <f>'Cascading Savings'!D59</f>
        <v>0</v>
      </c>
      <c r="N58" s="225">
        <f>'Cascading Savings'!H59+'Cascading Savings'!F59+'Cascading Savings'!J59</f>
        <v>0</v>
      </c>
      <c r="P58" s="434" t="e">
        <f t="shared" si="89"/>
        <v>#VALUE!</v>
      </c>
      <c r="Q58" s="434">
        <f t="shared" si="90"/>
        <v>0</v>
      </c>
      <c r="R58" s="434">
        <f t="shared" si="91"/>
        <v>0</v>
      </c>
      <c r="S58" s="434">
        <f t="shared" si="93"/>
        <v>0</v>
      </c>
      <c r="T58" s="434">
        <f t="shared" si="93"/>
        <v>0</v>
      </c>
      <c r="U58" s="434">
        <f t="shared" si="93"/>
        <v>0</v>
      </c>
      <c r="V58" s="434">
        <f t="shared" si="93"/>
        <v>0</v>
      </c>
      <c r="W58" s="434">
        <f t="shared" si="93"/>
        <v>0</v>
      </c>
      <c r="X58" s="434">
        <f t="shared" si="93"/>
        <v>0</v>
      </c>
      <c r="Y58" s="434">
        <f t="shared" si="93"/>
        <v>0</v>
      </c>
      <c r="Z58" s="434">
        <f t="shared" si="93"/>
        <v>0</v>
      </c>
      <c r="AA58" s="434">
        <f t="shared" si="93"/>
        <v>0</v>
      </c>
      <c r="AB58" s="434">
        <f t="shared" si="93"/>
        <v>0</v>
      </c>
      <c r="AC58" s="434">
        <f t="shared" si="93"/>
        <v>0</v>
      </c>
      <c r="AD58" s="434">
        <f t="shared" si="93"/>
        <v>0</v>
      </c>
      <c r="AE58" s="434">
        <f t="shared" si="93"/>
        <v>0</v>
      </c>
      <c r="AF58" s="434">
        <f t="shared" si="93"/>
        <v>0</v>
      </c>
      <c r="AG58" s="434">
        <f t="shared" si="93"/>
        <v>0</v>
      </c>
      <c r="AH58" s="434">
        <f t="shared" si="93"/>
        <v>0</v>
      </c>
      <c r="AI58" s="434">
        <f t="shared" si="93"/>
        <v>0</v>
      </c>
      <c r="AJ58" s="434">
        <f t="shared" si="64"/>
        <v>0</v>
      </c>
      <c r="AK58" s="434">
        <f t="shared" si="65"/>
        <v>0</v>
      </c>
      <c r="AL58" s="434">
        <f t="shared" si="66"/>
        <v>0</v>
      </c>
      <c r="AM58" s="434">
        <f t="shared" si="67"/>
        <v>0</v>
      </c>
      <c r="AN58" s="434">
        <f t="shared" si="68"/>
        <v>0</v>
      </c>
      <c r="AO58" s="434">
        <f t="shared" si="69"/>
        <v>0</v>
      </c>
      <c r="AP58" s="434">
        <f t="shared" si="70"/>
        <v>0</v>
      </c>
      <c r="AQ58" s="434">
        <f t="shared" si="71"/>
        <v>0</v>
      </c>
      <c r="AR58" s="434">
        <f t="shared" si="72"/>
        <v>0</v>
      </c>
      <c r="AS58" s="434">
        <f t="shared" si="73"/>
        <v>0</v>
      </c>
      <c r="AT58" s="434">
        <f t="shared" si="74"/>
        <v>0</v>
      </c>
      <c r="AU58" s="434">
        <f t="shared" si="75"/>
        <v>0</v>
      </c>
      <c r="AV58" s="434">
        <f t="shared" si="76"/>
        <v>0</v>
      </c>
      <c r="AW58" s="434">
        <f t="shared" si="77"/>
        <v>0</v>
      </c>
      <c r="AX58" s="434">
        <f t="shared" si="78"/>
        <v>0</v>
      </c>
      <c r="AY58" s="434">
        <f t="shared" si="79"/>
        <v>0</v>
      </c>
      <c r="AZ58" s="434">
        <f t="shared" si="80"/>
        <v>0</v>
      </c>
      <c r="BA58" s="434">
        <f t="shared" si="81"/>
        <v>0</v>
      </c>
      <c r="BB58" s="434">
        <f t="shared" si="82"/>
        <v>0</v>
      </c>
      <c r="BC58" s="434">
        <f t="shared" si="83"/>
        <v>0</v>
      </c>
      <c r="BD58" s="434">
        <f t="shared" si="84"/>
        <v>0</v>
      </c>
    </row>
    <row r="59" spans="1:56" s="148" customFormat="1" ht="28.5" customHeight="1" thickBot="1" x14ac:dyDescent="0.45">
      <c r="A59" s="242" t="str">
        <f>'EEM Data Entry'!A135</f>
        <v/>
      </c>
      <c r="B59" s="475" t="str">
        <f>IF('EEM Data Entry'!B135="  ","  ", 'EEM Data Entry'!B135)</f>
        <v/>
      </c>
      <c r="C59" s="476" t="str">
        <f>'EEM Data Entry'!F135</f>
        <v/>
      </c>
      <c r="D59" s="477">
        <v>0</v>
      </c>
      <c r="E59" s="476" t="e">
        <f t="shared" si="85"/>
        <v>#VALUE!</v>
      </c>
      <c r="F59" s="462">
        <f>('Cascading Savings'!D60*'Cascading Savings'!D$4)+('Cascading Savings'!F60*'Cascading Savings'!F$4)+('Cascading Savings'!H60*'Cascading Savings'!H$4)+('Cascading Savings'!J60*'Cascading Savings'!J$4)+('Cascading Savings'!L60*'Cascading Savings'!L$4)+('Cascading Savings'!N60*'Cascading Savings'!N$4)+('Cascading Savings'!P60*'Cascading Savings'!P$4)+('Cascading Savings'!R60*'Cascading Savings'!R$4)</f>
        <v>0</v>
      </c>
      <c r="G59" s="479">
        <f>'Savings Summary'!T60</f>
        <v>0</v>
      </c>
      <c r="H59" s="480" t="e">
        <f t="shared" si="92"/>
        <v>#VALUE!</v>
      </c>
      <c r="I59" s="481" t="e">
        <f t="shared" si="86"/>
        <v>#VALUE!</v>
      </c>
      <c r="J59" s="425" t="e">
        <f t="shared" si="87"/>
        <v>#VALUE!</v>
      </c>
      <c r="K59" s="426" t="e">
        <f t="shared" si="88"/>
        <v>#VALUE!</v>
      </c>
      <c r="L59" s="398" t="str">
        <f>'Cascading Cap Cost &amp; Savings'!L53</f>
        <v/>
      </c>
      <c r="M59" s="225">
        <f>'Cascading Savings'!D60</f>
        <v>0</v>
      </c>
      <c r="N59" s="225">
        <f>'Cascading Savings'!H60+'Cascading Savings'!F60+'Cascading Savings'!J60</f>
        <v>0</v>
      </c>
      <c r="P59" s="434" t="e">
        <f t="shared" si="89"/>
        <v>#VALUE!</v>
      </c>
      <c r="Q59" s="434">
        <f t="shared" si="90"/>
        <v>0</v>
      </c>
      <c r="R59" s="434">
        <f t="shared" si="91"/>
        <v>0</v>
      </c>
      <c r="S59" s="434">
        <f t="shared" si="93"/>
        <v>0</v>
      </c>
      <c r="T59" s="434">
        <f t="shared" si="93"/>
        <v>0</v>
      </c>
      <c r="U59" s="434">
        <f t="shared" si="93"/>
        <v>0</v>
      </c>
      <c r="V59" s="434">
        <f t="shared" si="93"/>
        <v>0</v>
      </c>
      <c r="W59" s="434">
        <f t="shared" si="93"/>
        <v>0</v>
      </c>
      <c r="X59" s="434">
        <f t="shared" si="93"/>
        <v>0</v>
      </c>
      <c r="Y59" s="434">
        <f t="shared" si="93"/>
        <v>0</v>
      </c>
      <c r="Z59" s="434">
        <f t="shared" si="93"/>
        <v>0</v>
      </c>
      <c r="AA59" s="434">
        <f t="shared" si="93"/>
        <v>0</v>
      </c>
      <c r="AB59" s="434">
        <f t="shared" si="93"/>
        <v>0</v>
      </c>
      <c r="AC59" s="434">
        <f t="shared" si="93"/>
        <v>0</v>
      </c>
      <c r="AD59" s="434">
        <f t="shared" si="93"/>
        <v>0</v>
      </c>
      <c r="AE59" s="434">
        <f t="shared" si="93"/>
        <v>0</v>
      </c>
      <c r="AF59" s="434">
        <f t="shared" si="93"/>
        <v>0</v>
      </c>
      <c r="AG59" s="434">
        <f t="shared" si="93"/>
        <v>0</v>
      </c>
      <c r="AH59" s="434">
        <f t="shared" si="93"/>
        <v>0</v>
      </c>
      <c r="AI59" s="434">
        <f t="shared" si="93"/>
        <v>0</v>
      </c>
      <c r="AJ59" s="434">
        <f t="shared" si="64"/>
        <v>0</v>
      </c>
      <c r="AK59" s="434">
        <f t="shared" si="65"/>
        <v>0</v>
      </c>
      <c r="AL59" s="434">
        <f t="shared" si="66"/>
        <v>0</v>
      </c>
      <c r="AM59" s="434">
        <f t="shared" si="67"/>
        <v>0</v>
      </c>
      <c r="AN59" s="434">
        <f t="shared" si="68"/>
        <v>0</v>
      </c>
      <c r="AO59" s="434">
        <f t="shared" si="69"/>
        <v>0</v>
      </c>
      <c r="AP59" s="434">
        <f t="shared" si="70"/>
        <v>0</v>
      </c>
      <c r="AQ59" s="434">
        <f t="shared" si="71"/>
        <v>0</v>
      </c>
      <c r="AR59" s="434">
        <f t="shared" si="72"/>
        <v>0</v>
      </c>
      <c r="AS59" s="434">
        <f t="shared" si="73"/>
        <v>0</v>
      </c>
      <c r="AT59" s="434">
        <f t="shared" si="74"/>
        <v>0</v>
      </c>
      <c r="AU59" s="434">
        <f t="shared" si="75"/>
        <v>0</v>
      </c>
      <c r="AV59" s="434">
        <f t="shared" si="76"/>
        <v>0</v>
      </c>
      <c r="AW59" s="434">
        <f t="shared" si="77"/>
        <v>0</v>
      </c>
      <c r="AX59" s="434">
        <f t="shared" si="78"/>
        <v>0</v>
      </c>
      <c r="AY59" s="434">
        <f t="shared" si="79"/>
        <v>0</v>
      </c>
      <c r="AZ59" s="434">
        <f t="shared" si="80"/>
        <v>0</v>
      </c>
      <c r="BA59" s="434">
        <f t="shared" si="81"/>
        <v>0</v>
      </c>
      <c r="BB59" s="434">
        <f t="shared" si="82"/>
        <v>0</v>
      </c>
      <c r="BC59" s="434">
        <f t="shared" si="83"/>
        <v>0</v>
      </c>
      <c r="BD59" s="434">
        <f t="shared" si="84"/>
        <v>0</v>
      </c>
    </row>
    <row r="60" spans="1:56" s="148" customFormat="1" ht="26.25" customHeight="1" thickBot="1" x14ac:dyDescent="0.45">
      <c r="A60" s="242" t="str">
        <f>'EEM Data Entry'!A136</f>
        <v/>
      </c>
      <c r="B60" s="475" t="str">
        <f>IF('EEM Data Entry'!B136="  ","  ", 'EEM Data Entry'!B136)</f>
        <v/>
      </c>
      <c r="C60" s="476" t="str">
        <f>'EEM Data Entry'!F136</f>
        <v/>
      </c>
      <c r="D60" s="477">
        <v>0</v>
      </c>
      <c r="E60" s="476" t="e">
        <f t="shared" si="85"/>
        <v>#VALUE!</v>
      </c>
      <c r="F60" s="462">
        <f>('Cascading Savings'!D61*'Cascading Savings'!D$4)+('Cascading Savings'!F61*'Cascading Savings'!F$4)+('Cascading Savings'!H61*'Cascading Savings'!H$4)+('Cascading Savings'!J61*'Cascading Savings'!J$4)+('Cascading Savings'!L61*'Cascading Savings'!L$4)+('Cascading Savings'!N61*'Cascading Savings'!N$4)+('Cascading Savings'!P61*'Cascading Savings'!P$4)+('Cascading Savings'!R61*'Cascading Savings'!R$4)</f>
        <v>0</v>
      </c>
      <c r="G60" s="479">
        <f>'Savings Summary'!T61</f>
        <v>0</v>
      </c>
      <c r="H60" s="480" t="e">
        <f t="shared" si="92"/>
        <v>#VALUE!</v>
      </c>
      <c r="I60" s="481" t="e">
        <f t="shared" si="86"/>
        <v>#VALUE!</v>
      </c>
      <c r="J60" s="425" t="e">
        <f>IRR(P60:AT60,0.1)</f>
        <v>#VALUE!</v>
      </c>
      <c r="K60" s="426" t="e">
        <f t="shared" si="88"/>
        <v>#VALUE!</v>
      </c>
      <c r="L60" s="509" t="str">
        <f>'Cascading Cap Cost &amp; Savings'!L54</f>
        <v/>
      </c>
      <c r="M60" s="225">
        <f>'Cascading Savings'!D61</f>
        <v>0</v>
      </c>
      <c r="N60" s="225">
        <f>'Cascading Savings'!H61+'Cascading Savings'!F61+'Cascading Savings'!J61</f>
        <v>0</v>
      </c>
      <c r="P60" s="434" t="e">
        <f t="shared" si="89"/>
        <v>#VALUE!</v>
      </c>
      <c r="Q60" s="434">
        <f t="shared" si="90"/>
        <v>0</v>
      </c>
      <c r="R60" s="434">
        <f t="shared" si="91"/>
        <v>0</v>
      </c>
      <c r="S60" s="434">
        <f t="shared" si="93"/>
        <v>0</v>
      </c>
      <c r="T60" s="434">
        <f t="shared" si="93"/>
        <v>0</v>
      </c>
      <c r="U60" s="434">
        <f t="shared" si="93"/>
        <v>0</v>
      </c>
      <c r="V60" s="434">
        <f t="shared" si="93"/>
        <v>0</v>
      </c>
      <c r="W60" s="434">
        <f t="shared" si="93"/>
        <v>0</v>
      </c>
      <c r="X60" s="434">
        <f t="shared" si="93"/>
        <v>0</v>
      </c>
      <c r="Y60" s="434">
        <f t="shared" si="93"/>
        <v>0</v>
      </c>
      <c r="Z60" s="434">
        <f t="shared" si="93"/>
        <v>0</v>
      </c>
      <c r="AA60" s="434">
        <f t="shared" si="93"/>
        <v>0</v>
      </c>
      <c r="AB60" s="434">
        <f t="shared" si="93"/>
        <v>0</v>
      </c>
      <c r="AC60" s="434">
        <f t="shared" si="93"/>
        <v>0</v>
      </c>
      <c r="AD60" s="434">
        <f t="shared" si="93"/>
        <v>0</v>
      </c>
      <c r="AE60" s="434">
        <f t="shared" si="93"/>
        <v>0</v>
      </c>
      <c r="AF60" s="434">
        <f t="shared" si="93"/>
        <v>0</v>
      </c>
      <c r="AG60" s="434">
        <f t="shared" si="93"/>
        <v>0</v>
      </c>
      <c r="AH60" s="434">
        <f t="shared" si="93"/>
        <v>0</v>
      </c>
      <c r="AI60" s="434">
        <f t="shared" si="93"/>
        <v>0</v>
      </c>
      <c r="AJ60" s="434">
        <f t="shared" si="64"/>
        <v>0</v>
      </c>
      <c r="AK60" s="434">
        <f t="shared" si="65"/>
        <v>0</v>
      </c>
      <c r="AL60" s="434">
        <f t="shared" si="66"/>
        <v>0</v>
      </c>
      <c r="AM60" s="434">
        <f t="shared" si="67"/>
        <v>0</v>
      </c>
      <c r="AN60" s="434">
        <f t="shared" si="68"/>
        <v>0</v>
      </c>
      <c r="AO60" s="434">
        <f t="shared" si="69"/>
        <v>0</v>
      </c>
      <c r="AP60" s="434">
        <f t="shared" si="70"/>
        <v>0</v>
      </c>
      <c r="AQ60" s="434">
        <f t="shared" si="71"/>
        <v>0</v>
      </c>
      <c r="AR60" s="434">
        <f t="shared" si="72"/>
        <v>0</v>
      </c>
      <c r="AS60" s="434">
        <f t="shared" si="73"/>
        <v>0</v>
      </c>
      <c r="AT60" s="434">
        <f t="shared" si="74"/>
        <v>0</v>
      </c>
      <c r="AU60" s="434">
        <f t="shared" si="75"/>
        <v>0</v>
      </c>
      <c r="AV60" s="434">
        <f t="shared" si="76"/>
        <v>0</v>
      </c>
      <c r="AW60" s="434">
        <f t="shared" si="77"/>
        <v>0</v>
      </c>
      <c r="AX60" s="434">
        <f t="shared" si="78"/>
        <v>0</v>
      </c>
      <c r="AY60" s="434">
        <f t="shared" si="79"/>
        <v>0</v>
      </c>
      <c r="AZ60" s="434">
        <f t="shared" si="80"/>
        <v>0</v>
      </c>
      <c r="BA60" s="434">
        <f t="shared" si="81"/>
        <v>0</v>
      </c>
      <c r="BB60" s="434">
        <f t="shared" si="82"/>
        <v>0</v>
      </c>
      <c r="BC60" s="434">
        <f t="shared" si="83"/>
        <v>0</v>
      </c>
      <c r="BD60" s="434">
        <f t="shared" si="84"/>
        <v>0</v>
      </c>
    </row>
    <row r="61" spans="1:56" s="148" customFormat="1" ht="26.25" customHeight="1" thickBot="1" x14ac:dyDescent="0.45">
      <c r="A61" s="242" t="str">
        <f>'EEM Data Entry'!A137</f>
        <v/>
      </c>
      <c r="B61" s="475" t="str">
        <f>IF('EEM Data Entry'!B137="  ","  ", 'EEM Data Entry'!B137)</f>
        <v/>
      </c>
      <c r="C61" s="476" t="str">
        <f>'EEM Data Entry'!F137</f>
        <v/>
      </c>
      <c r="D61" s="477">
        <v>0</v>
      </c>
      <c r="E61" s="476" t="e">
        <f t="shared" si="85"/>
        <v>#VALUE!</v>
      </c>
      <c r="F61" s="462">
        <f>('Cascading Savings'!D62*'Cascading Savings'!D$4)+('Cascading Savings'!F62*'Cascading Savings'!F$4)+('Cascading Savings'!H62*'Cascading Savings'!H$4)+('Cascading Savings'!J62*'Cascading Savings'!J$4)+('Cascading Savings'!L62*'Cascading Savings'!L$4)+('Cascading Savings'!N62*'Cascading Savings'!N$4)+('Cascading Savings'!P62*'Cascading Savings'!P$4)+('Cascading Savings'!R62*'Cascading Savings'!R$4)</f>
        <v>0</v>
      </c>
      <c r="G61" s="479">
        <f>'Savings Summary'!T62</f>
        <v>0</v>
      </c>
      <c r="H61" s="480" t="e">
        <f t="shared" si="92"/>
        <v>#VALUE!</v>
      </c>
      <c r="I61" s="481" t="e">
        <f t="shared" si="86"/>
        <v>#VALUE!</v>
      </c>
      <c r="J61" s="425" t="e">
        <f>IRR(P61:AT61,0.1)</f>
        <v>#VALUE!</v>
      </c>
      <c r="K61" s="426" t="e">
        <f t="shared" si="88"/>
        <v>#VALUE!</v>
      </c>
      <c r="L61" s="398" t="str">
        <f>'Cascading Cap Cost &amp; Savings'!L55</f>
        <v/>
      </c>
      <c r="M61" s="225">
        <f>'Cascading Savings'!D62</f>
        <v>0</v>
      </c>
      <c r="N61" s="225">
        <f>'Cascading Savings'!H62+'Cascading Savings'!F62+'Cascading Savings'!J62</f>
        <v>0</v>
      </c>
      <c r="P61" s="434" t="e">
        <f>-E61</f>
        <v>#VALUE!</v>
      </c>
      <c r="Q61" s="434">
        <f t="shared" si="90"/>
        <v>0</v>
      </c>
      <c r="R61" s="434">
        <f t="shared" si="91"/>
        <v>0</v>
      </c>
      <c r="S61" s="434">
        <f t="shared" si="93"/>
        <v>0</v>
      </c>
      <c r="T61" s="434">
        <f t="shared" si="93"/>
        <v>0</v>
      </c>
      <c r="U61" s="434">
        <f t="shared" si="93"/>
        <v>0</v>
      </c>
      <c r="V61" s="434">
        <f t="shared" si="93"/>
        <v>0</v>
      </c>
      <c r="W61" s="434">
        <f t="shared" si="93"/>
        <v>0</v>
      </c>
      <c r="X61" s="434">
        <f t="shared" si="93"/>
        <v>0</v>
      </c>
      <c r="Y61" s="434">
        <f t="shared" si="93"/>
        <v>0</v>
      </c>
      <c r="Z61" s="434">
        <f t="shared" si="93"/>
        <v>0</v>
      </c>
      <c r="AA61" s="434">
        <f t="shared" si="93"/>
        <v>0</v>
      </c>
      <c r="AB61" s="434">
        <f t="shared" si="93"/>
        <v>0</v>
      </c>
      <c r="AC61" s="434">
        <f t="shared" si="93"/>
        <v>0</v>
      </c>
      <c r="AD61" s="434">
        <f t="shared" si="93"/>
        <v>0</v>
      </c>
      <c r="AE61" s="434">
        <f t="shared" si="93"/>
        <v>0</v>
      </c>
      <c r="AF61" s="434">
        <f t="shared" si="93"/>
        <v>0</v>
      </c>
      <c r="AG61" s="434">
        <f t="shared" si="93"/>
        <v>0</v>
      </c>
      <c r="AH61" s="434">
        <f t="shared" si="93"/>
        <v>0</v>
      </c>
      <c r="AI61" s="434">
        <f t="shared" si="93"/>
        <v>0</v>
      </c>
      <c r="AJ61" s="434">
        <f t="shared" si="64"/>
        <v>0</v>
      </c>
      <c r="AK61" s="434">
        <f t="shared" si="65"/>
        <v>0</v>
      </c>
      <c r="AL61" s="434">
        <f t="shared" si="66"/>
        <v>0</v>
      </c>
      <c r="AM61" s="434">
        <f t="shared" si="67"/>
        <v>0</v>
      </c>
      <c r="AN61" s="434">
        <f t="shared" si="68"/>
        <v>0</v>
      </c>
      <c r="AO61" s="434">
        <f t="shared" si="69"/>
        <v>0</v>
      </c>
      <c r="AP61" s="434">
        <f t="shared" si="70"/>
        <v>0</v>
      </c>
      <c r="AQ61" s="434">
        <f t="shared" si="71"/>
        <v>0</v>
      </c>
      <c r="AR61" s="434">
        <f t="shared" si="72"/>
        <v>0</v>
      </c>
      <c r="AS61" s="434">
        <f t="shared" si="73"/>
        <v>0</v>
      </c>
      <c r="AT61" s="434">
        <f t="shared" si="74"/>
        <v>0</v>
      </c>
      <c r="AU61" s="434">
        <f t="shared" si="75"/>
        <v>0</v>
      </c>
      <c r="AV61" s="434">
        <f t="shared" si="76"/>
        <v>0</v>
      </c>
      <c r="AW61" s="434">
        <f t="shared" si="77"/>
        <v>0</v>
      </c>
      <c r="AX61" s="434">
        <f t="shared" si="78"/>
        <v>0</v>
      </c>
      <c r="AY61" s="434">
        <f t="shared" si="79"/>
        <v>0</v>
      </c>
      <c r="AZ61" s="434">
        <f t="shared" si="80"/>
        <v>0</v>
      </c>
      <c r="BA61" s="434">
        <f t="shared" si="81"/>
        <v>0</v>
      </c>
      <c r="BB61" s="434">
        <f t="shared" si="82"/>
        <v>0</v>
      </c>
      <c r="BC61" s="434">
        <f t="shared" si="83"/>
        <v>0</v>
      </c>
      <c r="BD61" s="434">
        <f t="shared" si="84"/>
        <v>0</v>
      </c>
    </row>
    <row r="62" spans="1:56" s="148" customFormat="1" ht="18.5" thickBot="1" x14ac:dyDescent="0.45">
      <c r="A62" s="242" t="str">
        <f>'EEM Data Entry'!A138</f>
        <v/>
      </c>
      <c r="B62" s="475" t="str">
        <f>IF('EEM Data Entry'!B138="  ","  ", 'EEM Data Entry'!B138)</f>
        <v/>
      </c>
      <c r="C62" s="476" t="str">
        <f>'EEM Data Entry'!F138</f>
        <v/>
      </c>
      <c r="D62" s="477">
        <v>0</v>
      </c>
      <c r="E62" s="476" t="e">
        <f t="shared" si="85"/>
        <v>#VALUE!</v>
      </c>
      <c r="F62" s="462">
        <f>('Cascading Savings'!D63*'Cascading Savings'!D$4)+('Cascading Savings'!F63*'Cascading Savings'!F$4)+('Cascading Savings'!H63*'Cascading Savings'!H$4)+('Cascading Savings'!J63*'Cascading Savings'!J$4)+('Cascading Savings'!L63*'Cascading Savings'!L$4)+('Cascading Savings'!N63*'Cascading Savings'!N$4)+('Cascading Savings'!P63*'Cascading Savings'!P$4)+('Cascading Savings'!R63*'Cascading Savings'!R$4)</f>
        <v>0</v>
      </c>
      <c r="G62" s="479">
        <f>'Savings Summary'!T63</f>
        <v>0</v>
      </c>
      <c r="H62" s="480" t="e">
        <f t="shared" si="92"/>
        <v>#VALUE!</v>
      </c>
      <c r="I62" s="481" t="e">
        <f t="shared" si="86"/>
        <v>#VALUE!</v>
      </c>
      <c r="J62" s="425" t="e">
        <f t="shared" si="87"/>
        <v>#VALUE!</v>
      </c>
      <c r="K62" s="426" t="e">
        <f t="shared" si="88"/>
        <v>#VALUE!</v>
      </c>
      <c r="L62" s="509" t="str">
        <f>'Cascading Cap Cost &amp; Savings'!L56</f>
        <v/>
      </c>
      <c r="M62" s="225">
        <f>'Cascading Savings'!D63</f>
        <v>0</v>
      </c>
      <c r="N62" s="225">
        <f>'Cascading Savings'!H63+'Cascading Savings'!F63+'Cascading Savings'!J63</f>
        <v>0</v>
      </c>
      <c r="P62" s="434" t="e">
        <f t="shared" si="89"/>
        <v>#VALUE!</v>
      </c>
      <c r="Q62" s="434">
        <f t="shared" si="90"/>
        <v>0</v>
      </c>
      <c r="R62" s="434">
        <f t="shared" si="91"/>
        <v>0</v>
      </c>
      <c r="S62" s="434">
        <f t="shared" si="93"/>
        <v>0</v>
      </c>
      <c r="T62" s="434">
        <f t="shared" si="93"/>
        <v>0</v>
      </c>
      <c r="U62" s="434">
        <f t="shared" si="93"/>
        <v>0</v>
      </c>
      <c r="V62" s="434">
        <f t="shared" si="93"/>
        <v>0</v>
      </c>
      <c r="W62" s="434">
        <f t="shared" si="93"/>
        <v>0</v>
      </c>
      <c r="X62" s="434">
        <f t="shared" si="93"/>
        <v>0</v>
      </c>
      <c r="Y62" s="434">
        <f t="shared" si="93"/>
        <v>0</v>
      </c>
      <c r="Z62" s="434">
        <f t="shared" si="93"/>
        <v>0</v>
      </c>
      <c r="AA62" s="434">
        <f t="shared" si="93"/>
        <v>0</v>
      </c>
      <c r="AB62" s="434">
        <f t="shared" si="93"/>
        <v>0</v>
      </c>
      <c r="AC62" s="434">
        <f t="shared" si="93"/>
        <v>0</v>
      </c>
      <c r="AD62" s="434">
        <f t="shared" si="93"/>
        <v>0</v>
      </c>
      <c r="AE62" s="434">
        <f t="shared" si="93"/>
        <v>0</v>
      </c>
      <c r="AF62" s="434">
        <f t="shared" si="93"/>
        <v>0</v>
      </c>
      <c r="AG62" s="434">
        <f t="shared" si="93"/>
        <v>0</v>
      </c>
      <c r="AH62" s="434">
        <f t="shared" si="93"/>
        <v>0</v>
      </c>
      <c r="AI62" s="434">
        <f t="shared" si="93"/>
        <v>0</v>
      </c>
      <c r="AJ62" s="434">
        <f t="shared" si="64"/>
        <v>0</v>
      </c>
      <c r="AK62" s="434">
        <f t="shared" si="65"/>
        <v>0</v>
      </c>
      <c r="AL62" s="434">
        <f t="shared" si="66"/>
        <v>0</v>
      </c>
      <c r="AM62" s="434">
        <f t="shared" si="67"/>
        <v>0</v>
      </c>
      <c r="AN62" s="434">
        <f t="shared" si="68"/>
        <v>0</v>
      </c>
      <c r="AO62" s="434">
        <f t="shared" si="69"/>
        <v>0</v>
      </c>
      <c r="AP62" s="434">
        <f t="shared" si="70"/>
        <v>0</v>
      </c>
      <c r="AQ62" s="434">
        <f t="shared" si="71"/>
        <v>0</v>
      </c>
      <c r="AR62" s="434">
        <f t="shared" si="72"/>
        <v>0</v>
      </c>
      <c r="AS62" s="434">
        <f t="shared" si="73"/>
        <v>0</v>
      </c>
      <c r="AT62" s="434">
        <f t="shared" si="74"/>
        <v>0</v>
      </c>
      <c r="AU62" s="434">
        <f t="shared" si="75"/>
        <v>0</v>
      </c>
      <c r="AV62" s="434">
        <f t="shared" si="76"/>
        <v>0</v>
      </c>
      <c r="AW62" s="434">
        <f t="shared" si="77"/>
        <v>0</v>
      </c>
      <c r="AX62" s="434">
        <f t="shared" si="78"/>
        <v>0</v>
      </c>
      <c r="AY62" s="434">
        <f t="shared" si="79"/>
        <v>0</v>
      </c>
      <c r="AZ62" s="434">
        <f t="shared" si="80"/>
        <v>0</v>
      </c>
      <c r="BA62" s="434">
        <f t="shared" si="81"/>
        <v>0</v>
      </c>
      <c r="BB62" s="434">
        <f t="shared" si="82"/>
        <v>0</v>
      </c>
      <c r="BC62" s="434">
        <f t="shared" si="83"/>
        <v>0</v>
      </c>
      <c r="BD62" s="434">
        <f t="shared" si="84"/>
        <v>0</v>
      </c>
    </row>
    <row r="63" spans="1:56" s="148" customFormat="1" ht="25.5" customHeight="1" thickBot="1" x14ac:dyDescent="0.45">
      <c r="A63" s="193" t="str">
        <f>'EEM Data Entry'!A139</f>
        <v/>
      </c>
      <c r="B63" s="475" t="str">
        <f>IF('EEM Data Entry'!B139="  ","  ", 'EEM Data Entry'!B139)</f>
        <v/>
      </c>
      <c r="C63" s="476" t="str">
        <f>'EEM Data Entry'!F139</f>
        <v/>
      </c>
      <c r="D63" s="477">
        <v>0</v>
      </c>
      <c r="E63" s="476" t="e">
        <f t="shared" si="85"/>
        <v>#VALUE!</v>
      </c>
      <c r="F63" s="462">
        <f>('Cascading Savings'!D64*'Cascading Savings'!D$4)+('Cascading Savings'!F64*'Cascading Savings'!F$4)+('Cascading Savings'!H64*'Cascading Savings'!H$4)+('Cascading Savings'!J64*'Cascading Savings'!J$4)+('Cascading Savings'!L64*'Cascading Savings'!L$4)+('Cascading Savings'!N64*'Cascading Savings'!N$4)+('Cascading Savings'!P64*'Cascading Savings'!P$4)+('Cascading Savings'!R64*'Cascading Savings'!R$4)</f>
        <v>0</v>
      </c>
      <c r="G63" s="479">
        <f>'Savings Summary'!T64</f>
        <v>0</v>
      </c>
      <c r="H63" s="480" t="e">
        <f t="shared" si="92"/>
        <v>#VALUE!</v>
      </c>
      <c r="I63" s="481" t="e">
        <f t="shared" si="86"/>
        <v>#VALUE!</v>
      </c>
      <c r="J63" s="425" t="e">
        <f>IRR(P63:AT63,0.1)</f>
        <v>#VALUE!</v>
      </c>
      <c r="K63" s="426" t="e">
        <f>NPV(0.05,P63:AT63)</f>
        <v>#VALUE!</v>
      </c>
      <c r="L63" s="398" t="str">
        <f>'Cascading Cap Cost &amp; Savings'!L57</f>
        <v/>
      </c>
      <c r="M63" s="225">
        <f>'Cascading Savings'!D64</f>
        <v>0</v>
      </c>
      <c r="N63" s="225">
        <f>'Cascading Savings'!H64+'Cascading Savings'!F64+'Cascading Savings'!J64</f>
        <v>0</v>
      </c>
      <c r="P63" s="434" t="e">
        <f>-E63</f>
        <v>#VALUE!</v>
      </c>
      <c r="Q63" s="434">
        <f t="shared" si="90"/>
        <v>0</v>
      </c>
      <c r="R63" s="434">
        <f t="shared" si="91"/>
        <v>0</v>
      </c>
      <c r="S63" s="434">
        <f t="shared" si="91"/>
        <v>0</v>
      </c>
      <c r="T63" s="434">
        <f t="shared" si="91"/>
        <v>0</v>
      </c>
      <c r="U63" s="434">
        <f t="shared" si="91"/>
        <v>0</v>
      </c>
      <c r="V63" s="434">
        <f t="shared" si="91"/>
        <v>0</v>
      </c>
      <c r="W63" s="434">
        <f t="shared" si="91"/>
        <v>0</v>
      </c>
      <c r="X63" s="434">
        <f t="shared" si="91"/>
        <v>0</v>
      </c>
      <c r="Y63" s="434">
        <f t="shared" si="91"/>
        <v>0</v>
      </c>
      <c r="Z63" s="434">
        <f t="shared" si="91"/>
        <v>0</v>
      </c>
      <c r="AA63" s="434">
        <f t="shared" si="91"/>
        <v>0</v>
      </c>
      <c r="AB63" s="434">
        <f t="shared" si="91"/>
        <v>0</v>
      </c>
      <c r="AC63" s="434">
        <f t="shared" si="91"/>
        <v>0</v>
      </c>
      <c r="AD63" s="434">
        <f t="shared" si="91"/>
        <v>0</v>
      </c>
      <c r="AE63" s="434">
        <f t="shared" si="91"/>
        <v>0</v>
      </c>
      <c r="AF63" s="434">
        <f t="shared" si="91"/>
        <v>0</v>
      </c>
      <c r="AG63" s="434">
        <f t="shared" si="91"/>
        <v>0</v>
      </c>
      <c r="AH63" s="434">
        <f t="shared" si="93"/>
        <v>0</v>
      </c>
      <c r="AI63" s="434">
        <f t="shared" si="93"/>
        <v>0</v>
      </c>
      <c r="AJ63" s="434">
        <f t="shared" si="64"/>
        <v>0</v>
      </c>
      <c r="AK63" s="434">
        <f t="shared" si="65"/>
        <v>0</v>
      </c>
      <c r="AL63" s="434">
        <f t="shared" si="66"/>
        <v>0</v>
      </c>
      <c r="AM63" s="434">
        <f t="shared" si="67"/>
        <v>0</v>
      </c>
      <c r="AN63" s="434">
        <f t="shared" si="68"/>
        <v>0</v>
      </c>
      <c r="AO63" s="434">
        <f t="shared" si="69"/>
        <v>0</v>
      </c>
      <c r="AP63" s="434">
        <f t="shared" si="70"/>
        <v>0</v>
      </c>
      <c r="AQ63" s="434">
        <f t="shared" si="71"/>
        <v>0</v>
      </c>
      <c r="AR63" s="434">
        <f t="shared" si="72"/>
        <v>0</v>
      </c>
      <c r="AS63" s="434">
        <f t="shared" si="73"/>
        <v>0</v>
      </c>
      <c r="AT63" s="434">
        <f t="shared" si="74"/>
        <v>0</v>
      </c>
      <c r="AU63" s="434">
        <f t="shared" si="75"/>
        <v>0</v>
      </c>
      <c r="AV63" s="434">
        <f t="shared" si="76"/>
        <v>0</v>
      </c>
      <c r="AW63" s="434">
        <f t="shared" si="77"/>
        <v>0</v>
      </c>
      <c r="AX63" s="434">
        <f t="shared" si="78"/>
        <v>0</v>
      </c>
      <c r="AY63" s="434">
        <f t="shared" si="79"/>
        <v>0</v>
      </c>
      <c r="AZ63" s="434">
        <f t="shared" si="80"/>
        <v>0</v>
      </c>
      <c r="BA63" s="434">
        <f t="shared" si="81"/>
        <v>0</v>
      </c>
      <c r="BB63" s="434">
        <f t="shared" si="82"/>
        <v>0</v>
      </c>
      <c r="BC63" s="434">
        <f t="shared" si="83"/>
        <v>0</v>
      </c>
      <c r="BD63" s="434">
        <f t="shared" si="84"/>
        <v>0</v>
      </c>
    </row>
    <row r="64" spans="1:56" ht="25.5" customHeight="1" x14ac:dyDescent="0.4">
      <c r="A64" s="204"/>
      <c r="B64" s="482"/>
      <c r="C64" s="414"/>
      <c r="D64" s="414"/>
      <c r="E64" s="414"/>
      <c r="F64" s="483"/>
      <c r="G64" s="414"/>
      <c r="H64" s="414"/>
      <c r="I64" s="414"/>
      <c r="J64" s="417"/>
      <c r="K64" s="418"/>
      <c r="L64" s="148"/>
      <c r="M64" s="225"/>
      <c r="N64" s="225"/>
      <c r="P64" s="436"/>
      <c r="Q64" s="436"/>
      <c r="R64" s="436"/>
      <c r="S64" s="436"/>
      <c r="T64" s="436"/>
      <c r="U64" s="436"/>
      <c r="V64" s="436"/>
      <c r="W64" s="436"/>
      <c r="X64" s="436"/>
      <c r="Y64" s="436"/>
      <c r="Z64" s="436"/>
      <c r="AA64" s="436"/>
      <c r="AB64" s="436"/>
      <c r="AC64" s="436"/>
      <c r="AD64" s="436"/>
      <c r="AE64" s="436"/>
      <c r="AF64" s="436"/>
      <c r="AG64" s="436"/>
      <c r="AH64" s="436"/>
      <c r="AI64" s="436"/>
      <c r="AJ64" s="436"/>
      <c r="AK64" s="436"/>
      <c r="AL64" s="436"/>
      <c r="AM64" s="436"/>
      <c r="AN64" s="436"/>
      <c r="AO64" s="436"/>
      <c r="AP64" s="436"/>
      <c r="AQ64" s="436"/>
      <c r="AR64" s="436"/>
      <c r="AS64" s="436"/>
      <c r="AT64" s="436"/>
      <c r="AU64" s="436"/>
      <c r="AV64" s="436"/>
      <c r="AW64" s="436"/>
      <c r="AX64" s="436"/>
      <c r="AY64" s="436"/>
      <c r="AZ64" s="436"/>
      <c r="BA64" s="436"/>
      <c r="BB64" s="436"/>
      <c r="BC64" s="436"/>
      <c r="BD64" s="436"/>
    </row>
    <row r="65" spans="1:56" ht="26.5" thickBot="1" x14ac:dyDescent="0.35">
      <c r="A65" s="267" t="s">
        <v>145</v>
      </c>
      <c r="B65" s="446" t="s">
        <v>73</v>
      </c>
      <c r="C65" s="415" t="s">
        <v>122</v>
      </c>
      <c r="D65" s="415" t="s">
        <v>90</v>
      </c>
      <c r="E65" s="415" t="s">
        <v>123</v>
      </c>
      <c r="F65" s="447" t="s">
        <v>118</v>
      </c>
      <c r="G65" s="484" t="s">
        <v>125</v>
      </c>
      <c r="H65" s="484" t="s">
        <v>124</v>
      </c>
      <c r="I65" s="415" t="s">
        <v>72</v>
      </c>
      <c r="J65" s="415" t="s">
        <v>17</v>
      </c>
      <c r="K65" s="416" t="s">
        <v>22</v>
      </c>
      <c r="L65" s="376" t="s">
        <v>157</v>
      </c>
      <c r="M65" s="225"/>
      <c r="N65" s="225"/>
      <c r="P65" s="435"/>
      <c r="Q65" s="433">
        <v>1</v>
      </c>
      <c r="R65" s="433">
        <v>2</v>
      </c>
      <c r="S65" s="433">
        <v>3</v>
      </c>
      <c r="T65" s="433">
        <v>4</v>
      </c>
      <c r="U65" s="433">
        <v>5</v>
      </c>
      <c r="V65" s="433">
        <v>6</v>
      </c>
      <c r="W65" s="433">
        <v>7</v>
      </c>
      <c r="X65" s="433">
        <v>8</v>
      </c>
      <c r="Y65" s="433">
        <v>9</v>
      </c>
      <c r="Z65" s="433">
        <v>10</v>
      </c>
      <c r="AA65" s="433">
        <v>11</v>
      </c>
      <c r="AB65" s="433">
        <v>12</v>
      </c>
      <c r="AC65" s="433">
        <v>13</v>
      </c>
      <c r="AD65" s="433">
        <v>14</v>
      </c>
      <c r="AE65" s="433">
        <v>15</v>
      </c>
      <c r="AF65" s="433">
        <v>16</v>
      </c>
      <c r="AG65" s="433">
        <v>17</v>
      </c>
      <c r="AH65" s="433">
        <v>18</v>
      </c>
      <c r="AI65" s="433">
        <v>19</v>
      </c>
      <c r="AJ65" s="433">
        <v>20</v>
      </c>
      <c r="AK65" s="433">
        <v>21</v>
      </c>
      <c r="AL65" s="433">
        <v>22</v>
      </c>
      <c r="AM65" s="433">
        <v>23</v>
      </c>
      <c r="AN65" s="433">
        <v>24</v>
      </c>
      <c r="AO65" s="433">
        <v>25</v>
      </c>
      <c r="AP65" s="433">
        <v>26</v>
      </c>
      <c r="AQ65" s="433">
        <v>27</v>
      </c>
      <c r="AR65" s="433">
        <v>28</v>
      </c>
      <c r="AS65" s="433">
        <v>29</v>
      </c>
      <c r="AT65" s="433">
        <v>30</v>
      </c>
      <c r="AU65" s="433">
        <v>31</v>
      </c>
      <c r="AV65" s="433">
        <v>32</v>
      </c>
      <c r="AW65" s="433">
        <v>33</v>
      </c>
      <c r="AX65" s="433">
        <v>34</v>
      </c>
      <c r="AY65" s="433">
        <v>35</v>
      </c>
      <c r="AZ65" s="433">
        <v>36</v>
      </c>
      <c r="BA65" s="433">
        <v>37</v>
      </c>
      <c r="BB65" s="433">
        <v>38</v>
      </c>
      <c r="BC65" s="433">
        <v>39</v>
      </c>
      <c r="BD65" s="433">
        <v>40</v>
      </c>
    </row>
    <row r="66" spans="1:56" ht="18.5" thickBot="1" x14ac:dyDescent="0.45">
      <c r="A66" s="247" t="str">
        <f>'EEM Data Entry'!A141</f>
        <v/>
      </c>
      <c r="B66" s="466" t="str">
        <f>IF('Cascading Qualifying Test'!B56="  ","  ", 'EEM Data Entry'!B141)</f>
        <v/>
      </c>
      <c r="C66" s="467" t="str">
        <f>'EEM Data Entry'!F141</f>
        <v/>
      </c>
      <c r="D66" s="477">
        <v>0</v>
      </c>
      <c r="E66" s="452" t="e">
        <f t="shared" ref="E66:E79" si="94">C66-D66</f>
        <v>#VALUE!</v>
      </c>
      <c r="F66" s="485">
        <f>('Savings Summary'!D69*'Savings Summary'!D$5)+('Savings Summary'!F69*'Savings Summary'!F$5)+('Savings Summary'!H69*'Savings Summary'!H$5)+('Savings Summary'!J69*'Savings Summary'!J$5)+('Savings Summary'!L69*'Savings Summary'!L$5)+('Savings Summary'!N69*'Savings Summary'!N$5)+('Savings Summary'!P69*'Savings Summary'!P$5)+('Savings Summary'!R69*'Savings Summary'!R$5)</f>
        <v>0</v>
      </c>
      <c r="G66" s="468">
        <f>'Savings Summary'!T69</f>
        <v>0</v>
      </c>
      <c r="H66" s="453" t="e">
        <f>IF(C66=0,"n/a",E66/F66)</f>
        <v>#VALUE!</v>
      </c>
      <c r="I66" s="454" t="e">
        <f t="shared" ref="I66:I79" si="95">IF(H66=0, "n/a", IF(H66&gt;100, "no",IF(H66&lt;0, "no", "yes")))</f>
        <v>#VALUE!</v>
      </c>
      <c r="J66" s="427" t="e">
        <f>IRR(P66:AT66,0.1)</f>
        <v>#VALUE!</v>
      </c>
      <c r="K66" s="428" t="e">
        <f t="shared" ref="K66:K78" si="96">NPV(0.05,P66:AT66)</f>
        <v>#VALUE!</v>
      </c>
      <c r="L66" s="398" t="str">
        <f>'Cascading Cap Cost &amp; Savings'!L59</f>
        <v/>
      </c>
      <c r="M66" s="225">
        <f>'Cascading Savings'!D69</f>
        <v>0</v>
      </c>
      <c r="N66" s="225">
        <f>'Cascading Savings'!H65+'Cascading Savings'!F65+'Cascading Savings'!J65</f>
        <v>0</v>
      </c>
      <c r="P66" s="434" t="e">
        <f t="shared" ref="P66:P79" si="97">-E66</f>
        <v>#VALUE!</v>
      </c>
      <c r="Q66" s="434">
        <f>F66</f>
        <v>0</v>
      </c>
      <c r="R66" s="434">
        <f>Q66*1.05</f>
        <v>0</v>
      </c>
      <c r="S66" s="434">
        <f t="shared" ref="S66:AT75" si="98">R66*1.05</f>
        <v>0</v>
      </c>
      <c r="T66" s="434">
        <f t="shared" si="98"/>
        <v>0</v>
      </c>
      <c r="U66" s="434">
        <f t="shared" si="98"/>
        <v>0</v>
      </c>
      <c r="V66" s="434">
        <f t="shared" si="98"/>
        <v>0</v>
      </c>
      <c r="W66" s="434">
        <f t="shared" si="98"/>
        <v>0</v>
      </c>
      <c r="X66" s="434">
        <f t="shared" si="98"/>
        <v>0</v>
      </c>
      <c r="Y66" s="434">
        <f t="shared" si="98"/>
        <v>0</v>
      </c>
      <c r="Z66" s="434">
        <f t="shared" si="98"/>
        <v>0</v>
      </c>
      <c r="AA66" s="434">
        <f t="shared" si="98"/>
        <v>0</v>
      </c>
      <c r="AB66" s="434">
        <f t="shared" si="98"/>
        <v>0</v>
      </c>
      <c r="AC66" s="434">
        <f t="shared" si="98"/>
        <v>0</v>
      </c>
      <c r="AD66" s="434">
        <f t="shared" si="98"/>
        <v>0</v>
      </c>
      <c r="AE66" s="434">
        <f t="shared" si="98"/>
        <v>0</v>
      </c>
      <c r="AF66" s="434">
        <f t="shared" si="98"/>
        <v>0</v>
      </c>
      <c r="AG66" s="434">
        <f t="shared" si="98"/>
        <v>0</v>
      </c>
      <c r="AH66" s="434">
        <f t="shared" si="98"/>
        <v>0</v>
      </c>
      <c r="AI66" s="434">
        <f t="shared" si="98"/>
        <v>0</v>
      </c>
      <c r="AJ66" s="434">
        <f t="shared" si="98"/>
        <v>0</v>
      </c>
      <c r="AK66" s="434">
        <f t="shared" si="98"/>
        <v>0</v>
      </c>
      <c r="AL66" s="434">
        <f t="shared" si="98"/>
        <v>0</v>
      </c>
      <c r="AM66" s="434">
        <f t="shared" si="98"/>
        <v>0</v>
      </c>
      <c r="AN66" s="434">
        <f t="shared" si="98"/>
        <v>0</v>
      </c>
      <c r="AO66" s="434">
        <f t="shared" si="98"/>
        <v>0</v>
      </c>
      <c r="AP66" s="434">
        <f t="shared" si="98"/>
        <v>0</v>
      </c>
      <c r="AQ66" s="434">
        <f t="shared" si="98"/>
        <v>0</v>
      </c>
      <c r="AR66" s="434">
        <f t="shared" si="98"/>
        <v>0</v>
      </c>
      <c r="AS66" s="434">
        <f t="shared" si="98"/>
        <v>0</v>
      </c>
      <c r="AT66" s="434">
        <f t="shared" si="98"/>
        <v>0</v>
      </c>
      <c r="AU66" s="434">
        <f t="shared" ref="AU66:BD79" si="99">AT66*1.05</f>
        <v>0</v>
      </c>
      <c r="AV66" s="434">
        <f t="shared" si="99"/>
        <v>0</v>
      </c>
      <c r="AW66" s="434">
        <f t="shared" si="99"/>
        <v>0</v>
      </c>
      <c r="AX66" s="434">
        <f t="shared" si="99"/>
        <v>0</v>
      </c>
      <c r="AY66" s="434">
        <f t="shared" si="99"/>
        <v>0</v>
      </c>
      <c r="AZ66" s="434">
        <f t="shared" si="99"/>
        <v>0</v>
      </c>
      <c r="BA66" s="434">
        <f t="shared" si="99"/>
        <v>0</v>
      </c>
      <c r="BB66" s="434">
        <f t="shared" si="99"/>
        <v>0</v>
      </c>
      <c r="BC66" s="434">
        <f t="shared" si="99"/>
        <v>0</v>
      </c>
      <c r="BD66" s="434">
        <f t="shared" si="99"/>
        <v>0</v>
      </c>
    </row>
    <row r="67" spans="1:56" ht="18.5" thickBot="1" x14ac:dyDescent="0.45">
      <c r="A67" s="193" t="str">
        <f>'EEM Data Entry'!A142</f>
        <v/>
      </c>
      <c r="B67" s="475" t="str">
        <f>IF('Cascading Qualifying Test'!B57="  ","  ", 'EEM Data Entry'!B142)</f>
        <v/>
      </c>
      <c r="C67" s="477" t="str">
        <f>'EEM Data Entry'!F142</f>
        <v/>
      </c>
      <c r="D67" s="477">
        <v>0</v>
      </c>
      <c r="E67" s="476" t="e">
        <f t="shared" si="94"/>
        <v>#VALUE!</v>
      </c>
      <c r="F67" s="478">
        <f>('Savings Summary'!D70*'Savings Summary'!D$5)+('Savings Summary'!F70*'Savings Summary'!F$5)+('Savings Summary'!H70*'Savings Summary'!H$5)+('Savings Summary'!J70*'Savings Summary'!J$5)+('Savings Summary'!L70*'Savings Summary'!L$5)+('Savings Summary'!N70*'Savings Summary'!N$5)+('Savings Summary'!P70*'Savings Summary'!P$5)+('Savings Summary'!R70*'Savings Summary'!R$5)</f>
        <v>0</v>
      </c>
      <c r="G67" s="486">
        <f>'Savings Summary'!T70</f>
        <v>0</v>
      </c>
      <c r="H67" s="480" t="e">
        <f>IF(C67=0,"n/a",E67/F67)</f>
        <v>#VALUE!</v>
      </c>
      <c r="I67" s="481" t="e">
        <f t="shared" si="95"/>
        <v>#VALUE!</v>
      </c>
      <c r="J67" s="427" t="e">
        <f>IRR(P67:AT67,0.1)</f>
        <v>#VALUE!</v>
      </c>
      <c r="K67" s="428" t="e">
        <f t="shared" si="96"/>
        <v>#VALUE!</v>
      </c>
      <c r="L67" s="509" t="str">
        <f>'Cascading Cap Cost &amp; Savings'!L60</f>
        <v/>
      </c>
      <c r="M67" s="225">
        <f>'Cascading Savings'!D70</f>
        <v>0</v>
      </c>
      <c r="N67" s="225">
        <f>'Cascading Savings'!H66+'Cascading Savings'!F66+'Cascading Savings'!J66</f>
        <v>0</v>
      </c>
      <c r="P67" s="434" t="e">
        <f t="shared" si="97"/>
        <v>#VALUE!</v>
      </c>
      <c r="Q67" s="434">
        <f t="shared" ref="Q67:Q79" si="100">F67</f>
        <v>0</v>
      </c>
      <c r="R67" s="434">
        <f t="shared" ref="R67:AG79" si="101">Q67*1.05</f>
        <v>0</v>
      </c>
      <c r="S67" s="434">
        <f t="shared" si="101"/>
        <v>0</v>
      </c>
      <c r="T67" s="434">
        <f t="shared" si="101"/>
        <v>0</v>
      </c>
      <c r="U67" s="434">
        <f t="shared" si="101"/>
        <v>0</v>
      </c>
      <c r="V67" s="434">
        <f t="shared" si="101"/>
        <v>0</v>
      </c>
      <c r="W67" s="434">
        <f t="shared" si="101"/>
        <v>0</v>
      </c>
      <c r="X67" s="434">
        <f t="shared" si="101"/>
        <v>0</v>
      </c>
      <c r="Y67" s="434">
        <f t="shared" si="101"/>
        <v>0</v>
      </c>
      <c r="Z67" s="434">
        <f t="shared" si="101"/>
        <v>0</v>
      </c>
      <c r="AA67" s="434">
        <f t="shared" si="101"/>
        <v>0</v>
      </c>
      <c r="AB67" s="434">
        <f t="shared" si="101"/>
        <v>0</v>
      </c>
      <c r="AC67" s="434">
        <f t="shared" si="101"/>
        <v>0</v>
      </c>
      <c r="AD67" s="434">
        <f t="shared" si="101"/>
        <v>0</v>
      </c>
      <c r="AE67" s="434">
        <f t="shared" si="101"/>
        <v>0</v>
      </c>
      <c r="AF67" s="434">
        <f t="shared" si="101"/>
        <v>0</v>
      </c>
      <c r="AG67" s="434">
        <f t="shared" si="101"/>
        <v>0</v>
      </c>
      <c r="AH67" s="434">
        <f t="shared" si="98"/>
        <v>0</v>
      </c>
      <c r="AI67" s="434">
        <f t="shared" si="98"/>
        <v>0</v>
      </c>
      <c r="AJ67" s="434">
        <f t="shared" si="98"/>
        <v>0</v>
      </c>
      <c r="AK67" s="434">
        <f t="shared" si="98"/>
        <v>0</v>
      </c>
      <c r="AL67" s="434">
        <f t="shared" si="98"/>
        <v>0</v>
      </c>
      <c r="AM67" s="434">
        <f t="shared" si="98"/>
        <v>0</v>
      </c>
      <c r="AN67" s="434">
        <f t="shared" si="98"/>
        <v>0</v>
      </c>
      <c r="AO67" s="434">
        <f t="shared" si="98"/>
        <v>0</v>
      </c>
      <c r="AP67" s="434">
        <f t="shared" si="98"/>
        <v>0</v>
      </c>
      <c r="AQ67" s="434">
        <f t="shared" si="98"/>
        <v>0</v>
      </c>
      <c r="AR67" s="434">
        <f t="shared" si="98"/>
        <v>0</v>
      </c>
      <c r="AS67" s="434">
        <f t="shared" si="98"/>
        <v>0</v>
      </c>
      <c r="AT67" s="434">
        <f t="shared" si="98"/>
        <v>0</v>
      </c>
      <c r="AU67" s="434">
        <f t="shared" si="99"/>
        <v>0</v>
      </c>
      <c r="AV67" s="434">
        <f t="shared" si="99"/>
        <v>0</v>
      </c>
      <c r="AW67" s="434">
        <f t="shared" si="99"/>
        <v>0</v>
      </c>
      <c r="AX67" s="434">
        <f t="shared" si="99"/>
        <v>0</v>
      </c>
      <c r="AY67" s="434">
        <f t="shared" si="99"/>
        <v>0</v>
      </c>
      <c r="AZ67" s="434">
        <f t="shared" si="99"/>
        <v>0</v>
      </c>
      <c r="BA67" s="434">
        <f t="shared" si="99"/>
        <v>0</v>
      </c>
      <c r="BB67" s="434">
        <f t="shared" si="99"/>
        <v>0</v>
      </c>
      <c r="BC67" s="434">
        <f t="shared" si="99"/>
        <v>0</v>
      </c>
      <c r="BD67" s="434">
        <f t="shared" si="99"/>
        <v>0</v>
      </c>
    </row>
    <row r="68" spans="1:56" ht="18.5" thickBot="1" x14ac:dyDescent="0.45">
      <c r="A68" s="193" t="str">
        <f>'EEM Data Entry'!A143</f>
        <v/>
      </c>
      <c r="B68" s="475" t="str">
        <f>IF('Cascading Qualifying Test'!B58="  ","  ", 'EEM Data Entry'!B143)</f>
        <v/>
      </c>
      <c r="C68" s="477" t="str">
        <f>'EEM Data Entry'!F143</f>
        <v/>
      </c>
      <c r="D68" s="477">
        <v>0</v>
      </c>
      <c r="E68" s="476" t="e">
        <f t="shared" si="94"/>
        <v>#VALUE!</v>
      </c>
      <c r="F68" s="478">
        <f>('Savings Summary'!D71*'Savings Summary'!D$5)+('Savings Summary'!F71*'Savings Summary'!F$5)+('Savings Summary'!H71*'Savings Summary'!H$5)+('Savings Summary'!J71*'Savings Summary'!J$5)+('Savings Summary'!L71*'Savings Summary'!L$5)+('Savings Summary'!N71*'Savings Summary'!N$5)+('Savings Summary'!P71*'Savings Summary'!P$5)+('Savings Summary'!R71*'Savings Summary'!R$5)</f>
        <v>0</v>
      </c>
      <c r="G68" s="486">
        <f>'Savings Summary'!T71</f>
        <v>0</v>
      </c>
      <c r="H68" s="480" t="e">
        <f>IF(C68=0,"n/a",E68/F68)</f>
        <v>#VALUE!</v>
      </c>
      <c r="I68" s="481" t="e">
        <f t="shared" si="95"/>
        <v>#VALUE!</v>
      </c>
      <c r="J68" s="427" t="e">
        <f t="shared" ref="J68:J79" si="102">IRR(P68:AT68,0.1)</f>
        <v>#VALUE!</v>
      </c>
      <c r="K68" s="428" t="e">
        <f t="shared" si="96"/>
        <v>#VALUE!</v>
      </c>
      <c r="L68" s="398" t="str">
        <f>'Cascading Cap Cost &amp; Savings'!L61</f>
        <v/>
      </c>
      <c r="M68" s="225">
        <f>'Cascading Savings'!D71</f>
        <v>0</v>
      </c>
      <c r="N68" s="225">
        <f>'Cascading Savings'!H67+'Cascading Savings'!F67+'Cascading Savings'!J67</f>
        <v>0</v>
      </c>
      <c r="P68" s="434" t="e">
        <f t="shared" si="97"/>
        <v>#VALUE!</v>
      </c>
      <c r="Q68" s="434">
        <f t="shared" si="100"/>
        <v>0</v>
      </c>
      <c r="R68" s="434">
        <f t="shared" si="101"/>
        <v>0</v>
      </c>
      <c r="S68" s="434">
        <f t="shared" si="98"/>
        <v>0</v>
      </c>
      <c r="T68" s="434">
        <f t="shared" si="98"/>
        <v>0</v>
      </c>
      <c r="U68" s="434">
        <f t="shared" si="98"/>
        <v>0</v>
      </c>
      <c r="V68" s="434">
        <f t="shared" si="98"/>
        <v>0</v>
      </c>
      <c r="W68" s="434">
        <f t="shared" si="98"/>
        <v>0</v>
      </c>
      <c r="X68" s="434">
        <f t="shared" si="98"/>
        <v>0</v>
      </c>
      <c r="Y68" s="434">
        <f t="shared" si="98"/>
        <v>0</v>
      </c>
      <c r="Z68" s="434">
        <f t="shared" si="98"/>
        <v>0</v>
      </c>
      <c r="AA68" s="434">
        <f t="shared" si="98"/>
        <v>0</v>
      </c>
      <c r="AB68" s="434">
        <f t="shared" si="98"/>
        <v>0</v>
      </c>
      <c r="AC68" s="434">
        <f t="shared" si="98"/>
        <v>0</v>
      </c>
      <c r="AD68" s="434">
        <f t="shared" si="98"/>
        <v>0</v>
      </c>
      <c r="AE68" s="434">
        <f t="shared" si="98"/>
        <v>0</v>
      </c>
      <c r="AF68" s="434">
        <f t="shared" si="98"/>
        <v>0</v>
      </c>
      <c r="AG68" s="434">
        <f t="shared" si="98"/>
        <v>0</v>
      </c>
      <c r="AH68" s="434">
        <f t="shared" si="98"/>
        <v>0</v>
      </c>
      <c r="AI68" s="434">
        <f t="shared" si="98"/>
        <v>0</v>
      </c>
      <c r="AJ68" s="434">
        <f t="shared" si="98"/>
        <v>0</v>
      </c>
      <c r="AK68" s="434">
        <f t="shared" si="98"/>
        <v>0</v>
      </c>
      <c r="AL68" s="434">
        <f t="shared" si="98"/>
        <v>0</v>
      </c>
      <c r="AM68" s="434">
        <f t="shared" si="98"/>
        <v>0</v>
      </c>
      <c r="AN68" s="434">
        <f t="shared" si="98"/>
        <v>0</v>
      </c>
      <c r="AO68" s="434">
        <f t="shared" si="98"/>
        <v>0</v>
      </c>
      <c r="AP68" s="434">
        <f t="shared" si="98"/>
        <v>0</v>
      </c>
      <c r="AQ68" s="434">
        <f t="shared" si="98"/>
        <v>0</v>
      </c>
      <c r="AR68" s="434">
        <f t="shared" si="98"/>
        <v>0</v>
      </c>
      <c r="AS68" s="434">
        <f t="shared" si="98"/>
        <v>0</v>
      </c>
      <c r="AT68" s="434">
        <f t="shared" si="98"/>
        <v>0</v>
      </c>
      <c r="AU68" s="434">
        <f t="shared" si="99"/>
        <v>0</v>
      </c>
      <c r="AV68" s="434">
        <f t="shared" si="99"/>
        <v>0</v>
      </c>
      <c r="AW68" s="434">
        <f t="shared" si="99"/>
        <v>0</v>
      </c>
      <c r="AX68" s="434">
        <f t="shared" si="99"/>
        <v>0</v>
      </c>
      <c r="AY68" s="434">
        <f t="shared" si="99"/>
        <v>0</v>
      </c>
      <c r="AZ68" s="434">
        <f t="shared" si="99"/>
        <v>0</v>
      </c>
      <c r="BA68" s="434">
        <f t="shared" si="99"/>
        <v>0</v>
      </c>
      <c r="BB68" s="434">
        <f t="shared" si="99"/>
        <v>0</v>
      </c>
      <c r="BC68" s="434">
        <f t="shared" si="99"/>
        <v>0</v>
      </c>
      <c r="BD68" s="434">
        <f t="shared" si="99"/>
        <v>0</v>
      </c>
    </row>
    <row r="69" spans="1:56" ht="18.5" thickBot="1" x14ac:dyDescent="0.45">
      <c r="A69" s="193" t="str">
        <f>'EEM Data Entry'!A144</f>
        <v/>
      </c>
      <c r="B69" s="475" t="str">
        <f>IF('Cascading Qualifying Test'!B59="  ","  ", 'EEM Data Entry'!B144)</f>
        <v/>
      </c>
      <c r="C69" s="477" t="str">
        <f>'EEM Data Entry'!F144</f>
        <v/>
      </c>
      <c r="D69" s="477">
        <v>0</v>
      </c>
      <c r="E69" s="476" t="e">
        <f t="shared" si="94"/>
        <v>#VALUE!</v>
      </c>
      <c r="F69" s="478">
        <f>('Savings Summary'!D72*'Savings Summary'!D$5)+('Savings Summary'!F72*'Savings Summary'!F$5)+('Savings Summary'!H72*'Savings Summary'!H$5)+('Savings Summary'!J72*'Savings Summary'!J$5)+('Savings Summary'!L72*'Savings Summary'!L$5)+('Savings Summary'!N72*'Savings Summary'!N$5)+('Savings Summary'!P72*'Savings Summary'!P$5)+('Savings Summary'!R72*'Savings Summary'!R$5)</f>
        <v>0</v>
      </c>
      <c r="G69" s="486">
        <f>'Savings Summary'!T72</f>
        <v>0</v>
      </c>
      <c r="H69" s="480" t="e">
        <f>IF(C69=0,"n/a",E69/F69)</f>
        <v>#VALUE!</v>
      </c>
      <c r="I69" s="481" t="e">
        <f t="shared" si="95"/>
        <v>#VALUE!</v>
      </c>
      <c r="J69" s="427" t="e">
        <f t="shared" si="102"/>
        <v>#VALUE!</v>
      </c>
      <c r="K69" s="428" t="e">
        <f t="shared" si="96"/>
        <v>#VALUE!</v>
      </c>
      <c r="L69" s="509" t="str">
        <f>'Cascading Cap Cost &amp; Savings'!L62</f>
        <v/>
      </c>
      <c r="M69" s="225">
        <f>'Cascading Savings'!D72</f>
        <v>0</v>
      </c>
      <c r="N69" s="225">
        <f>'Cascading Savings'!H68+'Cascading Savings'!F68+'Cascading Savings'!J68</f>
        <v>0</v>
      </c>
      <c r="P69" s="434" t="e">
        <f t="shared" si="97"/>
        <v>#VALUE!</v>
      </c>
      <c r="Q69" s="434">
        <f t="shared" si="100"/>
        <v>0</v>
      </c>
      <c r="R69" s="434">
        <f t="shared" si="101"/>
        <v>0</v>
      </c>
      <c r="S69" s="434">
        <f t="shared" si="98"/>
        <v>0</v>
      </c>
      <c r="T69" s="434">
        <f t="shared" si="98"/>
        <v>0</v>
      </c>
      <c r="U69" s="434">
        <f t="shared" si="98"/>
        <v>0</v>
      </c>
      <c r="V69" s="434">
        <f t="shared" si="98"/>
        <v>0</v>
      </c>
      <c r="W69" s="434">
        <f t="shared" si="98"/>
        <v>0</v>
      </c>
      <c r="X69" s="434">
        <f t="shared" si="98"/>
        <v>0</v>
      </c>
      <c r="Y69" s="434">
        <f t="shared" si="98"/>
        <v>0</v>
      </c>
      <c r="Z69" s="434">
        <f t="shared" si="98"/>
        <v>0</v>
      </c>
      <c r="AA69" s="434">
        <f t="shared" si="98"/>
        <v>0</v>
      </c>
      <c r="AB69" s="434">
        <f t="shared" si="98"/>
        <v>0</v>
      </c>
      <c r="AC69" s="434">
        <f t="shared" si="98"/>
        <v>0</v>
      </c>
      <c r="AD69" s="434">
        <f t="shared" si="98"/>
        <v>0</v>
      </c>
      <c r="AE69" s="434">
        <f t="shared" si="98"/>
        <v>0</v>
      </c>
      <c r="AF69" s="434">
        <f t="shared" si="98"/>
        <v>0</v>
      </c>
      <c r="AG69" s="434">
        <f t="shared" si="98"/>
        <v>0</v>
      </c>
      <c r="AH69" s="434">
        <f t="shared" si="98"/>
        <v>0</v>
      </c>
      <c r="AI69" s="434">
        <f t="shared" si="98"/>
        <v>0</v>
      </c>
      <c r="AJ69" s="434">
        <f t="shared" si="98"/>
        <v>0</v>
      </c>
      <c r="AK69" s="434">
        <f t="shared" si="98"/>
        <v>0</v>
      </c>
      <c r="AL69" s="434">
        <f t="shared" si="98"/>
        <v>0</v>
      </c>
      <c r="AM69" s="434">
        <f t="shared" si="98"/>
        <v>0</v>
      </c>
      <c r="AN69" s="434">
        <f t="shared" si="98"/>
        <v>0</v>
      </c>
      <c r="AO69" s="434">
        <f t="shared" si="98"/>
        <v>0</v>
      </c>
      <c r="AP69" s="434">
        <f t="shared" si="98"/>
        <v>0</v>
      </c>
      <c r="AQ69" s="434">
        <f t="shared" si="98"/>
        <v>0</v>
      </c>
      <c r="AR69" s="434">
        <f t="shared" si="98"/>
        <v>0</v>
      </c>
      <c r="AS69" s="434">
        <f t="shared" si="98"/>
        <v>0</v>
      </c>
      <c r="AT69" s="434">
        <f t="shared" si="98"/>
        <v>0</v>
      </c>
      <c r="AU69" s="434">
        <f t="shared" si="99"/>
        <v>0</v>
      </c>
      <c r="AV69" s="434">
        <f t="shared" si="99"/>
        <v>0</v>
      </c>
      <c r="AW69" s="434">
        <f t="shared" si="99"/>
        <v>0</v>
      </c>
      <c r="AX69" s="434">
        <f t="shared" si="99"/>
        <v>0</v>
      </c>
      <c r="AY69" s="434">
        <f t="shared" si="99"/>
        <v>0</v>
      </c>
      <c r="AZ69" s="434">
        <f t="shared" si="99"/>
        <v>0</v>
      </c>
      <c r="BA69" s="434">
        <f t="shared" si="99"/>
        <v>0</v>
      </c>
      <c r="BB69" s="434">
        <f t="shared" si="99"/>
        <v>0</v>
      </c>
      <c r="BC69" s="434">
        <f t="shared" si="99"/>
        <v>0</v>
      </c>
      <c r="BD69" s="434">
        <f t="shared" si="99"/>
        <v>0</v>
      </c>
    </row>
    <row r="70" spans="1:56" ht="18.5" thickBot="1" x14ac:dyDescent="0.45">
      <c r="A70" s="193" t="str">
        <f>'EEM Data Entry'!A145</f>
        <v/>
      </c>
      <c r="B70" s="475" t="str">
        <f>IF('Cascading Qualifying Test'!B60="  ","  ", 'EEM Data Entry'!B145)</f>
        <v/>
      </c>
      <c r="C70" s="477" t="str">
        <f>'EEM Data Entry'!F145</f>
        <v/>
      </c>
      <c r="D70" s="477">
        <v>0</v>
      </c>
      <c r="E70" s="476" t="e">
        <f t="shared" si="94"/>
        <v>#VALUE!</v>
      </c>
      <c r="F70" s="478">
        <f>('Savings Summary'!D73*'Savings Summary'!D$5)+('Savings Summary'!F73*'Savings Summary'!F$5)+('Savings Summary'!H73*'Savings Summary'!H$5)+('Savings Summary'!J73*'Savings Summary'!J$5)+('Savings Summary'!L73*'Savings Summary'!L$5)+('Savings Summary'!N73*'Savings Summary'!N$5)+('Savings Summary'!P73*'Savings Summary'!P$5)+('Savings Summary'!R73*'Savings Summary'!R$5)</f>
        <v>0</v>
      </c>
      <c r="G70" s="486">
        <f>'Savings Summary'!T73</f>
        <v>0</v>
      </c>
      <c r="H70" s="480" t="e">
        <f>IF(C70=0,"n/a",E70/F70)</f>
        <v>#VALUE!</v>
      </c>
      <c r="I70" s="481" t="e">
        <f t="shared" si="95"/>
        <v>#VALUE!</v>
      </c>
      <c r="J70" s="427" t="e">
        <f t="shared" si="102"/>
        <v>#VALUE!</v>
      </c>
      <c r="K70" s="428" t="e">
        <f t="shared" si="96"/>
        <v>#VALUE!</v>
      </c>
      <c r="L70" s="398" t="str">
        <f>'Cascading Cap Cost &amp; Savings'!L63</f>
        <v/>
      </c>
      <c r="M70" s="225">
        <f>'Cascading Savings'!D73</f>
        <v>0</v>
      </c>
      <c r="N70" s="225">
        <f>'Cascading Savings'!H69+'Cascading Savings'!F69+'Cascading Savings'!J69</f>
        <v>0</v>
      </c>
      <c r="P70" s="434" t="e">
        <f t="shared" si="97"/>
        <v>#VALUE!</v>
      </c>
      <c r="Q70" s="434">
        <f t="shared" si="100"/>
        <v>0</v>
      </c>
      <c r="R70" s="434">
        <f t="shared" si="101"/>
        <v>0</v>
      </c>
      <c r="S70" s="434">
        <f t="shared" si="98"/>
        <v>0</v>
      </c>
      <c r="T70" s="434">
        <f t="shared" si="98"/>
        <v>0</v>
      </c>
      <c r="U70" s="434">
        <f t="shared" si="98"/>
        <v>0</v>
      </c>
      <c r="V70" s="434">
        <f t="shared" si="98"/>
        <v>0</v>
      </c>
      <c r="W70" s="434">
        <f t="shared" si="98"/>
        <v>0</v>
      </c>
      <c r="X70" s="434">
        <f t="shared" si="98"/>
        <v>0</v>
      </c>
      <c r="Y70" s="434">
        <f t="shared" si="98"/>
        <v>0</v>
      </c>
      <c r="Z70" s="434">
        <f t="shared" si="98"/>
        <v>0</v>
      </c>
      <c r="AA70" s="434">
        <f t="shared" si="98"/>
        <v>0</v>
      </c>
      <c r="AB70" s="434">
        <f t="shared" si="98"/>
        <v>0</v>
      </c>
      <c r="AC70" s="434">
        <f t="shared" si="98"/>
        <v>0</v>
      </c>
      <c r="AD70" s="434">
        <f t="shared" si="98"/>
        <v>0</v>
      </c>
      <c r="AE70" s="434">
        <f t="shared" si="98"/>
        <v>0</v>
      </c>
      <c r="AF70" s="434">
        <f t="shared" si="98"/>
        <v>0</v>
      </c>
      <c r="AG70" s="434">
        <f t="shared" si="98"/>
        <v>0</v>
      </c>
      <c r="AH70" s="434">
        <f t="shared" si="98"/>
        <v>0</v>
      </c>
      <c r="AI70" s="434">
        <f t="shared" si="98"/>
        <v>0</v>
      </c>
      <c r="AJ70" s="434">
        <f t="shared" si="98"/>
        <v>0</v>
      </c>
      <c r="AK70" s="434">
        <f t="shared" si="98"/>
        <v>0</v>
      </c>
      <c r="AL70" s="434">
        <f t="shared" si="98"/>
        <v>0</v>
      </c>
      <c r="AM70" s="434">
        <f t="shared" si="98"/>
        <v>0</v>
      </c>
      <c r="AN70" s="434">
        <f t="shared" si="98"/>
        <v>0</v>
      </c>
      <c r="AO70" s="434">
        <f t="shared" si="98"/>
        <v>0</v>
      </c>
      <c r="AP70" s="434">
        <f t="shared" si="98"/>
        <v>0</v>
      </c>
      <c r="AQ70" s="434">
        <f t="shared" si="98"/>
        <v>0</v>
      </c>
      <c r="AR70" s="434">
        <f t="shared" si="98"/>
        <v>0</v>
      </c>
      <c r="AS70" s="434">
        <f t="shared" si="98"/>
        <v>0</v>
      </c>
      <c r="AT70" s="434">
        <f t="shared" si="98"/>
        <v>0</v>
      </c>
      <c r="AU70" s="434">
        <f t="shared" si="99"/>
        <v>0</v>
      </c>
      <c r="AV70" s="434">
        <f t="shared" si="99"/>
        <v>0</v>
      </c>
      <c r="AW70" s="434">
        <f t="shared" si="99"/>
        <v>0</v>
      </c>
      <c r="AX70" s="434">
        <f t="shared" si="99"/>
        <v>0</v>
      </c>
      <c r="AY70" s="434">
        <f t="shared" si="99"/>
        <v>0</v>
      </c>
      <c r="AZ70" s="434">
        <f t="shared" si="99"/>
        <v>0</v>
      </c>
      <c r="BA70" s="434">
        <f t="shared" si="99"/>
        <v>0</v>
      </c>
      <c r="BB70" s="434">
        <f t="shared" si="99"/>
        <v>0</v>
      </c>
      <c r="BC70" s="434">
        <f t="shared" si="99"/>
        <v>0</v>
      </c>
      <c r="BD70" s="434">
        <f t="shared" si="99"/>
        <v>0</v>
      </c>
    </row>
    <row r="71" spans="1:56" ht="18.5" thickBot="1" x14ac:dyDescent="0.45">
      <c r="A71" s="193" t="str">
        <f>'EEM Data Entry'!A146</f>
        <v/>
      </c>
      <c r="B71" s="475" t="str">
        <f>IF('Cascading Qualifying Test'!B61="  ","  ", 'EEM Data Entry'!B146)</f>
        <v/>
      </c>
      <c r="C71" s="477" t="str">
        <f>'EEM Data Entry'!F146</f>
        <v/>
      </c>
      <c r="D71" s="477">
        <v>0</v>
      </c>
      <c r="E71" s="476" t="e">
        <f t="shared" si="94"/>
        <v>#VALUE!</v>
      </c>
      <c r="F71" s="478">
        <f>('Savings Summary'!D74*'Savings Summary'!D$5)+('Savings Summary'!F74*'Savings Summary'!F$5)+('Savings Summary'!H74*'Savings Summary'!H$5)+('Savings Summary'!J74*'Savings Summary'!J$5)+('Savings Summary'!L74*'Savings Summary'!L$5)+('Savings Summary'!N74*'Savings Summary'!N$5)+('Savings Summary'!P74*'Savings Summary'!P$5)+('Savings Summary'!R74*'Savings Summary'!R$5)</f>
        <v>0</v>
      </c>
      <c r="G71" s="486">
        <f>'Savings Summary'!T74</f>
        <v>0</v>
      </c>
      <c r="H71" s="480" t="e">
        <f t="shared" ref="H71:H79" si="103">IF(C71=0,"n/a",E71/F71)</f>
        <v>#VALUE!</v>
      </c>
      <c r="I71" s="481" t="e">
        <f t="shared" si="95"/>
        <v>#VALUE!</v>
      </c>
      <c r="J71" s="427" t="e">
        <f t="shared" si="102"/>
        <v>#VALUE!</v>
      </c>
      <c r="K71" s="428" t="e">
        <f t="shared" si="96"/>
        <v>#VALUE!</v>
      </c>
      <c r="L71" s="509" t="str">
        <f>'Cascading Cap Cost &amp; Savings'!L64</f>
        <v/>
      </c>
      <c r="M71" s="225">
        <f>'Cascading Savings'!D74</f>
        <v>0</v>
      </c>
      <c r="N71" s="225">
        <f>'Cascading Savings'!H70+'Cascading Savings'!F70+'Cascading Savings'!J70</f>
        <v>0</v>
      </c>
      <c r="P71" s="434" t="e">
        <f t="shared" si="97"/>
        <v>#VALUE!</v>
      </c>
      <c r="Q71" s="434">
        <f t="shared" si="100"/>
        <v>0</v>
      </c>
      <c r="R71" s="434">
        <f t="shared" si="101"/>
        <v>0</v>
      </c>
      <c r="S71" s="434">
        <f t="shared" si="98"/>
        <v>0</v>
      </c>
      <c r="T71" s="434">
        <f t="shared" si="98"/>
        <v>0</v>
      </c>
      <c r="U71" s="434">
        <f t="shared" si="98"/>
        <v>0</v>
      </c>
      <c r="V71" s="434">
        <f t="shared" si="98"/>
        <v>0</v>
      </c>
      <c r="W71" s="434">
        <f t="shared" si="98"/>
        <v>0</v>
      </c>
      <c r="X71" s="434">
        <f t="shared" si="98"/>
        <v>0</v>
      </c>
      <c r="Y71" s="434">
        <f t="shared" si="98"/>
        <v>0</v>
      </c>
      <c r="Z71" s="434">
        <f t="shared" si="98"/>
        <v>0</v>
      </c>
      <c r="AA71" s="434">
        <f t="shared" si="98"/>
        <v>0</v>
      </c>
      <c r="AB71" s="434">
        <f t="shared" si="98"/>
        <v>0</v>
      </c>
      <c r="AC71" s="434">
        <f t="shared" si="98"/>
        <v>0</v>
      </c>
      <c r="AD71" s="434">
        <f t="shared" si="98"/>
        <v>0</v>
      </c>
      <c r="AE71" s="434">
        <f t="shared" si="98"/>
        <v>0</v>
      </c>
      <c r="AF71" s="434">
        <f t="shared" si="98"/>
        <v>0</v>
      </c>
      <c r="AG71" s="434">
        <f t="shared" si="98"/>
        <v>0</v>
      </c>
      <c r="AH71" s="434">
        <f t="shared" si="98"/>
        <v>0</v>
      </c>
      <c r="AI71" s="434">
        <f t="shared" si="98"/>
        <v>0</v>
      </c>
      <c r="AJ71" s="434">
        <f t="shared" si="98"/>
        <v>0</v>
      </c>
      <c r="AK71" s="434">
        <f t="shared" si="98"/>
        <v>0</v>
      </c>
      <c r="AL71" s="434">
        <f t="shared" si="98"/>
        <v>0</v>
      </c>
      <c r="AM71" s="434">
        <f t="shared" si="98"/>
        <v>0</v>
      </c>
      <c r="AN71" s="434">
        <f t="shared" si="98"/>
        <v>0</v>
      </c>
      <c r="AO71" s="434">
        <f t="shared" si="98"/>
        <v>0</v>
      </c>
      <c r="AP71" s="434">
        <f t="shared" si="98"/>
        <v>0</v>
      </c>
      <c r="AQ71" s="434">
        <f t="shared" si="98"/>
        <v>0</v>
      </c>
      <c r="AR71" s="434">
        <f t="shared" si="98"/>
        <v>0</v>
      </c>
      <c r="AS71" s="434">
        <f t="shared" si="98"/>
        <v>0</v>
      </c>
      <c r="AT71" s="434">
        <f t="shared" si="98"/>
        <v>0</v>
      </c>
      <c r="AU71" s="434">
        <f t="shared" si="99"/>
        <v>0</v>
      </c>
      <c r="AV71" s="434">
        <f t="shared" si="99"/>
        <v>0</v>
      </c>
      <c r="AW71" s="434">
        <f t="shared" si="99"/>
        <v>0</v>
      </c>
      <c r="AX71" s="434">
        <f t="shared" si="99"/>
        <v>0</v>
      </c>
      <c r="AY71" s="434">
        <f t="shared" si="99"/>
        <v>0</v>
      </c>
      <c r="AZ71" s="434">
        <f t="shared" si="99"/>
        <v>0</v>
      </c>
      <c r="BA71" s="434">
        <f t="shared" si="99"/>
        <v>0</v>
      </c>
      <c r="BB71" s="434">
        <f t="shared" si="99"/>
        <v>0</v>
      </c>
      <c r="BC71" s="434">
        <f t="shared" si="99"/>
        <v>0</v>
      </c>
      <c r="BD71" s="434">
        <f t="shared" si="99"/>
        <v>0</v>
      </c>
    </row>
    <row r="72" spans="1:56" ht="18.5" thickBot="1" x14ac:dyDescent="0.45">
      <c r="A72" s="193" t="str">
        <f>'EEM Data Entry'!A147</f>
        <v/>
      </c>
      <c r="B72" s="475" t="str">
        <f>IF('Cascading Qualifying Test'!B62="  ","  ", 'EEM Data Entry'!B147)</f>
        <v/>
      </c>
      <c r="C72" s="477" t="str">
        <f>'EEM Data Entry'!F147</f>
        <v/>
      </c>
      <c r="D72" s="477">
        <v>0</v>
      </c>
      <c r="E72" s="476" t="e">
        <f t="shared" si="94"/>
        <v>#VALUE!</v>
      </c>
      <c r="F72" s="478">
        <f>('Savings Summary'!D75*'Savings Summary'!D$5)+('Savings Summary'!F75*'Savings Summary'!F$5)+('Savings Summary'!H75*'Savings Summary'!H$5)+('Savings Summary'!J75*'Savings Summary'!J$5)+('Savings Summary'!L75*'Savings Summary'!L$5)+('Savings Summary'!N75*'Savings Summary'!N$5)+('Savings Summary'!P75*'Savings Summary'!P$5)+('Savings Summary'!R75*'Savings Summary'!R$5)</f>
        <v>0</v>
      </c>
      <c r="G72" s="486">
        <f>'Savings Summary'!T75</f>
        <v>0</v>
      </c>
      <c r="H72" s="480" t="e">
        <f t="shared" si="103"/>
        <v>#VALUE!</v>
      </c>
      <c r="I72" s="481" t="e">
        <f t="shared" si="95"/>
        <v>#VALUE!</v>
      </c>
      <c r="J72" s="427" t="e">
        <f t="shared" si="102"/>
        <v>#VALUE!</v>
      </c>
      <c r="K72" s="428" t="e">
        <f t="shared" si="96"/>
        <v>#VALUE!</v>
      </c>
      <c r="L72" s="398" t="str">
        <f>'Cascading Cap Cost &amp; Savings'!L65</f>
        <v/>
      </c>
      <c r="M72" s="225">
        <f>'Cascading Savings'!D75</f>
        <v>0</v>
      </c>
      <c r="N72" s="225">
        <f>'Cascading Savings'!H71+'Cascading Savings'!F71+'Cascading Savings'!J71</f>
        <v>0</v>
      </c>
      <c r="P72" s="434" t="e">
        <f t="shared" si="97"/>
        <v>#VALUE!</v>
      </c>
      <c r="Q72" s="434">
        <f t="shared" si="100"/>
        <v>0</v>
      </c>
      <c r="R72" s="434">
        <f t="shared" si="101"/>
        <v>0</v>
      </c>
      <c r="S72" s="434">
        <f t="shared" si="98"/>
        <v>0</v>
      </c>
      <c r="T72" s="434">
        <f t="shared" si="98"/>
        <v>0</v>
      </c>
      <c r="U72" s="434">
        <f t="shared" si="98"/>
        <v>0</v>
      </c>
      <c r="V72" s="434">
        <f t="shared" si="98"/>
        <v>0</v>
      </c>
      <c r="W72" s="434">
        <f t="shared" si="98"/>
        <v>0</v>
      </c>
      <c r="X72" s="434">
        <f t="shared" si="98"/>
        <v>0</v>
      </c>
      <c r="Y72" s="434">
        <f t="shared" si="98"/>
        <v>0</v>
      </c>
      <c r="Z72" s="434">
        <f t="shared" si="98"/>
        <v>0</v>
      </c>
      <c r="AA72" s="434">
        <f t="shared" si="98"/>
        <v>0</v>
      </c>
      <c r="AB72" s="434">
        <f t="shared" si="98"/>
        <v>0</v>
      </c>
      <c r="AC72" s="434">
        <f t="shared" si="98"/>
        <v>0</v>
      </c>
      <c r="AD72" s="434">
        <f t="shared" si="98"/>
        <v>0</v>
      </c>
      <c r="AE72" s="434">
        <f t="shared" si="98"/>
        <v>0</v>
      </c>
      <c r="AF72" s="434">
        <f t="shared" si="98"/>
        <v>0</v>
      </c>
      <c r="AG72" s="434">
        <f t="shared" si="98"/>
        <v>0</v>
      </c>
      <c r="AH72" s="434">
        <f t="shared" si="98"/>
        <v>0</v>
      </c>
      <c r="AI72" s="434">
        <f t="shared" si="98"/>
        <v>0</v>
      </c>
      <c r="AJ72" s="434">
        <f t="shared" si="98"/>
        <v>0</v>
      </c>
      <c r="AK72" s="434">
        <f t="shared" si="98"/>
        <v>0</v>
      </c>
      <c r="AL72" s="434">
        <f t="shared" si="98"/>
        <v>0</v>
      </c>
      <c r="AM72" s="434">
        <f t="shared" si="98"/>
        <v>0</v>
      </c>
      <c r="AN72" s="434">
        <f t="shared" si="98"/>
        <v>0</v>
      </c>
      <c r="AO72" s="434">
        <f t="shared" si="98"/>
        <v>0</v>
      </c>
      <c r="AP72" s="434">
        <f t="shared" si="98"/>
        <v>0</v>
      </c>
      <c r="AQ72" s="434">
        <f t="shared" si="98"/>
        <v>0</v>
      </c>
      <c r="AR72" s="434">
        <f t="shared" si="98"/>
        <v>0</v>
      </c>
      <c r="AS72" s="434">
        <f t="shared" si="98"/>
        <v>0</v>
      </c>
      <c r="AT72" s="434">
        <f t="shared" si="98"/>
        <v>0</v>
      </c>
      <c r="AU72" s="434">
        <f t="shared" si="99"/>
        <v>0</v>
      </c>
      <c r="AV72" s="434">
        <f t="shared" si="99"/>
        <v>0</v>
      </c>
      <c r="AW72" s="434">
        <f t="shared" si="99"/>
        <v>0</v>
      </c>
      <c r="AX72" s="434">
        <f t="shared" si="99"/>
        <v>0</v>
      </c>
      <c r="AY72" s="434">
        <f t="shared" si="99"/>
        <v>0</v>
      </c>
      <c r="AZ72" s="434">
        <f t="shared" si="99"/>
        <v>0</v>
      </c>
      <c r="BA72" s="434">
        <f t="shared" si="99"/>
        <v>0</v>
      </c>
      <c r="BB72" s="434">
        <f t="shared" si="99"/>
        <v>0</v>
      </c>
      <c r="BC72" s="434">
        <f t="shared" si="99"/>
        <v>0</v>
      </c>
      <c r="BD72" s="434">
        <f t="shared" si="99"/>
        <v>0</v>
      </c>
    </row>
    <row r="73" spans="1:56" ht="18.5" thickBot="1" x14ac:dyDescent="0.45">
      <c r="A73" s="193" t="str">
        <f>'EEM Data Entry'!A148</f>
        <v/>
      </c>
      <c r="B73" s="475" t="str">
        <f>IF('Cascading Qualifying Test'!B63="  ","  ", 'EEM Data Entry'!B148)</f>
        <v/>
      </c>
      <c r="C73" s="477" t="str">
        <f>'EEM Data Entry'!F148</f>
        <v/>
      </c>
      <c r="D73" s="477">
        <v>0</v>
      </c>
      <c r="E73" s="476" t="e">
        <f t="shared" si="94"/>
        <v>#VALUE!</v>
      </c>
      <c r="F73" s="478">
        <f>('Savings Summary'!D76*'Savings Summary'!D$5)+('Savings Summary'!F76*'Savings Summary'!F$5)+('Savings Summary'!H76*'Savings Summary'!H$5)+('Savings Summary'!J76*'Savings Summary'!J$5)+('Savings Summary'!L76*'Savings Summary'!L$5)+('Savings Summary'!N76*'Savings Summary'!N$5)+('Savings Summary'!P76*'Savings Summary'!P$5)+('Savings Summary'!R76*'Savings Summary'!R$5)</f>
        <v>0</v>
      </c>
      <c r="G73" s="486">
        <f>'Savings Summary'!T76</f>
        <v>0</v>
      </c>
      <c r="H73" s="480" t="e">
        <f t="shared" si="103"/>
        <v>#VALUE!</v>
      </c>
      <c r="I73" s="481" t="e">
        <f t="shared" si="95"/>
        <v>#VALUE!</v>
      </c>
      <c r="J73" s="427" t="e">
        <f t="shared" si="102"/>
        <v>#VALUE!</v>
      </c>
      <c r="K73" s="428" t="e">
        <f t="shared" si="96"/>
        <v>#VALUE!</v>
      </c>
      <c r="L73" s="509" t="str">
        <f>'Cascading Cap Cost &amp; Savings'!L66</f>
        <v/>
      </c>
      <c r="M73" s="225">
        <f>'Cascading Savings'!D76</f>
        <v>0</v>
      </c>
      <c r="N73" s="225">
        <f>'Cascading Savings'!H72+'Cascading Savings'!F72+'Cascading Savings'!J72</f>
        <v>0</v>
      </c>
      <c r="P73" s="434" t="e">
        <f t="shared" si="97"/>
        <v>#VALUE!</v>
      </c>
      <c r="Q73" s="434">
        <f t="shared" si="100"/>
        <v>0</v>
      </c>
      <c r="R73" s="434">
        <f t="shared" si="101"/>
        <v>0</v>
      </c>
      <c r="S73" s="434">
        <f t="shared" si="98"/>
        <v>0</v>
      </c>
      <c r="T73" s="434">
        <f t="shared" si="98"/>
        <v>0</v>
      </c>
      <c r="U73" s="434">
        <f t="shared" si="98"/>
        <v>0</v>
      </c>
      <c r="V73" s="434">
        <f t="shared" si="98"/>
        <v>0</v>
      </c>
      <c r="W73" s="434">
        <f t="shared" si="98"/>
        <v>0</v>
      </c>
      <c r="X73" s="434">
        <f t="shared" si="98"/>
        <v>0</v>
      </c>
      <c r="Y73" s="434">
        <f t="shared" si="98"/>
        <v>0</v>
      </c>
      <c r="Z73" s="434">
        <f t="shared" si="98"/>
        <v>0</v>
      </c>
      <c r="AA73" s="434">
        <f t="shared" si="98"/>
        <v>0</v>
      </c>
      <c r="AB73" s="434">
        <f t="shared" si="98"/>
        <v>0</v>
      </c>
      <c r="AC73" s="434">
        <f t="shared" si="98"/>
        <v>0</v>
      </c>
      <c r="AD73" s="434">
        <f t="shared" si="98"/>
        <v>0</v>
      </c>
      <c r="AE73" s="434">
        <f t="shared" si="98"/>
        <v>0</v>
      </c>
      <c r="AF73" s="434">
        <f t="shared" si="98"/>
        <v>0</v>
      </c>
      <c r="AG73" s="434">
        <f t="shared" si="98"/>
        <v>0</v>
      </c>
      <c r="AH73" s="434">
        <f t="shared" si="98"/>
        <v>0</v>
      </c>
      <c r="AI73" s="434">
        <f t="shared" si="98"/>
        <v>0</v>
      </c>
      <c r="AJ73" s="434">
        <f t="shared" si="98"/>
        <v>0</v>
      </c>
      <c r="AK73" s="434">
        <f t="shared" si="98"/>
        <v>0</v>
      </c>
      <c r="AL73" s="434">
        <f t="shared" si="98"/>
        <v>0</v>
      </c>
      <c r="AM73" s="434">
        <f t="shared" si="98"/>
        <v>0</v>
      </c>
      <c r="AN73" s="434">
        <f t="shared" si="98"/>
        <v>0</v>
      </c>
      <c r="AO73" s="434">
        <f t="shared" si="98"/>
        <v>0</v>
      </c>
      <c r="AP73" s="434">
        <f t="shared" si="98"/>
        <v>0</v>
      </c>
      <c r="AQ73" s="434">
        <f t="shared" si="98"/>
        <v>0</v>
      </c>
      <c r="AR73" s="434">
        <f t="shared" si="98"/>
        <v>0</v>
      </c>
      <c r="AS73" s="434">
        <f t="shared" si="98"/>
        <v>0</v>
      </c>
      <c r="AT73" s="434">
        <f t="shared" si="98"/>
        <v>0</v>
      </c>
      <c r="AU73" s="434">
        <f t="shared" si="99"/>
        <v>0</v>
      </c>
      <c r="AV73" s="434">
        <f t="shared" si="99"/>
        <v>0</v>
      </c>
      <c r="AW73" s="434">
        <f t="shared" si="99"/>
        <v>0</v>
      </c>
      <c r="AX73" s="434">
        <f t="shared" si="99"/>
        <v>0</v>
      </c>
      <c r="AY73" s="434">
        <f t="shared" si="99"/>
        <v>0</v>
      </c>
      <c r="AZ73" s="434">
        <f t="shared" si="99"/>
        <v>0</v>
      </c>
      <c r="BA73" s="434">
        <f t="shared" si="99"/>
        <v>0</v>
      </c>
      <c r="BB73" s="434">
        <f t="shared" si="99"/>
        <v>0</v>
      </c>
      <c r="BC73" s="434">
        <f t="shared" si="99"/>
        <v>0</v>
      </c>
      <c r="BD73" s="434">
        <f t="shared" si="99"/>
        <v>0</v>
      </c>
    </row>
    <row r="74" spans="1:56" ht="18" customHeight="1" thickBot="1" x14ac:dyDescent="0.45">
      <c r="A74" s="193" t="str">
        <f>'EEM Data Entry'!A149</f>
        <v/>
      </c>
      <c r="B74" s="475" t="str">
        <f>IF('Cascading Qualifying Test'!B64="  ","  ", 'EEM Data Entry'!B149)</f>
        <v/>
      </c>
      <c r="C74" s="477" t="str">
        <f>'EEM Data Entry'!F149</f>
        <v/>
      </c>
      <c r="D74" s="477">
        <v>0</v>
      </c>
      <c r="E74" s="476" t="e">
        <f t="shared" si="94"/>
        <v>#VALUE!</v>
      </c>
      <c r="F74" s="478">
        <f>('Savings Summary'!D77*'Savings Summary'!D$5)+('Savings Summary'!F77*'Savings Summary'!F$5)+('Savings Summary'!H77*'Savings Summary'!H$5)+('Savings Summary'!J77*'Savings Summary'!J$5)+('Savings Summary'!L77*'Savings Summary'!L$5)+('Savings Summary'!N77*'Savings Summary'!N$5)+('Savings Summary'!P77*'Savings Summary'!P$5)+('Savings Summary'!R77*'Savings Summary'!R$5)</f>
        <v>0</v>
      </c>
      <c r="G74" s="486">
        <f>'Savings Summary'!T77</f>
        <v>0</v>
      </c>
      <c r="H74" s="480" t="e">
        <f t="shared" si="103"/>
        <v>#VALUE!</v>
      </c>
      <c r="I74" s="481" t="e">
        <f t="shared" si="95"/>
        <v>#VALUE!</v>
      </c>
      <c r="J74" s="427" t="e">
        <f t="shared" si="102"/>
        <v>#VALUE!</v>
      </c>
      <c r="K74" s="428" t="e">
        <f t="shared" si="96"/>
        <v>#VALUE!</v>
      </c>
      <c r="L74" s="398" t="str">
        <f>'Cascading Cap Cost &amp; Savings'!L67</f>
        <v/>
      </c>
      <c r="M74" s="225">
        <f>'Cascading Savings'!D77</f>
        <v>0</v>
      </c>
      <c r="N74" s="225">
        <f>'Cascading Savings'!H73+'Cascading Savings'!F73+'Cascading Savings'!J73</f>
        <v>0</v>
      </c>
      <c r="P74" s="434" t="e">
        <f t="shared" si="97"/>
        <v>#VALUE!</v>
      </c>
      <c r="Q74" s="434">
        <f t="shared" si="100"/>
        <v>0</v>
      </c>
      <c r="R74" s="434">
        <f t="shared" si="101"/>
        <v>0</v>
      </c>
      <c r="S74" s="434">
        <f t="shared" si="98"/>
        <v>0</v>
      </c>
      <c r="T74" s="434">
        <f t="shared" si="98"/>
        <v>0</v>
      </c>
      <c r="U74" s="434">
        <f t="shared" si="98"/>
        <v>0</v>
      </c>
      <c r="V74" s="434">
        <f t="shared" si="98"/>
        <v>0</v>
      </c>
      <c r="W74" s="434">
        <f t="shared" si="98"/>
        <v>0</v>
      </c>
      <c r="X74" s="434">
        <f t="shared" si="98"/>
        <v>0</v>
      </c>
      <c r="Y74" s="434">
        <f t="shared" si="98"/>
        <v>0</v>
      </c>
      <c r="Z74" s="434">
        <f t="shared" si="98"/>
        <v>0</v>
      </c>
      <c r="AA74" s="434">
        <f t="shared" si="98"/>
        <v>0</v>
      </c>
      <c r="AB74" s="434">
        <f t="shared" si="98"/>
        <v>0</v>
      </c>
      <c r="AC74" s="434">
        <f t="shared" si="98"/>
        <v>0</v>
      </c>
      <c r="AD74" s="434">
        <f t="shared" si="98"/>
        <v>0</v>
      </c>
      <c r="AE74" s="434">
        <f t="shared" si="98"/>
        <v>0</v>
      </c>
      <c r="AF74" s="434">
        <f t="shared" si="98"/>
        <v>0</v>
      </c>
      <c r="AG74" s="434">
        <f t="shared" si="98"/>
        <v>0</v>
      </c>
      <c r="AH74" s="434">
        <f t="shared" si="98"/>
        <v>0</v>
      </c>
      <c r="AI74" s="434">
        <f t="shared" si="98"/>
        <v>0</v>
      </c>
      <c r="AJ74" s="434">
        <f t="shared" si="98"/>
        <v>0</v>
      </c>
      <c r="AK74" s="434">
        <f t="shared" si="98"/>
        <v>0</v>
      </c>
      <c r="AL74" s="434">
        <f t="shared" si="98"/>
        <v>0</v>
      </c>
      <c r="AM74" s="434">
        <f t="shared" si="98"/>
        <v>0</v>
      </c>
      <c r="AN74" s="434">
        <f t="shared" si="98"/>
        <v>0</v>
      </c>
      <c r="AO74" s="434">
        <f t="shared" si="98"/>
        <v>0</v>
      </c>
      <c r="AP74" s="434">
        <f t="shared" si="98"/>
        <v>0</v>
      </c>
      <c r="AQ74" s="434">
        <f t="shared" si="98"/>
        <v>0</v>
      </c>
      <c r="AR74" s="434">
        <f t="shared" si="98"/>
        <v>0</v>
      </c>
      <c r="AS74" s="434">
        <f t="shared" si="98"/>
        <v>0</v>
      </c>
      <c r="AT74" s="434">
        <f t="shared" si="98"/>
        <v>0</v>
      </c>
      <c r="AU74" s="434">
        <f t="shared" si="99"/>
        <v>0</v>
      </c>
      <c r="AV74" s="434">
        <f t="shared" si="99"/>
        <v>0</v>
      </c>
      <c r="AW74" s="434">
        <f t="shared" si="99"/>
        <v>0</v>
      </c>
      <c r="AX74" s="434">
        <f t="shared" si="99"/>
        <v>0</v>
      </c>
      <c r="AY74" s="434">
        <f t="shared" si="99"/>
        <v>0</v>
      </c>
      <c r="AZ74" s="434">
        <f t="shared" si="99"/>
        <v>0</v>
      </c>
      <c r="BA74" s="434">
        <f t="shared" si="99"/>
        <v>0</v>
      </c>
      <c r="BB74" s="434">
        <f t="shared" si="99"/>
        <v>0</v>
      </c>
      <c r="BC74" s="434">
        <f t="shared" si="99"/>
        <v>0</v>
      </c>
      <c r="BD74" s="434">
        <f t="shared" si="99"/>
        <v>0</v>
      </c>
    </row>
    <row r="75" spans="1:56" ht="18" customHeight="1" thickBot="1" x14ac:dyDescent="0.45">
      <c r="A75" s="193" t="str">
        <f>'EEM Data Entry'!A150</f>
        <v/>
      </c>
      <c r="B75" s="475" t="str">
        <f>IF('Cascading Qualifying Test'!B65="  ","  ", 'EEM Data Entry'!B150)</f>
        <v/>
      </c>
      <c r="C75" s="477" t="str">
        <f>'EEM Data Entry'!F150</f>
        <v/>
      </c>
      <c r="D75" s="477">
        <v>0</v>
      </c>
      <c r="E75" s="476" t="e">
        <f t="shared" si="94"/>
        <v>#VALUE!</v>
      </c>
      <c r="F75" s="478">
        <f>('Savings Summary'!D78*'Savings Summary'!D$5)+('Savings Summary'!F78*'Savings Summary'!F$5)+('Savings Summary'!H78*'Savings Summary'!H$5)+('Savings Summary'!J78*'Savings Summary'!J$5)+('Savings Summary'!L78*'Savings Summary'!L$5)+('Savings Summary'!N78*'Savings Summary'!N$5)+('Savings Summary'!P78*'Savings Summary'!P$5)+('Savings Summary'!R78*'Savings Summary'!R$5)</f>
        <v>0</v>
      </c>
      <c r="G75" s="486">
        <f>'Savings Summary'!T78</f>
        <v>0</v>
      </c>
      <c r="H75" s="480" t="e">
        <f t="shared" si="103"/>
        <v>#VALUE!</v>
      </c>
      <c r="I75" s="481" t="e">
        <f t="shared" si="95"/>
        <v>#VALUE!</v>
      </c>
      <c r="J75" s="427" t="e">
        <f t="shared" si="102"/>
        <v>#VALUE!</v>
      </c>
      <c r="K75" s="428" t="e">
        <f t="shared" si="96"/>
        <v>#VALUE!</v>
      </c>
      <c r="L75" s="509" t="str">
        <f>'Cascading Cap Cost &amp; Savings'!L68</f>
        <v/>
      </c>
      <c r="M75" s="225">
        <f>'Cascading Savings'!D83</f>
        <v>0</v>
      </c>
      <c r="N75" s="225">
        <f>'Cascading Savings'!H74+'Cascading Savings'!F74+'Cascading Savings'!J74</f>
        <v>0</v>
      </c>
      <c r="P75" s="434" t="e">
        <f t="shared" si="97"/>
        <v>#VALUE!</v>
      </c>
      <c r="Q75" s="434">
        <f t="shared" si="100"/>
        <v>0</v>
      </c>
      <c r="R75" s="434">
        <f t="shared" si="101"/>
        <v>0</v>
      </c>
      <c r="S75" s="434">
        <f t="shared" si="98"/>
        <v>0</v>
      </c>
      <c r="T75" s="434">
        <f t="shared" si="98"/>
        <v>0</v>
      </c>
      <c r="U75" s="434">
        <f t="shared" si="98"/>
        <v>0</v>
      </c>
      <c r="V75" s="434">
        <f t="shared" si="98"/>
        <v>0</v>
      </c>
      <c r="W75" s="434">
        <f t="shared" si="98"/>
        <v>0</v>
      </c>
      <c r="X75" s="434">
        <f t="shared" si="98"/>
        <v>0</v>
      </c>
      <c r="Y75" s="434">
        <f t="shared" si="98"/>
        <v>0</v>
      </c>
      <c r="Z75" s="434">
        <f t="shared" si="98"/>
        <v>0</v>
      </c>
      <c r="AA75" s="434">
        <f t="shared" si="98"/>
        <v>0</v>
      </c>
      <c r="AB75" s="434">
        <f t="shared" si="98"/>
        <v>0</v>
      </c>
      <c r="AC75" s="434">
        <f t="shared" si="98"/>
        <v>0</v>
      </c>
      <c r="AD75" s="434">
        <f t="shared" si="98"/>
        <v>0</v>
      </c>
      <c r="AE75" s="434">
        <f t="shared" si="98"/>
        <v>0</v>
      </c>
      <c r="AF75" s="434">
        <f t="shared" si="98"/>
        <v>0</v>
      </c>
      <c r="AG75" s="434">
        <f t="shared" si="98"/>
        <v>0</v>
      </c>
      <c r="AH75" s="434">
        <f t="shared" si="98"/>
        <v>0</v>
      </c>
      <c r="AI75" s="434">
        <f t="shared" si="98"/>
        <v>0</v>
      </c>
      <c r="AJ75" s="434">
        <f t="shared" si="98"/>
        <v>0</v>
      </c>
      <c r="AK75" s="434">
        <f t="shared" ref="S75:AT79" si="104">AJ75*1.05</f>
        <v>0</v>
      </c>
      <c r="AL75" s="434">
        <f t="shared" si="104"/>
        <v>0</v>
      </c>
      <c r="AM75" s="434">
        <f t="shared" si="104"/>
        <v>0</v>
      </c>
      <c r="AN75" s="434">
        <f t="shared" si="104"/>
        <v>0</v>
      </c>
      <c r="AO75" s="434">
        <f t="shared" si="104"/>
        <v>0</v>
      </c>
      <c r="AP75" s="434">
        <f t="shared" si="104"/>
        <v>0</v>
      </c>
      <c r="AQ75" s="434">
        <f t="shared" si="104"/>
        <v>0</v>
      </c>
      <c r="AR75" s="434">
        <f t="shared" si="104"/>
        <v>0</v>
      </c>
      <c r="AS75" s="434">
        <f t="shared" si="104"/>
        <v>0</v>
      </c>
      <c r="AT75" s="434">
        <f t="shared" si="104"/>
        <v>0</v>
      </c>
      <c r="AU75" s="434">
        <f t="shared" si="99"/>
        <v>0</v>
      </c>
      <c r="AV75" s="434">
        <f t="shared" si="99"/>
        <v>0</v>
      </c>
      <c r="AW75" s="434">
        <f t="shared" si="99"/>
        <v>0</v>
      </c>
      <c r="AX75" s="434">
        <f t="shared" si="99"/>
        <v>0</v>
      </c>
      <c r="AY75" s="434">
        <f t="shared" si="99"/>
        <v>0</v>
      </c>
      <c r="AZ75" s="434">
        <f t="shared" si="99"/>
        <v>0</v>
      </c>
      <c r="BA75" s="434">
        <f t="shared" si="99"/>
        <v>0</v>
      </c>
      <c r="BB75" s="434">
        <f t="shared" si="99"/>
        <v>0</v>
      </c>
      <c r="BC75" s="434">
        <f t="shared" si="99"/>
        <v>0</v>
      </c>
      <c r="BD75" s="434">
        <f t="shared" si="99"/>
        <v>0</v>
      </c>
    </row>
    <row r="76" spans="1:56" ht="18" customHeight="1" thickBot="1" x14ac:dyDescent="0.45">
      <c r="A76" s="193" t="str">
        <f>'EEM Data Entry'!A151</f>
        <v/>
      </c>
      <c r="B76" s="475" t="str">
        <f>IF('Cascading Qualifying Test'!B66="  ","  ", 'EEM Data Entry'!B151)</f>
        <v/>
      </c>
      <c r="C76" s="477" t="str">
        <f>'EEM Data Entry'!F151</f>
        <v/>
      </c>
      <c r="D76" s="477">
        <v>0</v>
      </c>
      <c r="E76" s="476" t="e">
        <f t="shared" si="94"/>
        <v>#VALUE!</v>
      </c>
      <c r="F76" s="478">
        <f>('Savings Summary'!D79*'Savings Summary'!D$5)+('Savings Summary'!F79*'Savings Summary'!F$5)+('Savings Summary'!H79*'Savings Summary'!H$5)+('Savings Summary'!J79*'Savings Summary'!J$5)+('Savings Summary'!L79*'Savings Summary'!L$5)+('Savings Summary'!N79*'Savings Summary'!N$5)+('Savings Summary'!P79*'Savings Summary'!P$5)+('Savings Summary'!R79*'Savings Summary'!R$5)</f>
        <v>0</v>
      </c>
      <c r="G76" s="486">
        <f>'Savings Summary'!T79</f>
        <v>0</v>
      </c>
      <c r="H76" s="480" t="e">
        <f t="shared" si="103"/>
        <v>#VALUE!</v>
      </c>
      <c r="I76" s="481" t="e">
        <f t="shared" si="95"/>
        <v>#VALUE!</v>
      </c>
      <c r="J76" s="427" t="e">
        <f t="shared" si="102"/>
        <v>#VALUE!</v>
      </c>
      <c r="K76" s="428" t="e">
        <f t="shared" si="96"/>
        <v>#VALUE!</v>
      </c>
      <c r="L76" s="398" t="str">
        <f>'Cascading Cap Cost &amp; Savings'!L69</f>
        <v/>
      </c>
      <c r="M76" s="225">
        <f>'Cascading Savings'!D79</f>
        <v>0</v>
      </c>
      <c r="N76" s="225">
        <f>'Cascading Savings'!H75+'Cascading Savings'!F75+'Cascading Savings'!J75</f>
        <v>0</v>
      </c>
      <c r="P76" s="434" t="e">
        <f t="shared" si="97"/>
        <v>#VALUE!</v>
      </c>
      <c r="Q76" s="434">
        <f t="shared" si="100"/>
        <v>0</v>
      </c>
      <c r="R76" s="434">
        <f t="shared" si="101"/>
        <v>0</v>
      </c>
      <c r="S76" s="434">
        <f t="shared" si="104"/>
        <v>0</v>
      </c>
      <c r="T76" s="434">
        <f t="shared" si="104"/>
        <v>0</v>
      </c>
      <c r="U76" s="434">
        <f t="shared" si="104"/>
        <v>0</v>
      </c>
      <c r="V76" s="434">
        <f t="shared" si="104"/>
        <v>0</v>
      </c>
      <c r="W76" s="434">
        <f t="shared" si="104"/>
        <v>0</v>
      </c>
      <c r="X76" s="434">
        <f t="shared" si="104"/>
        <v>0</v>
      </c>
      <c r="Y76" s="434">
        <f t="shared" si="104"/>
        <v>0</v>
      </c>
      <c r="Z76" s="434">
        <f t="shared" si="104"/>
        <v>0</v>
      </c>
      <c r="AA76" s="434">
        <f t="shared" si="104"/>
        <v>0</v>
      </c>
      <c r="AB76" s="434">
        <f t="shared" si="104"/>
        <v>0</v>
      </c>
      <c r="AC76" s="434">
        <f t="shared" si="104"/>
        <v>0</v>
      </c>
      <c r="AD76" s="434">
        <f t="shared" si="104"/>
        <v>0</v>
      </c>
      <c r="AE76" s="434">
        <f t="shared" si="104"/>
        <v>0</v>
      </c>
      <c r="AF76" s="434">
        <f t="shared" si="104"/>
        <v>0</v>
      </c>
      <c r="AG76" s="434">
        <f t="shared" si="104"/>
        <v>0</v>
      </c>
      <c r="AH76" s="434">
        <f t="shared" si="104"/>
        <v>0</v>
      </c>
      <c r="AI76" s="434">
        <f t="shared" si="104"/>
        <v>0</v>
      </c>
      <c r="AJ76" s="434">
        <f t="shared" si="104"/>
        <v>0</v>
      </c>
      <c r="AK76" s="434">
        <f t="shared" si="104"/>
        <v>0</v>
      </c>
      <c r="AL76" s="434">
        <f t="shared" si="104"/>
        <v>0</v>
      </c>
      <c r="AM76" s="434">
        <f t="shared" si="104"/>
        <v>0</v>
      </c>
      <c r="AN76" s="434">
        <f t="shared" si="104"/>
        <v>0</v>
      </c>
      <c r="AO76" s="434">
        <f t="shared" si="104"/>
        <v>0</v>
      </c>
      <c r="AP76" s="434">
        <f t="shared" si="104"/>
        <v>0</v>
      </c>
      <c r="AQ76" s="434">
        <f t="shared" si="104"/>
        <v>0</v>
      </c>
      <c r="AR76" s="434">
        <f t="shared" si="104"/>
        <v>0</v>
      </c>
      <c r="AS76" s="434">
        <f t="shared" si="104"/>
        <v>0</v>
      </c>
      <c r="AT76" s="434">
        <f t="shared" si="104"/>
        <v>0</v>
      </c>
      <c r="AU76" s="434">
        <f t="shared" si="99"/>
        <v>0</v>
      </c>
      <c r="AV76" s="434">
        <f t="shared" si="99"/>
        <v>0</v>
      </c>
      <c r="AW76" s="434">
        <f t="shared" si="99"/>
        <v>0</v>
      </c>
      <c r="AX76" s="434">
        <f t="shared" si="99"/>
        <v>0</v>
      </c>
      <c r="AY76" s="434">
        <f t="shared" si="99"/>
        <v>0</v>
      </c>
      <c r="AZ76" s="434">
        <f t="shared" si="99"/>
        <v>0</v>
      </c>
      <c r="BA76" s="434">
        <f t="shared" si="99"/>
        <v>0</v>
      </c>
      <c r="BB76" s="434">
        <f t="shared" si="99"/>
        <v>0</v>
      </c>
      <c r="BC76" s="434">
        <f t="shared" si="99"/>
        <v>0</v>
      </c>
      <c r="BD76" s="434">
        <f t="shared" si="99"/>
        <v>0</v>
      </c>
    </row>
    <row r="77" spans="1:56" ht="18" customHeight="1" thickBot="1" x14ac:dyDescent="0.45">
      <c r="A77" s="193" t="str">
        <f>'EEM Data Entry'!A152</f>
        <v/>
      </c>
      <c r="B77" s="475" t="str">
        <f>IF('Cascading Qualifying Test'!B67="  ","  ", 'EEM Data Entry'!B152)</f>
        <v/>
      </c>
      <c r="C77" s="477" t="str">
        <f>'EEM Data Entry'!F152</f>
        <v/>
      </c>
      <c r="D77" s="477">
        <v>0</v>
      </c>
      <c r="E77" s="476" t="e">
        <f t="shared" si="94"/>
        <v>#VALUE!</v>
      </c>
      <c r="F77" s="478">
        <f>('Savings Summary'!D80*'Savings Summary'!D$5)+('Savings Summary'!F80*'Savings Summary'!F$5)+('Savings Summary'!H80*'Savings Summary'!H$5)+('Savings Summary'!J80*'Savings Summary'!J$5)+('Savings Summary'!L80*'Savings Summary'!L$5)+('Savings Summary'!N80*'Savings Summary'!N$5)+('Savings Summary'!P80*'Savings Summary'!P$5)+('Savings Summary'!R80*'Savings Summary'!R$5)</f>
        <v>0</v>
      </c>
      <c r="G77" s="486">
        <f>'Savings Summary'!T80</f>
        <v>0</v>
      </c>
      <c r="H77" s="480" t="e">
        <f t="shared" si="103"/>
        <v>#VALUE!</v>
      </c>
      <c r="I77" s="481" t="e">
        <f t="shared" si="95"/>
        <v>#VALUE!</v>
      </c>
      <c r="J77" s="427" t="e">
        <f t="shared" si="102"/>
        <v>#VALUE!</v>
      </c>
      <c r="K77" s="428" t="e">
        <f t="shared" si="96"/>
        <v>#VALUE!</v>
      </c>
      <c r="L77" s="509" t="str">
        <f>'Cascading Cap Cost &amp; Savings'!L70</f>
        <v/>
      </c>
      <c r="M77" s="225">
        <f>'Cascading Savings'!D80</f>
        <v>0</v>
      </c>
      <c r="N77" s="225">
        <f>'Cascading Savings'!H76+'Cascading Savings'!F76+'Cascading Savings'!J76</f>
        <v>0</v>
      </c>
      <c r="P77" s="434" t="e">
        <f t="shared" si="97"/>
        <v>#VALUE!</v>
      </c>
      <c r="Q77" s="434">
        <f t="shared" si="100"/>
        <v>0</v>
      </c>
      <c r="R77" s="434">
        <f t="shared" si="101"/>
        <v>0</v>
      </c>
      <c r="S77" s="434">
        <f t="shared" si="104"/>
        <v>0</v>
      </c>
      <c r="T77" s="434">
        <f t="shared" si="104"/>
        <v>0</v>
      </c>
      <c r="U77" s="434">
        <f t="shared" si="104"/>
        <v>0</v>
      </c>
      <c r="V77" s="434">
        <f t="shared" si="104"/>
        <v>0</v>
      </c>
      <c r="W77" s="434">
        <f t="shared" si="104"/>
        <v>0</v>
      </c>
      <c r="X77" s="434">
        <f t="shared" si="104"/>
        <v>0</v>
      </c>
      <c r="Y77" s="434">
        <f t="shared" si="104"/>
        <v>0</v>
      </c>
      <c r="Z77" s="434">
        <f t="shared" si="104"/>
        <v>0</v>
      </c>
      <c r="AA77" s="434">
        <f t="shared" si="104"/>
        <v>0</v>
      </c>
      <c r="AB77" s="434">
        <f t="shared" si="104"/>
        <v>0</v>
      </c>
      <c r="AC77" s="434">
        <f t="shared" si="104"/>
        <v>0</v>
      </c>
      <c r="AD77" s="434">
        <f t="shared" si="104"/>
        <v>0</v>
      </c>
      <c r="AE77" s="434">
        <f t="shared" si="104"/>
        <v>0</v>
      </c>
      <c r="AF77" s="434">
        <f t="shared" si="104"/>
        <v>0</v>
      </c>
      <c r="AG77" s="434">
        <f t="shared" si="104"/>
        <v>0</v>
      </c>
      <c r="AH77" s="434">
        <f t="shared" si="104"/>
        <v>0</v>
      </c>
      <c r="AI77" s="434">
        <f t="shared" si="104"/>
        <v>0</v>
      </c>
      <c r="AJ77" s="434">
        <f t="shared" si="104"/>
        <v>0</v>
      </c>
      <c r="AK77" s="434">
        <f t="shared" si="104"/>
        <v>0</v>
      </c>
      <c r="AL77" s="434">
        <f t="shared" si="104"/>
        <v>0</v>
      </c>
      <c r="AM77" s="434">
        <f t="shared" si="104"/>
        <v>0</v>
      </c>
      <c r="AN77" s="434">
        <f t="shared" si="104"/>
        <v>0</v>
      </c>
      <c r="AO77" s="434">
        <f t="shared" si="104"/>
        <v>0</v>
      </c>
      <c r="AP77" s="434">
        <f t="shared" si="104"/>
        <v>0</v>
      </c>
      <c r="AQ77" s="434">
        <f t="shared" si="104"/>
        <v>0</v>
      </c>
      <c r="AR77" s="434">
        <f t="shared" si="104"/>
        <v>0</v>
      </c>
      <c r="AS77" s="434">
        <f t="shared" si="104"/>
        <v>0</v>
      </c>
      <c r="AT77" s="434">
        <f t="shared" si="104"/>
        <v>0</v>
      </c>
      <c r="AU77" s="434">
        <f t="shared" si="99"/>
        <v>0</v>
      </c>
      <c r="AV77" s="434">
        <f t="shared" si="99"/>
        <v>0</v>
      </c>
      <c r="AW77" s="434">
        <f t="shared" si="99"/>
        <v>0</v>
      </c>
      <c r="AX77" s="434">
        <f t="shared" si="99"/>
        <v>0</v>
      </c>
      <c r="AY77" s="434">
        <f t="shared" si="99"/>
        <v>0</v>
      </c>
      <c r="AZ77" s="434">
        <f t="shared" si="99"/>
        <v>0</v>
      </c>
      <c r="BA77" s="434">
        <f t="shared" si="99"/>
        <v>0</v>
      </c>
      <c r="BB77" s="434">
        <f t="shared" si="99"/>
        <v>0</v>
      </c>
      <c r="BC77" s="434">
        <f t="shared" si="99"/>
        <v>0</v>
      </c>
      <c r="BD77" s="434">
        <f t="shared" si="99"/>
        <v>0</v>
      </c>
    </row>
    <row r="78" spans="1:56" ht="18" customHeight="1" thickBot="1" x14ac:dyDescent="0.45">
      <c r="A78" s="193" t="str">
        <f>'EEM Data Entry'!A153</f>
        <v/>
      </c>
      <c r="B78" s="475" t="str">
        <f>IF('Cascading Qualifying Test'!B68="  ","  ", 'EEM Data Entry'!B153)</f>
        <v/>
      </c>
      <c r="C78" s="477" t="str">
        <f>'EEM Data Entry'!F153</f>
        <v/>
      </c>
      <c r="D78" s="477">
        <v>0</v>
      </c>
      <c r="E78" s="476" t="e">
        <f t="shared" si="94"/>
        <v>#VALUE!</v>
      </c>
      <c r="F78" s="478">
        <f>('Savings Summary'!D81*'Savings Summary'!D$5)+('Savings Summary'!F81*'Savings Summary'!F$5)+('Savings Summary'!H81*'Savings Summary'!H$5)+('Savings Summary'!J81*'Savings Summary'!J$5)+('Savings Summary'!L81*'Savings Summary'!L$5)+('Savings Summary'!N81*'Savings Summary'!N$5)+('Savings Summary'!P81*'Savings Summary'!P$5)+('Savings Summary'!R81*'Savings Summary'!R$5)</f>
        <v>0</v>
      </c>
      <c r="G78" s="486">
        <f>'Savings Summary'!T81</f>
        <v>0</v>
      </c>
      <c r="H78" s="480" t="e">
        <f t="shared" si="103"/>
        <v>#VALUE!</v>
      </c>
      <c r="I78" s="481" t="e">
        <f t="shared" si="95"/>
        <v>#VALUE!</v>
      </c>
      <c r="J78" s="427" t="e">
        <f t="shared" si="102"/>
        <v>#VALUE!</v>
      </c>
      <c r="K78" s="428" t="e">
        <f t="shared" si="96"/>
        <v>#VALUE!</v>
      </c>
      <c r="L78" s="398" t="str">
        <f>'Cascading Cap Cost &amp; Savings'!L71</f>
        <v/>
      </c>
      <c r="M78" s="225">
        <f>'Cascading Savings'!D81</f>
        <v>0</v>
      </c>
      <c r="N78" s="225">
        <f>'Cascading Savings'!H77+'Cascading Savings'!F77+'Cascading Savings'!J77</f>
        <v>0</v>
      </c>
      <c r="P78" s="434" t="e">
        <f t="shared" si="97"/>
        <v>#VALUE!</v>
      </c>
      <c r="Q78" s="434">
        <f t="shared" si="100"/>
        <v>0</v>
      </c>
      <c r="R78" s="434">
        <f t="shared" si="101"/>
        <v>0</v>
      </c>
      <c r="S78" s="434">
        <f t="shared" si="104"/>
        <v>0</v>
      </c>
      <c r="T78" s="434">
        <f t="shared" si="104"/>
        <v>0</v>
      </c>
      <c r="U78" s="434">
        <f t="shared" si="104"/>
        <v>0</v>
      </c>
      <c r="V78" s="434">
        <f t="shared" si="104"/>
        <v>0</v>
      </c>
      <c r="W78" s="434">
        <f t="shared" si="104"/>
        <v>0</v>
      </c>
      <c r="X78" s="434">
        <f t="shared" si="104"/>
        <v>0</v>
      </c>
      <c r="Y78" s="434">
        <f t="shared" si="104"/>
        <v>0</v>
      </c>
      <c r="Z78" s="434">
        <f t="shared" si="104"/>
        <v>0</v>
      </c>
      <c r="AA78" s="434">
        <f t="shared" si="104"/>
        <v>0</v>
      </c>
      <c r="AB78" s="434">
        <f t="shared" si="104"/>
        <v>0</v>
      </c>
      <c r="AC78" s="434">
        <f t="shared" si="104"/>
        <v>0</v>
      </c>
      <c r="AD78" s="434">
        <f t="shared" si="104"/>
        <v>0</v>
      </c>
      <c r="AE78" s="434">
        <f t="shared" si="104"/>
        <v>0</v>
      </c>
      <c r="AF78" s="434">
        <f t="shared" si="104"/>
        <v>0</v>
      </c>
      <c r="AG78" s="434">
        <f t="shared" si="104"/>
        <v>0</v>
      </c>
      <c r="AH78" s="434">
        <f t="shared" si="104"/>
        <v>0</v>
      </c>
      <c r="AI78" s="434">
        <f t="shared" si="104"/>
        <v>0</v>
      </c>
      <c r="AJ78" s="434">
        <f t="shared" si="104"/>
        <v>0</v>
      </c>
      <c r="AK78" s="434">
        <f t="shared" si="104"/>
        <v>0</v>
      </c>
      <c r="AL78" s="434">
        <f t="shared" si="104"/>
        <v>0</v>
      </c>
      <c r="AM78" s="434">
        <f t="shared" si="104"/>
        <v>0</v>
      </c>
      <c r="AN78" s="434">
        <f t="shared" si="104"/>
        <v>0</v>
      </c>
      <c r="AO78" s="434">
        <f t="shared" si="104"/>
        <v>0</v>
      </c>
      <c r="AP78" s="434">
        <f t="shared" si="104"/>
        <v>0</v>
      </c>
      <c r="AQ78" s="434">
        <f t="shared" si="104"/>
        <v>0</v>
      </c>
      <c r="AR78" s="434">
        <f t="shared" si="104"/>
        <v>0</v>
      </c>
      <c r="AS78" s="434">
        <f t="shared" si="104"/>
        <v>0</v>
      </c>
      <c r="AT78" s="434">
        <f t="shared" si="104"/>
        <v>0</v>
      </c>
      <c r="AU78" s="434">
        <f t="shared" si="99"/>
        <v>0</v>
      </c>
      <c r="AV78" s="434">
        <f t="shared" si="99"/>
        <v>0</v>
      </c>
      <c r="AW78" s="434">
        <f t="shared" si="99"/>
        <v>0</v>
      </c>
      <c r="AX78" s="434">
        <f t="shared" si="99"/>
        <v>0</v>
      </c>
      <c r="AY78" s="434">
        <f t="shared" si="99"/>
        <v>0</v>
      </c>
      <c r="AZ78" s="434">
        <f t="shared" si="99"/>
        <v>0</v>
      </c>
      <c r="BA78" s="434">
        <f t="shared" si="99"/>
        <v>0</v>
      </c>
      <c r="BB78" s="434">
        <f t="shared" si="99"/>
        <v>0</v>
      </c>
      <c r="BC78" s="434">
        <f t="shared" si="99"/>
        <v>0</v>
      </c>
      <c r="BD78" s="434">
        <f t="shared" si="99"/>
        <v>0</v>
      </c>
    </row>
    <row r="79" spans="1:56" ht="18" customHeight="1" thickBot="1" x14ac:dyDescent="0.45">
      <c r="A79" s="193" t="str">
        <f>'EEM Data Entry'!A154</f>
        <v/>
      </c>
      <c r="B79" s="475" t="str">
        <f>IF('Cascading Qualifying Test'!B69="  ","  ", 'EEM Data Entry'!B154)</f>
        <v/>
      </c>
      <c r="C79" s="477" t="str">
        <f>'EEM Data Entry'!F154</f>
        <v/>
      </c>
      <c r="D79" s="477">
        <v>0</v>
      </c>
      <c r="E79" s="476" t="e">
        <f t="shared" si="94"/>
        <v>#VALUE!</v>
      </c>
      <c r="F79" s="478">
        <f>('Savings Summary'!D82*'Savings Summary'!D$5)+('Savings Summary'!F82*'Savings Summary'!F$5)+('Savings Summary'!H82*'Savings Summary'!H$5)+('Savings Summary'!J82*'Savings Summary'!J$5)+('Savings Summary'!L82*'Savings Summary'!L$5)+('Savings Summary'!N82*'Savings Summary'!N$5)+('Savings Summary'!P82*'Savings Summary'!P$5)+('Savings Summary'!R82*'Savings Summary'!R$5)</f>
        <v>0</v>
      </c>
      <c r="G79" s="486">
        <f>'Savings Summary'!T82</f>
        <v>0</v>
      </c>
      <c r="H79" s="480" t="e">
        <f t="shared" si="103"/>
        <v>#VALUE!</v>
      </c>
      <c r="I79" s="481" t="e">
        <f t="shared" si="95"/>
        <v>#VALUE!</v>
      </c>
      <c r="J79" s="427" t="e">
        <f t="shared" si="102"/>
        <v>#VALUE!</v>
      </c>
      <c r="K79" s="428" t="e">
        <f>NPV(0.05,P79:AT79)</f>
        <v>#VALUE!</v>
      </c>
      <c r="L79" s="509" t="str">
        <f>'Cascading Cap Cost &amp; Savings'!L72</f>
        <v/>
      </c>
      <c r="M79" s="225">
        <f>'Cascading Savings'!D82</f>
        <v>0</v>
      </c>
      <c r="N79" s="225">
        <f>'Cascading Savings'!H83+'Cascading Savings'!F83+'Cascading Savings'!J83</f>
        <v>0</v>
      </c>
      <c r="P79" s="434" t="e">
        <f t="shared" si="97"/>
        <v>#VALUE!</v>
      </c>
      <c r="Q79" s="434">
        <f t="shared" si="100"/>
        <v>0</v>
      </c>
      <c r="R79" s="434">
        <f t="shared" si="101"/>
        <v>0</v>
      </c>
      <c r="S79" s="434">
        <f t="shared" si="104"/>
        <v>0</v>
      </c>
      <c r="T79" s="434">
        <f t="shared" si="104"/>
        <v>0</v>
      </c>
      <c r="U79" s="434">
        <f t="shared" si="104"/>
        <v>0</v>
      </c>
      <c r="V79" s="434">
        <f t="shared" si="104"/>
        <v>0</v>
      </c>
      <c r="W79" s="434">
        <f t="shared" si="104"/>
        <v>0</v>
      </c>
      <c r="X79" s="434">
        <f t="shared" si="104"/>
        <v>0</v>
      </c>
      <c r="Y79" s="434">
        <f t="shared" si="104"/>
        <v>0</v>
      </c>
      <c r="Z79" s="434">
        <f t="shared" si="104"/>
        <v>0</v>
      </c>
      <c r="AA79" s="434">
        <f t="shared" si="104"/>
        <v>0</v>
      </c>
      <c r="AB79" s="434">
        <f t="shared" si="104"/>
        <v>0</v>
      </c>
      <c r="AC79" s="434">
        <f t="shared" si="104"/>
        <v>0</v>
      </c>
      <c r="AD79" s="434">
        <f t="shared" si="104"/>
        <v>0</v>
      </c>
      <c r="AE79" s="434">
        <f t="shared" si="104"/>
        <v>0</v>
      </c>
      <c r="AF79" s="434">
        <f t="shared" si="104"/>
        <v>0</v>
      </c>
      <c r="AG79" s="434">
        <f t="shared" si="104"/>
        <v>0</v>
      </c>
      <c r="AH79" s="434">
        <f t="shared" si="104"/>
        <v>0</v>
      </c>
      <c r="AI79" s="434">
        <f t="shared" si="104"/>
        <v>0</v>
      </c>
      <c r="AJ79" s="434">
        <f t="shared" si="104"/>
        <v>0</v>
      </c>
      <c r="AK79" s="434">
        <f t="shared" si="104"/>
        <v>0</v>
      </c>
      <c r="AL79" s="434">
        <f t="shared" si="104"/>
        <v>0</v>
      </c>
      <c r="AM79" s="434">
        <f t="shared" si="104"/>
        <v>0</v>
      </c>
      <c r="AN79" s="434">
        <f t="shared" si="104"/>
        <v>0</v>
      </c>
      <c r="AO79" s="434">
        <f t="shared" si="104"/>
        <v>0</v>
      </c>
      <c r="AP79" s="434">
        <f t="shared" si="104"/>
        <v>0</v>
      </c>
      <c r="AQ79" s="434">
        <f t="shared" si="104"/>
        <v>0</v>
      </c>
      <c r="AR79" s="434">
        <f t="shared" si="104"/>
        <v>0</v>
      </c>
      <c r="AS79" s="434">
        <f t="shared" si="104"/>
        <v>0</v>
      </c>
      <c r="AT79" s="434">
        <f t="shared" si="104"/>
        <v>0</v>
      </c>
      <c r="AU79" s="434">
        <f t="shared" si="99"/>
        <v>0</v>
      </c>
      <c r="AV79" s="434">
        <f t="shared" si="99"/>
        <v>0</v>
      </c>
      <c r="AW79" s="434">
        <f t="shared" si="99"/>
        <v>0</v>
      </c>
      <c r="AX79" s="434">
        <f t="shared" si="99"/>
        <v>0</v>
      </c>
      <c r="AY79" s="434">
        <f t="shared" si="99"/>
        <v>0</v>
      </c>
      <c r="AZ79" s="434">
        <f t="shared" si="99"/>
        <v>0</v>
      </c>
      <c r="BA79" s="434">
        <f t="shared" si="99"/>
        <v>0</v>
      </c>
      <c r="BB79" s="434">
        <f t="shared" si="99"/>
        <v>0</v>
      </c>
      <c r="BC79" s="434">
        <f t="shared" si="99"/>
        <v>0</v>
      </c>
      <c r="BD79" s="434">
        <f t="shared" si="99"/>
        <v>0</v>
      </c>
    </row>
    <row r="80" spans="1:56" ht="18" customHeight="1" x14ac:dyDescent="0.3">
      <c r="A80" s="198"/>
      <c r="B80" s="487"/>
      <c r="C80" s="488"/>
      <c r="D80" s="488"/>
      <c r="E80" s="488"/>
      <c r="F80" s="489"/>
      <c r="G80" s="490"/>
      <c r="H80" s="491"/>
      <c r="I80" s="437"/>
      <c r="J80" s="417"/>
      <c r="K80" s="418"/>
      <c r="L80" s="148"/>
      <c r="P80" s="435"/>
      <c r="Q80" s="433">
        <v>1</v>
      </c>
      <c r="R80" s="433">
        <v>2</v>
      </c>
      <c r="S80" s="433">
        <v>3</v>
      </c>
      <c r="T80" s="433">
        <v>4</v>
      </c>
      <c r="U80" s="433">
        <v>5</v>
      </c>
      <c r="V80" s="433">
        <v>6</v>
      </c>
      <c r="W80" s="433">
        <v>7</v>
      </c>
      <c r="X80" s="433">
        <v>8</v>
      </c>
      <c r="Y80" s="433">
        <v>9</v>
      </c>
      <c r="Z80" s="433">
        <v>10</v>
      </c>
      <c r="AA80" s="433">
        <v>11</v>
      </c>
      <c r="AB80" s="433">
        <v>12</v>
      </c>
      <c r="AC80" s="433">
        <v>13</v>
      </c>
      <c r="AD80" s="433">
        <v>14</v>
      </c>
      <c r="AE80" s="433">
        <v>15</v>
      </c>
      <c r="AF80" s="433">
        <v>16</v>
      </c>
      <c r="AG80" s="433">
        <v>17</v>
      </c>
      <c r="AH80" s="433">
        <v>18</v>
      </c>
      <c r="AI80" s="433">
        <v>19</v>
      </c>
      <c r="AJ80" s="433">
        <v>20</v>
      </c>
      <c r="AK80" s="433">
        <v>21</v>
      </c>
      <c r="AL80" s="433">
        <v>22</v>
      </c>
      <c r="AM80" s="433">
        <v>23</v>
      </c>
      <c r="AN80" s="433">
        <v>24</v>
      </c>
      <c r="AO80" s="433">
        <v>25</v>
      </c>
      <c r="AP80" s="433">
        <v>26</v>
      </c>
      <c r="AQ80" s="433">
        <v>27</v>
      </c>
      <c r="AR80" s="433">
        <v>28</v>
      </c>
      <c r="AS80" s="433">
        <v>29</v>
      </c>
      <c r="AT80" s="433">
        <v>30</v>
      </c>
      <c r="AU80" s="433">
        <v>31</v>
      </c>
      <c r="AV80" s="433">
        <v>32</v>
      </c>
      <c r="AW80" s="433">
        <v>33</v>
      </c>
      <c r="AX80" s="433">
        <v>34</v>
      </c>
      <c r="AY80" s="433">
        <v>35</v>
      </c>
      <c r="AZ80" s="433">
        <v>36</v>
      </c>
      <c r="BA80" s="433">
        <v>37</v>
      </c>
      <c r="BB80" s="433">
        <v>38</v>
      </c>
      <c r="BC80" s="433">
        <v>39</v>
      </c>
      <c r="BD80" s="433">
        <v>40</v>
      </c>
    </row>
    <row r="81" spans="1:56" ht="31.5" customHeight="1" thickBot="1" x14ac:dyDescent="0.35">
      <c r="A81" s="198"/>
      <c r="B81" s="492" t="s">
        <v>141</v>
      </c>
      <c r="C81" s="493">
        <f>SUM(C7:C30,C33:C46,C49:C63,C66:C79)</f>
        <v>0</v>
      </c>
      <c r="D81" s="493">
        <f>SUM(D7:D30,D33:D46,D49:D63,D66:D79)</f>
        <v>0</v>
      </c>
      <c r="E81" s="493" t="e">
        <f>SUM(E7:E30,E33:E46,E49:E63,E66:E79)</f>
        <v>#VALUE!</v>
      </c>
      <c r="F81" s="493">
        <f>SUM(F7:F30,F33:F46,F49:F63,F66:F79)</f>
        <v>0</v>
      </c>
      <c r="G81" s="494">
        <f>SUM(G7:G30,G33:G46,G49:G63,G66:G79)</f>
        <v>0</v>
      </c>
      <c r="H81" s="495" t="str">
        <f>IF(C81=0,"n/a",E81/F81)</f>
        <v>n/a</v>
      </c>
      <c r="I81" s="496" t="str">
        <f>IF(H81=0, "n/a", IF(H81&gt;100, "no",IF(H81&lt;0, "no", "yes")))</f>
        <v>no</v>
      </c>
      <c r="J81" s="429" t="e">
        <f>IRR(P81:AT81,0.1)</f>
        <v>#VALUE!</v>
      </c>
      <c r="K81" s="430" t="e">
        <f>NPV(0.05,P66:AT66)</f>
        <v>#VALUE!</v>
      </c>
      <c r="L81" s="148"/>
      <c r="P81" s="434" t="e">
        <f>-E81</f>
        <v>#VALUE!</v>
      </c>
      <c r="Q81" s="434">
        <f>F81</f>
        <v>0</v>
      </c>
      <c r="R81" s="434">
        <f>Q81*1.05</f>
        <v>0</v>
      </c>
      <c r="S81" s="434">
        <f>R81*1.05</f>
        <v>0</v>
      </c>
      <c r="T81" s="434">
        <f t="shared" ref="T81:AR82" si="105">S81*1.05</f>
        <v>0</v>
      </c>
      <c r="U81" s="434">
        <f t="shared" si="105"/>
        <v>0</v>
      </c>
      <c r="V81" s="434">
        <f t="shared" si="105"/>
        <v>0</v>
      </c>
      <c r="W81" s="434">
        <f t="shared" si="105"/>
        <v>0</v>
      </c>
      <c r="X81" s="434">
        <f t="shared" si="105"/>
        <v>0</v>
      </c>
      <c r="Y81" s="434">
        <f t="shared" si="105"/>
        <v>0</v>
      </c>
      <c r="Z81" s="434">
        <f t="shared" si="105"/>
        <v>0</v>
      </c>
      <c r="AA81" s="434">
        <f t="shared" si="105"/>
        <v>0</v>
      </c>
      <c r="AB81" s="434">
        <f t="shared" si="105"/>
        <v>0</v>
      </c>
      <c r="AC81" s="434">
        <f t="shared" si="105"/>
        <v>0</v>
      </c>
      <c r="AD81" s="434">
        <f t="shared" si="105"/>
        <v>0</v>
      </c>
      <c r="AE81" s="434">
        <f t="shared" si="105"/>
        <v>0</v>
      </c>
      <c r="AF81" s="434">
        <f t="shared" si="105"/>
        <v>0</v>
      </c>
      <c r="AG81" s="434">
        <f t="shared" si="105"/>
        <v>0</v>
      </c>
      <c r="AH81" s="434">
        <f t="shared" si="105"/>
        <v>0</v>
      </c>
      <c r="AI81" s="434">
        <f t="shared" si="105"/>
        <v>0</v>
      </c>
      <c r="AJ81" s="434">
        <f t="shared" si="105"/>
        <v>0</v>
      </c>
      <c r="AK81" s="434">
        <f t="shared" si="105"/>
        <v>0</v>
      </c>
      <c r="AL81" s="434">
        <f t="shared" si="105"/>
        <v>0</v>
      </c>
      <c r="AM81" s="434">
        <f t="shared" si="105"/>
        <v>0</v>
      </c>
      <c r="AN81" s="434">
        <f t="shared" si="105"/>
        <v>0</v>
      </c>
      <c r="AO81" s="434">
        <f t="shared" si="105"/>
        <v>0</v>
      </c>
      <c r="AP81" s="434">
        <f t="shared" si="105"/>
        <v>0</v>
      </c>
      <c r="AQ81" s="434">
        <f t="shared" si="105"/>
        <v>0</v>
      </c>
      <c r="AR81" s="434">
        <f t="shared" si="105"/>
        <v>0</v>
      </c>
      <c r="AS81" s="434">
        <f t="shared" ref="AS81:AS82" si="106">AR81*1.05</f>
        <v>0</v>
      </c>
      <c r="AT81" s="434">
        <f t="shared" ref="AT81:AT82" si="107">AS81*1.05</f>
        <v>0</v>
      </c>
      <c r="AU81" s="434">
        <f t="shared" ref="AU81:AU82" si="108">AT81*1.05</f>
        <v>0</v>
      </c>
      <c r="AV81" s="434">
        <f t="shared" ref="AV81:AV82" si="109">AU81*1.05</f>
        <v>0</v>
      </c>
      <c r="AW81" s="434">
        <f t="shared" ref="AW81:AW82" si="110">AV81*1.05</f>
        <v>0</v>
      </c>
      <c r="AX81" s="434">
        <f t="shared" ref="AX81:AX82" si="111">AW81*1.05</f>
        <v>0</v>
      </c>
      <c r="AY81" s="434">
        <f t="shared" ref="AY81:AY82" si="112">AX81*1.05</f>
        <v>0</v>
      </c>
      <c r="AZ81" s="434">
        <f t="shared" ref="AZ81:AZ82" si="113">AY81*1.05</f>
        <v>0</v>
      </c>
      <c r="BA81" s="434">
        <f t="shared" ref="BA81:BA82" si="114">AZ81*1.05</f>
        <v>0</v>
      </c>
      <c r="BB81" s="434">
        <f t="shared" ref="BB81:BB82" si="115">BA81*1.05</f>
        <v>0</v>
      </c>
      <c r="BC81" s="434">
        <f t="shared" ref="BC81:BC82" si="116">BB81*1.05</f>
        <v>0</v>
      </c>
      <c r="BD81" s="434">
        <f t="shared" ref="BD81:BD82" si="117">BC81*1.05</f>
        <v>0</v>
      </c>
    </row>
    <row r="82" spans="1:56" ht="27.5" customHeight="1" thickBot="1" x14ac:dyDescent="0.35">
      <c r="A82" s="153"/>
      <c r="B82" s="492" t="s">
        <v>162</v>
      </c>
      <c r="C82" s="497">
        <f>SUM(C7:C30,C33:C46,C49:C63)</f>
        <v>0</v>
      </c>
      <c r="D82" s="497">
        <f>SUM(D8:D30,D34:D45,D50:D57,D67)</f>
        <v>0</v>
      </c>
      <c r="E82" s="497" t="e">
        <f>SUM(E7:E30,E33:E46,E49:E63)</f>
        <v>#VALUE!</v>
      </c>
      <c r="F82" s="497">
        <f>SUM(F7:F30,F33:F46,F49:F63)</f>
        <v>0</v>
      </c>
      <c r="G82" s="498">
        <f>SUM(G7:G30,G33:G46,G49:G63)</f>
        <v>0</v>
      </c>
      <c r="H82" s="499" t="str">
        <f>IF(C82=0,"n/a",E82/F82)</f>
        <v>n/a</v>
      </c>
      <c r="I82" s="496" t="str">
        <f>IF(H82=0, "n/a", IF(H82&gt;100, "no",IF(H82&lt;0, "no", "yes")))</f>
        <v>no</v>
      </c>
      <c r="J82" s="431" t="e">
        <f>IRR(P82:AT82,0.1)</f>
        <v>#VALUE!</v>
      </c>
      <c r="K82" s="432" t="e">
        <f>NPV(0.05,P67:AT67)</f>
        <v>#VALUE!</v>
      </c>
      <c r="L82" s="148"/>
      <c r="P82" s="434" t="e">
        <f>-E82</f>
        <v>#VALUE!</v>
      </c>
      <c r="Q82" s="434">
        <f t="shared" ref="Q82" si="118">F82</f>
        <v>0</v>
      </c>
      <c r="R82" s="434">
        <f t="shared" ref="R82:AG82" si="119">Q82*1.05</f>
        <v>0</v>
      </c>
      <c r="S82" s="434">
        <f t="shared" si="119"/>
        <v>0</v>
      </c>
      <c r="T82" s="434">
        <f t="shared" si="119"/>
        <v>0</v>
      </c>
      <c r="U82" s="434">
        <f t="shared" si="119"/>
        <v>0</v>
      </c>
      <c r="V82" s="434">
        <f t="shared" si="119"/>
        <v>0</v>
      </c>
      <c r="W82" s="434">
        <f t="shared" si="119"/>
        <v>0</v>
      </c>
      <c r="X82" s="434">
        <f t="shared" si="119"/>
        <v>0</v>
      </c>
      <c r="Y82" s="434">
        <f t="shared" si="119"/>
        <v>0</v>
      </c>
      <c r="Z82" s="434">
        <f t="shared" si="119"/>
        <v>0</v>
      </c>
      <c r="AA82" s="434">
        <f t="shared" si="119"/>
        <v>0</v>
      </c>
      <c r="AB82" s="434">
        <f t="shared" si="119"/>
        <v>0</v>
      </c>
      <c r="AC82" s="434">
        <f t="shared" si="119"/>
        <v>0</v>
      </c>
      <c r="AD82" s="434">
        <f t="shared" si="119"/>
        <v>0</v>
      </c>
      <c r="AE82" s="434">
        <f t="shared" si="119"/>
        <v>0</v>
      </c>
      <c r="AF82" s="434">
        <f t="shared" si="119"/>
        <v>0</v>
      </c>
      <c r="AG82" s="434">
        <f t="shared" si="119"/>
        <v>0</v>
      </c>
      <c r="AH82" s="434">
        <f t="shared" si="105"/>
        <v>0</v>
      </c>
      <c r="AI82" s="434">
        <f t="shared" si="105"/>
        <v>0</v>
      </c>
      <c r="AJ82" s="434">
        <f t="shared" si="105"/>
        <v>0</v>
      </c>
      <c r="AK82" s="434">
        <f t="shared" si="105"/>
        <v>0</v>
      </c>
      <c r="AL82" s="434">
        <f t="shared" si="105"/>
        <v>0</v>
      </c>
      <c r="AM82" s="434">
        <f t="shared" si="105"/>
        <v>0</v>
      </c>
      <c r="AN82" s="434">
        <f t="shared" si="105"/>
        <v>0</v>
      </c>
      <c r="AO82" s="434">
        <f t="shared" si="105"/>
        <v>0</v>
      </c>
      <c r="AP82" s="434">
        <f t="shared" si="105"/>
        <v>0</v>
      </c>
      <c r="AQ82" s="434">
        <f t="shared" si="105"/>
        <v>0</v>
      </c>
      <c r="AR82" s="434">
        <f t="shared" si="105"/>
        <v>0</v>
      </c>
      <c r="AS82" s="434">
        <f t="shared" si="106"/>
        <v>0</v>
      </c>
      <c r="AT82" s="434">
        <f t="shared" si="107"/>
        <v>0</v>
      </c>
      <c r="AU82" s="434">
        <f t="shared" si="108"/>
        <v>0</v>
      </c>
      <c r="AV82" s="434">
        <f t="shared" si="109"/>
        <v>0</v>
      </c>
      <c r="AW82" s="434">
        <f t="shared" si="110"/>
        <v>0</v>
      </c>
      <c r="AX82" s="434">
        <f t="shared" si="111"/>
        <v>0</v>
      </c>
      <c r="AY82" s="434">
        <f t="shared" si="112"/>
        <v>0</v>
      </c>
      <c r="AZ82" s="434">
        <f t="shared" si="113"/>
        <v>0</v>
      </c>
      <c r="BA82" s="434">
        <f t="shared" si="114"/>
        <v>0</v>
      </c>
      <c r="BB82" s="434">
        <f t="shared" si="115"/>
        <v>0</v>
      </c>
      <c r="BC82" s="434">
        <f t="shared" si="116"/>
        <v>0</v>
      </c>
      <c r="BD82" s="434">
        <f t="shared" si="117"/>
        <v>0</v>
      </c>
    </row>
    <row r="83" spans="1:56" ht="13" x14ac:dyDescent="0.3">
      <c r="A83" s="153"/>
      <c r="B83" s="156" t="s">
        <v>120</v>
      </c>
      <c r="C83" s="152"/>
      <c r="D83" s="152"/>
      <c r="E83" s="152"/>
      <c r="F83" s="152" t="s">
        <v>148</v>
      </c>
      <c r="G83" s="152"/>
      <c r="H83" s="152"/>
      <c r="I83" s="152"/>
      <c r="J83" s="502"/>
      <c r="K83" s="502"/>
      <c r="L83" s="148"/>
    </row>
    <row r="84" spans="1:56" ht="13" x14ac:dyDescent="0.3">
      <c r="A84" s="152"/>
      <c r="B84" s="148"/>
      <c r="C84" s="152"/>
      <c r="D84" s="152"/>
      <c r="E84" s="152"/>
      <c r="F84" s="152"/>
      <c r="G84" s="152"/>
      <c r="H84" s="152"/>
      <c r="I84" s="152"/>
      <c r="J84" s="152"/>
      <c r="K84" s="152"/>
      <c r="L84" s="148"/>
    </row>
    <row r="85" spans="1:56" ht="13" x14ac:dyDescent="0.3">
      <c r="A85" s="152"/>
      <c r="B85" s="148"/>
      <c r="C85" s="152"/>
      <c r="D85" s="152"/>
      <c r="E85" s="152"/>
      <c r="F85" s="152"/>
      <c r="G85" s="152"/>
      <c r="H85" s="221" t="e">
        <f>(K2-195881)/K2</f>
        <v>#VALUE!</v>
      </c>
      <c r="I85" s="152"/>
      <c r="J85" s="152"/>
      <c r="K85" s="152"/>
    </row>
    <row r="86" spans="1:56" x14ac:dyDescent="0.25">
      <c r="A86" s="3"/>
      <c r="H86" s="222">
        <f>K3-F81</f>
        <v>0</v>
      </c>
      <c r="J86" s="223" t="e">
        <f>(K3-H86)/K3</f>
        <v>#DIV/0!</v>
      </c>
    </row>
    <row r="87" spans="1:56" x14ac:dyDescent="0.25">
      <c r="A87" s="3"/>
    </row>
    <row r="88" spans="1:56" x14ac:dyDescent="0.25">
      <c r="A88" s="3"/>
    </row>
    <row r="89" spans="1:56" x14ac:dyDescent="0.25">
      <c r="A89" s="3"/>
    </row>
    <row r="104" spans="4:4" ht="20" x14ac:dyDescent="0.4">
      <c r="D104" s="139"/>
    </row>
  </sheetData>
  <mergeCells count="9">
    <mergeCell ref="D1:E1"/>
    <mergeCell ref="F1:G1"/>
    <mergeCell ref="H1:I1"/>
    <mergeCell ref="J1:K1"/>
    <mergeCell ref="T1:U1"/>
    <mergeCell ref="L1:M1"/>
    <mergeCell ref="N1:O1"/>
    <mergeCell ref="P1:Q1"/>
    <mergeCell ref="R1:S1"/>
  </mergeCells>
  <printOptions horizontalCentered="1"/>
  <pageMargins left="0.25" right="0.25" top="0.25" bottom="0.25" header="0.05" footer="0.05"/>
  <pageSetup paperSize="17" scale="82" orientation="landscape" r:id="rId1"/>
  <headerFooter scaleWithDoc="0" alignWithMargins="0">
    <oddFooter>&amp;L© The Jordan Institute&amp;R Page 19</oddFooter>
  </headerFooter>
  <tableParts count="4">
    <tablePart r:id="rId2"/>
    <tablePart r:id="rId3"/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A1:V85"/>
  <sheetViews>
    <sheetView topLeftCell="A26" workbookViewId="0">
      <selection activeCell="C48" sqref="C48"/>
    </sheetView>
  </sheetViews>
  <sheetFormatPr defaultRowHeight="12.5" x14ac:dyDescent="0.25"/>
  <cols>
    <col min="1" max="1" width="3.36328125" customWidth="1"/>
    <col min="2" max="2" width="5.36328125" customWidth="1"/>
    <col min="3" max="3" width="61.36328125" customWidth="1"/>
    <col min="4" max="4" width="19.36328125" customWidth="1"/>
    <col min="5" max="19" width="12.7265625" customWidth="1"/>
    <col min="20" max="20" width="16.36328125" customWidth="1"/>
  </cols>
  <sheetData>
    <row r="1" spans="1:22" s="2" customFormat="1" ht="23.25" customHeight="1" x14ac:dyDescent="0.4">
      <c r="A1" s="30"/>
      <c r="B1" s="30"/>
      <c r="C1" s="29" t="s">
        <v>18</v>
      </c>
      <c r="D1" s="999" t="s">
        <v>0</v>
      </c>
      <c r="E1" s="999"/>
      <c r="F1" s="999" t="s">
        <v>1</v>
      </c>
      <c r="G1" s="999"/>
      <c r="H1" s="999" t="s">
        <v>2</v>
      </c>
      <c r="I1" s="999"/>
      <c r="J1" s="999" t="s">
        <v>3</v>
      </c>
      <c r="K1" s="999"/>
      <c r="L1" s="999" t="s">
        <v>62</v>
      </c>
      <c r="M1" s="999"/>
      <c r="N1" s="999" t="s">
        <v>23</v>
      </c>
      <c r="O1" s="999"/>
      <c r="P1" s="999" t="s">
        <v>26</v>
      </c>
      <c r="Q1" s="999"/>
      <c r="R1" s="999" t="s">
        <v>19</v>
      </c>
      <c r="S1" s="999"/>
      <c r="T1" s="999" t="s">
        <v>4</v>
      </c>
      <c r="U1" s="1005"/>
    </row>
    <row r="2" spans="1:22" s="2" customFormat="1" ht="15.75" customHeight="1" x14ac:dyDescent="0.35">
      <c r="A2" s="30"/>
      <c r="B2" s="30"/>
      <c r="C2" s="15" t="s">
        <v>5</v>
      </c>
      <c r="D2" s="135">
        <f>'Savings Summary'!D3</f>
        <v>0</v>
      </c>
      <c r="E2" s="136" t="s">
        <v>6</v>
      </c>
      <c r="F2" s="135">
        <f>'Savings Summary'!F3</f>
        <v>0</v>
      </c>
      <c r="G2" s="14" t="s">
        <v>7</v>
      </c>
      <c r="H2" s="133">
        <f>'Savings Summary'!H3</f>
        <v>0</v>
      </c>
      <c r="I2" s="14" t="s">
        <v>8</v>
      </c>
      <c r="J2" s="134">
        <f>'Savings Summary'!J3</f>
        <v>0</v>
      </c>
      <c r="K2" s="106" t="s">
        <v>89</v>
      </c>
      <c r="L2" s="13">
        <f>'Savings Summary'!L3</f>
        <v>0</v>
      </c>
      <c r="M2" s="5" t="s">
        <v>69</v>
      </c>
      <c r="N2" s="13">
        <f>'Savings Summary'!N3</f>
        <v>0</v>
      </c>
      <c r="O2" s="14" t="s">
        <v>24</v>
      </c>
      <c r="P2" s="13">
        <f>'Savings Summary'!P3</f>
        <v>0</v>
      </c>
      <c r="Q2" s="14" t="s">
        <v>24</v>
      </c>
      <c r="R2" s="13">
        <f>'Savings Summary'!R3</f>
        <v>0</v>
      </c>
      <c r="S2" s="5" t="s">
        <v>37</v>
      </c>
      <c r="T2" s="6">
        <f>(D2*3.412)+(F2*138.6905)+(H2*100)+(J2*91.6476)+(L2*1194)+(P2*9500)</f>
        <v>0</v>
      </c>
      <c r="U2" s="7" t="s">
        <v>21</v>
      </c>
    </row>
    <row r="3" spans="1:22" s="2" customFormat="1" ht="15" customHeight="1" x14ac:dyDescent="0.4">
      <c r="A3" s="30"/>
      <c r="B3" s="31"/>
      <c r="C3" s="16" t="s">
        <v>9</v>
      </c>
      <c r="D3" s="137">
        <f>'Savings Summary'!D4</f>
        <v>0</v>
      </c>
      <c r="E3" s="136" t="s">
        <v>10</v>
      </c>
      <c r="F3" s="504">
        <f>'Savings Summary'!F4</f>
        <v>0</v>
      </c>
      <c r="G3" s="14"/>
      <c r="H3" s="133">
        <f>'Savings Summary'!H4</f>
        <v>0</v>
      </c>
      <c r="I3" s="14"/>
      <c r="J3" s="134">
        <f>'Savings Summary'!J4</f>
        <v>0</v>
      </c>
      <c r="K3" s="14"/>
      <c r="L3" s="13">
        <f>'Savings Summary'!L4</f>
        <v>0</v>
      </c>
      <c r="M3" s="14"/>
      <c r="N3" s="13">
        <f>'Savings Summary'!N4</f>
        <v>0</v>
      </c>
      <c r="O3" s="14"/>
      <c r="P3" s="13">
        <f>'Savings Summary'!P4</f>
        <v>0</v>
      </c>
      <c r="Q3" s="14"/>
      <c r="R3" s="13">
        <f>'Savings Summary'!R4</f>
        <v>0</v>
      </c>
      <c r="S3" s="5"/>
      <c r="T3" s="1010">
        <f>D3+F3+H3+J3+L3+P3+R3</f>
        <v>0</v>
      </c>
      <c r="U3" s="1011"/>
    </row>
    <row r="4" spans="1:22" s="2" customFormat="1" ht="15" customHeight="1" thickBot="1" x14ac:dyDescent="0.45">
      <c r="A4" s="33"/>
      <c r="B4" s="32"/>
      <c r="C4" s="17" t="s">
        <v>11</v>
      </c>
      <c r="D4" s="8">
        <f>IF(D2=0,0,D3/D2)</f>
        <v>0</v>
      </c>
      <c r="E4" s="9" t="s">
        <v>12</v>
      </c>
      <c r="F4" s="8">
        <f>IF(F2=0,0,F3/F2)</f>
        <v>0</v>
      </c>
      <c r="G4" s="10" t="s">
        <v>13</v>
      </c>
      <c r="H4" s="8">
        <f>IF(H2=0,0,H3/H2)</f>
        <v>0</v>
      </c>
      <c r="I4" s="10" t="s">
        <v>14</v>
      </c>
      <c r="J4" s="8">
        <f>IF(J2=0,0,J3/J2)</f>
        <v>0</v>
      </c>
      <c r="K4" s="10" t="s">
        <v>13</v>
      </c>
      <c r="L4" s="8">
        <f>IF(L2=0,0,L3/L2)</f>
        <v>0</v>
      </c>
      <c r="M4" s="10" t="s">
        <v>70</v>
      </c>
      <c r="N4" s="8">
        <v>225</v>
      </c>
      <c r="O4" s="10" t="s">
        <v>25</v>
      </c>
      <c r="P4" s="8">
        <f>IF(P2=0,0,P3/P2)</f>
        <v>0</v>
      </c>
      <c r="Q4" s="10" t="s">
        <v>25</v>
      </c>
      <c r="R4" s="8">
        <f>IF(R2=0,0,R3/R2)</f>
        <v>0</v>
      </c>
      <c r="S4" s="10" t="s">
        <v>13</v>
      </c>
      <c r="T4" s="11"/>
      <c r="U4" s="12"/>
      <c r="V4" s="19"/>
    </row>
    <row r="5" spans="1:22" ht="26.5" thickBot="1" x14ac:dyDescent="0.3">
      <c r="A5" s="26"/>
      <c r="B5" s="1000" t="s">
        <v>33</v>
      </c>
      <c r="C5" s="1000"/>
      <c r="D5" s="1001" t="s">
        <v>29</v>
      </c>
      <c r="E5" s="1002"/>
      <c r="F5" s="1001" t="s">
        <v>30</v>
      </c>
      <c r="G5" s="1002"/>
      <c r="H5" s="1001" t="s">
        <v>31</v>
      </c>
      <c r="I5" s="1003"/>
      <c r="J5" s="1001" t="s">
        <v>32</v>
      </c>
      <c r="K5" s="1003"/>
      <c r="L5" s="1001" t="s">
        <v>71</v>
      </c>
      <c r="M5" s="1003"/>
      <c r="N5" s="1001" t="s">
        <v>27</v>
      </c>
      <c r="O5" s="1003"/>
      <c r="P5" s="1001" t="s">
        <v>28</v>
      </c>
      <c r="Q5" s="1003"/>
      <c r="R5" s="1001" t="s">
        <v>38</v>
      </c>
      <c r="S5" s="1004"/>
      <c r="T5" s="39" t="s">
        <v>15</v>
      </c>
      <c r="U5" s="18" t="s">
        <v>36</v>
      </c>
      <c r="V5" s="1" t="s">
        <v>134</v>
      </c>
    </row>
    <row r="6" spans="1:22" ht="13.5" thickBot="1" x14ac:dyDescent="0.35">
      <c r="A6" s="27"/>
      <c r="B6" s="25" t="str">
        <f>'EEM Data Entry'!A85</f>
        <v/>
      </c>
      <c r="C6" s="239" t="str">
        <f>'EEM Data Entry'!B85</f>
        <v/>
      </c>
      <c r="D6" s="179">
        <f>'Cascading Cap Cost &amp; Savings'!D3*$D$2</f>
        <v>0</v>
      </c>
      <c r="E6" s="132">
        <f>IF(D$2=0,0,D6/D$2)</f>
        <v>0</v>
      </c>
      <c r="F6" s="179">
        <f>'Cascading Cap Cost &amp; Savings'!E3*$F$2</f>
        <v>0</v>
      </c>
      <c r="G6" s="132">
        <f>IF(F$2=0,0,F6/F$2)</f>
        <v>0</v>
      </c>
      <c r="H6" s="179">
        <f>'Cascading Cap Cost &amp; Savings'!F3*'Cascading  for package'!$H$2</f>
        <v>0</v>
      </c>
      <c r="I6" s="132">
        <f>IF(H$2=0,0,H6/H$2)</f>
        <v>0</v>
      </c>
      <c r="J6" s="179">
        <f>'Cascading Cap Cost &amp; Savings'!G3*'Cascading  for package'!$J$2</f>
        <v>0</v>
      </c>
      <c r="K6" s="132">
        <f>IF(J$2=0,0,J6/J$2)</f>
        <v>0</v>
      </c>
      <c r="L6" s="179">
        <f>'Cascading Cap Cost &amp; Savings'!H3*'Cascading  for package'!$L$2</f>
        <v>0</v>
      </c>
      <c r="M6" s="132">
        <f>IF(L$2=0,0,L6/L$2)</f>
        <v>0</v>
      </c>
      <c r="N6" s="179">
        <f>'Cascading Cap Cost &amp; Savings'!I3*'Cascading  for package'!$N$2</f>
        <v>0</v>
      </c>
      <c r="O6" s="132">
        <f>IF(N$2=0,0,N6/N$2)</f>
        <v>0</v>
      </c>
      <c r="P6" s="179">
        <f>'Cascading Cap Cost &amp; Savings'!J3*'Cascading  for package'!$P$2</f>
        <v>0</v>
      </c>
      <c r="Q6" s="132">
        <f>IF(P$2=0,0,P6/P$2)</f>
        <v>0</v>
      </c>
      <c r="R6" s="179">
        <f>'Cascading Cap Cost &amp; Savings'!K3*'Cascading  for package'!$R$2</f>
        <v>0</v>
      </c>
      <c r="S6" s="132">
        <f>IF(R$2=0,0,R6/R$2)</f>
        <v>0</v>
      </c>
      <c r="T6" s="38">
        <f>(D6*3.412)+(F6*138.6905)+(H6*100)+(J6*91.6476)+(L6*1194)+(N6*16400)+(P6*9500)+(R6*0)</f>
        <v>0</v>
      </c>
      <c r="U6" s="22">
        <f>IF(T$2&gt;0, T6/T$2, 0)</f>
        <v>0</v>
      </c>
      <c r="V6" s="118" t="e">
        <f>'Individual Measure List'!I8</f>
        <v>#VALUE!</v>
      </c>
    </row>
    <row r="7" spans="1:22" ht="13.5" thickBot="1" x14ac:dyDescent="0.35">
      <c r="A7" s="27"/>
      <c r="B7" s="25" t="str">
        <f>'EEM Data Entry'!A86</f>
        <v/>
      </c>
      <c r="C7" s="239" t="str">
        <f>'EEM Data Entry'!B86</f>
        <v/>
      </c>
      <c r="D7" s="179">
        <f>'Cascading Cap Cost &amp; Savings'!D4*($D$2-D6)</f>
        <v>0</v>
      </c>
      <c r="E7" s="132">
        <f t="shared" ref="E7:G29" si="0">IF(D$2=0,0,D7/D$2)</f>
        <v>0</v>
      </c>
      <c r="F7" s="179">
        <f>'Cascading Cap Cost &amp; Savings'!E4*($F$2-F6)</f>
        <v>0</v>
      </c>
      <c r="G7" s="132">
        <f t="shared" si="0"/>
        <v>0</v>
      </c>
      <c r="H7" s="179">
        <f>'Cascading Cap Cost &amp; Savings'!F4*('Cascading  for package'!$H$2-H6)</f>
        <v>0</v>
      </c>
      <c r="I7" s="132">
        <f t="shared" ref="I7" si="1">IF(H$2=0,0,H7/H$2)</f>
        <v>0</v>
      </c>
      <c r="J7" s="179">
        <f>'Cascading Cap Cost &amp; Savings'!G4*('Cascading  for package'!$J$2-J6)</f>
        <v>0</v>
      </c>
      <c r="K7" s="132">
        <f t="shared" ref="K7" si="2">IF(J$2=0,0,J7/J$2)</f>
        <v>0</v>
      </c>
      <c r="L7" s="179">
        <f>'Cascading Cap Cost &amp; Savings'!H4*('Cascading  for package'!$L$2-L6)</f>
        <v>0</v>
      </c>
      <c r="M7" s="132">
        <f t="shared" ref="M7" si="3">IF(L$2=0,0,L7/L$2)</f>
        <v>0</v>
      </c>
      <c r="N7" s="179">
        <f>'Cascading Cap Cost &amp; Savings'!I4*('Cascading  for package'!$N$2-N6)</f>
        <v>0</v>
      </c>
      <c r="O7" s="132">
        <f t="shared" ref="O7" si="4">IF(N$2=0,0,N7/N$2)</f>
        <v>0</v>
      </c>
      <c r="P7" s="179">
        <f>'Cascading Cap Cost &amp; Savings'!J4*('Cascading  for package'!$P$2-P6)</f>
        <v>0</v>
      </c>
      <c r="Q7" s="132">
        <f t="shared" ref="Q7" si="5">IF(P$2=0,0,P7/P$2)</f>
        <v>0</v>
      </c>
      <c r="R7" s="179">
        <f>'Cascading Cap Cost &amp; Savings'!K4*('Cascading  for package'!$R$2-R6)</f>
        <v>0</v>
      </c>
      <c r="S7" s="132">
        <f t="shared" ref="S7" si="6">IF(R$2=0,0,R7/R$2)</f>
        <v>0</v>
      </c>
      <c r="T7" s="38">
        <f>(D7*3.412)+(F7*138.6905)+(H7*100)+(J7*91.6476)+(L7*1194)+(N7*16400)+(P7*9500)+(R7*0)</f>
        <v>0</v>
      </c>
      <c r="U7" s="22">
        <f>IF(T$2&gt;0,T7/ T$2, 0)</f>
        <v>0</v>
      </c>
      <c r="V7" s="118" t="e">
        <f>'Individual Measure List'!I9</f>
        <v>#VALUE!</v>
      </c>
    </row>
    <row r="8" spans="1:22" ht="13.5" thickBot="1" x14ac:dyDescent="0.35">
      <c r="A8" s="27"/>
      <c r="B8" s="25" t="str">
        <f>'EEM Data Entry'!A87</f>
        <v/>
      </c>
      <c r="C8" s="239" t="str">
        <f>'EEM Data Entry'!B87</f>
        <v/>
      </c>
      <c r="D8" s="179">
        <f>'Cascading Cap Cost &amp; Savings'!D5*($D$2-(SUM(D$6:D7)))</f>
        <v>0</v>
      </c>
      <c r="E8" s="132">
        <f t="shared" si="0"/>
        <v>0</v>
      </c>
      <c r="F8" s="179">
        <f>'Cascading Cap Cost &amp; Savings'!E5*($F$2-(SUM(F$6:F7)))</f>
        <v>0</v>
      </c>
      <c r="G8" s="132">
        <f t="shared" si="0"/>
        <v>0</v>
      </c>
      <c r="H8" s="179">
        <f>'Cascading Cap Cost &amp; Savings'!F5*('Cascading  for package'!$H$2-SUM(H$6:H7))</f>
        <v>0</v>
      </c>
      <c r="I8" s="132">
        <f t="shared" ref="I8" si="7">IF(H$2=0,0,H8/H$2)</f>
        <v>0</v>
      </c>
      <c r="J8" s="179">
        <f>'Cascading Cap Cost &amp; Savings'!G5*('Cascading  for package'!$J$2-SUM(J$6:J7))</f>
        <v>0</v>
      </c>
      <c r="K8" s="132">
        <f t="shared" ref="K8" si="8">IF(J$2=0,0,J8/J$2)</f>
        <v>0</v>
      </c>
      <c r="L8" s="179">
        <f>'Cascading Cap Cost &amp; Savings'!H5*('Cascading  for package'!$L$2-SUM(L$6:L7))</f>
        <v>0</v>
      </c>
      <c r="M8" s="132">
        <f t="shared" ref="M8" si="9">IF(L$2=0,0,L8/L$2)</f>
        <v>0</v>
      </c>
      <c r="N8" s="179">
        <f>'Cascading Cap Cost &amp; Savings'!I5*('Cascading  for package'!$N$2-SUM(N$6:N7))</f>
        <v>0</v>
      </c>
      <c r="O8" s="132">
        <f t="shared" ref="O8" si="10">IF(N$2=0,0,N8/N$2)</f>
        <v>0</v>
      </c>
      <c r="P8" s="179">
        <f>'Cascading Cap Cost &amp; Savings'!J5*('Cascading  for package'!$P$2-SUM(P$6:P7))</f>
        <v>0</v>
      </c>
      <c r="Q8" s="132">
        <f t="shared" ref="Q8" si="11">IF(P$2=0,0,P8/P$2)</f>
        <v>0</v>
      </c>
      <c r="R8" s="179">
        <f>'Cascading Cap Cost &amp; Savings'!K5*('Cascading  for package'!$R$2-SUM(R$6:R7))</f>
        <v>0</v>
      </c>
      <c r="S8" s="132">
        <f t="shared" ref="S8" si="12">IF(R$2=0,0,R8/R$2)</f>
        <v>0</v>
      </c>
      <c r="T8" s="38">
        <f>(D8*3.412)+(F8*138.6905)+(H8*100)+(J8*91.6476)+(L8*1194)+(N8*16400)+(P8*9500)+(R8*0)</f>
        <v>0</v>
      </c>
      <c r="U8" s="22">
        <f t="shared" ref="U8:U29" si="13">IF(T$2&gt;0, T8/T$2, 0)</f>
        <v>0</v>
      </c>
      <c r="V8" s="118" t="e">
        <f>'Individual Measure List'!I10</f>
        <v>#VALUE!</v>
      </c>
    </row>
    <row r="9" spans="1:22" ht="13.5" thickBot="1" x14ac:dyDescent="0.35">
      <c r="A9" s="27"/>
      <c r="B9" s="25" t="str">
        <f>'EEM Data Entry'!A88</f>
        <v/>
      </c>
      <c r="C9" s="239" t="str">
        <f>'EEM Data Entry'!B88</f>
        <v/>
      </c>
      <c r="D9" s="179">
        <f>'Cascading Cap Cost &amp; Savings'!D6*($D$2-(SUM(D$6:D8)))</f>
        <v>0</v>
      </c>
      <c r="E9" s="132">
        <f t="shared" si="0"/>
        <v>0</v>
      </c>
      <c r="F9" s="179">
        <f>'Cascading Cap Cost &amp; Savings'!E6*($F$2-(SUM(F$6:F8)))</f>
        <v>0</v>
      </c>
      <c r="G9" s="132">
        <f t="shared" si="0"/>
        <v>0</v>
      </c>
      <c r="H9" s="179">
        <f>'Cascading Cap Cost &amp; Savings'!F6*('Cascading  for package'!$H$2-SUM(H$6:H8))</f>
        <v>0</v>
      </c>
      <c r="I9" s="132">
        <f t="shared" ref="I9" si="14">IF(H$2=0,0,H9/H$2)</f>
        <v>0</v>
      </c>
      <c r="J9" s="179">
        <f>'Cascading Cap Cost &amp; Savings'!G6*('Cascading  for package'!$J$2-SUM(J$6:J8))</f>
        <v>0</v>
      </c>
      <c r="K9" s="132">
        <f t="shared" ref="K9" si="15">IF(J$2=0,0,J9/J$2)</f>
        <v>0</v>
      </c>
      <c r="L9" s="179">
        <f>'Cascading Cap Cost &amp; Savings'!H6*('Cascading  for package'!$L$2-SUM(L$6:L8))</f>
        <v>0</v>
      </c>
      <c r="M9" s="132">
        <f t="shared" ref="M9" si="16">IF(L$2=0,0,L9/L$2)</f>
        <v>0</v>
      </c>
      <c r="N9" s="179">
        <f>'Cascading Cap Cost &amp; Savings'!I6*('Cascading  for package'!$N$2-SUM(N$6:N8))</f>
        <v>0</v>
      </c>
      <c r="O9" s="132">
        <f t="shared" ref="O9" si="17">IF(N$2=0,0,N9/N$2)</f>
        <v>0</v>
      </c>
      <c r="P9" s="179">
        <f>'Cascading Cap Cost &amp; Savings'!J6*('Cascading  for package'!$P$2-SUM(P$6:P8))</f>
        <v>0</v>
      </c>
      <c r="Q9" s="132">
        <f t="shared" ref="Q9" si="18">IF(P$2=0,0,P9/P$2)</f>
        <v>0</v>
      </c>
      <c r="R9" s="179">
        <f>'Cascading Cap Cost &amp; Savings'!K6*('Cascading  for package'!$R$2-SUM(R$6:R8))</f>
        <v>0</v>
      </c>
      <c r="S9" s="132">
        <f t="shared" ref="S9" si="19">IF(R$2=0,0,R9/R$2)</f>
        <v>0</v>
      </c>
      <c r="T9" s="38">
        <f t="shared" ref="T9:T28" si="20">(D9*3.412)+(F9*138.6905)+(H9*100)+(J9*91.6476)+(L9*1194)+(N9*16400)+(P9*9500)+(R9*0)</f>
        <v>0</v>
      </c>
      <c r="U9" s="22">
        <f t="shared" si="13"/>
        <v>0</v>
      </c>
      <c r="V9" s="118" t="e">
        <f>'Individual Measure List'!I11</f>
        <v>#VALUE!</v>
      </c>
    </row>
    <row r="10" spans="1:22" ht="13.5" thickBot="1" x14ac:dyDescent="0.35">
      <c r="A10" s="27"/>
      <c r="B10" s="25" t="str">
        <f>'EEM Data Entry'!A89</f>
        <v/>
      </c>
      <c r="C10" s="239" t="str">
        <f>'EEM Data Entry'!B89</f>
        <v/>
      </c>
      <c r="D10" s="179">
        <f>'Cascading Cap Cost &amp; Savings'!D7*($D$2-(SUM(D$6:D9)))</f>
        <v>0</v>
      </c>
      <c r="E10" s="132">
        <f t="shared" si="0"/>
        <v>0</v>
      </c>
      <c r="F10" s="179">
        <f>'Cascading Cap Cost &amp; Savings'!E7*($F$2-(SUM(F$6:F9)))</f>
        <v>0</v>
      </c>
      <c r="G10" s="132">
        <f t="shared" si="0"/>
        <v>0</v>
      </c>
      <c r="H10" s="179">
        <f>'Cascading Cap Cost &amp; Savings'!F7*('Cascading  for package'!$H$2-SUM(H$6:H9))</f>
        <v>0</v>
      </c>
      <c r="I10" s="132">
        <f t="shared" ref="I10" si="21">IF(H$2=0,0,H10/H$2)</f>
        <v>0</v>
      </c>
      <c r="J10" s="179">
        <f>'Cascading Cap Cost &amp; Savings'!G7*('Cascading  for package'!$J$2-SUM(J$6:J9))</f>
        <v>0</v>
      </c>
      <c r="K10" s="132">
        <f t="shared" ref="K10" si="22">IF(J$2=0,0,J10/J$2)</f>
        <v>0</v>
      </c>
      <c r="L10" s="179">
        <f>'Cascading Cap Cost &amp; Savings'!H7*('Cascading  for package'!$L$2-SUM(L$6:L9))</f>
        <v>0</v>
      </c>
      <c r="M10" s="132">
        <f t="shared" ref="M10" si="23">IF(L$2=0,0,L10/L$2)</f>
        <v>0</v>
      </c>
      <c r="N10" s="179">
        <f>'Cascading Cap Cost &amp; Savings'!I7*('Cascading  for package'!$N$2-SUM(N$6:N9))</f>
        <v>0</v>
      </c>
      <c r="O10" s="132">
        <f t="shared" ref="O10" si="24">IF(N$2=0,0,N10/N$2)</f>
        <v>0</v>
      </c>
      <c r="P10" s="179">
        <f>'Cascading Cap Cost &amp; Savings'!J7*('Cascading  for package'!$P$2-SUM(P$6:P9))</f>
        <v>0</v>
      </c>
      <c r="Q10" s="132">
        <f t="shared" ref="Q10" si="25">IF(P$2=0,0,P10/P$2)</f>
        <v>0</v>
      </c>
      <c r="R10" s="179">
        <f>'Cascading Cap Cost &amp; Savings'!K7*('Cascading  for package'!$R$2-SUM(R$6:R9))</f>
        <v>0</v>
      </c>
      <c r="S10" s="132">
        <f t="shared" ref="S10" si="26">IF(R$2=0,0,R10/R$2)</f>
        <v>0</v>
      </c>
      <c r="T10" s="38">
        <f t="shared" si="20"/>
        <v>0</v>
      </c>
      <c r="U10" s="22">
        <f t="shared" si="13"/>
        <v>0</v>
      </c>
      <c r="V10" s="118" t="e">
        <f>'Individual Measure List'!I12</f>
        <v>#VALUE!</v>
      </c>
    </row>
    <row r="11" spans="1:22" ht="13.5" thickBot="1" x14ac:dyDescent="0.35">
      <c r="A11" s="27"/>
      <c r="B11" s="25" t="str">
        <f>'EEM Data Entry'!A90</f>
        <v/>
      </c>
      <c r="C11" s="239" t="str">
        <f>'EEM Data Entry'!B90</f>
        <v/>
      </c>
      <c r="D11" s="179">
        <f>'Cascading Cap Cost &amp; Savings'!D8*($D$2-(SUM(D$6:D10)))</f>
        <v>0</v>
      </c>
      <c r="E11" s="132">
        <f t="shared" si="0"/>
        <v>0</v>
      </c>
      <c r="F11" s="179">
        <f>'Cascading Cap Cost &amp; Savings'!E8*($F$2-(SUM(F$6:F10)))</f>
        <v>0</v>
      </c>
      <c r="G11" s="132">
        <f t="shared" si="0"/>
        <v>0</v>
      </c>
      <c r="H11" s="179">
        <f>'Cascading Cap Cost &amp; Savings'!F8*('Cascading  for package'!$H$2-SUM(H$6:H10))</f>
        <v>0</v>
      </c>
      <c r="I11" s="132">
        <f t="shared" ref="I11" si="27">IF(H$2=0,0,H11/H$2)</f>
        <v>0</v>
      </c>
      <c r="J11" s="179">
        <f>'Cascading Cap Cost &amp; Savings'!G8*('Cascading  for package'!$J$2-SUM(J$6:J10))</f>
        <v>0</v>
      </c>
      <c r="K11" s="132">
        <f t="shared" ref="K11" si="28">IF(J$2=0,0,J11/J$2)</f>
        <v>0</v>
      </c>
      <c r="L11" s="179">
        <f>'Cascading Cap Cost &amp; Savings'!H8*('Cascading  for package'!$L$2-SUM(L$6:L10))</f>
        <v>0</v>
      </c>
      <c r="M11" s="132">
        <f t="shared" ref="M11" si="29">IF(L$2=0,0,L11/L$2)</f>
        <v>0</v>
      </c>
      <c r="N11" s="179">
        <f>'Cascading Cap Cost &amp; Savings'!I8*('Cascading  for package'!$N$2-SUM(N$6:N10))</f>
        <v>0</v>
      </c>
      <c r="O11" s="132">
        <f t="shared" ref="O11" si="30">IF(N$2=0,0,N11/N$2)</f>
        <v>0</v>
      </c>
      <c r="P11" s="179">
        <f>'Cascading Cap Cost &amp; Savings'!J8*('Cascading  for package'!$P$2-SUM(P$6:P10))</f>
        <v>0</v>
      </c>
      <c r="Q11" s="132">
        <f t="shared" ref="Q11" si="31">IF(P$2=0,0,P11/P$2)</f>
        <v>0</v>
      </c>
      <c r="R11" s="179">
        <f>'Cascading Cap Cost &amp; Savings'!K8*('Cascading  for package'!$R$2-SUM(R$6:R10))</f>
        <v>0</v>
      </c>
      <c r="S11" s="132">
        <f t="shared" ref="S11" si="32">IF(R$2=0,0,R11/R$2)</f>
        <v>0</v>
      </c>
      <c r="T11" s="38">
        <f t="shared" si="20"/>
        <v>0</v>
      </c>
      <c r="U11" s="22">
        <f t="shared" si="13"/>
        <v>0</v>
      </c>
      <c r="V11" s="118" t="e">
        <f>'Individual Measure List'!I13</f>
        <v>#VALUE!</v>
      </c>
    </row>
    <row r="12" spans="1:22" ht="13.5" thickBot="1" x14ac:dyDescent="0.35">
      <c r="A12" s="27"/>
      <c r="B12" s="25" t="str">
        <f>'EEM Data Entry'!A91</f>
        <v/>
      </c>
      <c r="C12" s="239" t="str">
        <f>'EEM Data Entry'!B91</f>
        <v/>
      </c>
      <c r="D12" s="179">
        <f>'Cascading Cap Cost &amp; Savings'!D9*($D$2-(SUM(D$6:D11)))</f>
        <v>0</v>
      </c>
      <c r="E12" s="132">
        <f t="shared" si="0"/>
        <v>0</v>
      </c>
      <c r="F12" s="179">
        <f>'Cascading Cap Cost &amp; Savings'!E9*($F$2-(SUM(F$6:F11)))</f>
        <v>0</v>
      </c>
      <c r="G12" s="132">
        <f t="shared" si="0"/>
        <v>0</v>
      </c>
      <c r="H12" s="179">
        <f>'Cascading Cap Cost &amp; Savings'!F9*('Cascading  for package'!$H$2-SUM(H$6:H11))</f>
        <v>0</v>
      </c>
      <c r="I12" s="132">
        <f t="shared" ref="I12" si="33">IF(H$2=0,0,H12/H$2)</f>
        <v>0</v>
      </c>
      <c r="J12" s="179">
        <f>'Cascading Cap Cost &amp; Savings'!G9*('Cascading  for package'!$J$2-SUM(J$6:J11))</f>
        <v>0</v>
      </c>
      <c r="K12" s="132">
        <f t="shared" ref="K12" si="34">IF(J$2=0,0,J12/J$2)</f>
        <v>0</v>
      </c>
      <c r="L12" s="179">
        <f>'Cascading Cap Cost &amp; Savings'!H9*('Cascading  for package'!$L$2-SUM(L$6:L11))</f>
        <v>0</v>
      </c>
      <c r="M12" s="132">
        <f t="shared" ref="M12" si="35">IF(L$2=0,0,L12/L$2)</f>
        <v>0</v>
      </c>
      <c r="N12" s="179">
        <f>'Cascading Cap Cost &amp; Savings'!I9*('Cascading  for package'!$N$2-SUM(N$6:N11))</f>
        <v>0</v>
      </c>
      <c r="O12" s="132">
        <f t="shared" ref="O12" si="36">IF(N$2=0,0,N12/N$2)</f>
        <v>0</v>
      </c>
      <c r="P12" s="179">
        <f>'Cascading Cap Cost &amp; Savings'!J9*('Cascading  for package'!$P$2-SUM(P$6:P11))</f>
        <v>0</v>
      </c>
      <c r="Q12" s="132">
        <f t="shared" ref="Q12" si="37">IF(P$2=0,0,P12/P$2)</f>
        <v>0</v>
      </c>
      <c r="R12" s="179">
        <f>'Cascading Cap Cost &amp; Savings'!K9*('Cascading  for package'!$R$2-SUM(R$6:R11))</f>
        <v>0</v>
      </c>
      <c r="S12" s="132">
        <f t="shared" ref="S12" si="38">IF(R$2=0,0,R12/R$2)</f>
        <v>0</v>
      </c>
      <c r="T12" s="38">
        <f t="shared" si="20"/>
        <v>0</v>
      </c>
      <c r="U12" s="22">
        <f t="shared" si="13"/>
        <v>0</v>
      </c>
      <c r="V12" s="118" t="e">
        <f>'Individual Measure List'!I14</f>
        <v>#VALUE!</v>
      </c>
    </row>
    <row r="13" spans="1:22" ht="24" customHeight="1" thickBot="1" x14ac:dyDescent="0.35">
      <c r="A13" s="27"/>
      <c r="B13" s="25" t="str">
        <f>'EEM Data Entry'!A92</f>
        <v/>
      </c>
      <c r="C13" s="239" t="str">
        <f>'EEM Data Entry'!B92</f>
        <v/>
      </c>
      <c r="D13" s="179">
        <f>'Cascading Cap Cost &amp; Savings'!D10*($D$2-(SUM(D$6:D12)))</f>
        <v>0</v>
      </c>
      <c r="E13" s="132">
        <f t="shared" si="0"/>
        <v>0</v>
      </c>
      <c r="F13" s="179">
        <f>'Cascading Cap Cost &amp; Savings'!E10*($F$2-(SUM(F$6:F12)))</f>
        <v>0</v>
      </c>
      <c r="G13" s="132">
        <f t="shared" si="0"/>
        <v>0</v>
      </c>
      <c r="H13" s="179">
        <f>'Cascading Cap Cost &amp; Savings'!F10*('Cascading  for package'!$H$2-SUM(H$6:H12))</f>
        <v>0</v>
      </c>
      <c r="I13" s="132">
        <f t="shared" ref="I13" si="39">IF(H$2=0,0,H13/H$2)</f>
        <v>0</v>
      </c>
      <c r="J13" s="179">
        <f>'Cascading Cap Cost &amp; Savings'!G10*('Cascading  for package'!$J$2-SUM(J$6:J12))</f>
        <v>0</v>
      </c>
      <c r="K13" s="132">
        <f t="shared" ref="K13" si="40">IF(J$2=0,0,J13/J$2)</f>
        <v>0</v>
      </c>
      <c r="L13" s="179">
        <f>'Cascading Cap Cost &amp; Savings'!H10*('Cascading  for package'!$L$2-SUM(L$6:L12))</f>
        <v>0</v>
      </c>
      <c r="M13" s="132">
        <f t="shared" ref="M13" si="41">IF(L$2=0,0,L13/L$2)</f>
        <v>0</v>
      </c>
      <c r="N13" s="179">
        <f>'Cascading Cap Cost &amp; Savings'!I10*('Cascading  for package'!$N$2-SUM(N$6:N12))</f>
        <v>0</v>
      </c>
      <c r="O13" s="132">
        <f t="shared" ref="O13" si="42">IF(N$2=0,0,N13/N$2)</f>
        <v>0</v>
      </c>
      <c r="P13" s="179">
        <f>'Cascading Cap Cost &amp; Savings'!J10*('Cascading  for package'!$P$2-SUM(P$6:P12))</f>
        <v>0</v>
      </c>
      <c r="Q13" s="132">
        <f t="shared" ref="Q13" si="43">IF(P$2=0,0,P13/P$2)</f>
        <v>0</v>
      </c>
      <c r="R13" s="179">
        <f>'Cascading Cap Cost &amp; Savings'!K10*('Cascading  for package'!$R$2-SUM(R$6:R12))</f>
        <v>0</v>
      </c>
      <c r="S13" s="132">
        <f t="shared" ref="S13" si="44">IF(R$2=0,0,R13/R$2)</f>
        <v>0</v>
      </c>
      <c r="T13" s="38">
        <f t="shared" si="20"/>
        <v>0</v>
      </c>
      <c r="U13" s="22">
        <f t="shared" si="13"/>
        <v>0</v>
      </c>
      <c r="V13" s="118" t="e">
        <f>'Individual Measure List'!I15</f>
        <v>#VALUE!</v>
      </c>
    </row>
    <row r="14" spans="1:22" ht="24" customHeight="1" thickBot="1" x14ac:dyDescent="0.35">
      <c r="A14" s="27"/>
      <c r="B14" s="25" t="str">
        <f>'EEM Data Entry'!A93</f>
        <v/>
      </c>
      <c r="C14" s="239" t="str">
        <f>'EEM Data Entry'!B93</f>
        <v/>
      </c>
      <c r="D14" s="179">
        <f>'Cascading Cap Cost &amp; Savings'!D11*($D$2-(SUM(D$6:D13)))</f>
        <v>0</v>
      </c>
      <c r="E14" s="132">
        <f t="shared" si="0"/>
        <v>0</v>
      </c>
      <c r="F14" s="179">
        <f>'Cascading Cap Cost &amp; Savings'!E11*($F$2-(SUM(F$6:F13)))</f>
        <v>0</v>
      </c>
      <c r="G14" s="132">
        <f t="shared" si="0"/>
        <v>0</v>
      </c>
      <c r="H14" s="179">
        <f>'Cascading Cap Cost &amp; Savings'!F11*('Cascading  for package'!$H$2-SUM(H$6:H13))</f>
        <v>0</v>
      </c>
      <c r="I14" s="132">
        <f t="shared" ref="I14" si="45">IF(H$2=0,0,H14/H$2)</f>
        <v>0</v>
      </c>
      <c r="J14" s="179">
        <f>'Cascading Cap Cost &amp; Savings'!G11*('Cascading  for package'!$J$2-SUM(J$6:J13))</f>
        <v>0</v>
      </c>
      <c r="K14" s="132">
        <f t="shared" ref="K14" si="46">IF(J$2=0,0,J14/J$2)</f>
        <v>0</v>
      </c>
      <c r="L14" s="179">
        <f>'Cascading Cap Cost &amp; Savings'!H11*('Cascading  for package'!$L$2-SUM(L$6:L13))</f>
        <v>0</v>
      </c>
      <c r="M14" s="132">
        <f t="shared" ref="M14" si="47">IF(L$2=0,0,L14/L$2)</f>
        <v>0</v>
      </c>
      <c r="N14" s="179">
        <f>'Cascading Cap Cost &amp; Savings'!I11*('Cascading  for package'!$N$2-SUM(N$6:N13))</f>
        <v>0</v>
      </c>
      <c r="O14" s="132">
        <f t="shared" ref="O14" si="48">IF(N$2=0,0,N14/N$2)</f>
        <v>0</v>
      </c>
      <c r="P14" s="179">
        <f>'Cascading Cap Cost &amp; Savings'!J11*('Cascading  for package'!$P$2-SUM(P$6:P13))</f>
        <v>0</v>
      </c>
      <c r="Q14" s="132">
        <f t="shared" ref="Q14" si="49">IF(P$2=0,0,P14/P$2)</f>
        <v>0</v>
      </c>
      <c r="R14" s="179">
        <f>'Cascading Cap Cost &amp; Savings'!K11*('Cascading  for package'!$R$2-SUM(R$6:R13))</f>
        <v>0</v>
      </c>
      <c r="S14" s="132">
        <f t="shared" ref="S14" si="50">IF(R$2=0,0,R14/R$2)</f>
        <v>0</v>
      </c>
      <c r="T14" s="38">
        <f t="shared" si="20"/>
        <v>0</v>
      </c>
      <c r="U14" s="22">
        <f t="shared" si="13"/>
        <v>0</v>
      </c>
      <c r="V14" s="118" t="e">
        <f>'Individual Measure List'!I16</f>
        <v>#VALUE!</v>
      </c>
    </row>
    <row r="15" spans="1:22" ht="24" customHeight="1" thickBot="1" x14ac:dyDescent="0.35">
      <c r="A15" s="27"/>
      <c r="B15" s="25" t="str">
        <f>'EEM Data Entry'!A94</f>
        <v/>
      </c>
      <c r="C15" s="239" t="str">
        <f>'EEM Data Entry'!B94</f>
        <v/>
      </c>
      <c r="D15" s="179">
        <f>'Cascading Cap Cost &amp; Savings'!D12*($D$2-(SUM(D$6:D14)))</f>
        <v>0</v>
      </c>
      <c r="E15" s="132">
        <f t="shared" si="0"/>
        <v>0</v>
      </c>
      <c r="F15" s="179">
        <f>'Cascading Cap Cost &amp; Savings'!E12*($F$2-(SUM(F$6:F14)))</f>
        <v>0</v>
      </c>
      <c r="G15" s="132">
        <f t="shared" si="0"/>
        <v>0</v>
      </c>
      <c r="H15" s="179">
        <f>'Cascading Cap Cost &amp; Savings'!F12*('Cascading  for package'!$H$2-SUM(H$6:H14))</f>
        <v>0</v>
      </c>
      <c r="I15" s="132">
        <f t="shared" ref="I15" si="51">IF(H$2=0,0,H15/H$2)</f>
        <v>0</v>
      </c>
      <c r="J15" s="179">
        <f>'Cascading Cap Cost &amp; Savings'!G12*('Cascading  for package'!$J$2-SUM(J$6:J14))</f>
        <v>0</v>
      </c>
      <c r="K15" s="132">
        <f t="shared" ref="K15" si="52">IF(J$2=0,0,J15/J$2)</f>
        <v>0</v>
      </c>
      <c r="L15" s="179">
        <f>'Cascading Cap Cost &amp; Savings'!H12*('Cascading  for package'!$L$2-SUM(L$6:L14))</f>
        <v>0</v>
      </c>
      <c r="M15" s="132">
        <f t="shared" ref="M15" si="53">IF(L$2=0,0,L15/L$2)</f>
        <v>0</v>
      </c>
      <c r="N15" s="179">
        <f>'Cascading Cap Cost &amp; Savings'!I12*('Cascading  for package'!$N$2-SUM(N$6:N14))</f>
        <v>0</v>
      </c>
      <c r="O15" s="132">
        <f t="shared" ref="O15" si="54">IF(N$2=0,0,N15/N$2)</f>
        <v>0</v>
      </c>
      <c r="P15" s="179">
        <f>'Cascading Cap Cost &amp; Savings'!J12*('Cascading  for package'!$P$2-SUM(P$6:P14))</f>
        <v>0</v>
      </c>
      <c r="Q15" s="132">
        <f t="shared" ref="Q15" si="55">IF(P$2=0,0,P15/P$2)</f>
        <v>0</v>
      </c>
      <c r="R15" s="179">
        <f>'Cascading Cap Cost &amp; Savings'!K12*('Cascading  for package'!$R$2-SUM(R$6:R14))</f>
        <v>0</v>
      </c>
      <c r="S15" s="132">
        <f t="shared" ref="S15" si="56">IF(R$2=0,0,R15/R$2)</f>
        <v>0</v>
      </c>
      <c r="T15" s="38">
        <f t="shared" si="20"/>
        <v>0</v>
      </c>
      <c r="U15" s="22">
        <f t="shared" si="13"/>
        <v>0</v>
      </c>
      <c r="V15" s="118" t="e">
        <f>'Individual Measure List'!I17</f>
        <v>#VALUE!</v>
      </c>
    </row>
    <row r="16" spans="1:22" ht="24" customHeight="1" thickBot="1" x14ac:dyDescent="0.35">
      <c r="A16" s="27"/>
      <c r="B16" s="25" t="str">
        <f>'EEM Data Entry'!A95</f>
        <v/>
      </c>
      <c r="C16" s="239" t="str">
        <f>'EEM Data Entry'!B95</f>
        <v/>
      </c>
      <c r="D16" s="179">
        <f>'Cascading Cap Cost &amp; Savings'!D13*($D$2-(SUM(D$6:D15)))</f>
        <v>0</v>
      </c>
      <c r="E16" s="132">
        <f t="shared" si="0"/>
        <v>0</v>
      </c>
      <c r="F16" s="179">
        <f>'Cascading Cap Cost &amp; Savings'!E13*($F$2-(SUM(F$6:F15)))</f>
        <v>0</v>
      </c>
      <c r="G16" s="132">
        <f t="shared" si="0"/>
        <v>0</v>
      </c>
      <c r="H16" s="179">
        <f>'Cascading Cap Cost &amp; Savings'!F13*('Cascading  for package'!$H$2-SUM(H$6:H15))</f>
        <v>0</v>
      </c>
      <c r="I16" s="132">
        <f t="shared" ref="I16" si="57">IF(H$2=0,0,H16/H$2)</f>
        <v>0</v>
      </c>
      <c r="J16" s="179">
        <f>'Cascading Cap Cost &amp; Savings'!G13*('Cascading  for package'!$J$2-SUM(J$6:J15))</f>
        <v>0</v>
      </c>
      <c r="K16" s="132">
        <f t="shared" ref="K16" si="58">IF(J$2=0,0,J16/J$2)</f>
        <v>0</v>
      </c>
      <c r="L16" s="179">
        <f>'Cascading Cap Cost &amp; Savings'!H13*('Cascading  for package'!$L$2-SUM(L$6:L15))</f>
        <v>0</v>
      </c>
      <c r="M16" s="132">
        <f t="shared" ref="M16" si="59">IF(L$2=0,0,L16/L$2)</f>
        <v>0</v>
      </c>
      <c r="N16" s="179">
        <f>'Cascading Cap Cost &amp; Savings'!I13*('Cascading  for package'!$N$2-SUM(N$6:N15))</f>
        <v>0</v>
      </c>
      <c r="O16" s="132">
        <f t="shared" ref="O16" si="60">IF(N$2=0,0,N16/N$2)</f>
        <v>0</v>
      </c>
      <c r="P16" s="179">
        <f>'Cascading Cap Cost &amp; Savings'!J13*('Cascading  for package'!$P$2-SUM(P$6:P15))</f>
        <v>0</v>
      </c>
      <c r="Q16" s="132">
        <f t="shared" ref="Q16" si="61">IF(P$2=0,0,P16/P$2)</f>
        <v>0</v>
      </c>
      <c r="R16" s="179">
        <f>'Cascading Cap Cost &amp; Savings'!K13*('Cascading  for package'!$R$2-SUM(R$6:R15))</f>
        <v>0</v>
      </c>
      <c r="S16" s="132">
        <f t="shared" ref="S16" si="62">IF(R$2=0,0,R16/R$2)</f>
        <v>0</v>
      </c>
      <c r="T16" s="38">
        <f t="shared" si="20"/>
        <v>0</v>
      </c>
      <c r="U16" s="22">
        <f t="shared" si="13"/>
        <v>0</v>
      </c>
      <c r="V16" s="118" t="e">
        <f>'Individual Measure List'!I18</f>
        <v>#VALUE!</v>
      </c>
    </row>
    <row r="17" spans="1:22" ht="24" customHeight="1" thickBot="1" x14ac:dyDescent="0.35">
      <c r="A17" s="27"/>
      <c r="B17" s="25" t="str">
        <f>'EEM Data Entry'!A96</f>
        <v/>
      </c>
      <c r="C17" s="239" t="str">
        <f>'EEM Data Entry'!B96</f>
        <v/>
      </c>
      <c r="D17" s="179">
        <f>'Cascading Cap Cost &amp; Savings'!D14*($D$2-(SUM(D$6:D16)))</f>
        <v>0</v>
      </c>
      <c r="E17" s="132">
        <f t="shared" si="0"/>
        <v>0</v>
      </c>
      <c r="F17" s="179">
        <f>'Cascading Cap Cost &amp; Savings'!E14*($F$2-(SUM(F$6:F16)))</f>
        <v>0</v>
      </c>
      <c r="G17" s="132">
        <f t="shared" si="0"/>
        <v>0</v>
      </c>
      <c r="H17" s="179">
        <f>'Cascading Cap Cost &amp; Savings'!F14*('Cascading  for package'!$H$2-SUM(H$6:H16))</f>
        <v>0</v>
      </c>
      <c r="I17" s="132">
        <f t="shared" ref="I17" si="63">IF(H$2=0,0,H17/H$2)</f>
        <v>0</v>
      </c>
      <c r="J17" s="179">
        <f>'Cascading Cap Cost &amp; Savings'!G14*('Cascading  for package'!$J$2-SUM(J$6:J16))</f>
        <v>0</v>
      </c>
      <c r="K17" s="132">
        <f t="shared" ref="K17" si="64">IF(J$2=0,0,J17/J$2)</f>
        <v>0</v>
      </c>
      <c r="L17" s="179">
        <f>'Cascading Cap Cost &amp; Savings'!H14*('Cascading  for package'!$L$2-SUM(L$6:L16))</f>
        <v>0</v>
      </c>
      <c r="M17" s="132">
        <f t="shared" ref="M17" si="65">IF(L$2=0,0,L17/L$2)</f>
        <v>0</v>
      </c>
      <c r="N17" s="179">
        <f>'Cascading Cap Cost &amp; Savings'!I14*('Cascading  for package'!$N$2-SUM(N$6:N16))</f>
        <v>0</v>
      </c>
      <c r="O17" s="132">
        <f t="shared" ref="O17" si="66">IF(N$2=0,0,N17/N$2)</f>
        <v>0</v>
      </c>
      <c r="P17" s="179">
        <f>'Cascading Cap Cost &amp; Savings'!J14*('Cascading  for package'!$P$2-SUM(P$6:P16))</f>
        <v>0</v>
      </c>
      <c r="Q17" s="132">
        <f t="shared" ref="Q17" si="67">IF(P$2=0,0,P17/P$2)</f>
        <v>0</v>
      </c>
      <c r="R17" s="179">
        <f>'Cascading Cap Cost &amp; Savings'!K14*('Cascading  for package'!$R$2-SUM(R$6:R16))</f>
        <v>0</v>
      </c>
      <c r="S17" s="132">
        <f t="shared" ref="S17" si="68">IF(R$2=0,0,R17/R$2)</f>
        <v>0</v>
      </c>
      <c r="T17" s="38">
        <f t="shared" si="20"/>
        <v>0</v>
      </c>
      <c r="U17" s="22">
        <f t="shared" si="13"/>
        <v>0</v>
      </c>
      <c r="V17" s="118" t="e">
        <f>'Individual Measure List'!I19</f>
        <v>#VALUE!</v>
      </c>
    </row>
    <row r="18" spans="1:22" ht="24" customHeight="1" thickBot="1" x14ac:dyDescent="0.35">
      <c r="A18" s="396"/>
      <c r="B18" s="25" t="str">
        <f>'EEM Data Entry'!A97</f>
        <v/>
      </c>
      <c r="C18" s="239" t="str">
        <f>'EEM Data Entry'!B97</f>
        <v/>
      </c>
      <c r="D18" s="179">
        <f>'Cascading Cap Cost &amp; Savings'!D15*($D$2-(SUM(D$6:D17)))</f>
        <v>0</v>
      </c>
      <c r="E18" s="132">
        <f t="shared" si="0"/>
        <v>0</v>
      </c>
      <c r="F18" s="179">
        <f>'Cascading Cap Cost &amp; Savings'!E15*($F$2-(SUM(F$6:F17)))</f>
        <v>0</v>
      </c>
      <c r="G18" s="132">
        <f t="shared" si="0"/>
        <v>0</v>
      </c>
      <c r="H18" s="179">
        <f>'Cascading Cap Cost &amp; Savings'!F15*('Cascading  for package'!$H$2-SUM(H$6:H17))</f>
        <v>0</v>
      </c>
      <c r="I18" s="132">
        <f t="shared" ref="I18" si="69">IF(H$2=0,0,H18/H$2)</f>
        <v>0</v>
      </c>
      <c r="J18" s="179">
        <f>'Cascading Cap Cost &amp; Savings'!G15*('Cascading  for package'!$J$2-SUM(J$6:J17))</f>
        <v>0</v>
      </c>
      <c r="K18" s="132">
        <f t="shared" ref="K18" si="70">IF(J$2=0,0,J18/J$2)</f>
        <v>0</v>
      </c>
      <c r="L18" s="179">
        <f>'Cascading Cap Cost &amp; Savings'!H15*('Cascading  for package'!$L$2-SUM(L$6:L17))</f>
        <v>0</v>
      </c>
      <c r="M18" s="132">
        <f t="shared" ref="M18" si="71">IF(L$2=0,0,L18/L$2)</f>
        <v>0</v>
      </c>
      <c r="N18" s="179">
        <f>'Cascading Cap Cost &amp; Savings'!I15*('Cascading  for package'!$N$2-SUM(N$6:N17))</f>
        <v>0</v>
      </c>
      <c r="O18" s="132">
        <f t="shared" ref="O18" si="72">IF(N$2=0,0,N18/N$2)</f>
        <v>0</v>
      </c>
      <c r="P18" s="179">
        <f>'Cascading Cap Cost &amp; Savings'!J15*('Cascading  for package'!$P$2-SUM(P$6:P17))</f>
        <v>0</v>
      </c>
      <c r="Q18" s="132">
        <f t="shared" ref="Q18" si="73">IF(P$2=0,0,P18/P$2)</f>
        <v>0</v>
      </c>
      <c r="R18" s="179">
        <f>'Cascading Cap Cost &amp; Savings'!K15*('Cascading  for package'!$R$2-SUM(R$6:R17))</f>
        <v>0</v>
      </c>
      <c r="S18" s="132">
        <f t="shared" ref="S18" si="74">IF(R$2=0,0,R18/R$2)</f>
        <v>0</v>
      </c>
      <c r="T18" s="38">
        <f t="shared" si="20"/>
        <v>0</v>
      </c>
      <c r="U18" s="22">
        <f t="shared" si="13"/>
        <v>0</v>
      </c>
      <c r="V18" s="118" t="e">
        <f>'Individual Measure List'!I20</f>
        <v>#VALUE!</v>
      </c>
    </row>
    <row r="19" spans="1:22" ht="24" customHeight="1" thickBot="1" x14ac:dyDescent="0.35">
      <c r="A19" s="396"/>
      <c r="B19" s="25" t="str">
        <f>'EEM Data Entry'!A98</f>
        <v/>
      </c>
      <c r="C19" s="239" t="str">
        <f>'EEM Data Entry'!B98</f>
        <v/>
      </c>
      <c r="D19" s="179">
        <f>'Cascading Cap Cost &amp; Savings'!D16*($D$2-(SUM(D$6:D18)))</f>
        <v>0</v>
      </c>
      <c r="E19" s="132">
        <f t="shared" si="0"/>
        <v>0</v>
      </c>
      <c r="F19" s="179">
        <f>'Cascading Cap Cost &amp; Savings'!E16*($F$2-(SUM(F$6:F18)))</f>
        <v>0</v>
      </c>
      <c r="G19" s="132">
        <f t="shared" si="0"/>
        <v>0</v>
      </c>
      <c r="H19" s="179">
        <f>'Cascading Cap Cost &amp; Savings'!F16*('Cascading  for package'!$H$2-SUM(H$6:H18))</f>
        <v>0</v>
      </c>
      <c r="I19" s="132">
        <f t="shared" ref="I19" si="75">IF(H$2=0,0,H19/H$2)</f>
        <v>0</v>
      </c>
      <c r="J19" s="179">
        <f>'Cascading Cap Cost &amp; Savings'!G16*('Cascading  for package'!$J$2-SUM(J$6:J18))</f>
        <v>0</v>
      </c>
      <c r="K19" s="132">
        <f t="shared" ref="K19" si="76">IF(J$2=0,0,J19/J$2)</f>
        <v>0</v>
      </c>
      <c r="L19" s="179">
        <f>'Cascading Cap Cost &amp; Savings'!H16*('Cascading  for package'!$L$2-SUM(L$6:L18))</f>
        <v>0</v>
      </c>
      <c r="M19" s="132">
        <f t="shared" ref="M19" si="77">IF(L$2=0,0,L19/L$2)</f>
        <v>0</v>
      </c>
      <c r="N19" s="179">
        <f>'Cascading Cap Cost &amp; Savings'!I16*('Cascading  for package'!$N$2-SUM(N$6:N18))</f>
        <v>0</v>
      </c>
      <c r="O19" s="132">
        <f t="shared" ref="O19" si="78">IF(N$2=0,0,N19/N$2)</f>
        <v>0</v>
      </c>
      <c r="P19" s="179">
        <f>'Cascading Cap Cost &amp; Savings'!J16*('Cascading  for package'!$P$2-SUM(P$6:P18))</f>
        <v>0</v>
      </c>
      <c r="Q19" s="132">
        <f t="shared" ref="Q19" si="79">IF(P$2=0,0,P19/P$2)</f>
        <v>0</v>
      </c>
      <c r="R19" s="179">
        <f>'Cascading Cap Cost &amp; Savings'!K16*('Cascading  for package'!$R$2-SUM(R$6:R18))</f>
        <v>0</v>
      </c>
      <c r="S19" s="132">
        <f t="shared" ref="S19" si="80">IF(R$2=0,0,R19/R$2)</f>
        <v>0</v>
      </c>
      <c r="T19" s="38">
        <f t="shared" si="20"/>
        <v>0</v>
      </c>
      <c r="U19" s="22">
        <f t="shared" si="13"/>
        <v>0</v>
      </c>
      <c r="V19" s="118" t="e">
        <f>'Individual Measure List'!I21</f>
        <v>#VALUE!</v>
      </c>
    </row>
    <row r="20" spans="1:22" ht="24" customHeight="1" thickBot="1" x14ac:dyDescent="0.35">
      <c r="A20" s="396"/>
      <c r="B20" s="25" t="str">
        <f>'EEM Data Entry'!A99</f>
        <v/>
      </c>
      <c r="C20" s="239" t="str">
        <f>'EEM Data Entry'!B99</f>
        <v/>
      </c>
      <c r="D20" s="179">
        <f>'Cascading Cap Cost &amp; Savings'!D17*($D$2-(SUM(D$6:D19)))</f>
        <v>0</v>
      </c>
      <c r="E20" s="132">
        <f t="shared" si="0"/>
        <v>0</v>
      </c>
      <c r="F20" s="179">
        <f>'Cascading Cap Cost &amp; Savings'!E17*($F$2-(SUM(F$6:F19)))</f>
        <v>0</v>
      </c>
      <c r="G20" s="132">
        <f t="shared" si="0"/>
        <v>0</v>
      </c>
      <c r="H20" s="179">
        <f>'Cascading Cap Cost &amp; Savings'!F17*('Cascading  for package'!$H$2-SUM(H$6:H19))</f>
        <v>0</v>
      </c>
      <c r="I20" s="132">
        <f t="shared" ref="I20" si="81">IF(H$2=0,0,H20/H$2)</f>
        <v>0</v>
      </c>
      <c r="J20" s="179">
        <f>'Cascading Cap Cost &amp; Savings'!G17*('Cascading  for package'!$J$2-SUM(J$6:J19))</f>
        <v>0</v>
      </c>
      <c r="K20" s="132">
        <f t="shared" ref="K20" si="82">IF(J$2=0,0,J20/J$2)</f>
        <v>0</v>
      </c>
      <c r="L20" s="179">
        <f>'Cascading Cap Cost &amp; Savings'!H17*('Cascading  for package'!$L$2-SUM(L$6:L19))</f>
        <v>0</v>
      </c>
      <c r="M20" s="132">
        <f t="shared" ref="M20" si="83">IF(L$2=0,0,L20/L$2)</f>
        <v>0</v>
      </c>
      <c r="N20" s="179">
        <f>'Cascading Cap Cost &amp; Savings'!I17*('Cascading  for package'!$N$2-SUM(N$6:N19))</f>
        <v>0</v>
      </c>
      <c r="O20" s="132">
        <f t="shared" ref="O20" si="84">IF(N$2=0,0,N20/N$2)</f>
        <v>0</v>
      </c>
      <c r="P20" s="179">
        <f>'Cascading Cap Cost &amp; Savings'!J17*('Cascading  for package'!$P$2-SUM(P$6:P19))</f>
        <v>0</v>
      </c>
      <c r="Q20" s="132">
        <f t="shared" ref="Q20" si="85">IF(P$2=0,0,P20/P$2)</f>
        <v>0</v>
      </c>
      <c r="R20" s="179">
        <f>'Cascading Cap Cost &amp; Savings'!K17*('Cascading  for package'!$R$2-SUM(R$6:R19))</f>
        <v>0</v>
      </c>
      <c r="S20" s="132">
        <f t="shared" ref="S20" si="86">IF(R$2=0,0,R20/R$2)</f>
        <v>0</v>
      </c>
      <c r="T20" s="38">
        <f t="shared" si="20"/>
        <v>0</v>
      </c>
      <c r="U20" s="22">
        <f t="shared" si="13"/>
        <v>0</v>
      </c>
      <c r="V20" s="118" t="e">
        <f>'Individual Measure List'!I22</f>
        <v>#VALUE!</v>
      </c>
    </row>
    <row r="21" spans="1:22" ht="24" customHeight="1" thickBot="1" x14ac:dyDescent="0.35">
      <c r="A21" s="396"/>
      <c r="B21" s="25" t="str">
        <f>'EEM Data Entry'!A100</f>
        <v/>
      </c>
      <c r="C21" s="239" t="str">
        <f>'EEM Data Entry'!B100</f>
        <v/>
      </c>
      <c r="D21" s="179">
        <f>'Cascading Cap Cost &amp; Savings'!D18*($D$2-(SUM(D$6:D20)))</f>
        <v>0</v>
      </c>
      <c r="E21" s="132">
        <f t="shared" si="0"/>
        <v>0</v>
      </c>
      <c r="F21" s="179">
        <f>'Cascading Cap Cost &amp; Savings'!E18*($F$2-(SUM(F$6:F20)))</f>
        <v>0</v>
      </c>
      <c r="G21" s="132">
        <f t="shared" si="0"/>
        <v>0</v>
      </c>
      <c r="H21" s="179">
        <f>'Cascading Cap Cost &amp; Savings'!F18*('Cascading  for package'!$H$2-SUM(H$6:H20))</f>
        <v>0</v>
      </c>
      <c r="I21" s="132">
        <f t="shared" ref="I21" si="87">IF(H$2=0,0,H21/H$2)</f>
        <v>0</v>
      </c>
      <c r="J21" s="179">
        <f>'Cascading Cap Cost &amp; Savings'!G18*('Cascading  for package'!$J$2-SUM(J$6:J20))</f>
        <v>0</v>
      </c>
      <c r="K21" s="132">
        <f t="shared" ref="K21" si="88">IF(J$2=0,0,J21/J$2)</f>
        <v>0</v>
      </c>
      <c r="L21" s="179">
        <f>'Cascading Cap Cost &amp; Savings'!H18*('Cascading  for package'!$L$2-SUM(L$6:L20))</f>
        <v>0</v>
      </c>
      <c r="M21" s="132">
        <f t="shared" ref="M21" si="89">IF(L$2=0,0,L21/L$2)</f>
        <v>0</v>
      </c>
      <c r="N21" s="179">
        <f>'Cascading Cap Cost &amp; Savings'!I18*('Cascading  for package'!$N$2-SUM(N$6:N20))</f>
        <v>0</v>
      </c>
      <c r="O21" s="132">
        <f t="shared" ref="O21" si="90">IF(N$2=0,0,N21/N$2)</f>
        <v>0</v>
      </c>
      <c r="P21" s="179">
        <f>'Cascading Cap Cost &amp; Savings'!J18*('Cascading  for package'!$P$2-SUM(P$6:P20))</f>
        <v>0</v>
      </c>
      <c r="Q21" s="132">
        <f t="shared" ref="Q21" si="91">IF(P$2=0,0,P21/P$2)</f>
        <v>0</v>
      </c>
      <c r="R21" s="179">
        <f>'Cascading Cap Cost &amp; Savings'!K18*('Cascading  for package'!$R$2-SUM(R$6:R20))</f>
        <v>0</v>
      </c>
      <c r="S21" s="132">
        <f t="shared" ref="S21" si="92">IF(R$2=0,0,R21/R$2)</f>
        <v>0</v>
      </c>
      <c r="T21" s="38">
        <f t="shared" si="20"/>
        <v>0</v>
      </c>
      <c r="U21" s="22">
        <f t="shared" si="13"/>
        <v>0</v>
      </c>
      <c r="V21" s="118" t="e">
        <f>'Individual Measure List'!I23</f>
        <v>#VALUE!</v>
      </c>
    </row>
    <row r="22" spans="1:22" ht="24" customHeight="1" thickBot="1" x14ac:dyDescent="0.35">
      <c r="A22" s="396"/>
      <c r="B22" s="25" t="str">
        <f>'EEM Data Entry'!A101</f>
        <v/>
      </c>
      <c r="C22" s="239" t="str">
        <f>'EEM Data Entry'!B101</f>
        <v/>
      </c>
      <c r="D22" s="179">
        <f>'Cascading Cap Cost &amp; Savings'!D19*($D$2-(SUM(D$6:D21)))</f>
        <v>0</v>
      </c>
      <c r="E22" s="132">
        <f t="shared" si="0"/>
        <v>0</v>
      </c>
      <c r="F22" s="179">
        <f>'Cascading Cap Cost &amp; Savings'!E19*($F$2-(SUM(F$6:F21)))</f>
        <v>0</v>
      </c>
      <c r="G22" s="132">
        <f t="shared" si="0"/>
        <v>0</v>
      </c>
      <c r="H22" s="179">
        <f>'Cascading Cap Cost &amp; Savings'!F19*('Cascading  for package'!$H$2-SUM(H$6:H21))</f>
        <v>0</v>
      </c>
      <c r="I22" s="132">
        <f t="shared" ref="I22" si="93">IF(H$2=0,0,H22/H$2)</f>
        <v>0</v>
      </c>
      <c r="J22" s="179">
        <f>'Cascading Cap Cost &amp; Savings'!G19*('Cascading  for package'!$J$2-SUM(J$6:J21))</f>
        <v>0</v>
      </c>
      <c r="K22" s="132">
        <f t="shared" ref="K22" si="94">IF(J$2=0,0,J22/J$2)</f>
        <v>0</v>
      </c>
      <c r="L22" s="179">
        <f>'Cascading Cap Cost &amp; Savings'!H19*('Cascading  for package'!$L$2-SUM(L$6:L21))</f>
        <v>0</v>
      </c>
      <c r="M22" s="132">
        <f t="shared" ref="M22" si="95">IF(L$2=0,0,L22/L$2)</f>
        <v>0</v>
      </c>
      <c r="N22" s="179">
        <f>'Cascading Cap Cost &amp; Savings'!I19*('Cascading  for package'!$N$2-SUM(N$6:N21))</f>
        <v>0</v>
      </c>
      <c r="O22" s="132">
        <f t="shared" ref="O22" si="96">IF(N$2=0,0,N22/N$2)</f>
        <v>0</v>
      </c>
      <c r="P22" s="179">
        <f>'Cascading Cap Cost &amp; Savings'!J19*('Cascading  for package'!$P$2-SUM(P$6:P21))</f>
        <v>0</v>
      </c>
      <c r="Q22" s="132">
        <f t="shared" ref="Q22" si="97">IF(P$2=0,0,P22/P$2)</f>
        <v>0</v>
      </c>
      <c r="R22" s="179">
        <f>'Cascading Cap Cost &amp; Savings'!K19*('Cascading  for package'!$R$2-SUM(R$6:R21))</f>
        <v>0</v>
      </c>
      <c r="S22" s="132">
        <f t="shared" ref="S22" si="98">IF(R$2=0,0,R22/R$2)</f>
        <v>0</v>
      </c>
      <c r="T22" s="38">
        <f t="shared" si="20"/>
        <v>0</v>
      </c>
      <c r="U22" s="22">
        <f t="shared" si="13"/>
        <v>0</v>
      </c>
      <c r="V22" s="118" t="e">
        <f>'Individual Measure List'!I24</f>
        <v>#VALUE!</v>
      </c>
    </row>
    <row r="23" spans="1:22" ht="24" customHeight="1" thickBot="1" x14ac:dyDescent="0.35">
      <c r="A23" s="396"/>
      <c r="B23" s="25" t="str">
        <f>'EEM Data Entry'!A102</f>
        <v/>
      </c>
      <c r="C23" s="239" t="str">
        <f>'EEM Data Entry'!B102</f>
        <v/>
      </c>
      <c r="D23" s="179">
        <f>'Cascading Cap Cost &amp; Savings'!D20*($D$2-(SUM(D$6:D22)))</f>
        <v>0</v>
      </c>
      <c r="E23" s="132">
        <f t="shared" si="0"/>
        <v>0</v>
      </c>
      <c r="F23" s="179">
        <f>'Cascading Cap Cost &amp; Savings'!E20*($F$2-(SUM(F$6:F22)))</f>
        <v>0</v>
      </c>
      <c r="G23" s="132">
        <f t="shared" si="0"/>
        <v>0</v>
      </c>
      <c r="H23" s="179">
        <f>'Cascading Cap Cost &amp; Savings'!F20*('Cascading  for package'!$H$2-SUM(H$6:H22))</f>
        <v>0</v>
      </c>
      <c r="I23" s="132">
        <f t="shared" ref="I23" si="99">IF(H$2=0,0,H23/H$2)</f>
        <v>0</v>
      </c>
      <c r="J23" s="179">
        <f>'Cascading Cap Cost &amp; Savings'!G20*('Cascading  for package'!$J$2-SUM(J$6:J22))</f>
        <v>0</v>
      </c>
      <c r="K23" s="132">
        <f t="shared" ref="K23" si="100">IF(J$2=0,0,J23/J$2)</f>
        <v>0</v>
      </c>
      <c r="L23" s="179">
        <f>'Cascading Cap Cost &amp; Savings'!H20*('Cascading  for package'!$L$2-SUM(L$6:L22))</f>
        <v>0</v>
      </c>
      <c r="M23" s="132">
        <f t="shared" ref="M23" si="101">IF(L$2=0,0,L23/L$2)</f>
        <v>0</v>
      </c>
      <c r="N23" s="179">
        <f>'Cascading Cap Cost &amp; Savings'!I20*('Cascading  for package'!$N$2-SUM(N$6:N22))</f>
        <v>0</v>
      </c>
      <c r="O23" s="132">
        <f t="shared" ref="O23" si="102">IF(N$2=0,0,N23/N$2)</f>
        <v>0</v>
      </c>
      <c r="P23" s="179">
        <f>'Cascading Cap Cost &amp; Savings'!J20*('Cascading  for package'!$P$2-SUM(P$6:P22))</f>
        <v>0</v>
      </c>
      <c r="Q23" s="132">
        <f t="shared" ref="Q23" si="103">IF(P$2=0,0,P23/P$2)</f>
        <v>0</v>
      </c>
      <c r="R23" s="179">
        <f>'Cascading Cap Cost &amp; Savings'!K20*('Cascading  for package'!$R$2-SUM(R$6:R22))</f>
        <v>0</v>
      </c>
      <c r="S23" s="132">
        <f t="shared" ref="S23" si="104">IF(R$2=0,0,R23/R$2)</f>
        <v>0</v>
      </c>
      <c r="T23" s="38">
        <f t="shared" si="20"/>
        <v>0</v>
      </c>
      <c r="U23" s="22">
        <f t="shared" si="13"/>
        <v>0</v>
      </c>
      <c r="V23" s="118" t="e">
        <f>'Individual Measure List'!I25</f>
        <v>#VALUE!</v>
      </c>
    </row>
    <row r="24" spans="1:22" ht="24" customHeight="1" thickBot="1" x14ac:dyDescent="0.35">
      <c r="A24" s="396"/>
      <c r="B24" s="25" t="str">
        <f>'EEM Data Entry'!A103</f>
        <v/>
      </c>
      <c r="C24" s="239" t="str">
        <f>'EEM Data Entry'!B103</f>
        <v/>
      </c>
      <c r="D24" s="179">
        <f>'Cascading Cap Cost &amp; Savings'!D21*($D$2-(SUM(D$6:D23)))</f>
        <v>0</v>
      </c>
      <c r="E24" s="132">
        <f t="shared" si="0"/>
        <v>0</v>
      </c>
      <c r="F24" s="179">
        <f>'Cascading Cap Cost &amp; Savings'!E21*($F$2-(SUM(F$6:F23)))</f>
        <v>0</v>
      </c>
      <c r="G24" s="132">
        <f t="shared" si="0"/>
        <v>0</v>
      </c>
      <c r="H24" s="179">
        <f>'Cascading Cap Cost &amp; Savings'!F21*('Cascading  for package'!$H$2-SUM(H$6:H23))</f>
        <v>0</v>
      </c>
      <c r="I24" s="132">
        <f t="shared" ref="I24" si="105">IF(H$2=0,0,H24/H$2)</f>
        <v>0</v>
      </c>
      <c r="J24" s="179">
        <f>'Cascading Cap Cost &amp; Savings'!G21*('Cascading  for package'!$J$2-SUM(J$6:J23))</f>
        <v>0</v>
      </c>
      <c r="K24" s="132">
        <f t="shared" ref="K24" si="106">IF(J$2=0,0,J24/J$2)</f>
        <v>0</v>
      </c>
      <c r="L24" s="179">
        <f>'Cascading Cap Cost &amp; Savings'!H21*('Cascading  for package'!$L$2-SUM(L$6:L23))</f>
        <v>0</v>
      </c>
      <c r="M24" s="132">
        <f t="shared" ref="M24" si="107">IF(L$2=0,0,L24/L$2)</f>
        <v>0</v>
      </c>
      <c r="N24" s="179">
        <f>'Cascading Cap Cost &amp; Savings'!I21*('Cascading  for package'!$N$2-SUM(N$6:N23))</f>
        <v>0</v>
      </c>
      <c r="O24" s="132">
        <f t="shared" ref="O24" si="108">IF(N$2=0,0,N24/N$2)</f>
        <v>0</v>
      </c>
      <c r="P24" s="179">
        <f>'Cascading Cap Cost &amp; Savings'!J21*('Cascading  for package'!$P$2-SUM(P$6:P23))</f>
        <v>0</v>
      </c>
      <c r="Q24" s="132">
        <f t="shared" ref="Q24" si="109">IF(P$2=0,0,P24/P$2)</f>
        <v>0</v>
      </c>
      <c r="R24" s="179">
        <f>'Cascading Cap Cost &amp; Savings'!K21*('Cascading  for package'!$R$2-SUM(R$6:R23))</f>
        <v>0</v>
      </c>
      <c r="S24" s="132">
        <f t="shared" ref="S24" si="110">IF(R$2=0,0,R24/R$2)</f>
        <v>0</v>
      </c>
      <c r="T24" s="38">
        <f t="shared" si="20"/>
        <v>0</v>
      </c>
      <c r="U24" s="22">
        <f t="shared" si="13"/>
        <v>0</v>
      </c>
      <c r="V24" s="118" t="e">
        <f>'Individual Measure List'!I26</f>
        <v>#VALUE!</v>
      </c>
    </row>
    <row r="25" spans="1:22" ht="24" customHeight="1" thickBot="1" x14ac:dyDescent="0.35">
      <c r="A25" s="396"/>
      <c r="B25" s="25" t="str">
        <f>'EEM Data Entry'!A104</f>
        <v/>
      </c>
      <c r="C25" s="239" t="str">
        <f>'EEM Data Entry'!B104</f>
        <v/>
      </c>
      <c r="D25" s="179">
        <f>'Cascading Cap Cost &amp; Savings'!D22*($D$2-(SUM(D$6:D24)))</f>
        <v>0</v>
      </c>
      <c r="E25" s="132">
        <f t="shared" si="0"/>
        <v>0</v>
      </c>
      <c r="F25" s="179">
        <f>'Cascading Cap Cost &amp; Savings'!E22*($F$2-(SUM(F$6:F24)))</f>
        <v>0</v>
      </c>
      <c r="G25" s="132">
        <f t="shared" si="0"/>
        <v>0</v>
      </c>
      <c r="H25" s="179">
        <f>'Cascading Cap Cost &amp; Savings'!F22*('Cascading  for package'!$H$2-SUM(H$6:H24))</f>
        <v>0</v>
      </c>
      <c r="I25" s="132">
        <f t="shared" ref="I25" si="111">IF(H$2=0,0,H25/H$2)</f>
        <v>0</v>
      </c>
      <c r="J25" s="179">
        <f>'Cascading Cap Cost &amp; Savings'!G22*('Cascading  for package'!$J$2-SUM(J$6:J24))</f>
        <v>0</v>
      </c>
      <c r="K25" s="132">
        <f t="shared" ref="K25" si="112">IF(J$2=0,0,J25/J$2)</f>
        <v>0</v>
      </c>
      <c r="L25" s="179">
        <f>'Cascading Cap Cost &amp; Savings'!H22*('Cascading  for package'!$L$2-SUM(L$6:L24))</f>
        <v>0</v>
      </c>
      <c r="M25" s="132">
        <f t="shared" ref="M25" si="113">IF(L$2=0,0,L25/L$2)</f>
        <v>0</v>
      </c>
      <c r="N25" s="179">
        <f>'Cascading Cap Cost &amp; Savings'!I22*('Cascading  for package'!$N$2-SUM(N$6:N24))</f>
        <v>0</v>
      </c>
      <c r="O25" s="132">
        <f t="shared" ref="O25" si="114">IF(N$2=0,0,N25/N$2)</f>
        <v>0</v>
      </c>
      <c r="P25" s="179">
        <f>'Cascading Cap Cost &amp; Savings'!J22*('Cascading  for package'!$P$2-SUM(P$6:P24))</f>
        <v>0</v>
      </c>
      <c r="Q25" s="132">
        <f t="shared" ref="Q25" si="115">IF(P$2=0,0,P25/P$2)</f>
        <v>0</v>
      </c>
      <c r="R25" s="179">
        <f>'Cascading Cap Cost &amp; Savings'!K22*('Cascading  for package'!$R$2-SUM(R$6:R24))</f>
        <v>0</v>
      </c>
      <c r="S25" s="132">
        <f t="shared" ref="S25" si="116">IF(R$2=0,0,R25/R$2)</f>
        <v>0</v>
      </c>
      <c r="T25" s="38">
        <f t="shared" si="20"/>
        <v>0</v>
      </c>
      <c r="U25" s="22">
        <f t="shared" si="13"/>
        <v>0</v>
      </c>
      <c r="V25" s="118" t="e">
        <f>'Individual Measure List'!I27</f>
        <v>#VALUE!</v>
      </c>
    </row>
    <row r="26" spans="1:22" ht="24" customHeight="1" thickBot="1" x14ac:dyDescent="0.35">
      <c r="A26" s="396"/>
      <c r="B26" s="25" t="str">
        <f>'EEM Data Entry'!A105</f>
        <v/>
      </c>
      <c r="C26" s="239" t="str">
        <f>'EEM Data Entry'!B105</f>
        <v/>
      </c>
      <c r="D26" s="179">
        <f>'Cascading Cap Cost &amp; Savings'!D23*($D$2-(SUM(D$6:D25)))</f>
        <v>0</v>
      </c>
      <c r="E26" s="132">
        <f t="shared" si="0"/>
        <v>0</v>
      </c>
      <c r="F26" s="179">
        <f>'Cascading Cap Cost &amp; Savings'!E23*($F$2-(SUM(F$6:F25)))</f>
        <v>0</v>
      </c>
      <c r="G26" s="132">
        <f t="shared" si="0"/>
        <v>0</v>
      </c>
      <c r="H26" s="179">
        <f>'Cascading Cap Cost &amp; Savings'!F23*('Cascading  for package'!$H$2-SUM(H$6:H25))</f>
        <v>0</v>
      </c>
      <c r="I26" s="132">
        <f t="shared" ref="I26" si="117">IF(H$2=0,0,H26/H$2)</f>
        <v>0</v>
      </c>
      <c r="J26" s="179">
        <f>'Cascading Cap Cost &amp; Savings'!G23*('Cascading  for package'!$J$2-SUM(J$6:J25))</f>
        <v>0</v>
      </c>
      <c r="K26" s="132">
        <f t="shared" ref="K26" si="118">IF(J$2=0,0,J26/J$2)</f>
        <v>0</v>
      </c>
      <c r="L26" s="179">
        <f>'Cascading Cap Cost &amp; Savings'!H23*('Cascading  for package'!$L$2-SUM(L$6:L25))</f>
        <v>0</v>
      </c>
      <c r="M26" s="132">
        <f t="shared" ref="M26" si="119">IF(L$2=0,0,L26/L$2)</f>
        <v>0</v>
      </c>
      <c r="N26" s="179">
        <f>'Cascading Cap Cost &amp; Savings'!I23*('Cascading  for package'!$N$2-SUM(N$6:N25))</f>
        <v>0</v>
      </c>
      <c r="O26" s="132">
        <f t="shared" ref="O26" si="120">IF(N$2=0,0,N26/N$2)</f>
        <v>0</v>
      </c>
      <c r="P26" s="179">
        <f>'Cascading Cap Cost &amp; Savings'!J23*('Cascading  for package'!$P$2-SUM(P$6:P25))</f>
        <v>0</v>
      </c>
      <c r="Q26" s="132">
        <f t="shared" ref="Q26" si="121">IF(P$2=0,0,P26/P$2)</f>
        <v>0</v>
      </c>
      <c r="R26" s="179">
        <f>'Cascading Cap Cost &amp; Savings'!K23*('Cascading  for package'!$R$2-SUM(R$6:R25))</f>
        <v>0</v>
      </c>
      <c r="S26" s="132">
        <f t="shared" ref="S26" si="122">IF(R$2=0,0,R26/R$2)</f>
        <v>0</v>
      </c>
      <c r="T26" s="38">
        <f t="shared" si="20"/>
        <v>0</v>
      </c>
      <c r="U26" s="22">
        <f t="shared" si="13"/>
        <v>0</v>
      </c>
      <c r="V26" s="118" t="e">
        <f>'Individual Measure List'!I28</f>
        <v>#VALUE!</v>
      </c>
    </row>
    <row r="27" spans="1:22" ht="24" customHeight="1" thickBot="1" x14ac:dyDescent="0.35">
      <c r="A27" s="396"/>
      <c r="B27" s="25" t="str">
        <f>'EEM Data Entry'!A106</f>
        <v/>
      </c>
      <c r="C27" s="239" t="str">
        <f>'EEM Data Entry'!B106</f>
        <v/>
      </c>
      <c r="D27" s="179">
        <f>'Cascading Cap Cost &amp; Savings'!D24*($D$2-(SUM(D$6:D26)))</f>
        <v>0</v>
      </c>
      <c r="E27" s="132">
        <f t="shared" si="0"/>
        <v>0</v>
      </c>
      <c r="F27" s="179">
        <f>'Cascading Cap Cost &amp; Savings'!E24*($F$2-(SUM(F$6:F26)))</f>
        <v>0</v>
      </c>
      <c r="G27" s="132">
        <f t="shared" si="0"/>
        <v>0</v>
      </c>
      <c r="H27" s="179">
        <f>'Cascading Cap Cost &amp; Savings'!F24*('Cascading  for package'!$H$2-SUM(H$6:H26))</f>
        <v>0</v>
      </c>
      <c r="I27" s="132">
        <f t="shared" ref="I27" si="123">IF(H$2=0,0,H27/H$2)</f>
        <v>0</v>
      </c>
      <c r="J27" s="179">
        <f>'Cascading Cap Cost &amp; Savings'!G24*('Cascading  for package'!$J$2-SUM(J$6:J26))</f>
        <v>0</v>
      </c>
      <c r="K27" s="132">
        <f t="shared" ref="K27" si="124">IF(J$2=0,0,J27/J$2)</f>
        <v>0</v>
      </c>
      <c r="L27" s="179">
        <f>'Cascading Cap Cost &amp; Savings'!H24*('Cascading  for package'!$L$2-SUM(L$6:L26))</f>
        <v>0</v>
      </c>
      <c r="M27" s="132">
        <f t="shared" ref="M27" si="125">IF(L$2=0,0,L27/L$2)</f>
        <v>0</v>
      </c>
      <c r="N27" s="179">
        <f>'Cascading Cap Cost &amp; Savings'!I24*('Cascading  for package'!$N$2-SUM(N$6:N26))</f>
        <v>0</v>
      </c>
      <c r="O27" s="132">
        <f t="shared" ref="O27" si="126">IF(N$2=0,0,N27/N$2)</f>
        <v>0</v>
      </c>
      <c r="P27" s="179">
        <f>'Cascading Cap Cost &amp; Savings'!J24*('Cascading  for package'!$P$2-SUM(P$6:P26))</f>
        <v>0</v>
      </c>
      <c r="Q27" s="132">
        <f t="shared" ref="Q27" si="127">IF(P$2=0,0,P27/P$2)</f>
        <v>0</v>
      </c>
      <c r="R27" s="179">
        <f>'Cascading Cap Cost &amp; Savings'!K24*('Cascading  for package'!$R$2-SUM(R$6:R26))</f>
        <v>0</v>
      </c>
      <c r="S27" s="132">
        <f t="shared" ref="S27" si="128">IF(R$2=0,0,R27/R$2)</f>
        <v>0</v>
      </c>
      <c r="T27" s="38">
        <f t="shared" si="20"/>
        <v>0</v>
      </c>
      <c r="U27" s="22">
        <f t="shared" si="13"/>
        <v>0</v>
      </c>
      <c r="V27" s="118" t="e">
        <f>'Individual Measure List'!I29</f>
        <v>#VALUE!</v>
      </c>
    </row>
    <row r="28" spans="1:22" ht="24" customHeight="1" thickBot="1" x14ac:dyDescent="0.35">
      <c r="A28" s="396"/>
      <c r="B28" s="25" t="str">
        <f>'EEM Data Entry'!A107</f>
        <v/>
      </c>
      <c r="C28" s="239" t="str">
        <f>'EEM Data Entry'!B107</f>
        <v/>
      </c>
      <c r="D28" s="179">
        <f>'Cascading Cap Cost &amp; Savings'!D25*($D$2-(SUM(D$6:D27)))</f>
        <v>0</v>
      </c>
      <c r="E28" s="132">
        <f t="shared" si="0"/>
        <v>0</v>
      </c>
      <c r="F28" s="179">
        <f>'Cascading Cap Cost &amp; Savings'!E25*($F$2-(SUM(F$6:F27)))</f>
        <v>0</v>
      </c>
      <c r="G28" s="132">
        <f t="shared" si="0"/>
        <v>0</v>
      </c>
      <c r="H28" s="179">
        <f>'Cascading Cap Cost &amp; Savings'!F25*('Cascading  for package'!$H$2-SUM(H$6:H27))</f>
        <v>0</v>
      </c>
      <c r="I28" s="132">
        <f t="shared" ref="I28" si="129">IF(H$2=0,0,H28/H$2)</f>
        <v>0</v>
      </c>
      <c r="J28" s="179">
        <f>'Cascading Cap Cost &amp; Savings'!G25*('Cascading  for package'!$J$2-SUM(J$6:J27))</f>
        <v>0</v>
      </c>
      <c r="K28" s="132">
        <f t="shared" ref="K28" si="130">IF(J$2=0,0,J28/J$2)</f>
        <v>0</v>
      </c>
      <c r="L28" s="179">
        <f>'Cascading Cap Cost &amp; Savings'!H25*('Cascading  for package'!$L$2-SUM(L$6:L27))</f>
        <v>0</v>
      </c>
      <c r="M28" s="132">
        <f t="shared" ref="M28" si="131">IF(L$2=0,0,L28/L$2)</f>
        <v>0</v>
      </c>
      <c r="N28" s="179">
        <f>'Cascading Cap Cost &amp; Savings'!I25*('Cascading  for package'!$N$2-SUM(N$6:N27))</f>
        <v>0</v>
      </c>
      <c r="O28" s="132">
        <f t="shared" ref="O28" si="132">IF(N$2=0,0,N28/N$2)</f>
        <v>0</v>
      </c>
      <c r="P28" s="179">
        <f>'Cascading Cap Cost &amp; Savings'!J25*('Cascading  for package'!$P$2-SUM(P$6:P27))</f>
        <v>0</v>
      </c>
      <c r="Q28" s="132">
        <f t="shared" ref="Q28" si="133">IF(P$2=0,0,P28/P$2)</f>
        <v>0</v>
      </c>
      <c r="R28" s="179">
        <f>'Cascading Cap Cost &amp; Savings'!K25*('Cascading  for package'!$R$2-SUM(R$6:R27))</f>
        <v>0</v>
      </c>
      <c r="S28" s="132">
        <f t="shared" ref="S28" si="134">IF(R$2=0,0,R28/R$2)</f>
        <v>0</v>
      </c>
      <c r="T28" s="38">
        <f t="shared" si="20"/>
        <v>0</v>
      </c>
      <c r="U28" s="22">
        <f t="shared" si="13"/>
        <v>0</v>
      </c>
      <c r="V28" s="118" t="e">
        <f>'Individual Measure List'!I30</f>
        <v>#VALUE!</v>
      </c>
    </row>
    <row r="29" spans="1:22" ht="24" customHeight="1" x14ac:dyDescent="0.3">
      <c r="A29" s="396"/>
      <c r="B29" s="25" t="str">
        <f>'EEM Data Entry'!A108</f>
        <v/>
      </c>
      <c r="C29" s="239" t="str">
        <f>'EEM Data Entry'!B108</f>
        <v/>
      </c>
      <c r="D29" s="179">
        <f>'Cascading Cap Cost &amp; Savings'!D26*($D$2-(SUM(D$6:D28)))</f>
        <v>0</v>
      </c>
      <c r="E29" s="132">
        <f t="shared" si="0"/>
        <v>0</v>
      </c>
      <c r="F29" s="179">
        <f>'Cascading Cap Cost &amp; Savings'!E26*($F$2-(SUM(F$6:F28)))</f>
        <v>0</v>
      </c>
      <c r="G29" s="132">
        <f t="shared" si="0"/>
        <v>0</v>
      </c>
      <c r="H29" s="179">
        <f>'Cascading Cap Cost &amp; Savings'!F26*('Cascading  for package'!$H$2-SUM(H$6:H28))</f>
        <v>0</v>
      </c>
      <c r="I29" s="132">
        <f t="shared" ref="I29" si="135">IF(H$2=0,0,H29/H$2)</f>
        <v>0</v>
      </c>
      <c r="J29" s="179">
        <f>'Cascading Cap Cost &amp; Savings'!G26*('Cascading  for package'!$J$2-SUM(J$6:J28))</f>
        <v>0</v>
      </c>
      <c r="K29" s="132">
        <f t="shared" ref="K29" si="136">IF(J$2=0,0,J29/J$2)</f>
        <v>0</v>
      </c>
      <c r="L29" s="179">
        <f>'Cascading Cap Cost &amp; Savings'!H26*('Cascading  for package'!$L$2-SUM(L$6:L28))</f>
        <v>0</v>
      </c>
      <c r="M29" s="132">
        <f t="shared" ref="M29" si="137">IF(L$2=0,0,L29/L$2)</f>
        <v>0</v>
      </c>
      <c r="N29" s="179">
        <f>'Cascading Cap Cost &amp; Savings'!I26*('Cascading  for package'!$N$2-SUM(N$6:N28))</f>
        <v>0</v>
      </c>
      <c r="O29" s="132">
        <f t="shared" ref="O29" si="138">IF(N$2=0,0,N29/N$2)</f>
        <v>0</v>
      </c>
      <c r="P29" s="179">
        <f>'Cascading Cap Cost &amp; Savings'!J26*('Cascading  for package'!$P$2-SUM(P$6:P28))</f>
        <v>0</v>
      </c>
      <c r="Q29" s="132">
        <f t="shared" ref="Q29" si="139">IF(P$2=0,0,P29/P$2)</f>
        <v>0</v>
      </c>
      <c r="R29" s="179">
        <f>'Cascading Cap Cost &amp; Savings'!K26*('Cascading  for package'!$R$2-SUM(R$6:R28))</f>
        <v>0</v>
      </c>
      <c r="S29" s="132">
        <f t="shared" ref="S29" si="140">IF(R$2=0,0,R29/R$2)</f>
        <v>0</v>
      </c>
      <c r="T29" s="38">
        <f>(D29*3.412)+(F29*138.6905)+(H29*100)+(J29*91.6476)+(L29*1194)+(N29*16400)+(P29*9500)+(R29*0)</f>
        <v>0</v>
      </c>
      <c r="U29" s="22">
        <f t="shared" si="13"/>
        <v>0</v>
      </c>
      <c r="V29" s="118" t="e">
        <f>'Individual Measure List'!I31</f>
        <v>#VALUE!</v>
      </c>
    </row>
    <row r="30" spans="1:22" ht="24" customHeight="1" thickBot="1" x14ac:dyDescent="0.3">
      <c r="A30" s="181"/>
      <c r="B30" s="181"/>
      <c r="C30" s="180" t="s">
        <v>137</v>
      </c>
      <c r="D30" s="182">
        <f>SUM(D6:D29)</f>
        <v>0</v>
      </c>
      <c r="E30" s="392" t="e">
        <f>( D30/D$2)</f>
        <v>#DIV/0!</v>
      </c>
      <c r="F30" s="182">
        <f>SUM(F6:F29)</f>
        <v>0</v>
      </c>
      <c r="G30" s="132" t="e">
        <f>F30/F$2</f>
        <v>#DIV/0!</v>
      </c>
      <c r="H30" s="182">
        <f>SUM(H6:H29)</f>
        <v>0</v>
      </c>
      <c r="I30" s="132" t="e">
        <f>H30/H$2</f>
        <v>#DIV/0!</v>
      </c>
      <c r="J30" s="182">
        <f>SUM(J6:J29)</f>
        <v>0</v>
      </c>
      <c r="K30" s="132" t="e">
        <f>J30/J$2</f>
        <v>#DIV/0!</v>
      </c>
      <c r="L30" s="182">
        <f>SUM(L6:L29)</f>
        <v>0</v>
      </c>
      <c r="M30" s="132" t="e">
        <f>L30/L$2</f>
        <v>#DIV/0!</v>
      </c>
      <c r="N30" s="182">
        <f>SUM(N6:N29)</f>
        <v>0</v>
      </c>
      <c r="O30" s="132" t="e">
        <f>N30/N$2</f>
        <v>#DIV/0!</v>
      </c>
      <c r="P30" s="182">
        <f>SUM(P6:P29)</f>
        <v>0</v>
      </c>
      <c r="Q30" s="132" t="e">
        <f>P30/P$2</f>
        <v>#DIV/0!</v>
      </c>
      <c r="R30" s="182">
        <f>SUM(R6:R29)</f>
        <v>0</v>
      </c>
      <c r="S30" s="132" t="e">
        <f>R30/R$2</f>
        <v>#DIV/0!</v>
      </c>
      <c r="T30" s="182">
        <f>SUM(T6:T29)</f>
        <v>0</v>
      </c>
      <c r="U30" s="183">
        <f>IF(T$2&gt;0, T30/T$2, 0)</f>
        <v>0</v>
      </c>
    </row>
    <row r="31" spans="1:22" ht="13" thickBot="1" x14ac:dyDescent="0.3">
      <c r="A31" s="20"/>
      <c r="D31" s="21"/>
      <c r="E31" s="21"/>
      <c r="F31" s="21"/>
      <c r="G31" s="21"/>
      <c r="H31" s="21"/>
      <c r="I31" s="21"/>
      <c r="J31" s="21"/>
      <c r="K31" s="21"/>
      <c r="L31" s="21"/>
      <c r="M31" s="21"/>
      <c r="T31" s="4"/>
    </row>
    <row r="32" spans="1:22" ht="32.25" customHeight="1" thickBot="1" x14ac:dyDescent="0.3">
      <c r="A32" s="37"/>
      <c r="B32" s="36"/>
      <c r="C32" s="35" t="s">
        <v>127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</row>
    <row r="33" spans="1:22" ht="13.5" thickBot="1" x14ac:dyDescent="0.35">
      <c r="A33" s="27"/>
      <c r="B33" s="25" t="str">
        <f>'EEM Data Entry'!A110</f>
        <v/>
      </c>
      <c r="C33" s="163" t="str">
        <f>'Cascading Cap Cost &amp; Savings'!B28</f>
        <v/>
      </c>
      <c r="D33" s="178">
        <f>'Cascading Cap Cost &amp; Savings'!D28*('Cascading  for package'!$D$2-D$30)</f>
        <v>0</v>
      </c>
      <c r="E33" s="132">
        <f>IF(D$2=0,0,D33/D$2)</f>
        <v>0</v>
      </c>
      <c r="F33" s="178">
        <f>'Cascading Cap Cost &amp; Savings'!E28*('Cascading  for package'!F$2-F$30)</f>
        <v>0</v>
      </c>
      <c r="G33" s="132">
        <f>IF(F$2=0,0,F33/F$2)</f>
        <v>0</v>
      </c>
      <c r="H33" s="178">
        <f>'Cascading Cap Cost &amp; Savings'!F28*('Cascading  for package'!$H$2-H30)</f>
        <v>0</v>
      </c>
      <c r="I33" s="132">
        <f>IF(H$2=0,0,H33/H$2)</f>
        <v>0</v>
      </c>
      <c r="J33" s="178">
        <f>'Cascading Cap Cost &amp; Savings'!G28*('Cascading  for package'!$J$2-J30)</f>
        <v>0</v>
      </c>
      <c r="K33" s="132">
        <f>IF(J$2=0,0,J33/J$2)</f>
        <v>0</v>
      </c>
      <c r="L33" s="178">
        <f>'Cascading Cap Cost &amp; Savings'!IH8*('Cascading  for package'!L$2-L30)</f>
        <v>0</v>
      </c>
      <c r="M33" s="132">
        <f>IF(L$2=0,0,L33/L$2)</f>
        <v>0</v>
      </c>
      <c r="N33" s="178">
        <f>'Cascading Cap Cost &amp; Savings'!I28*('Cascading  for package'!N$2-N30)</f>
        <v>0</v>
      </c>
      <c r="O33" s="132">
        <f>IF(N$2=0,0,N33/N$2)</f>
        <v>0</v>
      </c>
      <c r="P33" s="178">
        <f>'Cascading Cap Cost &amp; Savings'!J28*('Cascading  for package'!P$2-P30)</f>
        <v>0</v>
      </c>
      <c r="Q33" s="132">
        <f>IF(P$2=0,0,P33/P$2)</f>
        <v>0</v>
      </c>
      <c r="R33" s="178">
        <f>'Cascading Cap Cost &amp; Savings'!K28*('Cascading  for package'!R$2-R30)</f>
        <v>0</v>
      </c>
      <c r="S33" s="132">
        <f>IF(R$2=0,0,R33/R$2)</f>
        <v>0</v>
      </c>
      <c r="T33" s="38">
        <f>(D33*3.412)+(F33*138.6905)+(H33*100)+(J33*91.6476)+(L33*1194)+(N33*16400)+(P33*9500)+(R33*0)</f>
        <v>0</v>
      </c>
      <c r="U33" s="22">
        <f>IF(T$2&gt;0, T33/T$2, 0)</f>
        <v>0</v>
      </c>
      <c r="V33" t="e">
        <f>'Individual Measure List'!I33</f>
        <v>#VALUE!</v>
      </c>
    </row>
    <row r="34" spans="1:22" ht="13.5" thickBot="1" x14ac:dyDescent="0.35">
      <c r="A34" s="27"/>
      <c r="B34" s="25" t="str">
        <f>'EEM Data Entry'!A111</f>
        <v/>
      </c>
      <c r="C34" s="163" t="str">
        <f>'Cascading Cap Cost &amp; Savings'!B29</f>
        <v/>
      </c>
      <c r="D34" s="178">
        <f>'Cascading Cap Cost &amp; Savings'!D29*('Cascading  for package'!$D$2-D$30-SUM(D$33:D33))</f>
        <v>0</v>
      </c>
      <c r="E34" s="132">
        <f t="shared" ref="E34:G45" si="141">IF(D$2=0,0,D34/D$2)</f>
        <v>0</v>
      </c>
      <c r="F34" s="178">
        <f>'Cascading Cap Cost &amp; Savings'!E29*('Cascading  for package'!F$2-F$30-SUM(F$33:F33))</f>
        <v>0</v>
      </c>
      <c r="G34" s="132">
        <f>IF(F$2=0,0,F34/F$2)</f>
        <v>0</v>
      </c>
      <c r="H34" s="178">
        <f>'Cascading Cap Cost &amp; Savings'!F29*('Cascading  for package'!$H$2-H$30-H33)</f>
        <v>0</v>
      </c>
      <c r="I34" s="132">
        <f>IF(H$2=0,0,H34/H$2)</f>
        <v>0</v>
      </c>
      <c r="J34" s="178">
        <f>'Cascading Cap Cost &amp; Savings'!G29*('Cascading  for package'!J$2-J$30-J33)</f>
        <v>0</v>
      </c>
      <c r="K34" s="132">
        <f>IF(J$2=0,0,J34/J$2)</f>
        <v>0</v>
      </c>
      <c r="L34" s="178">
        <f>'Cascading Cap Cost &amp; Savings'!H29*('Cascading  for package'!L$2-L$30-L33)</f>
        <v>0</v>
      </c>
      <c r="M34" s="132">
        <f>IF(L$2=0,0,L34/L$2)</f>
        <v>0</v>
      </c>
      <c r="N34" s="178">
        <f>'Cascading Cap Cost &amp; Savings'!I29*('Cascading  for package'!N$2-N$30-N33)</f>
        <v>0</v>
      </c>
      <c r="O34" s="132">
        <f>IF(N$2=0,0,N34/N$2)</f>
        <v>0</v>
      </c>
      <c r="P34" s="178">
        <f>'Cascading Cap Cost &amp; Savings'!J29*('Cascading  for package'!P$2-P$30-P33)</f>
        <v>0</v>
      </c>
      <c r="Q34" s="132">
        <f>IF(P$2=0,0,P34/P$2)</f>
        <v>0</v>
      </c>
      <c r="R34" s="178">
        <f>'Cascading Cap Cost &amp; Savings'!K29*('Cascading  for package'!R$2-R$30-R33)</f>
        <v>0</v>
      </c>
      <c r="S34" s="132">
        <f>IF(R$2=0,0,R34/R$2)</f>
        <v>0</v>
      </c>
      <c r="T34" s="38">
        <f t="shared" ref="T34:T44" si="142">(D34*3.412)+(F34*138.6905)+(H34*100)+(J34*91.6476)+(L34*1194)+(N34*16400)+(P34*9500)+(R34*0)</f>
        <v>0</v>
      </c>
      <c r="U34" s="22">
        <f>IF(T$2&gt;0, T34/T$2, 0)</f>
        <v>0</v>
      </c>
      <c r="V34" t="e">
        <f>'Individual Measure List'!I34</f>
        <v>#VALUE!</v>
      </c>
    </row>
    <row r="35" spans="1:22" ht="13.5" thickBot="1" x14ac:dyDescent="0.35">
      <c r="A35" s="27"/>
      <c r="B35" s="25" t="str">
        <f>'EEM Data Entry'!A113</f>
        <v/>
      </c>
      <c r="C35" s="163" t="str">
        <f>'Cascading Cap Cost &amp; Savings'!B30</f>
        <v/>
      </c>
      <c r="D35" s="178">
        <f>'Cascading Cap Cost &amp; Savings'!D30*('Cascading  for package'!$D$2-D$30-SUM(D$33:D34))</f>
        <v>0</v>
      </c>
      <c r="E35" s="132">
        <f t="shared" si="141"/>
        <v>0</v>
      </c>
      <c r="F35" s="178">
        <f>'Cascading Cap Cost &amp; Savings'!E30*('Cascading  for package'!F$2-F$30-SUM(F$33:F34))</f>
        <v>0</v>
      </c>
      <c r="G35" s="132">
        <f t="shared" si="141"/>
        <v>0</v>
      </c>
      <c r="H35" s="178">
        <f>'Cascading Cap Cost &amp; Savings'!F30*('Cascading  for package'!H$2-H$30-SUM(H$33:H34))</f>
        <v>0</v>
      </c>
      <c r="I35" s="132">
        <f t="shared" ref="I35" si="143">IF(H$2=0,0,H35/H$2)</f>
        <v>0</v>
      </c>
      <c r="J35" s="178">
        <f>'Cascading Cap Cost &amp; Savings'!G30*('Cascading  for package'!J$2-J$30-SUM(J$33:J34))</f>
        <v>0</v>
      </c>
      <c r="K35" s="132">
        <f t="shared" ref="K35" si="144">IF(J$2=0,0,J35/J$2)</f>
        <v>0</v>
      </c>
      <c r="L35" s="178">
        <f>'Cascading Cap Cost &amp; Savings'!H30*('Cascading  for package'!L$2-L$30-SUM(L$33:L34))</f>
        <v>0</v>
      </c>
      <c r="M35" s="132">
        <f t="shared" ref="M35" si="145">IF(L$2=0,0,L35/L$2)</f>
        <v>0</v>
      </c>
      <c r="N35" s="178">
        <f>'Cascading Cap Cost &amp; Savings'!I30*('Cascading  for package'!N$2-N$30-SUM(N$33:N34))</f>
        <v>0</v>
      </c>
      <c r="O35" s="132">
        <f t="shared" ref="O35" si="146">IF(N$2=0,0,N35/N$2)</f>
        <v>0</v>
      </c>
      <c r="P35" s="178">
        <f>'Cascading Cap Cost &amp; Savings'!J30*('Cascading  for package'!P$2-P$30-SUM(P$33:P34))</f>
        <v>0</v>
      </c>
      <c r="Q35" s="132">
        <f t="shared" ref="Q35" si="147">IF(P$2=0,0,P35/P$2)</f>
        <v>0</v>
      </c>
      <c r="R35" s="178">
        <f>'Cascading Cap Cost &amp; Savings'!K30*('Cascading  for package'!R$2-R$30-SUM(R$33:R34))</f>
        <v>0</v>
      </c>
      <c r="S35" s="132">
        <f t="shared" ref="S35" si="148">IF(R$2=0,0,R35/R$2)</f>
        <v>0</v>
      </c>
      <c r="T35" s="38">
        <f t="shared" si="142"/>
        <v>0</v>
      </c>
      <c r="U35" s="22">
        <f t="shared" ref="U35:U45" si="149">IF(T$2&gt;0, T35/T$2, 0)</f>
        <v>0</v>
      </c>
      <c r="V35" t="e">
        <f>'Individual Measure List'!I35</f>
        <v>#VALUE!</v>
      </c>
    </row>
    <row r="36" spans="1:22" ht="13.5" thickBot="1" x14ac:dyDescent="0.35">
      <c r="A36" s="27"/>
      <c r="B36" s="25" t="str">
        <f>'EEM Data Entry'!A115</f>
        <v/>
      </c>
      <c r="C36" s="163" t="str">
        <f>'Cascading Cap Cost &amp; Savings'!B31</f>
        <v/>
      </c>
      <c r="D36" s="178">
        <f>'Cascading Cap Cost &amp; Savings'!D31*('Cascading  for package'!$D$2-D$30-SUM(D$33:D35))</f>
        <v>0</v>
      </c>
      <c r="E36" s="132">
        <f t="shared" si="141"/>
        <v>0</v>
      </c>
      <c r="F36" s="178">
        <f>'Cascading Cap Cost &amp; Savings'!E31*('Cascading  for package'!F$2-F$30-SUM(F$33:F35))</f>
        <v>0</v>
      </c>
      <c r="G36" s="132">
        <f t="shared" si="141"/>
        <v>0</v>
      </c>
      <c r="H36" s="178">
        <f>'Cascading Cap Cost &amp; Savings'!F31*('Cascading  for package'!$H$2-H$30-SUM(H$33:H35))</f>
        <v>0</v>
      </c>
      <c r="I36" s="132">
        <f t="shared" ref="I36" si="150">IF(H$2=0,0,H36/H$2)</f>
        <v>0</v>
      </c>
      <c r="J36" s="178">
        <f>'Cascading Cap Cost &amp; Savings'!G31*('Cascading  for package'!J$2-J$30-SUM(J$33:J35))</f>
        <v>0</v>
      </c>
      <c r="K36" s="132">
        <f t="shared" ref="K36" si="151">IF(J$2=0,0,J36/J$2)</f>
        <v>0</v>
      </c>
      <c r="L36" s="178">
        <f>'Cascading Cap Cost &amp; Savings'!H31*('Cascading  for package'!L$2-L$30-SUM(L$33:L35))</f>
        <v>0</v>
      </c>
      <c r="M36" s="132">
        <f t="shared" ref="M36" si="152">IF(L$2=0,0,L36/L$2)</f>
        <v>0</v>
      </c>
      <c r="N36" s="178">
        <f>'Cascading Cap Cost &amp; Savings'!I31*('Cascading  for package'!N$2-N$30-SUM(N$33:N35))</f>
        <v>0</v>
      </c>
      <c r="O36" s="132">
        <f t="shared" ref="O36" si="153">IF(N$2=0,0,N36/N$2)</f>
        <v>0</v>
      </c>
      <c r="P36" s="178">
        <f>'Cascading Cap Cost &amp; Savings'!J31*('Cascading  for package'!P$2-P$30-SUM(P$33:P35))</f>
        <v>0</v>
      </c>
      <c r="Q36" s="132">
        <f t="shared" ref="Q36" si="154">IF(P$2=0,0,P36/P$2)</f>
        <v>0</v>
      </c>
      <c r="R36" s="178">
        <f>'Cascading Cap Cost &amp; Savings'!K31*('Cascading  for package'!R$2-R$30-SUM(R$33:R35))</f>
        <v>0</v>
      </c>
      <c r="S36" s="132">
        <f t="shared" ref="S36" si="155">IF(R$2=0,0,R36/R$2)</f>
        <v>0</v>
      </c>
      <c r="T36" s="38">
        <f t="shared" si="142"/>
        <v>0</v>
      </c>
      <c r="U36" s="22">
        <f t="shared" si="149"/>
        <v>0</v>
      </c>
      <c r="V36" t="e">
        <f>'Individual Measure List'!I36</f>
        <v>#VALUE!</v>
      </c>
    </row>
    <row r="37" spans="1:22" ht="13.5" thickBot="1" x14ac:dyDescent="0.35">
      <c r="A37" s="27"/>
      <c r="B37" s="25" t="str">
        <f>'EEM Data Entry'!A112</f>
        <v/>
      </c>
      <c r="C37" s="163" t="str">
        <f>'Cascading Cap Cost &amp; Savings'!B32</f>
        <v/>
      </c>
      <c r="D37" s="178">
        <f>'Cascading Cap Cost &amp; Savings'!D32*('Cascading  for package'!$D$2-D$30-SUM(D$33:D36))</f>
        <v>0</v>
      </c>
      <c r="E37" s="132">
        <f t="shared" si="141"/>
        <v>0</v>
      </c>
      <c r="F37" s="178">
        <f>'Cascading Cap Cost &amp; Savings'!E32*('Cascading  for package'!F$2-F$30-SUM(F$33:F36))</f>
        <v>0</v>
      </c>
      <c r="G37" s="132">
        <f t="shared" si="141"/>
        <v>0</v>
      </c>
      <c r="H37" s="178">
        <f>'Cascading Cap Cost &amp; Savings'!F32*('Cascading  for package'!$H$2-H$30-SUM(H$33:H36))</f>
        <v>0</v>
      </c>
      <c r="I37" s="132">
        <f t="shared" ref="I37" si="156">IF(H$2=0,0,H37/H$2)</f>
        <v>0</v>
      </c>
      <c r="J37" s="178">
        <f>'Cascading Cap Cost &amp; Savings'!G32*('Cascading  for package'!J$2-J$30-SUM(J$33:J36))</f>
        <v>0</v>
      </c>
      <c r="K37" s="132">
        <f t="shared" ref="K37" si="157">IF(J$2=0,0,J37/J$2)</f>
        <v>0</v>
      </c>
      <c r="L37" s="178">
        <f>'Cascading Cap Cost &amp; Savings'!H32*('Cascading  for package'!L$2-L$30-SUM(L$33:L36))</f>
        <v>0</v>
      </c>
      <c r="M37" s="132">
        <f t="shared" ref="M37" si="158">IF(L$2=0,0,L37/L$2)</f>
        <v>0</v>
      </c>
      <c r="N37" s="178">
        <f>'Cascading Cap Cost &amp; Savings'!I32*('Cascading  for package'!N$2-N$30-SUM(N$33:N36))</f>
        <v>0</v>
      </c>
      <c r="O37" s="132">
        <f t="shared" ref="O37" si="159">IF(N$2=0,0,N37/N$2)</f>
        <v>0</v>
      </c>
      <c r="P37" s="178">
        <f>'Cascading Cap Cost &amp; Savings'!J32*('Cascading  for package'!P$2-P$30-SUM(P$33:P36))</f>
        <v>0</v>
      </c>
      <c r="Q37" s="132">
        <f t="shared" ref="Q37" si="160">IF(P$2=0,0,P37/P$2)</f>
        <v>0</v>
      </c>
      <c r="R37" s="178">
        <f>'Cascading Cap Cost &amp; Savings'!K32*('Cascading  for package'!R$2-R$30-SUM(R$33:R36))</f>
        <v>0</v>
      </c>
      <c r="S37" s="132">
        <f t="shared" ref="S37" si="161">IF(R$2=0,0,R37/R$2)</f>
        <v>0</v>
      </c>
      <c r="T37" s="38">
        <f t="shared" si="142"/>
        <v>0</v>
      </c>
      <c r="U37" s="22">
        <f t="shared" si="149"/>
        <v>0</v>
      </c>
      <c r="V37" t="e">
        <f>'Individual Measure List'!I37</f>
        <v>#VALUE!</v>
      </c>
    </row>
    <row r="38" spans="1:22" ht="13.5" thickBot="1" x14ac:dyDescent="0.35">
      <c r="A38" s="27"/>
      <c r="B38" s="25" t="str">
        <f>'EEM Data Entry'!A114</f>
        <v/>
      </c>
      <c r="C38" s="163" t="str">
        <f>'Cascading Cap Cost &amp; Savings'!B33</f>
        <v/>
      </c>
      <c r="D38" s="178">
        <f>'Cascading Cap Cost &amp; Savings'!D33*('Cascading  for package'!$D$2-D$30-SUM(D$33:D37))</f>
        <v>0</v>
      </c>
      <c r="E38" s="132">
        <f t="shared" si="141"/>
        <v>0</v>
      </c>
      <c r="F38" s="178">
        <f>'Cascading Cap Cost &amp; Savings'!E33*('Cascading  for package'!F$2-F$30-SUM(F$33:F37))</f>
        <v>0</v>
      </c>
      <c r="G38" s="132">
        <f t="shared" si="141"/>
        <v>0</v>
      </c>
      <c r="H38" s="178">
        <f>'Cascading Cap Cost &amp; Savings'!F33*('Cascading  for package'!$H$2-H$30-SUM(H$33:H37))</f>
        <v>0</v>
      </c>
      <c r="I38" s="132">
        <f t="shared" ref="I38" si="162">IF(H$2=0,0,H38/H$2)</f>
        <v>0</v>
      </c>
      <c r="J38" s="178">
        <f>'Cascading Cap Cost &amp; Savings'!G33*('Cascading  for package'!J$2-J$30-SUM(J$33:J37))</f>
        <v>0</v>
      </c>
      <c r="K38" s="132">
        <f t="shared" ref="K38" si="163">IF(J$2=0,0,J38/J$2)</f>
        <v>0</v>
      </c>
      <c r="L38" s="178">
        <f>'Cascading Cap Cost &amp; Savings'!H33*('Cascading  for package'!L$2-L$30-SUM(L$33:L37))</f>
        <v>0</v>
      </c>
      <c r="M38" s="132">
        <f t="shared" ref="M38" si="164">IF(L$2=0,0,L38/L$2)</f>
        <v>0</v>
      </c>
      <c r="N38" s="178">
        <f>'Cascading Cap Cost &amp; Savings'!I33*('Cascading  for package'!N$2-N$30-SUM(N$33:N37))</f>
        <v>0</v>
      </c>
      <c r="O38" s="132">
        <f t="shared" ref="O38" si="165">IF(N$2=0,0,N38/N$2)</f>
        <v>0</v>
      </c>
      <c r="P38" s="178">
        <f>'Cascading Cap Cost &amp; Savings'!J33*('Cascading  for package'!P$2-P$30-SUM(P$33:P37))</f>
        <v>0</v>
      </c>
      <c r="Q38" s="132">
        <f t="shared" ref="Q38" si="166">IF(P$2=0,0,P38/P$2)</f>
        <v>0</v>
      </c>
      <c r="R38" s="178">
        <f>'Cascading Cap Cost &amp; Savings'!K33*('Cascading  for package'!R$2-R$30-SUM(R$33:R37))</f>
        <v>0</v>
      </c>
      <c r="S38" s="132">
        <f t="shared" ref="S38" si="167">IF(R$2=0,0,R38/R$2)</f>
        <v>0</v>
      </c>
      <c r="T38" s="38">
        <f t="shared" si="142"/>
        <v>0</v>
      </c>
      <c r="U38" s="22">
        <f t="shared" si="149"/>
        <v>0</v>
      </c>
      <c r="V38" t="e">
        <f>'Individual Measure List'!I38</f>
        <v>#VALUE!</v>
      </c>
    </row>
    <row r="39" spans="1:22" ht="13.5" thickBot="1" x14ac:dyDescent="0.35">
      <c r="A39" s="27"/>
      <c r="B39" s="25" t="str">
        <f>'EEM Data Entry'!A116</f>
        <v/>
      </c>
      <c r="C39" s="163" t="str">
        <f>'Cascading Cap Cost &amp; Savings'!B34</f>
        <v/>
      </c>
      <c r="D39" s="178">
        <f>'Cascading Cap Cost &amp; Savings'!D34*('Cascading  for package'!$D$2-D$30-SUM(D$33:D38))</f>
        <v>0</v>
      </c>
      <c r="E39" s="132">
        <f t="shared" si="141"/>
        <v>0</v>
      </c>
      <c r="F39" s="178">
        <f>'Cascading Cap Cost &amp; Savings'!E34*('Cascading  for package'!F$2-F$30-SUM(F$33:F38))</f>
        <v>0</v>
      </c>
      <c r="G39" s="132">
        <f t="shared" si="141"/>
        <v>0</v>
      </c>
      <c r="H39" s="178">
        <f>'Cascading Cap Cost &amp; Savings'!F34*('Cascading  for package'!$H$2-H$30-SUM(H$33:H38))</f>
        <v>0</v>
      </c>
      <c r="I39" s="132">
        <f t="shared" ref="I39" si="168">IF(H$2=0,0,H39/H$2)</f>
        <v>0</v>
      </c>
      <c r="J39" s="178">
        <f>'Cascading Cap Cost &amp; Savings'!G34*('Cascading  for package'!J$2-J$30-SUM(J$33:J38))</f>
        <v>0</v>
      </c>
      <c r="K39" s="132">
        <f t="shared" ref="K39" si="169">IF(J$2=0,0,J39/J$2)</f>
        <v>0</v>
      </c>
      <c r="L39" s="178">
        <f>'Cascading Cap Cost &amp; Savings'!H34*('Cascading  for package'!L$2-L$30-SUM(L$33:L38))</f>
        <v>0</v>
      </c>
      <c r="M39" s="132">
        <f t="shared" ref="M39" si="170">IF(L$2=0,0,L39/L$2)</f>
        <v>0</v>
      </c>
      <c r="N39" s="178">
        <f>'Cascading Cap Cost &amp; Savings'!I34*('Cascading  for package'!N$2-N$30-SUM(N$33:N38))</f>
        <v>0</v>
      </c>
      <c r="O39" s="132">
        <f t="shared" ref="O39" si="171">IF(N$2=0,0,N39/N$2)</f>
        <v>0</v>
      </c>
      <c r="P39" s="178">
        <f>'Cascading Cap Cost &amp; Savings'!J34*('Cascading  for package'!P$2-P$30-SUM(P$33:P38))</f>
        <v>0</v>
      </c>
      <c r="Q39" s="132">
        <f t="shared" ref="Q39" si="172">IF(P$2=0,0,P39/P$2)</f>
        <v>0</v>
      </c>
      <c r="R39" s="178">
        <f>'Cascading Cap Cost &amp; Savings'!K34*('Cascading  for package'!R$2-R$30-SUM(R$33:R38))</f>
        <v>0</v>
      </c>
      <c r="S39" s="132">
        <f t="shared" ref="S39" si="173">IF(R$2=0,0,R39/R$2)</f>
        <v>0</v>
      </c>
      <c r="T39" s="38">
        <f t="shared" si="142"/>
        <v>0</v>
      </c>
      <c r="U39" s="22">
        <f t="shared" si="149"/>
        <v>0</v>
      </c>
      <c r="V39" t="e">
        <f>'Individual Measure List'!I39</f>
        <v>#VALUE!</v>
      </c>
    </row>
    <row r="40" spans="1:22" ht="13.5" thickBot="1" x14ac:dyDescent="0.35">
      <c r="A40" s="27"/>
      <c r="B40" s="25" t="str">
        <f>'EEM Data Entry'!A117</f>
        <v/>
      </c>
      <c r="C40" s="163" t="str">
        <f>'Cascading Cap Cost &amp; Savings'!B35</f>
        <v/>
      </c>
      <c r="D40" s="178">
        <f>'Cascading Cap Cost &amp; Savings'!D35*('Cascading  for package'!$D$2-D$30-SUM(D$33:D39))</f>
        <v>0</v>
      </c>
      <c r="E40" s="132">
        <f t="shared" si="141"/>
        <v>0</v>
      </c>
      <c r="F40" s="178">
        <f>'Cascading Cap Cost &amp; Savings'!E35*('Cascading  for package'!F$2-F$30-SUM(F$33:F39))</f>
        <v>0</v>
      </c>
      <c r="G40" s="132">
        <f t="shared" si="141"/>
        <v>0</v>
      </c>
      <c r="H40" s="178">
        <f>'Cascading Cap Cost &amp; Savings'!F35*('Cascading  for package'!$H$2-H$30-SUM(H$33:H39))</f>
        <v>0</v>
      </c>
      <c r="I40" s="132">
        <f t="shared" ref="I40" si="174">IF(H$2=0,0,H40/H$2)</f>
        <v>0</v>
      </c>
      <c r="J40" s="178">
        <f>'Cascading Cap Cost &amp; Savings'!G35*('Cascading  for package'!J$2-J$30-SUM(J$33:J39))</f>
        <v>0</v>
      </c>
      <c r="K40" s="132">
        <f t="shared" ref="K40" si="175">IF(J$2=0,0,J40/J$2)</f>
        <v>0</v>
      </c>
      <c r="L40" s="178">
        <f>'Cascading Cap Cost &amp; Savings'!H35*('Cascading  for package'!L$2-L$30-SUM(L$33:L39))</f>
        <v>0</v>
      </c>
      <c r="M40" s="132">
        <f t="shared" ref="M40" si="176">IF(L$2=0,0,L40/L$2)</f>
        <v>0</v>
      </c>
      <c r="N40" s="178">
        <f>'Cascading Cap Cost &amp; Savings'!I35*('Cascading  for package'!N$2-N$30-SUM(N$33:N39))</f>
        <v>0</v>
      </c>
      <c r="O40" s="132">
        <f t="shared" ref="O40" si="177">IF(N$2=0,0,N40/N$2)</f>
        <v>0</v>
      </c>
      <c r="P40" s="178">
        <f>'Cascading Cap Cost &amp; Savings'!J35*('Cascading  for package'!P$2-P$30-SUM(P$33:P39))</f>
        <v>0</v>
      </c>
      <c r="Q40" s="132">
        <f t="shared" ref="Q40" si="178">IF(P$2=0,0,P40/P$2)</f>
        <v>0</v>
      </c>
      <c r="R40" s="178">
        <f>'Cascading Cap Cost &amp; Savings'!K35*('Cascading  for package'!R$2-R$30-SUM(R$33:R39))</f>
        <v>0</v>
      </c>
      <c r="S40" s="132">
        <f t="shared" ref="S40" si="179">IF(R$2=0,0,R40/R$2)</f>
        <v>0</v>
      </c>
      <c r="T40" s="38">
        <f t="shared" si="142"/>
        <v>0</v>
      </c>
      <c r="U40" s="22">
        <f t="shared" si="149"/>
        <v>0</v>
      </c>
      <c r="V40" t="e">
        <f>'Individual Measure List'!I40</f>
        <v>#VALUE!</v>
      </c>
    </row>
    <row r="41" spans="1:22" ht="13.5" thickBot="1" x14ac:dyDescent="0.35">
      <c r="A41" s="27"/>
      <c r="B41" s="25" t="str">
        <f>'EEM Data Entry'!A118</f>
        <v/>
      </c>
      <c r="C41" s="163" t="str">
        <f>'Cascading Cap Cost &amp; Savings'!B36</f>
        <v/>
      </c>
      <c r="D41" s="178">
        <f>'Cascading Cap Cost &amp; Savings'!D36*('Cascading  for package'!$D$2-D$30-SUM(D$33:D40))</f>
        <v>0</v>
      </c>
      <c r="E41" s="132">
        <f t="shared" si="141"/>
        <v>0</v>
      </c>
      <c r="F41" s="178">
        <f>'Cascading Cap Cost &amp; Savings'!E36*('Cascading  for package'!F$2-F$30-SUM(F$33:F40))</f>
        <v>0</v>
      </c>
      <c r="G41" s="132">
        <f t="shared" si="141"/>
        <v>0</v>
      </c>
      <c r="H41" s="178">
        <f>'Cascading Cap Cost &amp; Savings'!F36*('Cascading  for package'!$H$2-H$30-SUM(H$33:H40))</f>
        <v>0</v>
      </c>
      <c r="I41" s="132">
        <f t="shared" ref="I41" si="180">IF(H$2=0,0,H41/H$2)</f>
        <v>0</v>
      </c>
      <c r="J41" s="178">
        <f>'Cascading Cap Cost &amp; Savings'!G36*('Cascading  for package'!J$2-J$30-SUM(J$33:J40))</f>
        <v>0</v>
      </c>
      <c r="K41" s="132">
        <f t="shared" ref="K41" si="181">IF(J$2=0,0,J41/J$2)</f>
        <v>0</v>
      </c>
      <c r="L41" s="178">
        <f>'Cascading Cap Cost &amp; Savings'!H36*('Cascading  for package'!L$2-L$30-SUM(L$33:L40))</f>
        <v>0</v>
      </c>
      <c r="M41" s="132">
        <f t="shared" ref="M41" si="182">IF(L$2=0,0,L41/L$2)</f>
        <v>0</v>
      </c>
      <c r="N41" s="178">
        <f>'Cascading Cap Cost &amp; Savings'!I36*('Cascading  for package'!N$2-N$30-SUM(N$33:N40))</f>
        <v>0</v>
      </c>
      <c r="O41" s="132">
        <f t="shared" ref="O41" si="183">IF(N$2=0,0,N41/N$2)</f>
        <v>0</v>
      </c>
      <c r="P41" s="178">
        <f>'Cascading Cap Cost &amp; Savings'!J36*('Cascading  for package'!P$2-P$30-SUM(P$33:P40))</f>
        <v>0</v>
      </c>
      <c r="Q41" s="132">
        <f t="shared" ref="Q41" si="184">IF(P$2=0,0,P41/P$2)</f>
        <v>0</v>
      </c>
      <c r="R41" s="178">
        <f>'Cascading Cap Cost &amp; Savings'!K36*('Cascading  for package'!R$2-R$30-SUM(R$33:R40))</f>
        <v>0</v>
      </c>
      <c r="S41" s="132">
        <f t="shared" ref="S41" si="185">IF(R$2=0,0,R41/R$2)</f>
        <v>0</v>
      </c>
      <c r="T41" s="38">
        <f t="shared" si="142"/>
        <v>0</v>
      </c>
      <c r="U41" s="22">
        <f t="shared" si="149"/>
        <v>0</v>
      </c>
      <c r="V41" t="e">
        <f>'Individual Measure List'!I41</f>
        <v>#VALUE!</v>
      </c>
    </row>
    <row r="42" spans="1:22" ht="13.5" thickBot="1" x14ac:dyDescent="0.35">
      <c r="A42" s="27"/>
      <c r="B42" s="25" t="str">
        <f>'EEM Data Entry'!A119</f>
        <v/>
      </c>
      <c r="C42" s="163" t="str">
        <f>'Cascading Cap Cost &amp; Savings'!B37</f>
        <v/>
      </c>
      <c r="D42" s="178">
        <f>'Cascading Cap Cost &amp; Savings'!D37*('Cascading  for package'!$D$2-D$30-SUM(D$33:D41))</f>
        <v>0</v>
      </c>
      <c r="E42" s="132">
        <f t="shared" si="141"/>
        <v>0</v>
      </c>
      <c r="F42" s="178">
        <f>'Cascading Cap Cost &amp; Savings'!E37*('Cascading  for package'!F$2-F$30-SUM(F$33:F41))</f>
        <v>0</v>
      </c>
      <c r="G42" s="132">
        <f t="shared" si="141"/>
        <v>0</v>
      </c>
      <c r="H42" s="178">
        <f>'Cascading Cap Cost &amp; Savings'!F37*('Cascading  for package'!$H$2-H$30-SUM(H$33:H41))</f>
        <v>0</v>
      </c>
      <c r="I42" s="132">
        <f t="shared" ref="I42" si="186">IF(H$2=0,0,H42/H$2)</f>
        <v>0</v>
      </c>
      <c r="J42" s="178">
        <f>'Cascading Cap Cost &amp; Savings'!G37*('Cascading  for package'!J$2-J$30-SUM(J$33:J41))</f>
        <v>0</v>
      </c>
      <c r="K42" s="132">
        <f t="shared" ref="K42" si="187">IF(J$2=0,0,J42/J$2)</f>
        <v>0</v>
      </c>
      <c r="L42" s="178">
        <f>'Cascading Cap Cost &amp; Savings'!H37*('Cascading  for package'!L$2-L$30-SUM(L$33:L41))</f>
        <v>0</v>
      </c>
      <c r="M42" s="132">
        <f t="shared" ref="M42" si="188">IF(L$2=0,0,L42/L$2)</f>
        <v>0</v>
      </c>
      <c r="N42" s="178">
        <f>'Cascading Cap Cost &amp; Savings'!I37*('Cascading  for package'!N$2-N$30-SUM(N$33:N41))</f>
        <v>0</v>
      </c>
      <c r="O42" s="132">
        <f t="shared" ref="O42" si="189">IF(N$2=0,0,N42/N$2)</f>
        <v>0</v>
      </c>
      <c r="P42" s="178">
        <f>'Cascading Cap Cost &amp; Savings'!J37*('Cascading  for package'!P$2-P$30-SUM(P$33:P41))</f>
        <v>0</v>
      </c>
      <c r="Q42" s="132">
        <f t="shared" ref="Q42" si="190">IF(P$2=0,0,P42/P$2)</f>
        <v>0</v>
      </c>
      <c r="R42" s="178">
        <f>'Cascading Cap Cost &amp; Savings'!K37*('Cascading  for package'!R$2-R$30-SUM(R$33:R41))</f>
        <v>0</v>
      </c>
      <c r="S42" s="132">
        <f t="shared" ref="S42" si="191">IF(R$2=0,0,R42/R$2)</f>
        <v>0</v>
      </c>
      <c r="T42" s="38">
        <f t="shared" si="142"/>
        <v>0</v>
      </c>
      <c r="U42" s="22">
        <f t="shared" si="149"/>
        <v>0</v>
      </c>
      <c r="V42" t="e">
        <f>'Individual Measure List'!I42</f>
        <v>#VALUE!</v>
      </c>
    </row>
    <row r="43" spans="1:22" ht="13.5" thickBot="1" x14ac:dyDescent="0.35">
      <c r="A43" s="27"/>
      <c r="B43" s="25" t="str">
        <f>'EEM Data Entry'!A120</f>
        <v/>
      </c>
      <c r="C43" s="163" t="str">
        <f>'Cascading Cap Cost &amp; Savings'!B38</f>
        <v/>
      </c>
      <c r="D43" s="178">
        <f>'Cascading Cap Cost &amp; Savings'!D38*('Cascading  for package'!$D$2-D$30-SUM(D$33:D42))</f>
        <v>0</v>
      </c>
      <c r="E43" s="132">
        <f t="shared" si="141"/>
        <v>0</v>
      </c>
      <c r="F43" s="178">
        <f>'Cascading Cap Cost &amp; Savings'!E38*('Cascading  for package'!F$2-F$30-SUM(F$33:F42))</f>
        <v>0</v>
      </c>
      <c r="G43" s="132">
        <f t="shared" si="141"/>
        <v>0</v>
      </c>
      <c r="H43" s="178">
        <f>'Cascading Cap Cost &amp; Savings'!F38*('Cascading  for package'!$H$2-H$30-SUM(H$33:H42))</f>
        <v>0</v>
      </c>
      <c r="I43" s="132">
        <f t="shared" ref="I43" si="192">IF(H$2=0,0,H43/H$2)</f>
        <v>0</v>
      </c>
      <c r="J43" s="178">
        <f>'Cascading Cap Cost &amp; Savings'!G38*('Cascading  for package'!J$2-J$30-SUM(J$33:J42))</f>
        <v>0</v>
      </c>
      <c r="K43" s="132">
        <f t="shared" ref="K43" si="193">IF(J$2=0,0,J43/J$2)</f>
        <v>0</v>
      </c>
      <c r="L43" s="178">
        <f>'Cascading Cap Cost &amp; Savings'!H38*('Cascading  for package'!L$2-L$30-SUM(L$33:L42))</f>
        <v>0</v>
      </c>
      <c r="M43" s="132">
        <f t="shared" ref="M43" si="194">IF(L$2=0,0,L43/L$2)</f>
        <v>0</v>
      </c>
      <c r="N43" s="178">
        <f>'Cascading Cap Cost &amp; Savings'!I38*('Cascading  for package'!N$2-N$30-SUM(N$33:N42))</f>
        <v>0</v>
      </c>
      <c r="O43" s="132">
        <f t="shared" ref="O43" si="195">IF(N$2=0,0,N43/N$2)</f>
        <v>0</v>
      </c>
      <c r="P43" s="178">
        <f>'Cascading Cap Cost &amp; Savings'!J38*('Cascading  for package'!P$2-P$30-SUM(P$33:P42))</f>
        <v>0</v>
      </c>
      <c r="Q43" s="132">
        <f t="shared" ref="Q43" si="196">IF(P$2=0,0,P43/P$2)</f>
        <v>0</v>
      </c>
      <c r="R43" s="178">
        <f>'Cascading Cap Cost &amp; Savings'!K38*('Cascading  for package'!R$2-R$30-SUM(R$33:R42))</f>
        <v>0</v>
      </c>
      <c r="S43" s="132">
        <f t="shared" ref="S43" si="197">IF(R$2=0,0,R43/R$2)</f>
        <v>0</v>
      </c>
      <c r="T43" s="38">
        <f t="shared" si="142"/>
        <v>0</v>
      </c>
      <c r="U43" s="22">
        <f t="shared" si="149"/>
        <v>0</v>
      </c>
      <c r="V43" t="e">
        <f>'Individual Measure List'!I43</f>
        <v>#VALUE!</v>
      </c>
    </row>
    <row r="44" spans="1:22" ht="15.75" customHeight="1" thickBot="1" x14ac:dyDescent="0.35">
      <c r="A44" s="27"/>
      <c r="B44" s="25" t="str">
        <f>'EEM Data Entry'!A121</f>
        <v/>
      </c>
      <c r="C44" s="163" t="str">
        <f>'Cascading Cap Cost &amp; Savings'!B39</f>
        <v/>
      </c>
      <c r="D44" s="178">
        <f>'Cascading Cap Cost &amp; Savings'!D39*('Cascading  for package'!$D$2-D$30-SUM(D$33:D43))</f>
        <v>0</v>
      </c>
      <c r="E44" s="132">
        <f t="shared" si="141"/>
        <v>0</v>
      </c>
      <c r="F44" s="178">
        <f>'Cascading Cap Cost &amp; Savings'!E39*('Cascading  for package'!F$2-F$30-SUM(F$33:F43))</f>
        <v>0</v>
      </c>
      <c r="G44" s="132">
        <f t="shared" si="141"/>
        <v>0</v>
      </c>
      <c r="H44" s="178">
        <f>'Cascading Cap Cost &amp; Savings'!F39*('Cascading  for package'!$H$2-H$30-SUM(H$33:H43))</f>
        <v>0</v>
      </c>
      <c r="I44" s="132">
        <f t="shared" ref="I44" si="198">IF(H$2=0,0,H44/H$2)</f>
        <v>0</v>
      </c>
      <c r="J44" s="178">
        <f>'Cascading Cap Cost &amp; Savings'!G39*('Cascading  for package'!J$2-J$30-SUM(J$33:J43))</f>
        <v>0</v>
      </c>
      <c r="K44" s="132">
        <f t="shared" ref="K44" si="199">IF(J$2=0,0,J44/J$2)</f>
        <v>0</v>
      </c>
      <c r="L44" s="178">
        <f>'Cascading Cap Cost &amp; Savings'!H39*('Cascading  for package'!L$2-L$30-SUM(L$33:L43))</f>
        <v>0</v>
      </c>
      <c r="M44" s="132">
        <f t="shared" ref="M44" si="200">IF(L$2=0,0,L44/L$2)</f>
        <v>0</v>
      </c>
      <c r="N44" s="178">
        <f>'Cascading Cap Cost &amp; Savings'!I39*('Cascading  for package'!N$2-N$30-SUM(N$33:N43))</f>
        <v>0</v>
      </c>
      <c r="O44" s="132">
        <f t="shared" ref="O44" si="201">IF(N$2=0,0,N44/N$2)</f>
        <v>0</v>
      </c>
      <c r="P44" s="178">
        <f>'Cascading Cap Cost &amp; Savings'!J39*('Cascading  for package'!P$2-P$30-SUM(P$33:P43))</f>
        <v>0</v>
      </c>
      <c r="Q44" s="132">
        <f t="shared" ref="Q44" si="202">IF(P$2=0,0,P44/P$2)</f>
        <v>0</v>
      </c>
      <c r="R44" s="178">
        <f>'Cascading Cap Cost &amp; Savings'!K39*('Cascading  for package'!R$2-R$30-SUM(R$33:R43))</f>
        <v>0</v>
      </c>
      <c r="S44" s="132">
        <f t="shared" ref="S44" si="203">IF(R$2=0,0,R44/R$2)</f>
        <v>0</v>
      </c>
      <c r="T44" s="38">
        <f t="shared" si="142"/>
        <v>0</v>
      </c>
      <c r="U44" s="22">
        <f t="shared" si="149"/>
        <v>0</v>
      </c>
      <c r="V44" t="e">
        <f>'Individual Measure List'!I44</f>
        <v>#VALUE!</v>
      </c>
    </row>
    <row r="45" spans="1:22" ht="15.75" customHeight="1" thickBot="1" x14ac:dyDescent="0.35">
      <c r="A45" s="27"/>
      <c r="B45" s="157" t="str">
        <f>'EEM Data Entry'!A123</f>
        <v/>
      </c>
      <c r="C45" s="186" t="str">
        <f>'Cascading Cap Cost &amp; Savings'!B41</f>
        <v/>
      </c>
      <c r="D45" s="178">
        <f>'Cascading Cap Cost &amp; Savings'!D40*('Cascading  for package'!$D$2-D$30-SUM(D$33:D44))</f>
        <v>0</v>
      </c>
      <c r="E45" s="132">
        <f t="shared" si="141"/>
        <v>0</v>
      </c>
      <c r="F45" s="178">
        <f>'Cascading Cap Cost &amp; Savings'!E40*('Cascading  for package'!F$2-F$30-SUM(F$33:F44))</f>
        <v>0</v>
      </c>
      <c r="G45" s="132">
        <f t="shared" si="141"/>
        <v>0</v>
      </c>
      <c r="H45" s="178">
        <f>'Cascading Cap Cost &amp; Savings'!F40*('Cascading  for package'!$H$2-H$30-SUM(H$33:H44))</f>
        <v>0</v>
      </c>
      <c r="I45" s="132">
        <f t="shared" ref="I45" si="204">IF(H$2=0,0,H45/H$2)</f>
        <v>0</v>
      </c>
      <c r="J45" s="178">
        <f>'Cascading Cap Cost &amp; Savings'!G40*('Cascading  for package'!J$2-J$30-SUM(J$33:J44))</f>
        <v>0</v>
      </c>
      <c r="K45" s="132">
        <f t="shared" ref="K45" si="205">IF(J$2=0,0,J45/J$2)</f>
        <v>0</v>
      </c>
      <c r="L45" s="178">
        <f>'Cascading Cap Cost &amp; Savings'!H40*('Cascading  for package'!L$2-L$30-SUM(L$33:L44))</f>
        <v>0</v>
      </c>
      <c r="M45" s="132">
        <f t="shared" ref="M45" si="206">IF(L$2=0,0,L45/L$2)</f>
        <v>0</v>
      </c>
      <c r="N45" s="178">
        <f>'Cascading Cap Cost &amp; Savings'!I40*('Cascading  for package'!N$2-N$30-SUM(N$33:N44))</f>
        <v>0</v>
      </c>
      <c r="O45" s="132">
        <f t="shared" ref="O45" si="207">IF(N$2=0,0,N45/N$2)</f>
        <v>0</v>
      </c>
      <c r="P45" s="178">
        <f>'Cascading Cap Cost &amp; Savings'!J40*('Cascading  for package'!P$2-P$30-SUM(P$33:P44))</f>
        <v>0</v>
      </c>
      <c r="Q45" s="132">
        <f t="shared" ref="Q45" si="208">IF(P$2=0,0,P45/P$2)</f>
        <v>0</v>
      </c>
      <c r="R45" s="178">
        <f>'Cascading Cap Cost &amp; Savings'!K40*('Cascading  for package'!R$2-R$30-SUM(R$33:R44))</f>
        <v>0</v>
      </c>
      <c r="S45" s="132">
        <f t="shared" ref="S45" si="209">IF(R$2=0,0,R45/R$2)</f>
        <v>0</v>
      </c>
      <c r="T45" s="184">
        <f>(D45*3.412)+(F45*138.6905)+(H45*100)+(J45*91.6476)+(L45*1194)+(N45*16400)+(P45*9500)+(R45*0)</f>
        <v>0</v>
      </c>
      <c r="U45" s="185">
        <f t="shared" si="149"/>
        <v>0</v>
      </c>
      <c r="V45" t="e">
        <f>'Individual Measure List'!I45</f>
        <v>#VALUE!</v>
      </c>
    </row>
    <row r="46" spans="1:22" ht="15.75" customHeight="1" thickBot="1" x14ac:dyDescent="0.3">
      <c r="A46" s="24"/>
      <c r="B46" s="24"/>
      <c r="C46" s="180" t="s">
        <v>137</v>
      </c>
      <c r="D46" s="182">
        <f>SUM(D33:D45)</f>
        <v>0</v>
      </c>
      <c r="E46" s="392" t="e">
        <f>( D46/D$2)</f>
        <v>#DIV/0!</v>
      </c>
      <c r="F46" s="182">
        <f>SUM(F33:F45)</f>
        <v>0</v>
      </c>
      <c r="G46" s="132" t="e">
        <f>F46/F$2</f>
        <v>#DIV/0!</v>
      </c>
      <c r="H46" s="182">
        <f>SUM(H33:H45)</f>
        <v>0</v>
      </c>
      <c r="I46" s="132" t="e">
        <f>H46/H$2</f>
        <v>#DIV/0!</v>
      </c>
      <c r="J46" s="182">
        <f>SUM(J33:J45)</f>
        <v>0</v>
      </c>
      <c r="K46" s="132" t="e">
        <f>J46/J$2</f>
        <v>#DIV/0!</v>
      </c>
      <c r="L46" s="182">
        <f>SUM(L33:L45)</f>
        <v>0</v>
      </c>
      <c r="M46" s="132" t="e">
        <f>L46/L$2</f>
        <v>#DIV/0!</v>
      </c>
      <c r="N46" s="182">
        <f>SUM(N33:N45)</f>
        <v>0</v>
      </c>
      <c r="O46" s="132" t="e">
        <f>N46/N$2</f>
        <v>#DIV/0!</v>
      </c>
      <c r="P46" s="182">
        <f>SUM(P33:P45)</f>
        <v>0</v>
      </c>
      <c r="Q46" s="132" t="e">
        <f>P46/P$2</f>
        <v>#DIV/0!</v>
      </c>
      <c r="R46" s="182">
        <f>SUM(R33:R45)</f>
        <v>0</v>
      </c>
      <c r="S46" s="132" t="e">
        <f>R46/R$2</f>
        <v>#DIV/0!</v>
      </c>
      <c r="T46" s="182">
        <f>SUM(T33:T45)</f>
        <v>0</v>
      </c>
      <c r="U46" s="183">
        <f>IF(T$2&gt;0, T46/T$2, 0)</f>
        <v>0</v>
      </c>
      <c r="V46">
        <f>'Individual Measure List'!I47</f>
        <v>0</v>
      </c>
    </row>
    <row r="47" spans="1:22" ht="13" thickBot="1" x14ac:dyDescent="0.3">
      <c r="A47" s="20"/>
      <c r="D47" s="21"/>
      <c r="E47" s="21"/>
      <c r="F47" s="21"/>
      <c r="G47" s="21"/>
      <c r="H47" s="21"/>
      <c r="I47" s="21"/>
      <c r="J47" s="21"/>
      <c r="K47" s="21"/>
      <c r="L47" s="21"/>
      <c r="M47" s="21"/>
      <c r="T47" s="4"/>
    </row>
    <row r="48" spans="1:22" ht="29.25" customHeight="1" thickBot="1" x14ac:dyDescent="0.3">
      <c r="A48" s="37"/>
      <c r="B48" s="36"/>
      <c r="C48" s="35" t="s">
        <v>407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</row>
    <row r="49" spans="1:22" ht="13.5" thickBot="1" x14ac:dyDescent="0.35">
      <c r="A49" s="27"/>
      <c r="B49" s="25" t="str">
        <f>'EEM Data Entry'!A125</f>
        <v/>
      </c>
      <c r="C49" s="164" t="str">
        <f>'Cascading Cap Cost &amp; Savings'!B43</f>
        <v/>
      </c>
      <c r="D49" s="178">
        <f>'Cascading Cap Cost &amp; Savings'!D43*('Cascading  for package'!D$2-D30)</f>
        <v>0</v>
      </c>
      <c r="E49" s="132">
        <f>IF(D$2=0,0,D49/D$2)</f>
        <v>0</v>
      </c>
      <c r="F49" s="178">
        <f>'Cascading Cap Cost &amp; Savings'!F43*('Cascading  for package'!F$2-F$46-F30)</f>
        <v>0</v>
      </c>
      <c r="G49" s="132">
        <f>IF(F$2=0,0,F49/F$2)</f>
        <v>0</v>
      </c>
      <c r="H49" s="178">
        <f>'Cascading Cap Cost &amp; Savings'!H43*('Cascading  for package'!H$2-H$46-H30)</f>
        <v>0</v>
      </c>
      <c r="I49" s="132">
        <f>IF(H$2=0,0,H49/H$2)</f>
        <v>0</v>
      </c>
      <c r="J49" s="178">
        <f>'Cascading Cap Cost &amp; Savings'!J43*('Cascading  for package'!J$2-J$46-J30)</f>
        <v>0</v>
      </c>
      <c r="K49" s="132">
        <f>IF(J$2=0,0,J49/J$2)</f>
        <v>0</v>
      </c>
      <c r="L49" s="178" t="e">
        <f>'Cascading Cap Cost &amp; Savings'!L43*('Cascading  for package'!L$2-L$46-L30)</f>
        <v>#VALUE!</v>
      </c>
      <c r="M49" s="132">
        <f>IF(L$2=0,0,L49/L$2)</f>
        <v>0</v>
      </c>
      <c r="N49" s="178">
        <f>'Cascading Cap Cost &amp; Savings'!N43*('Cascading  for package'!N$2-N$46-N30)</f>
        <v>0</v>
      </c>
      <c r="O49" s="132">
        <f>IF(N$2=0,0,N49/N$2)</f>
        <v>0</v>
      </c>
      <c r="P49" s="178">
        <f>'Cascading Cap Cost &amp; Savings'!P43*('Cascading  for package'!P$2-P$46-P30)</f>
        <v>0</v>
      </c>
      <c r="Q49" s="132">
        <f>IF(P$2=0,0,P49/P$2)</f>
        <v>0</v>
      </c>
      <c r="R49" s="178">
        <f>'Cascading Cap Cost &amp; Savings'!R43*('Cascading  for package'!R$2-R$46-R30)</f>
        <v>0</v>
      </c>
      <c r="S49" s="132">
        <f>IF(R$2=0,0,R49/R$2)</f>
        <v>0</v>
      </c>
      <c r="T49" s="38" t="e">
        <f>(D49*3.412)+(F49*138.6905)+(H49*100)+(J49*91.6476)+(L49*1194)+(N49*16400)+(P49*9500)+(R49*0)</f>
        <v>#VALUE!</v>
      </c>
      <c r="U49" s="22">
        <f>IF(T$2&gt;0, T49/T$2, 0)</f>
        <v>0</v>
      </c>
      <c r="V49" t="e">
        <f>'Individual Measure List'!I49</f>
        <v>#VALUE!</v>
      </c>
    </row>
    <row r="50" spans="1:22" ht="13.5" thickBot="1" x14ac:dyDescent="0.35">
      <c r="A50" s="27"/>
      <c r="B50" s="25" t="str">
        <f>'EEM Data Entry'!A126</f>
        <v/>
      </c>
      <c r="C50" s="164" t="str">
        <f>'Cascading Cap Cost &amp; Savings'!B44</f>
        <v/>
      </c>
      <c r="D50" s="178">
        <f>'Cascading Cap Cost &amp; Savings'!D44*('Cascading  for package'!$D$2-D$46-D$30-D49)</f>
        <v>0</v>
      </c>
      <c r="E50" s="132">
        <f t="shared" ref="E50:G63" si="210">IF(D$2=0,0,D50/D$2)</f>
        <v>0</v>
      </c>
      <c r="F50" s="178">
        <f>'Cascading Cap Cost &amp; Savings'!F44*('Cascading  for package'!$F$2-F$46-F$30-F49)</f>
        <v>0</v>
      </c>
      <c r="G50" s="132">
        <f t="shared" si="210"/>
        <v>0</v>
      </c>
      <c r="H50" s="178">
        <f>'Cascading Cap Cost &amp; Savings'!H44*('Cascading  for package'!$F$2-H$46-H$30-H49)</f>
        <v>0</v>
      </c>
      <c r="I50" s="132">
        <f t="shared" ref="I50" si="211">IF(H$2=0,0,H50/H$2)</f>
        <v>0</v>
      </c>
      <c r="J50" s="178">
        <f>'Cascading Cap Cost &amp; Savings'!J44*('Cascading  for package'!$F$2-J$46-J$30-J49)</f>
        <v>0</v>
      </c>
      <c r="K50" s="132">
        <f t="shared" ref="K50" si="212">IF(J$2=0,0,J50/J$2)</f>
        <v>0</v>
      </c>
      <c r="L50" s="178" t="e">
        <f>'Cascading Cap Cost &amp; Savings'!L44*('Cascading  for package'!$F$2-L$46-L$30-L49)</f>
        <v>#VALUE!</v>
      </c>
      <c r="M50" s="132">
        <f t="shared" ref="M50" si="213">IF(L$2=0,0,L50/L$2)</f>
        <v>0</v>
      </c>
      <c r="N50" s="178">
        <f>'Cascading Cap Cost &amp; Savings'!N44*('Cascading  for package'!$F$2-N$46-N$30-N49)</f>
        <v>0</v>
      </c>
      <c r="O50" s="132">
        <f t="shared" ref="O50" si="214">IF(N$2=0,0,N50/N$2)</f>
        <v>0</v>
      </c>
      <c r="P50" s="178">
        <f>'Cascading Cap Cost &amp; Savings'!P44*('Cascading  for package'!$F$2-P$46-P$30-P49)</f>
        <v>0</v>
      </c>
      <c r="Q50" s="132">
        <f t="shared" ref="Q50" si="215">IF(P$2=0,0,P50/P$2)</f>
        <v>0</v>
      </c>
      <c r="R50" s="178">
        <f>'Cascading Cap Cost &amp; Savings'!R44*('Cascading  for package'!$F$2-R$46-R$30-R49)</f>
        <v>0</v>
      </c>
      <c r="S50" s="132">
        <f t="shared" ref="S50" si="216">IF(R$2=0,0,R50/R$2)</f>
        <v>0</v>
      </c>
      <c r="T50" s="38" t="e">
        <f t="shared" ref="T50:T63" si="217">(D50*3.412)+(F50*138.6905)+(H50*100)+(J50*91.6476)+(L50*1194)+(N50*16400)+(P50*9500)+(R50*0)</f>
        <v>#VALUE!</v>
      </c>
      <c r="U50" s="22">
        <f t="shared" ref="U50:U64" si="218">IF(T$2&gt;0, T50/T$2, 0)</f>
        <v>0</v>
      </c>
      <c r="V50" t="e">
        <f>'Individual Measure List'!I50</f>
        <v>#VALUE!</v>
      </c>
    </row>
    <row r="51" spans="1:22" ht="13.5" thickBot="1" x14ac:dyDescent="0.35">
      <c r="A51" s="27"/>
      <c r="B51" s="25" t="str">
        <f>'EEM Data Entry'!A127</f>
        <v/>
      </c>
      <c r="C51" s="164" t="str">
        <f>'Cascading Cap Cost &amp; Savings'!B45</f>
        <v/>
      </c>
      <c r="D51" s="178">
        <f>'Cascading Cap Cost &amp; Savings'!D45*('Cascading  for package'!D$2-D$46-D$30-SUM(D$49:D50))</f>
        <v>0</v>
      </c>
      <c r="E51" s="132">
        <f t="shared" si="210"/>
        <v>0</v>
      </c>
      <c r="F51" s="178">
        <f>'Cascading Cap Cost &amp; Savings'!F45*('Cascading  for package'!F$2-F$46-F$30-SUM(F$49:F50))</f>
        <v>0</v>
      </c>
      <c r="G51" s="132">
        <f t="shared" si="210"/>
        <v>0</v>
      </c>
      <c r="H51" s="178">
        <f>'Cascading Cap Cost &amp; Savings'!H45*('Cascading  for package'!H$2-H$46-H$30-SUM(H$49:H50))</f>
        <v>0</v>
      </c>
      <c r="I51" s="132">
        <f t="shared" ref="I51" si="219">IF(H$2=0,0,H51/H$2)</f>
        <v>0</v>
      </c>
      <c r="J51" s="178">
        <f>'Cascading Cap Cost &amp; Savings'!J45*('Cascading  for package'!J$2-J$46-J$30-SUM(J$49:J50))</f>
        <v>0</v>
      </c>
      <c r="K51" s="132">
        <f t="shared" ref="K51" si="220">IF(J$2=0,0,J51/J$2)</f>
        <v>0</v>
      </c>
      <c r="L51" s="178" t="e">
        <f>'Cascading Cap Cost &amp; Savings'!L45*('Cascading  for package'!L$2-L$46-L$30-SUM(L$49:L50))</f>
        <v>#VALUE!</v>
      </c>
      <c r="M51" s="132">
        <f t="shared" ref="M51" si="221">IF(L$2=0,0,L51/L$2)</f>
        <v>0</v>
      </c>
      <c r="N51" s="178">
        <f>'Cascading Cap Cost &amp; Savings'!N45*('Cascading  for package'!N$2-N$46-N$30-SUM(N$49:N50))</f>
        <v>0</v>
      </c>
      <c r="O51" s="132">
        <f t="shared" ref="O51" si="222">IF(N$2=0,0,N51/N$2)</f>
        <v>0</v>
      </c>
      <c r="P51" s="178">
        <f>'Cascading Cap Cost &amp; Savings'!P45*('Cascading  for package'!P$2-P$46-P$30-SUM(P$49:P50))</f>
        <v>0</v>
      </c>
      <c r="Q51" s="132">
        <f t="shared" ref="Q51" si="223">IF(P$2=0,0,P51/P$2)</f>
        <v>0</v>
      </c>
      <c r="R51" s="178">
        <f>'Cascading Cap Cost &amp; Savings'!R45*('Cascading  for package'!R$2-R$46-R$30-SUM(R$49:R50))</f>
        <v>0</v>
      </c>
      <c r="S51" s="132">
        <f t="shared" ref="S51" si="224">IF(R$2=0,0,R51/R$2)</f>
        <v>0</v>
      </c>
      <c r="T51" s="38" t="e">
        <f t="shared" si="217"/>
        <v>#VALUE!</v>
      </c>
      <c r="U51" s="22">
        <f t="shared" si="218"/>
        <v>0</v>
      </c>
      <c r="V51" t="e">
        <f>'Individual Measure List'!I51</f>
        <v>#VALUE!</v>
      </c>
    </row>
    <row r="52" spans="1:22" ht="13.5" thickBot="1" x14ac:dyDescent="0.35">
      <c r="A52" s="27"/>
      <c r="B52" s="25" t="str">
        <f>'EEM Data Entry'!A128</f>
        <v/>
      </c>
      <c r="C52" s="164" t="str">
        <f>'Cascading Cap Cost &amp; Savings'!B46</f>
        <v/>
      </c>
      <c r="D52" s="178">
        <f>'Cascading Cap Cost &amp; Savings'!D46*('Cascading  for package'!D$2-D$46-D$30-SUM(D$49:D51))</f>
        <v>0</v>
      </c>
      <c r="E52" s="132">
        <f t="shared" si="210"/>
        <v>0</v>
      </c>
      <c r="F52" s="178">
        <f>'Cascading Cap Cost &amp; Savings'!F46*('Cascading  for package'!F$2-F$46-F$30-SUM(F$49:F51))</f>
        <v>0</v>
      </c>
      <c r="G52" s="132">
        <f t="shared" si="210"/>
        <v>0</v>
      </c>
      <c r="H52" s="178">
        <f>'Cascading Cap Cost &amp; Savings'!H46*('Cascading  for package'!H$2-H$46-H$30-SUM(H$49:H51))</f>
        <v>0</v>
      </c>
      <c r="I52" s="132">
        <f t="shared" ref="I52" si="225">IF(H$2=0,0,H52/H$2)</f>
        <v>0</v>
      </c>
      <c r="J52" s="178">
        <f>'Cascading Cap Cost &amp; Savings'!J46*('Cascading  for package'!J$2-J$46-J$30-SUM(J$49:J51))</f>
        <v>0</v>
      </c>
      <c r="K52" s="132">
        <f t="shared" ref="K52" si="226">IF(J$2=0,0,J52/J$2)</f>
        <v>0</v>
      </c>
      <c r="L52" s="178" t="e">
        <f>'Cascading Cap Cost &amp; Savings'!L46*('Cascading  for package'!L$2-L$46-L$30-SUM(L$49:L51))</f>
        <v>#VALUE!</v>
      </c>
      <c r="M52" s="132">
        <f t="shared" ref="M52" si="227">IF(L$2=0,0,L52/L$2)</f>
        <v>0</v>
      </c>
      <c r="N52" s="178">
        <f>'Cascading Cap Cost &amp; Savings'!N46*('Cascading  for package'!N$2-N$46-N$30-SUM(N$49:N51))</f>
        <v>0</v>
      </c>
      <c r="O52" s="132">
        <f t="shared" ref="O52" si="228">IF(N$2=0,0,N52/N$2)</f>
        <v>0</v>
      </c>
      <c r="P52" s="178">
        <f>'Cascading Cap Cost &amp; Savings'!P46*('Cascading  for package'!P$2-P$46-P$30-SUM(P$49:P51))</f>
        <v>0</v>
      </c>
      <c r="Q52" s="132">
        <f t="shared" ref="Q52" si="229">IF(P$2=0,0,P52/P$2)</f>
        <v>0</v>
      </c>
      <c r="R52" s="178">
        <f>'Cascading Cap Cost &amp; Savings'!R46*('Cascading  for package'!R$2-R$46-R$30-SUM(R$49:R51))</f>
        <v>0</v>
      </c>
      <c r="S52" s="132">
        <f t="shared" ref="S52" si="230">IF(R$2=0,0,R52/R$2)</f>
        <v>0</v>
      </c>
      <c r="T52" s="38" t="e">
        <f t="shared" si="217"/>
        <v>#VALUE!</v>
      </c>
      <c r="U52" s="22">
        <f t="shared" si="218"/>
        <v>0</v>
      </c>
      <c r="V52" t="e">
        <f>'Individual Measure List'!I52</f>
        <v>#VALUE!</v>
      </c>
    </row>
    <row r="53" spans="1:22" ht="13.5" thickBot="1" x14ac:dyDescent="0.35">
      <c r="A53" s="27"/>
      <c r="B53" s="25" t="str">
        <f>'EEM Data Entry'!A129</f>
        <v/>
      </c>
      <c r="C53" s="164" t="str">
        <f>'Cascading Cap Cost &amp; Savings'!B47</f>
        <v/>
      </c>
      <c r="D53" s="178">
        <f>'Cascading Cap Cost &amp; Savings'!D47*('Cascading  for package'!D$2-D$46-D$30-SUM(D$49:D52))</f>
        <v>0</v>
      </c>
      <c r="E53" s="132">
        <f t="shared" si="210"/>
        <v>0</v>
      </c>
      <c r="F53" s="178">
        <f>'Cascading Cap Cost &amp; Savings'!F47*('Cascading  for package'!F$2-F$46-F$30-SUM(F$49:F52))</f>
        <v>0</v>
      </c>
      <c r="G53" s="132">
        <f t="shared" si="210"/>
        <v>0</v>
      </c>
      <c r="H53" s="178">
        <f>'Cascading Cap Cost &amp; Savings'!H47*('Cascading  for package'!H$2-H$46-H$30-SUM(H$49:H52))</f>
        <v>0</v>
      </c>
      <c r="I53" s="132">
        <f t="shared" ref="I53" si="231">IF(H$2=0,0,H53/H$2)</f>
        <v>0</v>
      </c>
      <c r="J53" s="178">
        <f>'Cascading Cap Cost &amp; Savings'!J47*('Cascading  for package'!J$2-J$46-J$30-SUM(J$49:J52))</f>
        <v>0</v>
      </c>
      <c r="K53" s="132">
        <f t="shared" ref="K53" si="232">IF(J$2=0,0,J53/J$2)</f>
        <v>0</v>
      </c>
      <c r="L53" s="178" t="e">
        <f>'Cascading Cap Cost &amp; Savings'!L47*('Cascading  for package'!L$2-L$46-L$30-SUM(L$49:L52))</f>
        <v>#VALUE!</v>
      </c>
      <c r="M53" s="132">
        <f t="shared" ref="M53" si="233">IF(L$2=0,0,L53/L$2)</f>
        <v>0</v>
      </c>
      <c r="N53" s="178">
        <f>'Cascading Cap Cost &amp; Savings'!N47*('Cascading  for package'!N$2-N$46-N$30-SUM(N$49:N52))</f>
        <v>0</v>
      </c>
      <c r="O53" s="132">
        <f t="shared" ref="O53" si="234">IF(N$2=0,0,N53/N$2)</f>
        <v>0</v>
      </c>
      <c r="P53" s="178">
        <f>'Cascading Cap Cost &amp; Savings'!P47*('Cascading  for package'!P$2-P$46-P$30-SUM(P$49:P52))</f>
        <v>0</v>
      </c>
      <c r="Q53" s="132">
        <f t="shared" ref="Q53" si="235">IF(P$2=0,0,P53/P$2)</f>
        <v>0</v>
      </c>
      <c r="R53" s="178">
        <f>'Cascading Cap Cost &amp; Savings'!R47*('Cascading  for package'!R$2-R$46-R$30-SUM(R$49:R52))</f>
        <v>0</v>
      </c>
      <c r="S53" s="132">
        <f t="shared" ref="S53" si="236">IF(R$2=0,0,R53/R$2)</f>
        <v>0</v>
      </c>
      <c r="T53" s="38" t="e">
        <f t="shared" si="217"/>
        <v>#VALUE!</v>
      </c>
      <c r="U53" s="22">
        <f t="shared" si="218"/>
        <v>0</v>
      </c>
      <c r="V53" t="e">
        <f>'Individual Measure List'!I53</f>
        <v>#VALUE!</v>
      </c>
    </row>
    <row r="54" spans="1:22" ht="13.5" thickBot="1" x14ac:dyDescent="0.35">
      <c r="A54" s="27"/>
      <c r="B54" s="25" t="str">
        <f>'EEM Data Entry'!A130</f>
        <v/>
      </c>
      <c r="C54" s="164" t="str">
        <f>'Cascading Cap Cost &amp; Savings'!B48</f>
        <v/>
      </c>
      <c r="D54" s="178">
        <f>'Cascading Cap Cost &amp; Savings'!D48*('Cascading  for package'!D$2-D$46-D$30-SUM(D$49:D53))</f>
        <v>0</v>
      </c>
      <c r="E54" s="132">
        <f t="shared" si="210"/>
        <v>0</v>
      </c>
      <c r="F54" s="178">
        <f>'Cascading Cap Cost &amp; Savings'!F48*('Cascading  for package'!F$2-F$46-F$30-SUM(F$49:F53))</f>
        <v>0</v>
      </c>
      <c r="G54" s="132">
        <f t="shared" si="210"/>
        <v>0</v>
      </c>
      <c r="H54" s="178">
        <f>'Cascading Cap Cost &amp; Savings'!H48*('Cascading  for package'!H$2-H$46-H$30-SUM(H$49:H53))</f>
        <v>0</v>
      </c>
      <c r="I54" s="132">
        <f t="shared" ref="I54" si="237">IF(H$2=0,0,H54/H$2)</f>
        <v>0</v>
      </c>
      <c r="J54" s="178">
        <f>'Cascading Cap Cost &amp; Savings'!J48*('Cascading  for package'!J$2-J$46-J$30-SUM(J$49:J53))</f>
        <v>0</v>
      </c>
      <c r="K54" s="132">
        <f t="shared" ref="K54" si="238">IF(J$2=0,0,J54/J$2)</f>
        <v>0</v>
      </c>
      <c r="L54" s="178" t="e">
        <f>'Cascading Cap Cost &amp; Savings'!L48*('Cascading  for package'!L$2-L$46-L$30-SUM(L$49:L53))</f>
        <v>#VALUE!</v>
      </c>
      <c r="M54" s="132">
        <f t="shared" ref="M54" si="239">IF(L$2=0,0,L54/L$2)</f>
        <v>0</v>
      </c>
      <c r="N54" s="178">
        <f>'Cascading Cap Cost &amp; Savings'!N48*('Cascading  for package'!N$2-N$46-N$30-SUM(N$49:N53))</f>
        <v>0</v>
      </c>
      <c r="O54" s="132">
        <f t="shared" ref="O54" si="240">IF(N$2=0,0,N54/N$2)</f>
        <v>0</v>
      </c>
      <c r="P54" s="178">
        <f>'Cascading Cap Cost &amp; Savings'!P48*('Cascading  for package'!P$2-P$46-P$30-SUM(P$49:P53))</f>
        <v>0</v>
      </c>
      <c r="Q54" s="132">
        <f t="shared" ref="Q54" si="241">IF(P$2=0,0,P54/P$2)</f>
        <v>0</v>
      </c>
      <c r="R54" s="178">
        <f>'Cascading Cap Cost &amp; Savings'!R48*('Cascading  for package'!R$2-R$46-R$30-SUM(R$49:R53))</f>
        <v>0</v>
      </c>
      <c r="S54" s="132">
        <f t="shared" ref="S54" si="242">IF(R$2=0,0,R54/R$2)</f>
        <v>0</v>
      </c>
      <c r="T54" s="38" t="e">
        <f t="shared" si="217"/>
        <v>#VALUE!</v>
      </c>
      <c r="U54" s="22">
        <f t="shared" si="218"/>
        <v>0</v>
      </c>
      <c r="V54" t="e">
        <f>'Individual Measure List'!I54</f>
        <v>#VALUE!</v>
      </c>
    </row>
    <row r="55" spans="1:22" ht="13.5" thickBot="1" x14ac:dyDescent="0.35">
      <c r="A55" s="27"/>
      <c r="B55" s="25" t="str">
        <f>'EEM Data Entry'!A131</f>
        <v/>
      </c>
      <c r="C55" s="164" t="str">
        <f>'Cascading Cap Cost &amp; Savings'!B49</f>
        <v/>
      </c>
      <c r="D55" s="178">
        <f>'Cascading Cap Cost &amp; Savings'!D49*('Cascading  for package'!D$2-D$46-D$30-SUM(D$49:D54))</f>
        <v>0</v>
      </c>
      <c r="E55" s="132">
        <f t="shared" si="210"/>
        <v>0</v>
      </c>
      <c r="F55" s="178">
        <f>'Cascading Cap Cost &amp; Savings'!F49*('Cascading  for package'!F$2-F$46-F$30-SUM(F$49:F54))</f>
        <v>0</v>
      </c>
      <c r="G55" s="132">
        <f t="shared" si="210"/>
        <v>0</v>
      </c>
      <c r="H55" s="178">
        <f>'Cascading Cap Cost &amp; Savings'!H49*('Cascading  for package'!H$2-H$46-H$30-SUM(H$49:H54))</f>
        <v>0</v>
      </c>
      <c r="I55" s="132">
        <f t="shared" ref="I55" si="243">IF(H$2=0,0,H55/H$2)</f>
        <v>0</v>
      </c>
      <c r="J55" s="178">
        <f>'Cascading Cap Cost &amp; Savings'!J49*('Cascading  for package'!J$2-J$46-J$30-SUM(J$49:J54))</f>
        <v>0</v>
      </c>
      <c r="K55" s="132">
        <f t="shared" ref="K55" si="244">IF(J$2=0,0,J55/J$2)</f>
        <v>0</v>
      </c>
      <c r="L55" s="178" t="e">
        <f>'Cascading Cap Cost &amp; Savings'!L49*('Cascading  for package'!L$2-L$46-L$30-SUM(L$49:L54))</f>
        <v>#VALUE!</v>
      </c>
      <c r="M55" s="132">
        <f t="shared" ref="M55" si="245">IF(L$2=0,0,L55/L$2)</f>
        <v>0</v>
      </c>
      <c r="N55" s="178">
        <f>'Cascading Cap Cost &amp; Savings'!N49*('Cascading  for package'!N$2-N$46-N$30-SUM(N$49:N54))</f>
        <v>0</v>
      </c>
      <c r="O55" s="132">
        <f t="shared" ref="O55" si="246">IF(N$2=0,0,N55/N$2)</f>
        <v>0</v>
      </c>
      <c r="P55" s="178">
        <f>'Cascading Cap Cost &amp; Savings'!P49*('Cascading  for package'!P$2-P$46-P$30-SUM(P$49:P54))</f>
        <v>0</v>
      </c>
      <c r="Q55" s="132">
        <f t="shared" ref="Q55" si="247">IF(P$2=0,0,P55/P$2)</f>
        <v>0</v>
      </c>
      <c r="R55" s="178">
        <f>'Cascading Cap Cost &amp; Savings'!R49*('Cascading  for package'!R$2-R$46-R$30-SUM(R$49:R54))</f>
        <v>0</v>
      </c>
      <c r="S55" s="132">
        <f t="shared" ref="S55" si="248">IF(R$2=0,0,R55/R$2)</f>
        <v>0</v>
      </c>
      <c r="T55" s="38" t="e">
        <f t="shared" si="217"/>
        <v>#VALUE!</v>
      </c>
      <c r="U55" s="22">
        <f t="shared" si="218"/>
        <v>0</v>
      </c>
      <c r="V55" t="e">
        <f>'Individual Measure List'!I55</f>
        <v>#VALUE!</v>
      </c>
    </row>
    <row r="56" spans="1:22" ht="30" customHeight="1" thickBot="1" x14ac:dyDescent="0.35">
      <c r="A56" s="27"/>
      <c r="B56" s="25" t="str">
        <f>'EEM Data Entry'!A132</f>
        <v/>
      </c>
      <c r="C56" s="164" t="str">
        <f>'Cascading Cap Cost &amp; Savings'!B50</f>
        <v/>
      </c>
      <c r="D56" s="178">
        <f>'Cascading Cap Cost &amp; Savings'!D50*('Cascading  for package'!D$2-D$46-D$30-SUM(D$49:D55))</f>
        <v>0</v>
      </c>
      <c r="E56" s="132">
        <f t="shared" si="210"/>
        <v>0</v>
      </c>
      <c r="F56" s="178">
        <f>'Cascading Cap Cost &amp; Savings'!F50*('Cascading  for package'!F$2-F$46-F$30-SUM(F$49:F55))</f>
        <v>0</v>
      </c>
      <c r="G56" s="132">
        <f t="shared" si="210"/>
        <v>0</v>
      </c>
      <c r="H56" s="178">
        <f>'Cascading Cap Cost &amp; Savings'!H50*('Cascading  for package'!H$2-H$46-H$30-SUM(H$49:H55))</f>
        <v>0</v>
      </c>
      <c r="I56" s="132">
        <f t="shared" ref="I56" si="249">IF(H$2=0,0,H56/H$2)</f>
        <v>0</v>
      </c>
      <c r="J56" s="178">
        <f>'Cascading Cap Cost &amp; Savings'!J50*('Cascading  for package'!J$2-J$46-J$30-SUM(J$49:J55))</f>
        <v>0</v>
      </c>
      <c r="K56" s="132">
        <f t="shared" ref="K56" si="250">IF(J$2=0,0,J56/J$2)</f>
        <v>0</v>
      </c>
      <c r="L56" s="178" t="e">
        <f>'Cascading Cap Cost &amp; Savings'!L50*('Cascading  for package'!L$2-L$46-L$30-SUM(L$49:L55))</f>
        <v>#VALUE!</v>
      </c>
      <c r="M56" s="132">
        <f t="shared" ref="M56" si="251">IF(L$2=0,0,L56/L$2)</f>
        <v>0</v>
      </c>
      <c r="N56" s="178">
        <f>'Cascading Cap Cost &amp; Savings'!N50*('Cascading  for package'!N$2-N$46-N$30-SUM(N$49:N55))</f>
        <v>0</v>
      </c>
      <c r="O56" s="132">
        <f t="shared" ref="O56" si="252">IF(N$2=0,0,N56/N$2)</f>
        <v>0</v>
      </c>
      <c r="P56" s="178">
        <f>'Cascading Cap Cost &amp; Savings'!P50*('Cascading  for package'!P$2-P$46-P$30-SUM(P$49:P55))</f>
        <v>0</v>
      </c>
      <c r="Q56" s="132">
        <f t="shared" ref="Q56" si="253">IF(P$2=0,0,P56/P$2)</f>
        <v>0</v>
      </c>
      <c r="R56" s="178">
        <f>'Cascading Cap Cost &amp; Savings'!R50*('Cascading  for package'!R$2-R$46-R$30-SUM(R$49:R55))</f>
        <v>0</v>
      </c>
      <c r="S56" s="132">
        <f t="shared" ref="S56" si="254">IF(R$2=0,0,R56/R$2)</f>
        <v>0</v>
      </c>
      <c r="T56" s="38" t="e">
        <f t="shared" si="217"/>
        <v>#VALUE!</v>
      </c>
      <c r="U56" s="22">
        <f t="shared" si="218"/>
        <v>0</v>
      </c>
      <c r="V56" t="e">
        <f>'Individual Measure List'!I56</f>
        <v>#VALUE!</v>
      </c>
    </row>
    <row r="57" spans="1:22" ht="30" customHeight="1" thickBot="1" x14ac:dyDescent="0.35">
      <c r="A57" s="27"/>
      <c r="B57" s="25" t="str">
        <f>'EEM Data Entry'!A133</f>
        <v/>
      </c>
      <c r="C57" s="164" t="str">
        <f>'Cascading Cap Cost &amp; Savings'!B51</f>
        <v/>
      </c>
      <c r="D57" s="178">
        <f>'Cascading Cap Cost &amp; Savings'!D51*('Cascading  for package'!D$2-D$46-D$30-SUM(D$49:D56))</f>
        <v>0</v>
      </c>
      <c r="E57" s="132">
        <f t="shared" si="210"/>
        <v>0</v>
      </c>
      <c r="F57" s="178">
        <f>'Cascading Cap Cost &amp; Savings'!F51*('Cascading  for package'!F$2-F$46-F$30-SUM(F$49:F56))</f>
        <v>0</v>
      </c>
      <c r="G57" s="132">
        <f t="shared" si="210"/>
        <v>0</v>
      </c>
      <c r="H57" s="178">
        <f>'Cascading Cap Cost &amp; Savings'!H51*('Cascading  for package'!H$2-H$46-H$30-SUM(H$49:H56))</f>
        <v>0</v>
      </c>
      <c r="I57" s="132">
        <f t="shared" ref="I57" si="255">IF(H$2=0,0,H57/H$2)</f>
        <v>0</v>
      </c>
      <c r="J57" s="178">
        <f>'Cascading Cap Cost &amp; Savings'!J51*('Cascading  for package'!J$2-J$46-J$30-SUM(J$49:J56))</f>
        <v>0</v>
      </c>
      <c r="K57" s="132">
        <f t="shared" ref="K57" si="256">IF(J$2=0,0,J57/J$2)</f>
        <v>0</v>
      </c>
      <c r="L57" s="178" t="e">
        <f>'Cascading Cap Cost &amp; Savings'!L51*('Cascading  for package'!L$2-L$46-L$30-SUM(L$49:L56))</f>
        <v>#VALUE!</v>
      </c>
      <c r="M57" s="132">
        <f t="shared" ref="M57" si="257">IF(L$2=0,0,L57/L$2)</f>
        <v>0</v>
      </c>
      <c r="N57" s="178">
        <f>'Cascading Cap Cost &amp; Savings'!N51*('Cascading  for package'!N$2-N$46-N$30-SUM(N$49:N56))</f>
        <v>0</v>
      </c>
      <c r="O57" s="132">
        <f t="shared" ref="O57" si="258">IF(N$2=0,0,N57/N$2)</f>
        <v>0</v>
      </c>
      <c r="P57" s="178">
        <f>'Cascading Cap Cost &amp; Savings'!P51*('Cascading  for package'!P$2-P$46-P$30-SUM(P$49:P56))</f>
        <v>0</v>
      </c>
      <c r="Q57" s="132">
        <f t="shared" ref="Q57" si="259">IF(P$2=0,0,P57/P$2)</f>
        <v>0</v>
      </c>
      <c r="R57" s="178">
        <f>'Cascading Cap Cost &amp; Savings'!R51*('Cascading  for package'!R$2-R$46-R$30-SUM(R$49:R56))</f>
        <v>0</v>
      </c>
      <c r="S57" s="132">
        <f t="shared" ref="S57" si="260">IF(R$2=0,0,R57/R$2)</f>
        <v>0</v>
      </c>
      <c r="T57" s="38" t="e">
        <f t="shared" si="217"/>
        <v>#VALUE!</v>
      </c>
      <c r="U57" s="22">
        <f t="shared" si="218"/>
        <v>0</v>
      </c>
      <c r="V57" t="e">
        <f>'Individual Measure List'!I57</f>
        <v>#VALUE!</v>
      </c>
    </row>
    <row r="58" spans="1:22" ht="30" customHeight="1" thickBot="1" x14ac:dyDescent="0.35">
      <c r="A58" s="27"/>
      <c r="B58" s="25" t="str">
        <f>'EEM Data Entry'!A134</f>
        <v/>
      </c>
      <c r="C58" s="164" t="str">
        <f>'Cascading Cap Cost &amp; Savings'!B52</f>
        <v/>
      </c>
      <c r="D58" s="178">
        <f>'Cascading Cap Cost &amp; Savings'!D52*('Cascading  for package'!D$2-D$46-D$30-SUM(D$49:D57))</f>
        <v>0</v>
      </c>
      <c r="E58" s="132">
        <f t="shared" si="210"/>
        <v>0</v>
      </c>
      <c r="F58" s="178">
        <f>'Cascading Cap Cost &amp; Savings'!F52*('Cascading  for package'!F$2-F$46-F$30-SUM(F$49:F57))</f>
        <v>0</v>
      </c>
      <c r="G58" s="132">
        <f t="shared" si="210"/>
        <v>0</v>
      </c>
      <c r="H58" s="178">
        <f>'Cascading Cap Cost &amp; Savings'!H52*('Cascading  for package'!H$2-H$46-H$30-SUM(H$49:H57))</f>
        <v>0</v>
      </c>
      <c r="I58" s="132">
        <f t="shared" ref="I58" si="261">IF(H$2=0,0,H58/H$2)</f>
        <v>0</v>
      </c>
      <c r="J58" s="178">
        <f>'Cascading Cap Cost &amp; Savings'!J52*('Cascading  for package'!J$2-J$46-J$30-SUM(J$49:J57))</f>
        <v>0</v>
      </c>
      <c r="K58" s="132">
        <f t="shared" ref="K58" si="262">IF(J$2=0,0,J58/J$2)</f>
        <v>0</v>
      </c>
      <c r="L58" s="178" t="e">
        <f>'Cascading Cap Cost &amp; Savings'!L52*('Cascading  for package'!L$2-L$46-L$30-SUM(L$49:L57))</f>
        <v>#VALUE!</v>
      </c>
      <c r="M58" s="132">
        <f t="shared" ref="M58" si="263">IF(L$2=0,0,L58/L$2)</f>
        <v>0</v>
      </c>
      <c r="N58" s="178">
        <f>'Cascading Cap Cost &amp; Savings'!N52*('Cascading  for package'!N$2-N$46-N$30-SUM(N$49:N57))</f>
        <v>0</v>
      </c>
      <c r="O58" s="132">
        <f t="shared" ref="O58" si="264">IF(N$2=0,0,N58/N$2)</f>
        <v>0</v>
      </c>
      <c r="P58" s="178">
        <f>'Cascading Cap Cost &amp; Savings'!P52*('Cascading  for package'!P$2-P$46-P$30-SUM(P$49:P57))</f>
        <v>0</v>
      </c>
      <c r="Q58" s="132">
        <f t="shared" ref="Q58" si="265">IF(P$2=0,0,P58/P$2)</f>
        <v>0</v>
      </c>
      <c r="R58" s="178">
        <f>'Cascading Cap Cost &amp; Savings'!R52*('Cascading  for package'!R$2-R$46-R$30-SUM(R$49:R57))</f>
        <v>0</v>
      </c>
      <c r="S58" s="132">
        <f t="shared" ref="S58" si="266">IF(R$2=0,0,R58/R$2)</f>
        <v>0</v>
      </c>
      <c r="T58" s="38" t="e">
        <f t="shared" si="217"/>
        <v>#VALUE!</v>
      </c>
      <c r="U58" s="22">
        <f t="shared" si="218"/>
        <v>0</v>
      </c>
      <c r="V58" t="e">
        <f>'Individual Measure List'!I58</f>
        <v>#VALUE!</v>
      </c>
    </row>
    <row r="59" spans="1:22" ht="30" customHeight="1" thickBot="1" x14ac:dyDescent="0.35">
      <c r="A59" s="27"/>
      <c r="B59" s="25" t="str">
        <f>'EEM Data Entry'!A135</f>
        <v/>
      </c>
      <c r="C59" s="164" t="str">
        <f>'Cascading Cap Cost &amp; Savings'!B53</f>
        <v/>
      </c>
      <c r="D59" s="178">
        <f>'Cascading Cap Cost &amp; Savings'!D53*('Cascading  for package'!D$2-D$46-D$30-SUM(D$49:D58))</f>
        <v>0</v>
      </c>
      <c r="E59" s="132">
        <f t="shared" si="210"/>
        <v>0</v>
      </c>
      <c r="F59" s="178">
        <f>'Cascading Cap Cost &amp; Savings'!F53*('Cascading  for package'!F$2-F$46-F$30-SUM(F$49:F58))</f>
        <v>0</v>
      </c>
      <c r="G59" s="132">
        <f t="shared" si="210"/>
        <v>0</v>
      </c>
      <c r="H59" s="178">
        <f>'Cascading Cap Cost &amp; Savings'!H53*('Cascading  for package'!H$2-H$46-H$30-SUM(H$49:H58))</f>
        <v>0</v>
      </c>
      <c r="I59" s="132">
        <f t="shared" ref="I59" si="267">IF(H$2=0,0,H59/H$2)</f>
        <v>0</v>
      </c>
      <c r="J59" s="178">
        <f>'Cascading Cap Cost &amp; Savings'!J53*('Cascading  for package'!J$2-J$46-J$30-SUM(J$49:J58))</f>
        <v>0</v>
      </c>
      <c r="K59" s="132">
        <f t="shared" ref="K59" si="268">IF(J$2=0,0,J59/J$2)</f>
        <v>0</v>
      </c>
      <c r="L59" s="178" t="e">
        <f>'Cascading Cap Cost &amp; Savings'!L53*('Cascading  for package'!L$2-L$46-L$30-SUM(L$49:L58))</f>
        <v>#VALUE!</v>
      </c>
      <c r="M59" s="132">
        <f t="shared" ref="M59" si="269">IF(L$2=0,0,L59/L$2)</f>
        <v>0</v>
      </c>
      <c r="N59" s="178">
        <f>'Cascading Cap Cost &amp; Savings'!N53*('Cascading  for package'!N$2-N$46-N$30-SUM(N$49:N58))</f>
        <v>0</v>
      </c>
      <c r="O59" s="132">
        <f t="shared" ref="O59" si="270">IF(N$2=0,0,N59/N$2)</f>
        <v>0</v>
      </c>
      <c r="P59" s="178">
        <f>'Cascading Cap Cost &amp; Savings'!P53*('Cascading  for package'!P$2-P$46-P$30-SUM(P$49:P58))</f>
        <v>0</v>
      </c>
      <c r="Q59" s="132">
        <f t="shared" ref="Q59" si="271">IF(P$2=0,0,P59/P$2)</f>
        <v>0</v>
      </c>
      <c r="R59" s="178">
        <f>'Cascading Cap Cost &amp; Savings'!R53*('Cascading  for package'!R$2-R$46-R$30-SUM(R$49:R58))</f>
        <v>0</v>
      </c>
      <c r="S59" s="132">
        <f t="shared" ref="S59" si="272">IF(R$2=0,0,R59/R$2)</f>
        <v>0</v>
      </c>
      <c r="T59" s="38" t="e">
        <f t="shared" si="217"/>
        <v>#VALUE!</v>
      </c>
      <c r="U59" s="22">
        <f t="shared" si="218"/>
        <v>0</v>
      </c>
      <c r="V59" t="e">
        <f>'Individual Measure List'!I59</f>
        <v>#VALUE!</v>
      </c>
    </row>
    <row r="60" spans="1:22" ht="30" customHeight="1" thickBot="1" x14ac:dyDescent="0.35">
      <c r="A60" s="27"/>
      <c r="B60" s="25" t="str">
        <f>'EEM Data Entry'!A136</f>
        <v/>
      </c>
      <c r="C60" s="164" t="str">
        <f>'Cascading Cap Cost &amp; Savings'!B54</f>
        <v/>
      </c>
      <c r="D60" s="178">
        <f>'Cascading Cap Cost &amp; Savings'!D54*('Cascading  for package'!D$2-D$46-D$30-SUM(D$49:D59))</f>
        <v>0</v>
      </c>
      <c r="E60" s="132">
        <f t="shared" si="210"/>
        <v>0</v>
      </c>
      <c r="F60" s="178">
        <f>'Cascading Cap Cost &amp; Savings'!F54*('Cascading  for package'!F$2-F$46-F$30-SUM(F$49:F59))</f>
        <v>0</v>
      </c>
      <c r="G60" s="132">
        <f t="shared" si="210"/>
        <v>0</v>
      </c>
      <c r="H60" s="178">
        <f>'Cascading Cap Cost &amp; Savings'!H54*('Cascading  for package'!H$2-H$46-H$30-SUM(H$49:H59))</f>
        <v>0</v>
      </c>
      <c r="I60" s="132">
        <f t="shared" ref="I60" si="273">IF(H$2=0,0,H60/H$2)</f>
        <v>0</v>
      </c>
      <c r="J60" s="178">
        <f>'Cascading Cap Cost &amp; Savings'!J54*('Cascading  for package'!J$2-J$46-J$30-SUM(J$49:J59))</f>
        <v>0</v>
      </c>
      <c r="K60" s="132">
        <f t="shared" ref="K60" si="274">IF(J$2=0,0,J60/J$2)</f>
        <v>0</v>
      </c>
      <c r="L60" s="178" t="e">
        <f>'Cascading Cap Cost &amp; Savings'!L54*('Cascading  for package'!L$2-L$46-L$30-SUM(L$49:L59))</f>
        <v>#VALUE!</v>
      </c>
      <c r="M60" s="132">
        <f t="shared" ref="M60" si="275">IF(L$2=0,0,L60/L$2)</f>
        <v>0</v>
      </c>
      <c r="N60" s="178">
        <f>'Cascading Cap Cost &amp; Savings'!N54*('Cascading  for package'!N$2-N$46-N$30-SUM(N$49:N59))</f>
        <v>0</v>
      </c>
      <c r="O60" s="132">
        <f t="shared" ref="O60" si="276">IF(N$2=0,0,N60/N$2)</f>
        <v>0</v>
      </c>
      <c r="P60" s="178">
        <f>'Cascading Cap Cost &amp; Savings'!P54*('Cascading  for package'!P$2-P$46-P$30-SUM(P$49:P59))</f>
        <v>0</v>
      </c>
      <c r="Q60" s="132">
        <f t="shared" ref="Q60" si="277">IF(P$2=0,0,P60/P$2)</f>
        <v>0</v>
      </c>
      <c r="R60" s="178">
        <f>'Cascading Cap Cost &amp; Savings'!R54*('Cascading  for package'!R$2-R$46-R$30-SUM(R$49:R59))</f>
        <v>0</v>
      </c>
      <c r="S60" s="132">
        <f t="shared" ref="S60" si="278">IF(R$2=0,0,R60/R$2)</f>
        <v>0</v>
      </c>
      <c r="T60" s="38" t="e">
        <f t="shared" si="217"/>
        <v>#VALUE!</v>
      </c>
      <c r="U60" s="22">
        <f t="shared" si="218"/>
        <v>0</v>
      </c>
      <c r="V60" t="e">
        <f>'Individual Measure List'!I60</f>
        <v>#VALUE!</v>
      </c>
    </row>
    <row r="61" spans="1:22" ht="30" customHeight="1" thickBot="1" x14ac:dyDescent="0.35">
      <c r="A61" s="27"/>
      <c r="B61" s="25" t="str">
        <f>'EEM Data Entry'!A137</f>
        <v/>
      </c>
      <c r="C61" s="164" t="str">
        <f>'Cascading Cap Cost &amp; Savings'!B55</f>
        <v/>
      </c>
      <c r="D61" s="178">
        <f>'Cascading Cap Cost &amp; Savings'!D55*('Cascading  for package'!D$2-D$46-D$30-SUM(D$49:D60))</f>
        <v>0</v>
      </c>
      <c r="E61" s="132">
        <f t="shared" si="210"/>
        <v>0</v>
      </c>
      <c r="F61" s="178">
        <f>'Cascading Cap Cost &amp; Savings'!F55*('Cascading  for package'!F$2-F$46-F$30-SUM(F$49:F60))</f>
        <v>0</v>
      </c>
      <c r="G61" s="132">
        <f t="shared" si="210"/>
        <v>0</v>
      </c>
      <c r="H61" s="178">
        <f>'Cascading Cap Cost &amp; Savings'!H55*('Cascading  for package'!H$2-H$46-H$30-SUM(H$49:H60))</f>
        <v>0</v>
      </c>
      <c r="I61" s="132">
        <f t="shared" ref="I61" si="279">IF(H$2=0,0,H61/H$2)</f>
        <v>0</v>
      </c>
      <c r="J61" s="178">
        <f>'Cascading Cap Cost &amp; Savings'!J55*('Cascading  for package'!J$2-J$46-J$30-SUM(J$49:J60))</f>
        <v>0</v>
      </c>
      <c r="K61" s="132">
        <f t="shared" ref="K61" si="280">IF(J$2=0,0,J61/J$2)</f>
        <v>0</v>
      </c>
      <c r="L61" s="178" t="e">
        <f>'Cascading Cap Cost &amp; Savings'!L55*('Cascading  for package'!L$2-L$46-L$30-SUM(L$49:L60))</f>
        <v>#VALUE!</v>
      </c>
      <c r="M61" s="132">
        <f t="shared" ref="M61" si="281">IF(L$2=0,0,L61/L$2)</f>
        <v>0</v>
      </c>
      <c r="N61" s="178">
        <f>'Cascading Cap Cost &amp; Savings'!N55*('Cascading  for package'!N$2-N$46-N$30-SUM(N$49:N60))</f>
        <v>0</v>
      </c>
      <c r="O61" s="132">
        <f t="shared" ref="O61" si="282">IF(N$2=0,0,N61/N$2)</f>
        <v>0</v>
      </c>
      <c r="P61" s="178">
        <f>'Cascading Cap Cost &amp; Savings'!P55*('Cascading  for package'!P$2-P$46-P$30-SUM(P$49:P60))</f>
        <v>0</v>
      </c>
      <c r="Q61" s="132">
        <f t="shared" ref="Q61" si="283">IF(P$2=0,0,P61/P$2)</f>
        <v>0</v>
      </c>
      <c r="R61" s="178">
        <f>'Cascading Cap Cost &amp; Savings'!R55*('Cascading  for package'!R$2-R$46-R$30-SUM(R$49:R60))</f>
        <v>0</v>
      </c>
      <c r="S61" s="132">
        <f t="shared" ref="S61" si="284">IF(R$2=0,0,R61/R$2)</f>
        <v>0</v>
      </c>
      <c r="T61" s="38" t="e">
        <f t="shared" si="217"/>
        <v>#VALUE!</v>
      </c>
      <c r="U61" s="22">
        <f t="shared" si="218"/>
        <v>0</v>
      </c>
      <c r="V61" t="e">
        <f>'Individual Measure List'!I61</f>
        <v>#VALUE!</v>
      </c>
    </row>
    <row r="62" spans="1:22" ht="30" customHeight="1" thickBot="1" x14ac:dyDescent="0.35">
      <c r="A62" s="27"/>
      <c r="B62" s="25" t="str">
        <f>'EEM Data Entry'!A138</f>
        <v/>
      </c>
      <c r="C62" s="164" t="str">
        <f>'Cascading Cap Cost &amp; Savings'!B56</f>
        <v/>
      </c>
      <c r="D62" s="178">
        <f>'Cascading Cap Cost &amp; Savings'!D56*('Cascading  for package'!D$2-D$46-D$30-SUM(D$49:D61))</f>
        <v>0</v>
      </c>
      <c r="E62" s="132">
        <f t="shared" si="210"/>
        <v>0</v>
      </c>
      <c r="F62" s="178">
        <f>'Cascading Cap Cost &amp; Savings'!F56*('Cascading  for package'!F$2-F$46-F$30-SUM(F$49:F61))</f>
        <v>0</v>
      </c>
      <c r="G62" s="132">
        <f t="shared" si="210"/>
        <v>0</v>
      </c>
      <c r="H62" s="178">
        <f>'Cascading Cap Cost &amp; Savings'!H56*('Cascading  for package'!H$2-H$46-H$30-SUM(H$49:H61))</f>
        <v>0</v>
      </c>
      <c r="I62" s="132">
        <f t="shared" ref="I62" si="285">IF(H$2=0,0,H62/H$2)</f>
        <v>0</v>
      </c>
      <c r="J62" s="178">
        <f>'Cascading Cap Cost &amp; Savings'!J56*('Cascading  for package'!J$2-J$46-J$30-SUM(J$49:J61))</f>
        <v>0</v>
      </c>
      <c r="K62" s="132">
        <f t="shared" ref="K62" si="286">IF(J$2=0,0,J62/J$2)</f>
        <v>0</v>
      </c>
      <c r="L62" s="178" t="e">
        <f>'Cascading Cap Cost &amp; Savings'!L56*('Cascading  for package'!L$2-L$46-L$30-SUM(L$49:L61))</f>
        <v>#VALUE!</v>
      </c>
      <c r="M62" s="132">
        <f t="shared" ref="M62" si="287">IF(L$2=0,0,L62/L$2)</f>
        <v>0</v>
      </c>
      <c r="N62" s="178">
        <f>'Cascading Cap Cost &amp; Savings'!N56*('Cascading  for package'!N$2-N$46-N$30-SUM(N$49:N61))</f>
        <v>0</v>
      </c>
      <c r="O62" s="132">
        <f t="shared" ref="O62" si="288">IF(N$2=0,0,N62/N$2)</f>
        <v>0</v>
      </c>
      <c r="P62" s="178">
        <f>'Cascading Cap Cost &amp; Savings'!P56*('Cascading  for package'!P$2-P$46-P$30-SUM(P$49:P61))</f>
        <v>0</v>
      </c>
      <c r="Q62" s="132">
        <f t="shared" ref="Q62" si="289">IF(P$2=0,0,P62/P$2)</f>
        <v>0</v>
      </c>
      <c r="R62" s="178">
        <f>'Cascading Cap Cost &amp; Savings'!R56*('Cascading  for package'!R$2-R$46-R$30-SUM(R$49:R61))</f>
        <v>0</v>
      </c>
      <c r="S62" s="132">
        <f t="shared" ref="S62" si="290">IF(R$2=0,0,R62/R$2)</f>
        <v>0</v>
      </c>
      <c r="T62" s="38" t="e">
        <f t="shared" si="217"/>
        <v>#VALUE!</v>
      </c>
      <c r="U62" s="22">
        <f t="shared" si="218"/>
        <v>0</v>
      </c>
      <c r="V62" t="e">
        <f>'Individual Measure List'!I62</f>
        <v>#VALUE!</v>
      </c>
    </row>
    <row r="63" spans="1:22" ht="30" customHeight="1" thickBot="1" x14ac:dyDescent="0.35">
      <c r="A63" s="187"/>
      <c r="B63" s="188" t="str">
        <f>'EEM Data Entry'!A139</f>
        <v/>
      </c>
      <c r="C63" s="164" t="str">
        <f>'Cascading Cap Cost &amp; Savings'!B57</f>
        <v/>
      </c>
      <c r="D63" s="178">
        <f>'Cascading Cap Cost &amp; Savings'!D57*('Cascading  for package'!D$2-D$46-D$30-SUM(D$49:D62))</f>
        <v>0</v>
      </c>
      <c r="E63" s="132">
        <f t="shared" si="210"/>
        <v>0</v>
      </c>
      <c r="F63" s="178">
        <f>'Cascading Cap Cost &amp; Savings'!F57*('Cascading  for package'!F$2-F$46-F$30-SUM(F$49:F62))</f>
        <v>0</v>
      </c>
      <c r="G63" s="132">
        <f t="shared" si="210"/>
        <v>0</v>
      </c>
      <c r="H63" s="178">
        <f>'Cascading Cap Cost &amp; Savings'!H57*('Cascading  for package'!H$2-H$46-H$30-SUM(H$49:H62))</f>
        <v>0</v>
      </c>
      <c r="I63" s="132">
        <f t="shared" ref="I63" si="291">IF(H$2=0,0,H63/H$2)</f>
        <v>0</v>
      </c>
      <c r="J63" s="178">
        <f>'Cascading Cap Cost &amp; Savings'!J57*('Cascading  for package'!J$2-J$46-J$30-SUM(J$49:J62))</f>
        <v>0</v>
      </c>
      <c r="K63" s="132">
        <f t="shared" ref="K63" si="292">IF(J$2=0,0,J63/J$2)</f>
        <v>0</v>
      </c>
      <c r="L63" s="178" t="e">
        <f>'Cascading Cap Cost &amp; Savings'!L57*('Cascading  for package'!L$2-L$46-L$30-SUM(L$49:L62))</f>
        <v>#VALUE!</v>
      </c>
      <c r="M63" s="132">
        <f t="shared" ref="M63" si="293">IF(L$2=0,0,L63/L$2)</f>
        <v>0</v>
      </c>
      <c r="N63" s="178">
        <f>'Cascading Cap Cost &amp; Savings'!N57*('Cascading  for package'!N$2-N$46-N$30-SUM(N$49:N62))</f>
        <v>0</v>
      </c>
      <c r="O63" s="132">
        <f t="shared" ref="O63" si="294">IF(N$2=0,0,N63/N$2)</f>
        <v>0</v>
      </c>
      <c r="P63" s="178">
        <f>'Cascading Cap Cost &amp; Savings'!P57*('Cascading  for package'!P$2-P$46-P$30-SUM(P$49:P62))</f>
        <v>0</v>
      </c>
      <c r="Q63" s="132">
        <f t="shared" ref="Q63" si="295">IF(P$2=0,0,P63/P$2)</f>
        <v>0</v>
      </c>
      <c r="R63" s="178">
        <f>'Cascading Cap Cost &amp; Savings'!R57*('Cascading  for package'!R$2-R$46-R$30-SUM(R$49:R62))</f>
        <v>0</v>
      </c>
      <c r="S63" s="132">
        <f t="shared" ref="S63" si="296">IF(R$2=0,0,R63/R$2)</f>
        <v>0</v>
      </c>
      <c r="T63" s="38" t="e">
        <f t="shared" si="217"/>
        <v>#VALUE!</v>
      </c>
      <c r="U63" s="22">
        <f t="shared" si="218"/>
        <v>0</v>
      </c>
      <c r="V63" t="e">
        <f>'Individual Measure List'!I63</f>
        <v>#VALUE!</v>
      </c>
    </row>
    <row r="64" spans="1:22" ht="30" customHeight="1" thickBot="1" x14ac:dyDescent="0.3">
      <c r="A64" s="24"/>
      <c r="B64" s="24"/>
      <c r="C64" s="180" t="s">
        <v>137</v>
      </c>
      <c r="D64" s="182">
        <f>SUM(D49:D63)</f>
        <v>0</v>
      </c>
      <c r="E64" s="392" t="e">
        <f>( D64/D$2)</f>
        <v>#DIV/0!</v>
      </c>
      <c r="F64" s="182">
        <f>SUM(F49:F63)</f>
        <v>0</v>
      </c>
      <c r="G64" s="392" t="e">
        <f>( F64/F$2)</f>
        <v>#DIV/0!</v>
      </c>
      <c r="H64" s="182">
        <f>SUM(H49:H63)</f>
        <v>0</v>
      </c>
      <c r="I64" s="392" t="e">
        <f>( H64/H$2)</f>
        <v>#DIV/0!</v>
      </c>
      <c r="J64" s="182">
        <f>SUM(J49:J63)</f>
        <v>0</v>
      </c>
      <c r="K64" s="392" t="e">
        <f>( J64/J$2)</f>
        <v>#DIV/0!</v>
      </c>
      <c r="L64" s="182" t="e">
        <f>SUM(L49:L63)</f>
        <v>#VALUE!</v>
      </c>
      <c r="M64" s="392" t="e">
        <f>( L64/L$2)</f>
        <v>#VALUE!</v>
      </c>
      <c r="N64" s="182">
        <f>SUM(N49:N63)</f>
        <v>0</v>
      </c>
      <c r="O64" s="392" t="e">
        <f>( N64/N$2)</f>
        <v>#DIV/0!</v>
      </c>
      <c r="P64" s="182">
        <f>SUM(P49:P63)</f>
        <v>0</v>
      </c>
      <c r="Q64" s="392" t="e">
        <f>( P64/P$2)</f>
        <v>#DIV/0!</v>
      </c>
      <c r="R64" s="182">
        <f>SUM(R49:R63)</f>
        <v>0</v>
      </c>
      <c r="S64" s="392" t="e">
        <f>( R64/R$2)</f>
        <v>#DIV/0!</v>
      </c>
      <c r="T64" s="182" t="e">
        <f>SUM(T49:T63)</f>
        <v>#VALUE!</v>
      </c>
      <c r="U64" s="183">
        <f t="shared" si="218"/>
        <v>0</v>
      </c>
    </row>
    <row r="65" spans="1:22" ht="13.5" customHeight="1" thickBot="1" x14ac:dyDescent="0.3">
      <c r="A65" s="20"/>
      <c r="D65" s="21"/>
      <c r="E65" s="21"/>
      <c r="F65" s="21"/>
      <c r="G65" s="21"/>
      <c r="H65" s="21"/>
      <c r="I65" s="21"/>
      <c r="J65" s="21"/>
      <c r="K65" s="21"/>
      <c r="L65" s="21"/>
      <c r="M65" s="21"/>
      <c r="T65" s="4"/>
    </row>
    <row r="66" spans="1:22" ht="39" customHeight="1" thickBot="1" x14ac:dyDescent="0.3">
      <c r="A66" s="37"/>
      <c r="B66" s="36"/>
      <c r="C66" s="35" t="s">
        <v>171</v>
      </c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</row>
    <row r="67" spans="1:22" ht="39" customHeight="1" thickBot="1" x14ac:dyDescent="0.35">
      <c r="A67" s="27"/>
      <c r="B67" s="25" t="str">
        <f>'EEM Data Entry'!A141</f>
        <v/>
      </c>
      <c r="C67" s="171" t="str">
        <f>'Cascading Cap Cost &amp; Savings'!B59</f>
        <v/>
      </c>
      <c r="D67" s="178">
        <f>'Cascading Cap Cost &amp; Savings'!D59*('Cascading  for package'!$D$2)</f>
        <v>0</v>
      </c>
      <c r="E67" s="132">
        <f>IF(D$2=0,0,D67/D$2)</f>
        <v>0</v>
      </c>
      <c r="F67" s="178">
        <f>'Cascading Cap Cost &amp; Savings'!E59*('Cascading  for package'!$F$2)</f>
        <v>0</v>
      </c>
      <c r="G67" s="132">
        <f>IF(F$2=0,0,F67/F$2)</f>
        <v>0</v>
      </c>
      <c r="H67" s="178">
        <f>'Cascading Cap Cost &amp; Savings'!F59*('Cascading  for package'!$H$2)</f>
        <v>0</v>
      </c>
      <c r="I67" s="132">
        <f>IF(H$2=0,0,H67/H$2)</f>
        <v>0</v>
      </c>
      <c r="J67" s="178">
        <f>'Cascading Cap Cost &amp; Savings'!G59*('Cascading  for package'!$J$2)</f>
        <v>0</v>
      </c>
      <c r="K67" s="132">
        <f>IF(J$2=0,0,J67/J$2)</f>
        <v>0</v>
      </c>
      <c r="L67" s="178">
        <f>'Cascading Cap Cost &amp; Savings'!H59*('Cascading  for package'!$L$2)</f>
        <v>0</v>
      </c>
      <c r="M67" s="132">
        <f>IF(L$2=0,0,L67/L$2)</f>
        <v>0</v>
      </c>
      <c r="N67" s="178">
        <f>'Cascading Cap Cost &amp; Savings'!I59*('Cascading  for package'!$N$2)</f>
        <v>0</v>
      </c>
      <c r="O67" s="132">
        <f>IF(N$2=0,0,N67/N$2)</f>
        <v>0</v>
      </c>
      <c r="P67" s="178">
        <f>'Cascading Cap Cost &amp; Savings'!J59*('Cascading  for package'!$P$2)</f>
        <v>0</v>
      </c>
      <c r="Q67" s="132">
        <f>IF(P$2=0,0,P67/P$2)</f>
        <v>0</v>
      </c>
      <c r="R67" s="178">
        <f>'Cascading Cap Cost &amp; Savings'!K59*('Cascading  for package'!$R$2)</f>
        <v>0</v>
      </c>
      <c r="S67" s="132">
        <f>IF(R$2=0,0,R67/R$2)</f>
        <v>0</v>
      </c>
      <c r="T67" s="38">
        <f t="shared" ref="T67:T80" si="297">(D67*3.412)+(F67*138.6905)+(H67*100)+(J67*91.6476)+(L67*1194)+(N67*16400)+(P67*9500)+(R67*0)</f>
        <v>0</v>
      </c>
      <c r="U67" s="22">
        <f>IF(T$2&gt;0, T67/T$2, 0)</f>
        <v>0</v>
      </c>
      <c r="V67" t="e">
        <f>'Individual Measure List'!I66</f>
        <v>#VALUE!</v>
      </c>
    </row>
    <row r="68" spans="1:22" ht="39" customHeight="1" thickBot="1" x14ac:dyDescent="0.35">
      <c r="A68" s="27"/>
      <c r="B68" s="25" t="str">
        <f>'EEM Data Entry'!A142</f>
        <v/>
      </c>
      <c r="C68" s="171" t="str">
        <f>'Cascading Cap Cost &amp; Savings'!B60</f>
        <v/>
      </c>
      <c r="D68" s="178">
        <f>'Cascading Cap Cost &amp; Savings'!D60*('Cascading  for package'!$D$2)</f>
        <v>0</v>
      </c>
      <c r="E68" s="132">
        <f t="shared" ref="E68:G80" si="298">IF(D$2=0,0,D68/D$2)</f>
        <v>0</v>
      </c>
      <c r="F68" s="178">
        <f>'Cascading Cap Cost &amp; Savings'!E60*('Cascading  for package'!$F$2)</f>
        <v>0</v>
      </c>
      <c r="G68" s="132">
        <f t="shared" si="298"/>
        <v>0</v>
      </c>
      <c r="H68" s="178">
        <f>'Cascading Cap Cost &amp; Savings'!F60*('Cascading  for package'!$H$2)</f>
        <v>0</v>
      </c>
      <c r="I68" s="132">
        <f t="shared" ref="I68" si="299">IF(H$2=0,0,H68/H$2)</f>
        <v>0</v>
      </c>
      <c r="J68" s="178">
        <f>'Cascading Cap Cost &amp; Savings'!G60*('Cascading  for package'!$J$2)</f>
        <v>0</v>
      </c>
      <c r="K68" s="132">
        <f t="shared" ref="K68" si="300">IF(J$2=0,0,J68/J$2)</f>
        <v>0</v>
      </c>
      <c r="L68" s="178">
        <f>'Cascading Cap Cost &amp; Savings'!H60*('Cascading  for package'!$L$2)</f>
        <v>0</v>
      </c>
      <c r="M68" s="132">
        <f t="shared" ref="M68" si="301">IF(L$2=0,0,L68/L$2)</f>
        <v>0</v>
      </c>
      <c r="N68" s="178">
        <f>'Cascading Cap Cost &amp; Savings'!I60*('Cascading  for package'!$N$2)</f>
        <v>0</v>
      </c>
      <c r="O68" s="132">
        <f t="shared" ref="O68" si="302">IF(N$2=0,0,N68/N$2)</f>
        <v>0</v>
      </c>
      <c r="P68" s="178">
        <f>'Cascading Cap Cost &amp; Savings'!J60*('Cascading  for package'!$P$2)</f>
        <v>0</v>
      </c>
      <c r="Q68" s="132">
        <f t="shared" ref="Q68" si="303">IF(P$2=0,0,P68/P$2)</f>
        <v>0</v>
      </c>
      <c r="R68" s="178">
        <f>'Cascading Cap Cost &amp; Savings'!K60*('Cascading  for package'!$R$2)</f>
        <v>0</v>
      </c>
      <c r="S68" s="132">
        <f t="shared" ref="S68" si="304">IF(R$2=0,0,R68/R$2)</f>
        <v>0</v>
      </c>
      <c r="T68" s="38">
        <f t="shared" si="297"/>
        <v>0</v>
      </c>
      <c r="U68" s="22">
        <f>IF(T$2&gt;0, T68/T$2, 0)</f>
        <v>0</v>
      </c>
      <c r="V68" t="e">
        <f>'Individual Measure List'!I67</f>
        <v>#VALUE!</v>
      </c>
    </row>
    <row r="69" spans="1:22" ht="39" customHeight="1" thickBot="1" x14ac:dyDescent="0.35">
      <c r="A69" s="27"/>
      <c r="B69" s="25" t="str">
        <f>'EEM Data Entry'!A143</f>
        <v/>
      </c>
      <c r="C69" s="171" t="str">
        <f>'Cascading Cap Cost &amp; Savings'!B61</f>
        <v/>
      </c>
      <c r="D69" s="178">
        <f>'Cascading Cap Cost &amp; Savings'!D61*('Cascading  for package'!$D$2)</f>
        <v>0</v>
      </c>
      <c r="E69" s="132">
        <f t="shared" si="298"/>
        <v>0</v>
      </c>
      <c r="F69" s="178">
        <f>'Cascading Cap Cost &amp; Savings'!E61*('Cascading  for package'!$F$2)</f>
        <v>0</v>
      </c>
      <c r="G69" s="132">
        <f t="shared" si="298"/>
        <v>0</v>
      </c>
      <c r="H69" s="178">
        <f>'Cascading Cap Cost &amp; Savings'!F61*('Cascading  for package'!$H$2)</f>
        <v>0</v>
      </c>
      <c r="I69" s="132">
        <f t="shared" ref="I69" si="305">IF(H$2=0,0,H69/H$2)</f>
        <v>0</v>
      </c>
      <c r="J69" s="178">
        <f>'Cascading Cap Cost &amp; Savings'!G61*('Cascading  for package'!$J$2)</f>
        <v>0</v>
      </c>
      <c r="K69" s="132">
        <f t="shared" ref="K69" si="306">IF(J$2=0,0,J69/J$2)</f>
        <v>0</v>
      </c>
      <c r="L69" s="178">
        <f>'Cascading Cap Cost &amp; Savings'!H61*('Cascading  for package'!$L$2)</f>
        <v>0</v>
      </c>
      <c r="M69" s="132">
        <f t="shared" ref="M69" si="307">IF(L$2=0,0,L69/L$2)</f>
        <v>0</v>
      </c>
      <c r="N69" s="178">
        <f>'Cascading Cap Cost &amp; Savings'!I61*('Cascading  for package'!$N$2)</f>
        <v>0</v>
      </c>
      <c r="O69" s="132">
        <f t="shared" ref="O69" si="308">IF(N$2=0,0,N69/N$2)</f>
        <v>0</v>
      </c>
      <c r="P69" s="178">
        <f>'Cascading Cap Cost &amp; Savings'!J61*('Cascading  for package'!$P$2)</f>
        <v>0</v>
      </c>
      <c r="Q69" s="132">
        <f t="shared" ref="Q69" si="309">IF(P$2=0,0,P69/P$2)</f>
        <v>0</v>
      </c>
      <c r="R69" s="178">
        <f>'Cascading Cap Cost &amp; Savings'!K61*('Cascading  for package'!$R$2)</f>
        <v>0</v>
      </c>
      <c r="S69" s="132">
        <f t="shared" ref="S69" si="310">IF(R$2=0,0,R69/R$2)</f>
        <v>0</v>
      </c>
      <c r="T69" s="38">
        <f t="shared" si="297"/>
        <v>0</v>
      </c>
      <c r="U69" s="22">
        <f t="shared" ref="U69:U81" si="311">IF(T$2&gt;0, T69/T$2, 0)</f>
        <v>0</v>
      </c>
      <c r="V69" t="e">
        <f>'Individual Measure List'!I68</f>
        <v>#VALUE!</v>
      </c>
    </row>
    <row r="70" spans="1:22" ht="39" customHeight="1" thickBot="1" x14ac:dyDescent="0.35">
      <c r="A70" s="27"/>
      <c r="B70" s="25" t="str">
        <f>'EEM Data Entry'!A144</f>
        <v/>
      </c>
      <c r="C70" s="171" t="str">
        <f>'Cascading Cap Cost &amp; Savings'!B62</f>
        <v/>
      </c>
      <c r="D70" s="178">
        <f>'Cascading Cap Cost &amp; Savings'!D62*('Cascading  for package'!$D$2)</f>
        <v>0</v>
      </c>
      <c r="E70" s="132">
        <f t="shared" si="298"/>
        <v>0</v>
      </c>
      <c r="F70" s="178">
        <f>'Cascading Cap Cost &amp; Savings'!E62*('Cascading  for package'!$F$2)</f>
        <v>0</v>
      </c>
      <c r="G70" s="132">
        <f t="shared" si="298"/>
        <v>0</v>
      </c>
      <c r="H70" s="178">
        <f>'Cascading Cap Cost &amp; Savings'!F62*('Cascading  for package'!$H$2)</f>
        <v>0</v>
      </c>
      <c r="I70" s="132">
        <f t="shared" ref="I70" si="312">IF(H$2=0,0,H70/H$2)</f>
        <v>0</v>
      </c>
      <c r="J70" s="178">
        <f>'Cascading Cap Cost &amp; Savings'!G62*('Cascading  for package'!$J$2)</f>
        <v>0</v>
      </c>
      <c r="K70" s="132">
        <f t="shared" ref="K70" si="313">IF(J$2=0,0,J70/J$2)</f>
        <v>0</v>
      </c>
      <c r="L70" s="178">
        <f>'Cascading Cap Cost &amp; Savings'!H62*('Cascading  for package'!$L$2)</f>
        <v>0</v>
      </c>
      <c r="M70" s="132">
        <f t="shared" ref="M70" si="314">IF(L$2=0,0,L70/L$2)</f>
        <v>0</v>
      </c>
      <c r="N70" s="178">
        <f>'Cascading Cap Cost &amp; Savings'!I62*('Cascading  for package'!$N$2)</f>
        <v>0</v>
      </c>
      <c r="O70" s="132">
        <f t="shared" ref="O70" si="315">IF(N$2=0,0,N70/N$2)</f>
        <v>0</v>
      </c>
      <c r="P70" s="178">
        <f>'Cascading Cap Cost &amp; Savings'!J62*('Cascading  for package'!$P$2)</f>
        <v>0</v>
      </c>
      <c r="Q70" s="132">
        <f t="shared" ref="Q70" si="316">IF(P$2=0,0,P70/P$2)</f>
        <v>0</v>
      </c>
      <c r="R70" s="178">
        <f>'Cascading Cap Cost &amp; Savings'!K62*('Cascading  for package'!$R$2)</f>
        <v>0</v>
      </c>
      <c r="S70" s="132">
        <f t="shared" ref="S70" si="317">IF(R$2=0,0,R70/R$2)</f>
        <v>0</v>
      </c>
      <c r="T70" s="38">
        <f t="shared" si="297"/>
        <v>0</v>
      </c>
      <c r="U70" s="22">
        <f>IF(T$2&gt;0, T70/T$2, 0)</f>
        <v>0</v>
      </c>
      <c r="V70" t="e">
        <f>'Individual Measure List'!I69</f>
        <v>#VALUE!</v>
      </c>
    </row>
    <row r="71" spans="1:22" ht="39" customHeight="1" thickBot="1" x14ac:dyDescent="0.35">
      <c r="A71" s="27"/>
      <c r="B71" s="25" t="str">
        <f>'EEM Data Entry'!A145</f>
        <v/>
      </c>
      <c r="C71" s="171" t="str">
        <f>'Cascading Cap Cost &amp; Savings'!B63</f>
        <v/>
      </c>
      <c r="D71" s="178">
        <f>'Cascading Cap Cost &amp; Savings'!D63*('Cascading  for package'!$D$2)</f>
        <v>0</v>
      </c>
      <c r="E71" s="132">
        <f t="shared" si="298"/>
        <v>0</v>
      </c>
      <c r="F71" s="178">
        <f>'Cascading Cap Cost &amp; Savings'!E63*('Cascading  for package'!$F$2)</f>
        <v>0</v>
      </c>
      <c r="G71" s="132">
        <f t="shared" si="298"/>
        <v>0</v>
      </c>
      <c r="H71" s="178">
        <f>'Cascading Cap Cost &amp; Savings'!F63*('Cascading  for package'!$H$2)</f>
        <v>0</v>
      </c>
      <c r="I71" s="132">
        <f t="shared" ref="I71" si="318">IF(H$2=0,0,H71/H$2)</f>
        <v>0</v>
      </c>
      <c r="J71" s="178">
        <f>'Cascading Cap Cost &amp; Savings'!G63*('Cascading  for package'!$J$2)</f>
        <v>0</v>
      </c>
      <c r="K71" s="132">
        <f t="shared" ref="K71" si="319">IF(J$2=0,0,J71/J$2)</f>
        <v>0</v>
      </c>
      <c r="L71" s="178">
        <f>'Cascading Cap Cost &amp; Savings'!H63*('Cascading  for package'!$L$2)</f>
        <v>0</v>
      </c>
      <c r="M71" s="132">
        <f t="shared" ref="M71" si="320">IF(L$2=0,0,L71/L$2)</f>
        <v>0</v>
      </c>
      <c r="N71" s="178">
        <f>'Cascading Cap Cost &amp; Savings'!I63*('Cascading  for package'!$N$2)</f>
        <v>0</v>
      </c>
      <c r="O71" s="132">
        <f t="shared" ref="O71" si="321">IF(N$2=0,0,N71/N$2)</f>
        <v>0</v>
      </c>
      <c r="P71" s="178">
        <f>'Cascading Cap Cost &amp; Savings'!J63*('Cascading  for package'!$P$2)</f>
        <v>0</v>
      </c>
      <c r="Q71" s="132">
        <f t="shared" ref="Q71" si="322">IF(P$2=0,0,P71/P$2)</f>
        <v>0</v>
      </c>
      <c r="R71" s="178">
        <f>'Cascading Cap Cost &amp; Savings'!K63*('Cascading  for package'!$R$2)</f>
        <v>0</v>
      </c>
      <c r="S71" s="132">
        <f t="shared" ref="S71" si="323">IF(R$2=0,0,R71/R$2)</f>
        <v>0</v>
      </c>
      <c r="T71" s="38">
        <f t="shared" si="297"/>
        <v>0</v>
      </c>
      <c r="U71" s="22">
        <f t="shared" si="311"/>
        <v>0</v>
      </c>
      <c r="V71" t="e">
        <f>'Individual Measure List'!I70</f>
        <v>#VALUE!</v>
      </c>
    </row>
    <row r="72" spans="1:22" ht="39" customHeight="1" thickBot="1" x14ac:dyDescent="0.35">
      <c r="A72" s="27"/>
      <c r="B72" s="25" t="str">
        <f>'EEM Data Entry'!A146</f>
        <v/>
      </c>
      <c r="C72" s="171" t="str">
        <f>'Cascading Cap Cost &amp; Savings'!B64</f>
        <v/>
      </c>
      <c r="D72" s="178">
        <f>'Cascading Cap Cost &amp; Savings'!D64*('Cascading  for package'!$D$2)</f>
        <v>0</v>
      </c>
      <c r="E72" s="132">
        <f t="shared" si="298"/>
        <v>0</v>
      </c>
      <c r="F72" s="178">
        <f>'Cascading Cap Cost &amp; Savings'!E64*('Cascading  for package'!$F$2)</f>
        <v>0</v>
      </c>
      <c r="G72" s="132">
        <f t="shared" si="298"/>
        <v>0</v>
      </c>
      <c r="H72" s="178">
        <f>'Cascading Cap Cost &amp; Savings'!F64*('Cascading  for package'!$H$2)</f>
        <v>0</v>
      </c>
      <c r="I72" s="132">
        <f t="shared" ref="I72" si="324">IF(H$2=0,0,H72/H$2)</f>
        <v>0</v>
      </c>
      <c r="J72" s="178">
        <f>'Cascading Cap Cost &amp; Savings'!G64*('Cascading  for package'!$J$2)</f>
        <v>0</v>
      </c>
      <c r="K72" s="132">
        <f t="shared" ref="K72" si="325">IF(J$2=0,0,J72/J$2)</f>
        <v>0</v>
      </c>
      <c r="L72" s="178">
        <f>'Cascading Cap Cost &amp; Savings'!H64*('Cascading  for package'!$L$2)</f>
        <v>0</v>
      </c>
      <c r="M72" s="132">
        <f t="shared" ref="M72" si="326">IF(L$2=0,0,L72/L$2)</f>
        <v>0</v>
      </c>
      <c r="N72" s="178">
        <f>'Cascading Cap Cost &amp; Savings'!I64*('Cascading  for package'!$N$2)</f>
        <v>0</v>
      </c>
      <c r="O72" s="132">
        <f t="shared" ref="O72" si="327">IF(N$2=0,0,N72/N$2)</f>
        <v>0</v>
      </c>
      <c r="P72" s="178">
        <f>'Cascading Cap Cost &amp; Savings'!J64*('Cascading  for package'!$P$2)</f>
        <v>0</v>
      </c>
      <c r="Q72" s="132">
        <f t="shared" ref="Q72" si="328">IF(P$2=0,0,P72/P$2)</f>
        <v>0</v>
      </c>
      <c r="R72" s="178">
        <f>'Cascading Cap Cost &amp; Savings'!K64*('Cascading  for package'!$R$2)</f>
        <v>0</v>
      </c>
      <c r="S72" s="132">
        <f t="shared" ref="S72" si="329">IF(R$2=0,0,R72/R$2)</f>
        <v>0</v>
      </c>
      <c r="T72" s="38">
        <f t="shared" si="297"/>
        <v>0</v>
      </c>
      <c r="U72" s="22">
        <f t="shared" si="311"/>
        <v>0</v>
      </c>
      <c r="V72" t="e">
        <f>'Individual Measure List'!I71</f>
        <v>#VALUE!</v>
      </c>
    </row>
    <row r="73" spans="1:22" ht="39" customHeight="1" thickBot="1" x14ac:dyDescent="0.35">
      <c r="A73" s="27"/>
      <c r="B73" s="25" t="str">
        <f>'EEM Data Entry'!A147</f>
        <v/>
      </c>
      <c r="C73" s="171" t="str">
        <f>'Cascading Cap Cost &amp; Savings'!B65</f>
        <v/>
      </c>
      <c r="D73" s="178">
        <f>'Cascading Cap Cost &amp; Savings'!D65*('Cascading  for package'!$D$2)</f>
        <v>0</v>
      </c>
      <c r="E73" s="132">
        <f t="shared" si="298"/>
        <v>0</v>
      </c>
      <c r="F73" s="178">
        <f>'Cascading Cap Cost &amp; Savings'!E65*('Cascading  for package'!$F$2)</f>
        <v>0</v>
      </c>
      <c r="G73" s="132">
        <f t="shared" si="298"/>
        <v>0</v>
      </c>
      <c r="H73" s="178">
        <f>'Cascading Cap Cost &amp; Savings'!F65*('Cascading  for package'!$H$2)</f>
        <v>0</v>
      </c>
      <c r="I73" s="132">
        <f t="shared" ref="I73" si="330">IF(H$2=0,0,H73/H$2)</f>
        <v>0</v>
      </c>
      <c r="J73" s="178">
        <f>'Cascading Cap Cost &amp; Savings'!G65*('Cascading  for package'!$J$2)</f>
        <v>0</v>
      </c>
      <c r="K73" s="132">
        <f t="shared" ref="K73" si="331">IF(J$2=0,0,J73/J$2)</f>
        <v>0</v>
      </c>
      <c r="L73" s="178">
        <f>'Cascading Cap Cost &amp; Savings'!H65*('Cascading  for package'!$L$2)</f>
        <v>0</v>
      </c>
      <c r="M73" s="132">
        <f t="shared" ref="M73" si="332">IF(L$2=0,0,L73/L$2)</f>
        <v>0</v>
      </c>
      <c r="N73" s="178">
        <f>'Cascading Cap Cost &amp; Savings'!I65*('Cascading  for package'!$N$2)</f>
        <v>0</v>
      </c>
      <c r="O73" s="132">
        <f t="shared" ref="O73" si="333">IF(N$2=0,0,N73/N$2)</f>
        <v>0</v>
      </c>
      <c r="P73" s="178">
        <f>'Cascading Cap Cost &amp; Savings'!J65*('Cascading  for package'!$P$2)</f>
        <v>0</v>
      </c>
      <c r="Q73" s="132">
        <f t="shared" ref="Q73" si="334">IF(P$2=0,0,P73/P$2)</f>
        <v>0</v>
      </c>
      <c r="R73" s="178">
        <f>'Cascading Cap Cost &amp; Savings'!K65*('Cascading  for package'!$R$2)</f>
        <v>0</v>
      </c>
      <c r="S73" s="132">
        <f t="shared" ref="S73" si="335">IF(R$2=0,0,R73/R$2)</f>
        <v>0</v>
      </c>
      <c r="T73" s="38">
        <f>(D73*3.412)+(F73*138.6905)+(H73*100)+(J73*91.6476)+(L73*1194)+(N73*16400)+(P73*9500)+(R73*0)</f>
        <v>0</v>
      </c>
      <c r="U73" s="22">
        <f t="shared" si="311"/>
        <v>0</v>
      </c>
      <c r="V73" t="e">
        <f>'Individual Measure List'!I72</f>
        <v>#VALUE!</v>
      </c>
    </row>
    <row r="74" spans="1:22" ht="39" customHeight="1" thickBot="1" x14ac:dyDescent="0.35">
      <c r="A74" s="27"/>
      <c r="B74" s="25" t="str">
        <f>'EEM Data Entry'!A148</f>
        <v/>
      </c>
      <c r="C74" s="171" t="str">
        <f>'Cascading Cap Cost &amp; Savings'!B66</f>
        <v/>
      </c>
      <c r="D74" s="178">
        <f>'Cascading Cap Cost &amp; Savings'!D66*('Cascading  for package'!$D$2)</f>
        <v>0</v>
      </c>
      <c r="E74" s="132">
        <f t="shared" si="298"/>
        <v>0</v>
      </c>
      <c r="F74" s="178">
        <f>'Cascading Cap Cost &amp; Savings'!E66*('Cascading  for package'!$F$2)</f>
        <v>0</v>
      </c>
      <c r="G74" s="132">
        <f t="shared" si="298"/>
        <v>0</v>
      </c>
      <c r="H74" s="178">
        <f>'Cascading Cap Cost &amp; Savings'!F66*('Cascading  for package'!$H$2)</f>
        <v>0</v>
      </c>
      <c r="I74" s="132">
        <f t="shared" ref="I74" si="336">IF(H$2=0,0,H74/H$2)</f>
        <v>0</v>
      </c>
      <c r="J74" s="178">
        <f>'Cascading Cap Cost &amp; Savings'!G66*('Cascading  for package'!$J$2)</f>
        <v>0</v>
      </c>
      <c r="K74" s="132">
        <f t="shared" ref="K74" si="337">IF(J$2=0,0,J74/J$2)</f>
        <v>0</v>
      </c>
      <c r="L74" s="178">
        <f>'Cascading Cap Cost &amp; Savings'!H66*('Cascading  for package'!$L$2)</f>
        <v>0</v>
      </c>
      <c r="M74" s="132">
        <f t="shared" ref="M74" si="338">IF(L$2=0,0,L74/L$2)</f>
        <v>0</v>
      </c>
      <c r="N74" s="178">
        <f>'Cascading Cap Cost &amp; Savings'!I66*('Cascading  for package'!$N$2)</f>
        <v>0</v>
      </c>
      <c r="O74" s="132">
        <f t="shared" ref="O74" si="339">IF(N$2=0,0,N74/N$2)</f>
        <v>0</v>
      </c>
      <c r="P74" s="178">
        <f>'Cascading Cap Cost &amp; Savings'!J66*('Cascading  for package'!$P$2)</f>
        <v>0</v>
      </c>
      <c r="Q74" s="132">
        <f t="shared" ref="Q74" si="340">IF(P$2=0,0,P74/P$2)</f>
        <v>0</v>
      </c>
      <c r="R74" s="178">
        <f>'Cascading Cap Cost &amp; Savings'!K66*('Cascading  for package'!$R$2)</f>
        <v>0</v>
      </c>
      <c r="S74" s="132">
        <f t="shared" ref="S74" si="341">IF(R$2=0,0,R74/R$2)</f>
        <v>0</v>
      </c>
      <c r="T74" s="38">
        <f t="shared" si="297"/>
        <v>0</v>
      </c>
      <c r="U74" s="22">
        <f t="shared" si="311"/>
        <v>0</v>
      </c>
      <c r="V74" t="e">
        <f>'Individual Measure List'!I73</f>
        <v>#VALUE!</v>
      </c>
    </row>
    <row r="75" spans="1:22" ht="39" customHeight="1" thickBot="1" x14ac:dyDescent="0.35">
      <c r="A75" s="27"/>
      <c r="B75" s="25" t="str">
        <f>'EEM Data Entry'!A149</f>
        <v/>
      </c>
      <c r="C75" s="171" t="str">
        <f>'Cascading Cap Cost &amp; Savings'!B67</f>
        <v/>
      </c>
      <c r="D75" s="178">
        <f>'Cascading Cap Cost &amp; Savings'!D67*('Cascading  for package'!$D$2)</f>
        <v>0</v>
      </c>
      <c r="E75" s="132">
        <f t="shared" si="298"/>
        <v>0</v>
      </c>
      <c r="F75" s="178">
        <f>'Cascading Cap Cost &amp; Savings'!E67*('Cascading  for package'!$F$2)</f>
        <v>0</v>
      </c>
      <c r="G75" s="132">
        <f t="shared" si="298"/>
        <v>0</v>
      </c>
      <c r="H75" s="178">
        <f>'Cascading Cap Cost &amp; Savings'!F67*('Cascading  for package'!$H$2)</f>
        <v>0</v>
      </c>
      <c r="I75" s="132">
        <f t="shared" ref="I75" si="342">IF(H$2=0,0,H75/H$2)</f>
        <v>0</v>
      </c>
      <c r="J75" s="178">
        <f>'Cascading Cap Cost &amp; Savings'!G67*('Cascading  for package'!$J$2)</f>
        <v>0</v>
      </c>
      <c r="K75" s="132">
        <f t="shared" ref="K75" si="343">IF(J$2=0,0,J75/J$2)</f>
        <v>0</v>
      </c>
      <c r="L75" s="178">
        <f>'Cascading Cap Cost &amp; Savings'!H67*('Cascading  for package'!$L$2)</f>
        <v>0</v>
      </c>
      <c r="M75" s="132">
        <f t="shared" ref="M75" si="344">IF(L$2=0,0,L75/L$2)</f>
        <v>0</v>
      </c>
      <c r="N75" s="178">
        <f>'Cascading Cap Cost &amp; Savings'!I67*('Cascading  for package'!$N$2)</f>
        <v>0</v>
      </c>
      <c r="O75" s="132">
        <f t="shared" ref="O75" si="345">IF(N$2=0,0,N75/N$2)</f>
        <v>0</v>
      </c>
      <c r="P75" s="178">
        <f>'Cascading Cap Cost &amp; Savings'!J67*('Cascading  for package'!$P$2)</f>
        <v>0</v>
      </c>
      <c r="Q75" s="132">
        <f t="shared" ref="Q75" si="346">IF(P$2=0,0,P75/P$2)</f>
        <v>0</v>
      </c>
      <c r="R75" s="178">
        <f>'Cascading Cap Cost &amp; Savings'!K67*('Cascading  for package'!$R$2)</f>
        <v>0</v>
      </c>
      <c r="S75" s="132">
        <f t="shared" ref="S75" si="347">IF(R$2=0,0,R75/R$2)</f>
        <v>0</v>
      </c>
      <c r="T75" s="38">
        <f t="shared" si="297"/>
        <v>0</v>
      </c>
      <c r="U75" s="22">
        <f t="shared" si="311"/>
        <v>0</v>
      </c>
      <c r="V75" t="e">
        <f>'Individual Measure List'!I74</f>
        <v>#VALUE!</v>
      </c>
    </row>
    <row r="76" spans="1:22" ht="39" customHeight="1" thickBot="1" x14ac:dyDescent="0.35">
      <c r="A76" s="27"/>
      <c r="B76" s="25" t="str">
        <f>'EEM Data Entry'!A150</f>
        <v/>
      </c>
      <c r="C76" s="171" t="str">
        <f>'Cascading Cap Cost &amp; Savings'!B68</f>
        <v/>
      </c>
      <c r="D76" s="178">
        <f>'Cascading Cap Cost &amp; Savings'!D68*('Cascading  for package'!$D$2)</f>
        <v>0</v>
      </c>
      <c r="E76" s="132">
        <f t="shared" si="298"/>
        <v>0</v>
      </c>
      <c r="F76" s="178">
        <f>'Cascading Cap Cost &amp; Savings'!E68*('Cascading  for package'!$F$2)</f>
        <v>0</v>
      </c>
      <c r="G76" s="132">
        <f t="shared" si="298"/>
        <v>0</v>
      </c>
      <c r="H76" s="178">
        <f>'Cascading Cap Cost &amp; Savings'!F68*('Cascading  for package'!$H$2)</f>
        <v>0</v>
      </c>
      <c r="I76" s="132">
        <f t="shared" ref="I76" si="348">IF(H$2=0,0,H76/H$2)</f>
        <v>0</v>
      </c>
      <c r="J76" s="178">
        <f>'Cascading Cap Cost &amp; Savings'!G68*('Cascading  for package'!$J$2)</f>
        <v>0</v>
      </c>
      <c r="K76" s="132">
        <f t="shared" ref="K76" si="349">IF(J$2=0,0,J76/J$2)</f>
        <v>0</v>
      </c>
      <c r="L76" s="178">
        <f>'Cascading Cap Cost &amp; Savings'!H68*('Cascading  for package'!$L$2)</f>
        <v>0</v>
      </c>
      <c r="M76" s="132">
        <f t="shared" ref="M76" si="350">IF(L$2=0,0,L76/L$2)</f>
        <v>0</v>
      </c>
      <c r="N76" s="178">
        <f>'Cascading Cap Cost &amp; Savings'!I68*('Cascading  for package'!$N$2)</f>
        <v>0</v>
      </c>
      <c r="O76" s="132">
        <f t="shared" ref="O76" si="351">IF(N$2=0,0,N76/N$2)</f>
        <v>0</v>
      </c>
      <c r="P76" s="178">
        <f>'Cascading Cap Cost &amp; Savings'!J68*('Cascading  for package'!$P$2)</f>
        <v>0</v>
      </c>
      <c r="Q76" s="132">
        <f t="shared" ref="Q76" si="352">IF(P$2=0,0,P76/P$2)</f>
        <v>0</v>
      </c>
      <c r="R76" s="178">
        <f>'Cascading Cap Cost &amp; Savings'!K68*('Cascading  for package'!$R$2)</f>
        <v>0</v>
      </c>
      <c r="S76" s="132">
        <f t="shared" ref="S76" si="353">IF(R$2=0,0,R76/R$2)</f>
        <v>0</v>
      </c>
      <c r="T76" s="38">
        <f t="shared" si="297"/>
        <v>0</v>
      </c>
      <c r="U76" s="22">
        <f t="shared" si="311"/>
        <v>0</v>
      </c>
      <c r="V76" t="e">
        <f>'Individual Measure List'!I75</f>
        <v>#VALUE!</v>
      </c>
    </row>
    <row r="77" spans="1:22" ht="39" customHeight="1" thickBot="1" x14ac:dyDescent="0.35">
      <c r="A77" s="27"/>
      <c r="B77" s="25" t="str">
        <f>'EEM Data Entry'!A151</f>
        <v/>
      </c>
      <c r="C77" s="171" t="str">
        <f>'Cascading Cap Cost &amp; Savings'!B69</f>
        <v/>
      </c>
      <c r="D77" s="178">
        <f>'Cascading Cap Cost &amp; Savings'!D69*('Cascading  for package'!$D$2)</f>
        <v>0</v>
      </c>
      <c r="E77" s="132">
        <f t="shared" si="298"/>
        <v>0</v>
      </c>
      <c r="F77" s="178">
        <f>'Cascading Cap Cost &amp; Savings'!E69*('Cascading  for package'!$F$2)</f>
        <v>0</v>
      </c>
      <c r="G77" s="132">
        <f t="shared" si="298"/>
        <v>0</v>
      </c>
      <c r="H77" s="178">
        <f>'Cascading Cap Cost &amp; Savings'!F69*('Cascading  for package'!$H$2)</f>
        <v>0</v>
      </c>
      <c r="I77" s="132">
        <f t="shared" ref="I77" si="354">IF(H$2=0,0,H77/H$2)</f>
        <v>0</v>
      </c>
      <c r="J77" s="178">
        <f>'Cascading Cap Cost &amp; Savings'!G69*('Cascading  for package'!$J$2)</f>
        <v>0</v>
      </c>
      <c r="K77" s="132">
        <f t="shared" ref="K77" si="355">IF(J$2=0,0,J77/J$2)</f>
        <v>0</v>
      </c>
      <c r="L77" s="178">
        <f>'Cascading Cap Cost &amp; Savings'!H69*('Cascading  for package'!$L$2)</f>
        <v>0</v>
      </c>
      <c r="M77" s="132">
        <f t="shared" ref="M77" si="356">IF(L$2=0,0,L77/L$2)</f>
        <v>0</v>
      </c>
      <c r="N77" s="178">
        <f>'Cascading Cap Cost &amp; Savings'!I69*('Cascading  for package'!$N$2)</f>
        <v>0</v>
      </c>
      <c r="O77" s="132">
        <f t="shared" ref="O77" si="357">IF(N$2=0,0,N77/N$2)</f>
        <v>0</v>
      </c>
      <c r="P77" s="178">
        <f>'Cascading Cap Cost &amp; Savings'!J69*('Cascading  for package'!$P$2)</f>
        <v>0</v>
      </c>
      <c r="Q77" s="132">
        <f t="shared" ref="Q77" si="358">IF(P$2=0,0,P77/P$2)</f>
        <v>0</v>
      </c>
      <c r="R77" s="178">
        <f>'Cascading Cap Cost &amp; Savings'!K69*('Cascading  for package'!$R$2)</f>
        <v>0</v>
      </c>
      <c r="S77" s="132">
        <f t="shared" ref="S77" si="359">IF(R$2=0,0,R77/R$2)</f>
        <v>0</v>
      </c>
      <c r="T77" s="38">
        <f t="shared" si="297"/>
        <v>0</v>
      </c>
      <c r="U77" s="22">
        <f t="shared" si="311"/>
        <v>0</v>
      </c>
      <c r="V77" t="e">
        <f>'Individual Measure List'!I76</f>
        <v>#VALUE!</v>
      </c>
    </row>
    <row r="78" spans="1:22" ht="39" customHeight="1" thickBot="1" x14ac:dyDescent="0.35">
      <c r="A78" s="27"/>
      <c r="B78" s="25" t="str">
        <f>'EEM Data Entry'!A152</f>
        <v/>
      </c>
      <c r="C78" s="171" t="str">
        <f>'Cascading Cap Cost &amp; Savings'!B70</f>
        <v/>
      </c>
      <c r="D78" s="178">
        <f>'Cascading Cap Cost &amp; Savings'!D70*('Cascading  for package'!$D$2)</f>
        <v>0</v>
      </c>
      <c r="E78" s="132">
        <f t="shared" si="298"/>
        <v>0</v>
      </c>
      <c r="F78" s="178">
        <f>'Cascading Cap Cost &amp; Savings'!E70*('Cascading  for package'!$F$2)</f>
        <v>0</v>
      </c>
      <c r="G78" s="132">
        <f t="shared" si="298"/>
        <v>0</v>
      </c>
      <c r="H78" s="178">
        <f>'Cascading Cap Cost &amp; Savings'!F70*('Cascading  for package'!$H$2)</f>
        <v>0</v>
      </c>
      <c r="I78" s="132">
        <f t="shared" ref="I78" si="360">IF(H$2=0,0,H78/H$2)</f>
        <v>0</v>
      </c>
      <c r="J78" s="178">
        <f>'Cascading Cap Cost &amp; Savings'!G70*('Cascading  for package'!$J$2)</f>
        <v>0</v>
      </c>
      <c r="K78" s="132">
        <f t="shared" ref="K78" si="361">IF(J$2=0,0,J78/J$2)</f>
        <v>0</v>
      </c>
      <c r="L78" s="178">
        <f>'Cascading Cap Cost &amp; Savings'!H70*('Cascading  for package'!$L$2)</f>
        <v>0</v>
      </c>
      <c r="M78" s="132">
        <f t="shared" ref="M78" si="362">IF(L$2=0,0,L78/L$2)</f>
        <v>0</v>
      </c>
      <c r="N78" s="178">
        <f>'Cascading Cap Cost &amp; Savings'!I70*('Cascading  for package'!$N$2)</f>
        <v>0</v>
      </c>
      <c r="O78" s="132">
        <f t="shared" ref="O78" si="363">IF(N$2=0,0,N78/N$2)</f>
        <v>0</v>
      </c>
      <c r="P78" s="178">
        <f>'Cascading Cap Cost &amp; Savings'!J70*('Cascading  for package'!$P$2)</f>
        <v>0</v>
      </c>
      <c r="Q78" s="132">
        <f t="shared" ref="Q78" si="364">IF(P$2=0,0,P78/P$2)</f>
        <v>0</v>
      </c>
      <c r="R78" s="178">
        <f>'Cascading Cap Cost &amp; Savings'!K70*('Cascading  for package'!$R$2)</f>
        <v>0</v>
      </c>
      <c r="S78" s="132">
        <f t="shared" ref="S78" si="365">IF(R$2=0,0,R78/R$2)</f>
        <v>0</v>
      </c>
      <c r="T78" s="38">
        <f t="shared" si="297"/>
        <v>0</v>
      </c>
      <c r="U78" s="22">
        <f t="shared" si="311"/>
        <v>0</v>
      </c>
      <c r="V78" t="e">
        <f>'Individual Measure List'!I77</f>
        <v>#VALUE!</v>
      </c>
    </row>
    <row r="79" spans="1:22" ht="39" customHeight="1" thickBot="1" x14ac:dyDescent="0.35">
      <c r="A79" s="27"/>
      <c r="B79" s="25" t="str">
        <f>'EEM Data Entry'!A153</f>
        <v/>
      </c>
      <c r="C79" s="171" t="str">
        <f>'Cascading Cap Cost &amp; Savings'!B71</f>
        <v/>
      </c>
      <c r="D79" s="178">
        <f>'Cascading Cap Cost &amp; Savings'!D71*('Cascading  for package'!$D$2)</f>
        <v>0</v>
      </c>
      <c r="E79" s="132">
        <f t="shared" si="298"/>
        <v>0</v>
      </c>
      <c r="F79" s="178">
        <f>'Cascading Cap Cost &amp; Savings'!E71*('Cascading  for package'!$F$2)</f>
        <v>0</v>
      </c>
      <c r="G79" s="132">
        <f t="shared" si="298"/>
        <v>0</v>
      </c>
      <c r="H79" s="178">
        <f>'Cascading Cap Cost &amp; Savings'!F71*('Cascading  for package'!$H$2)</f>
        <v>0</v>
      </c>
      <c r="I79" s="132">
        <f t="shared" ref="I79" si="366">IF(H$2=0,0,H79/H$2)</f>
        <v>0</v>
      </c>
      <c r="J79" s="178">
        <f>'Cascading Cap Cost &amp; Savings'!G71*('Cascading  for package'!$J$2)</f>
        <v>0</v>
      </c>
      <c r="K79" s="132">
        <f t="shared" ref="K79" si="367">IF(J$2=0,0,J79/J$2)</f>
        <v>0</v>
      </c>
      <c r="L79" s="178">
        <f>'Cascading Cap Cost &amp; Savings'!H71*('Cascading  for package'!$L$2)</f>
        <v>0</v>
      </c>
      <c r="M79" s="132">
        <f t="shared" ref="M79" si="368">IF(L$2=0,0,L79/L$2)</f>
        <v>0</v>
      </c>
      <c r="N79" s="178">
        <f>'Cascading Cap Cost &amp; Savings'!I71*('Cascading  for package'!$N$2)</f>
        <v>0</v>
      </c>
      <c r="O79" s="132">
        <f t="shared" ref="O79" si="369">IF(N$2=0,0,N79/N$2)</f>
        <v>0</v>
      </c>
      <c r="P79" s="178">
        <f>'Cascading Cap Cost &amp; Savings'!J71*('Cascading  for package'!$P$2)</f>
        <v>0</v>
      </c>
      <c r="Q79" s="132">
        <f t="shared" ref="Q79" si="370">IF(P$2=0,0,P79/P$2)</f>
        <v>0</v>
      </c>
      <c r="R79" s="178">
        <f>'Cascading Cap Cost &amp; Savings'!K71*('Cascading  for package'!$R$2)</f>
        <v>0</v>
      </c>
      <c r="S79" s="132">
        <f t="shared" ref="S79" si="371">IF(R$2=0,0,R79/R$2)</f>
        <v>0</v>
      </c>
      <c r="T79" s="38">
        <f t="shared" si="297"/>
        <v>0</v>
      </c>
      <c r="U79" s="22">
        <f t="shared" si="311"/>
        <v>0</v>
      </c>
      <c r="V79" t="e">
        <f>'Individual Measure List'!I78</f>
        <v>#VALUE!</v>
      </c>
    </row>
    <row r="80" spans="1:22" ht="39" customHeight="1" x14ac:dyDescent="0.3">
      <c r="A80" s="27"/>
      <c r="B80" s="25" t="str">
        <f>'EEM Data Entry'!A154</f>
        <v/>
      </c>
      <c r="C80" s="165" t="str">
        <f>'Cascading Cap Cost &amp; Savings'!B72</f>
        <v/>
      </c>
      <c r="D80" s="178">
        <f>'Cascading Cap Cost &amp; Savings'!D72*('Cascading  for package'!$D$2)</f>
        <v>0</v>
      </c>
      <c r="E80" s="132">
        <f t="shared" si="298"/>
        <v>0</v>
      </c>
      <c r="F80" s="178">
        <f>'Cascading Cap Cost &amp; Savings'!E72*('Cascading  for package'!$F$2)</f>
        <v>0</v>
      </c>
      <c r="G80" s="132">
        <f t="shared" si="298"/>
        <v>0</v>
      </c>
      <c r="H80" s="178">
        <f>'Cascading Cap Cost &amp; Savings'!F72*('Cascading  for package'!$H$2)</f>
        <v>0</v>
      </c>
      <c r="I80" s="132">
        <f t="shared" ref="I80" si="372">IF(H$2=0,0,H80/H$2)</f>
        <v>0</v>
      </c>
      <c r="J80" s="178">
        <f>'Cascading Cap Cost &amp; Savings'!G72*('Cascading  for package'!$J$2)</f>
        <v>0</v>
      </c>
      <c r="K80" s="132">
        <f t="shared" ref="K80" si="373">IF(J$2=0,0,J80/J$2)</f>
        <v>0</v>
      </c>
      <c r="L80" s="178">
        <f>'Cascading Cap Cost &amp; Savings'!H72*('Cascading  for package'!$L$2)</f>
        <v>0</v>
      </c>
      <c r="M80" s="132">
        <f t="shared" ref="M80" si="374">IF(L$2=0,0,L80/L$2)</f>
        <v>0</v>
      </c>
      <c r="N80" s="178">
        <f>'Cascading Cap Cost &amp; Savings'!I72*('Cascading  for package'!$N$2)</f>
        <v>0</v>
      </c>
      <c r="O80" s="132">
        <f t="shared" ref="O80" si="375">IF(N$2=0,0,N80/N$2)</f>
        <v>0</v>
      </c>
      <c r="P80" s="178">
        <f>'Cascading Cap Cost &amp; Savings'!J72*('Cascading  for package'!$P$2)</f>
        <v>0</v>
      </c>
      <c r="Q80" s="132">
        <f t="shared" ref="Q80" si="376">IF(P$2=0,0,P80/P$2)</f>
        <v>0</v>
      </c>
      <c r="R80" s="178">
        <f>'Cascading Cap Cost &amp; Savings'!K72*('Cascading  for package'!$R$2)</f>
        <v>0</v>
      </c>
      <c r="S80" s="132">
        <f t="shared" ref="S80" si="377">IF(R$2=0,0,R80/R$2)</f>
        <v>0</v>
      </c>
      <c r="T80" s="38">
        <f t="shared" si="297"/>
        <v>0</v>
      </c>
      <c r="U80" s="22">
        <f t="shared" si="311"/>
        <v>0</v>
      </c>
      <c r="V80" t="e">
        <f>'Individual Measure List'!I79</f>
        <v>#VALUE!</v>
      </c>
    </row>
    <row r="81" spans="1:22" ht="39" customHeight="1" x14ac:dyDescent="0.25">
      <c r="A81" s="405"/>
      <c r="B81" s="406"/>
      <c r="C81" s="401" t="s">
        <v>137</v>
      </c>
      <c r="D81" s="402">
        <f>SUM(D67:D80)</f>
        <v>0</v>
      </c>
      <c r="E81" s="403" t="e">
        <f>( D81/D$2)</f>
        <v>#DIV/0!</v>
      </c>
      <c r="F81" s="402">
        <f>SUM(F67:F80)</f>
        <v>0</v>
      </c>
      <c r="G81" s="403" t="e">
        <f>( F81/F$2)</f>
        <v>#DIV/0!</v>
      </c>
      <c r="H81" s="402">
        <f>SUM(H67:H80)</f>
        <v>0</v>
      </c>
      <c r="I81" s="403" t="e">
        <f>( H81/H$2)</f>
        <v>#DIV/0!</v>
      </c>
      <c r="J81" s="402">
        <f>SUM(J67:J80)</f>
        <v>0</v>
      </c>
      <c r="K81" s="403" t="e">
        <f>( J81/J$2)</f>
        <v>#DIV/0!</v>
      </c>
      <c r="L81" s="402">
        <f>SUM(L67:L80)</f>
        <v>0</v>
      </c>
      <c r="M81" s="403" t="e">
        <f>( L81/L$2)</f>
        <v>#DIV/0!</v>
      </c>
      <c r="N81" s="402">
        <f>SUM(N67:N80)</f>
        <v>0</v>
      </c>
      <c r="O81" s="403" t="e">
        <f>( N81/N$2)</f>
        <v>#DIV/0!</v>
      </c>
      <c r="P81" s="402">
        <f>SUM(P67:P80)</f>
        <v>0</v>
      </c>
      <c r="Q81" s="403" t="e">
        <f>( P81/P$2)</f>
        <v>#DIV/0!</v>
      </c>
      <c r="R81" s="402">
        <f>SUM(R67:R80)</f>
        <v>0</v>
      </c>
      <c r="S81" s="403" t="e">
        <f>( R81/R$2)</f>
        <v>#DIV/0!</v>
      </c>
      <c r="T81" s="402">
        <f>SUM(T67:T80)</f>
        <v>0</v>
      </c>
      <c r="U81" s="404">
        <f t="shared" si="311"/>
        <v>0</v>
      </c>
      <c r="V81" s="407"/>
    </row>
    <row r="82" spans="1:22" ht="72.75" customHeight="1" x14ac:dyDescent="0.25">
      <c r="B82" s="138"/>
      <c r="C82" s="408"/>
      <c r="D82" s="179"/>
      <c r="E82" s="409"/>
      <c r="T82" s="410"/>
      <c r="U82" s="411"/>
    </row>
    <row r="83" spans="1:22" ht="72.75" customHeight="1" x14ac:dyDescent="0.25">
      <c r="T83" s="238"/>
    </row>
    <row r="84" spans="1:22" ht="72.75" customHeight="1" x14ac:dyDescent="0.25">
      <c r="T84" s="238"/>
    </row>
    <row r="85" spans="1:22" x14ac:dyDescent="0.25">
      <c r="F85" s="281"/>
    </row>
  </sheetData>
  <mergeCells count="19">
    <mergeCell ref="N1:O1"/>
    <mergeCell ref="N5:O5"/>
    <mergeCell ref="P5:Q5"/>
    <mergeCell ref="L5:M5"/>
    <mergeCell ref="D1:E1"/>
    <mergeCell ref="F1:G1"/>
    <mergeCell ref="H1:I1"/>
    <mergeCell ref="J1:K1"/>
    <mergeCell ref="L1:M1"/>
    <mergeCell ref="B5:C5"/>
    <mergeCell ref="D5:E5"/>
    <mergeCell ref="F5:G5"/>
    <mergeCell ref="H5:I5"/>
    <mergeCell ref="J5:K5"/>
    <mergeCell ref="R5:S5"/>
    <mergeCell ref="P1:Q1"/>
    <mergeCell ref="R1:S1"/>
    <mergeCell ref="T1:U1"/>
    <mergeCell ref="T3:U3"/>
  </mergeCells>
  <pageMargins left="0.7" right="0.7" top="0.75" bottom="0.75" header="0.3" footer="0.3"/>
  <pageSetup paperSize="3" orientation="landscape" r:id="rId1"/>
  <headerFooter>
    <oddFooter>&amp;CResilient Buildings Group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79998168889431442"/>
    <pageSetUpPr fitToPage="1"/>
  </sheetPr>
  <dimension ref="A1:AV108"/>
  <sheetViews>
    <sheetView topLeftCell="A40" workbookViewId="0">
      <selection activeCell="B44" sqref="B44"/>
    </sheetView>
  </sheetViews>
  <sheetFormatPr defaultRowHeight="12.5" x14ac:dyDescent="0.25"/>
  <cols>
    <col min="1" max="1" width="8.7265625" customWidth="1"/>
    <col min="2" max="2" width="47.36328125" customWidth="1"/>
    <col min="3" max="3" width="18.6328125" style="3" customWidth="1"/>
    <col min="4" max="4" width="18.26953125" style="3" customWidth="1"/>
    <col min="5" max="5" width="20.08984375" style="3" customWidth="1"/>
    <col min="6" max="6" width="41.26953125" style="3" customWidth="1"/>
    <col min="7" max="7" width="23.08984375" style="3" customWidth="1"/>
    <col min="8" max="8" width="17.7265625" style="3" customWidth="1"/>
    <col min="9" max="9" width="35.81640625" style="3" hidden="1" customWidth="1"/>
    <col min="10" max="10" width="30.6328125" style="3" customWidth="1"/>
    <col min="11" max="11" width="16.08984375" style="3" customWidth="1"/>
    <col min="12" max="12" width="5.6328125" customWidth="1"/>
    <col min="13" max="13" width="8.7265625" customWidth="1"/>
    <col min="14" max="14" width="8.36328125" customWidth="1"/>
    <col min="15" max="15" width="11.7265625" bestFit="1" customWidth="1"/>
    <col min="16" max="16" width="14.26953125" bestFit="1" customWidth="1"/>
    <col min="17" max="17" width="11.08984375" customWidth="1"/>
    <col min="18" max="21" width="9.26953125" bestFit="1" customWidth="1"/>
    <col min="22" max="22" width="9.6328125" bestFit="1" customWidth="1"/>
    <col min="23" max="23" width="10.7265625" bestFit="1" customWidth="1"/>
    <col min="24" max="24" width="10" customWidth="1"/>
    <col min="25" max="26" width="9.26953125" bestFit="1" customWidth="1"/>
    <col min="27" max="29" width="9.6328125" bestFit="1" customWidth="1"/>
    <col min="30" max="31" width="9.26953125" bestFit="1" customWidth="1"/>
    <col min="32" max="32" width="11.6328125" customWidth="1"/>
    <col min="40" max="40" width="12.7265625" customWidth="1"/>
    <col min="41" max="41" width="10" customWidth="1"/>
    <col min="42" max="42" width="10.08984375" customWidth="1"/>
    <col min="43" max="44" width="10.6328125" bestFit="1" customWidth="1"/>
    <col min="45" max="45" width="10.08984375" bestFit="1" customWidth="1"/>
    <col min="46" max="46" width="10.6328125" bestFit="1" customWidth="1"/>
    <col min="47" max="47" width="12" customWidth="1"/>
  </cols>
  <sheetData>
    <row r="1" spans="1:46" ht="18.75" customHeight="1" x14ac:dyDescent="0.25">
      <c r="B1" s="158"/>
      <c r="C1" s="279" t="s">
        <v>146</v>
      </c>
      <c r="D1" s="1012" t="s">
        <v>16</v>
      </c>
      <c r="E1" s="1012"/>
      <c r="F1" s="1012" t="s">
        <v>131</v>
      </c>
      <c r="G1" s="1012"/>
      <c r="H1" s="1013" t="s">
        <v>4</v>
      </c>
      <c r="I1" s="1013"/>
      <c r="J1" s="1013"/>
      <c r="K1" s="1014"/>
      <c r="L1" s="1015"/>
      <c r="M1" s="361"/>
      <c r="O1" s="352">
        <f>K2-G77</f>
        <v>0</v>
      </c>
    </row>
    <row r="2" spans="1:46" ht="12.75" customHeight="1" x14ac:dyDescent="0.3">
      <c r="A2" s="158"/>
      <c r="B2" s="158"/>
      <c r="C2" s="322" t="s">
        <v>20</v>
      </c>
      <c r="D2" s="323">
        <f>'Savings Summary'!D3</f>
        <v>0</v>
      </c>
      <c r="E2" s="323" t="str">
        <f>'Savings Summary'!E3</f>
        <v>kWH</v>
      </c>
      <c r="F2" s="323">
        <f>'Savings Summary'!F3</f>
        <v>0</v>
      </c>
      <c r="G2" s="323" t="str">
        <f>'Savings Summary'!G3</f>
        <v>Gallons</v>
      </c>
      <c r="H2" s="323">
        <f>'Savings Summary'!T3</f>
        <v>0</v>
      </c>
      <c r="I2" s="324"/>
      <c r="J2" s="325" t="s">
        <v>21</v>
      </c>
      <c r="K2" s="356"/>
      <c r="L2" s="359"/>
      <c r="O2" s="353" t="e">
        <f>O1/K2</f>
        <v>#DIV/0!</v>
      </c>
    </row>
    <row r="3" spans="1:46" ht="12.75" customHeight="1" x14ac:dyDescent="0.3">
      <c r="A3" s="158"/>
      <c r="B3" s="158"/>
      <c r="C3" s="326" t="s">
        <v>147</v>
      </c>
      <c r="D3" s="327">
        <f>'Savings Summary'!D4</f>
        <v>0</v>
      </c>
      <c r="E3" s="327" t="str">
        <f>'Savings Summary'!E4</f>
        <v>(elect.)</v>
      </c>
      <c r="F3" s="327">
        <f>'Savings Summary'!F4</f>
        <v>0</v>
      </c>
      <c r="G3" s="327">
        <f>'Savings Summary'!G4</f>
        <v>0</v>
      </c>
      <c r="H3" s="366">
        <f>'Savings Summary'!T4</f>
        <v>0</v>
      </c>
      <c r="I3" s="328"/>
      <c r="J3" s="329" t="s">
        <v>140</v>
      </c>
      <c r="K3" s="357"/>
      <c r="L3" s="359"/>
    </row>
    <row r="4" spans="1:46" ht="12.75" customHeight="1" x14ac:dyDescent="0.3">
      <c r="A4" s="158"/>
      <c r="B4" s="158"/>
      <c r="C4" s="330" t="s">
        <v>11</v>
      </c>
      <c r="D4" s="331">
        <f>'Savings Summary'!D5</f>
        <v>0</v>
      </c>
      <c r="E4" s="331" t="str">
        <f>'Savings Summary'!E5</f>
        <v>($/kWh)</v>
      </c>
      <c r="F4" s="331">
        <f>'Savings Summary'!F5</f>
        <v>0</v>
      </c>
      <c r="G4" s="331" t="str">
        <f>'Savings Summary'!G5</f>
        <v>($/gal.)</v>
      </c>
      <c r="H4" s="355"/>
      <c r="I4" s="332"/>
      <c r="J4" s="325"/>
      <c r="K4" s="358"/>
      <c r="L4" s="360"/>
    </row>
    <row r="5" spans="1:46" ht="33" customHeight="1" x14ac:dyDescent="0.45">
      <c r="A5" s="189" t="s">
        <v>163</v>
      </c>
      <c r="B5" s="265"/>
      <c r="D5" s="272"/>
      <c r="K5" s="272"/>
    </row>
    <row r="6" spans="1:46" s="148" customFormat="1" ht="26" x14ac:dyDescent="0.3">
      <c r="A6" s="266" t="s">
        <v>144</v>
      </c>
      <c r="B6" s="344" t="s">
        <v>42</v>
      </c>
      <c r="C6" s="240" t="s">
        <v>35</v>
      </c>
      <c r="D6" s="240" t="s">
        <v>90</v>
      </c>
      <c r="E6" s="240" t="s">
        <v>119</v>
      </c>
      <c r="F6" s="240" t="s">
        <v>118</v>
      </c>
      <c r="G6" s="240" t="s">
        <v>121</v>
      </c>
      <c r="H6" s="240" t="s">
        <v>117</v>
      </c>
      <c r="I6" s="240" t="s">
        <v>135</v>
      </c>
      <c r="J6" s="138" t="s">
        <v>17</v>
      </c>
      <c r="K6" s="138" t="s">
        <v>22</v>
      </c>
      <c r="M6" s="362"/>
      <c r="N6" s="362"/>
    </row>
    <row r="7" spans="1:46" s="148" customFormat="1" ht="131.25" customHeight="1" x14ac:dyDescent="0.3">
      <c r="A7" s="312" t="str">
        <f>'EEM Data Entry'!A85</f>
        <v/>
      </c>
      <c r="B7" s="337" t="str">
        <f>'EEM Data Entry'!B85</f>
        <v/>
      </c>
      <c r="C7" s="337" t="str">
        <f>'EEM Data Entry'!F85</f>
        <v/>
      </c>
      <c r="D7" s="337">
        <f>'EEM Data Entry'!H85</f>
        <v>0</v>
      </c>
      <c r="E7" s="503">
        <f>'EEM Data Entry'!I85</f>
        <v>0</v>
      </c>
      <c r="F7" s="315">
        <f>('Cascading Savings'!D6*'Cascading Savings'!D$4)+('Cascading Savings'!F6*'Cascading Savings'!F$4)+('Cascading Savings'!H6*'Cascading Savings'!H$4)+('Cascading Savings'!J6*'Cascading Savings'!J$4)+('Cascading Savings'!L6*'Cascading Savings'!L$4)+('Cascading Savings'!N6*'Cascading Savings'!N$4)+('Cascading Savings'!P6*'Cascading Savings'!P$4)+('Cascading Savings'!R6*'Cascading Savings'!R$4)</f>
        <v>0</v>
      </c>
      <c r="G7" s="301">
        <f>'Cascading Savings'!T6</f>
        <v>0</v>
      </c>
      <c r="H7" s="297" t="e">
        <f>IF(C7=0,"n/a",E7/F7)</f>
        <v>#DIV/0!</v>
      </c>
      <c r="I7" s="298" t="e">
        <f>IF(H7=0, "n/a", IF(H7&gt;100, "no",IF(H7&lt;0, "no", "yes")))</f>
        <v>#DIV/0!</v>
      </c>
      <c r="J7" s="299" t="e">
        <f>IRR(P7:AT7,0.1)</f>
        <v>#NUM!</v>
      </c>
      <c r="K7" s="300">
        <f>NPV(0.05,P7:AT7)</f>
        <v>0</v>
      </c>
      <c r="M7" s="321"/>
      <c r="N7" s="321"/>
      <c r="P7" s="151">
        <f>-E7</f>
        <v>0</v>
      </c>
      <c r="Q7" s="151">
        <f>F7</f>
        <v>0</v>
      </c>
      <c r="R7" s="151">
        <f t="shared" ref="R7:AG12" si="0">Q7*1.05</f>
        <v>0</v>
      </c>
      <c r="S7" s="151">
        <f t="shared" si="0"/>
        <v>0</v>
      </c>
      <c r="T7" s="151">
        <f t="shared" si="0"/>
        <v>0</v>
      </c>
      <c r="U7" s="151">
        <f t="shared" si="0"/>
        <v>0</v>
      </c>
      <c r="V7" s="151">
        <f t="shared" si="0"/>
        <v>0</v>
      </c>
      <c r="W7" s="151">
        <f t="shared" si="0"/>
        <v>0</v>
      </c>
      <c r="X7" s="151">
        <f t="shared" si="0"/>
        <v>0</v>
      </c>
      <c r="Y7" s="151">
        <f t="shared" si="0"/>
        <v>0</v>
      </c>
      <c r="Z7" s="151">
        <f t="shared" si="0"/>
        <v>0</v>
      </c>
      <c r="AA7" s="151">
        <f t="shared" si="0"/>
        <v>0</v>
      </c>
      <c r="AB7" s="151">
        <f t="shared" si="0"/>
        <v>0</v>
      </c>
      <c r="AC7" s="151">
        <f t="shared" si="0"/>
        <v>0</v>
      </c>
      <c r="AD7" s="151">
        <f t="shared" si="0"/>
        <v>0</v>
      </c>
      <c r="AE7" s="151">
        <f t="shared" si="0"/>
        <v>0</v>
      </c>
      <c r="AF7" s="151">
        <f t="shared" si="0"/>
        <v>0</v>
      </c>
      <c r="AG7" s="151">
        <f t="shared" si="0"/>
        <v>0</v>
      </c>
      <c r="AH7" s="151">
        <f t="shared" ref="AH7:AT22" si="1">AG7*1.05</f>
        <v>0</v>
      </c>
      <c r="AI7" s="151">
        <f t="shared" si="1"/>
        <v>0</v>
      </c>
      <c r="AJ7" s="151">
        <f t="shared" si="1"/>
        <v>0</v>
      </c>
      <c r="AK7" s="151">
        <f t="shared" si="1"/>
        <v>0</v>
      </c>
      <c r="AL7" s="151">
        <f t="shared" si="1"/>
        <v>0</v>
      </c>
      <c r="AM7" s="151">
        <f t="shared" si="1"/>
        <v>0</v>
      </c>
      <c r="AN7" s="151">
        <f t="shared" si="1"/>
        <v>0</v>
      </c>
      <c r="AO7" s="151">
        <f t="shared" si="1"/>
        <v>0</v>
      </c>
      <c r="AP7" s="151">
        <f t="shared" si="1"/>
        <v>0</v>
      </c>
      <c r="AQ7" s="151">
        <f t="shared" si="1"/>
        <v>0</v>
      </c>
      <c r="AR7" s="151">
        <f t="shared" si="1"/>
        <v>0</v>
      </c>
      <c r="AS7" s="151">
        <f t="shared" si="1"/>
        <v>0</v>
      </c>
      <c r="AT7" s="151">
        <f t="shared" si="1"/>
        <v>0</v>
      </c>
    </row>
    <row r="8" spans="1:46" s="150" customFormat="1" ht="131.25" customHeight="1" x14ac:dyDescent="0.25">
      <c r="A8" s="345" t="str">
        <f>'EEM Data Entry'!A86</f>
        <v/>
      </c>
      <c r="B8" s="346" t="str">
        <f>'EEM Data Entry'!B86</f>
        <v/>
      </c>
      <c r="C8" s="303" t="str">
        <f>'EEM Data Entry'!F86</f>
        <v/>
      </c>
      <c r="D8" s="337">
        <f>'EEM Data Entry'!H86</f>
        <v>0</v>
      </c>
      <c r="E8" s="303">
        <f>'EEM Data Entry'!I86</f>
        <v>0</v>
      </c>
      <c r="F8" s="347">
        <f>('Cascading Savings'!D7*'Cascading Savings'!D$4)+('Cascading Savings'!F7*'Cascading Savings'!F$4)+('Cascading Savings'!H7*'Cascading Savings'!H$4)+('Cascading Savings'!J7*'Cascading Savings'!J$4)+('Cascading Savings'!L7*'Cascading Savings'!L$4)+('Cascading Savings'!N7*'Cascading Savings'!N$4)+('Cascading Savings'!P7*'Cascading Savings'!P$4)+('Cascading Savings'!R7*'Cascading Savings'!R$4)</f>
        <v>0</v>
      </c>
      <c r="G8" s="314">
        <f>'Cascading Savings'!T7</f>
        <v>0</v>
      </c>
      <c r="H8" s="304" t="e">
        <f>IF(C8=0,"n/a",E8/F8)</f>
        <v>#DIV/0!</v>
      </c>
      <c r="I8" s="305" t="e">
        <f>IF(H8=0, "n/a", IF(H8&gt;100, "no",IF(H8&lt;0, "no", "yes")))</f>
        <v>#DIV/0!</v>
      </c>
      <c r="J8" s="299" t="e">
        <f t="shared" ref="J8:J24" si="2">IRR(P8:AT8,0.1)</f>
        <v>#NUM!</v>
      </c>
      <c r="K8" s="306">
        <f>NPV(0.05,P8:AT8)</f>
        <v>0</v>
      </c>
      <c r="M8" s="363"/>
      <c r="N8" s="363"/>
      <c r="P8" s="151">
        <f t="shared" ref="P8:P14" si="3">-E8</f>
        <v>0</v>
      </c>
      <c r="Q8" s="151">
        <f t="shared" ref="Q8:Q14" si="4">F8</f>
        <v>0</v>
      </c>
      <c r="R8" s="151">
        <f>Q8*1.05</f>
        <v>0</v>
      </c>
      <c r="S8" s="151">
        <f t="shared" si="0"/>
        <v>0</v>
      </c>
      <c r="T8" s="151">
        <f t="shared" si="0"/>
        <v>0</v>
      </c>
      <c r="U8" s="151">
        <f t="shared" si="0"/>
        <v>0</v>
      </c>
      <c r="V8" s="151">
        <f t="shared" si="0"/>
        <v>0</v>
      </c>
      <c r="W8" s="151">
        <f t="shared" si="0"/>
        <v>0</v>
      </c>
      <c r="X8" s="151">
        <f t="shared" si="0"/>
        <v>0</v>
      </c>
      <c r="Y8" s="151">
        <f t="shared" si="0"/>
        <v>0</v>
      </c>
      <c r="Z8" s="151">
        <f t="shared" si="0"/>
        <v>0</v>
      </c>
      <c r="AA8" s="151">
        <f t="shared" si="0"/>
        <v>0</v>
      </c>
      <c r="AB8" s="151">
        <f t="shared" si="0"/>
        <v>0</v>
      </c>
      <c r="AC8" s="151">
        <f t="shared" si="0"/>
        <v>0</v>
      </c>
      <c r="AD8" s="151">
        <f t="shared" si="0"/>
        <v>0</v>
      </c>
      <c r="AE8" s="151">
        <f t="shared" si="0"/>
        <v>0</v>
      </c>
      <c r="AF8" s="151">
        <f t="shared" si="0"/>
        <v>0</v>
      </c>
      <c r="AG8" s="151">
        <f t="shared" si="0"/>
        <v>0</v>
      </c>
      <c r="AH8" s="151">
        <f t="shared" si="1"/>
        <v>0</v>
      </c>
      <c r="AI8" s="151">
        <f t="shared" si="1"/>
        <v>0</v>
      </c>
      <c r="AJ8" s="151">
        <f t="shared" si="1"/>
        <v>0</v>
      </c>
      <c r="AK8" s="151">
        <f t="shared" si="1"/>
        <v>0</v>
      </c>
      <c r="AL8" s="151">
        <f t="shared" si="1"/>
        <v>0</v>
      </c>
      <c r="AM8" s="151">
        <f t="shared" si="1"/>
        <v>0</v>
      </c>
      <c r="AN8" s="151">
        <f t="shared" si="1"/>
        <v>0</v>
      </c>
      <c r="AO8" s="151">
        <f t="shared" si="1"/>
        <v>0</v>
      </c>
      <c r="AP8" s="151">
        <f t="shared" si="1"/>
        <v>0</v>
      </c>
      <c r="AQ8" s="151">
        <f t="shared" si="1"/>
        <v>0</v>
      </c>
      <c r="AR8" s="151">
        <f t="shared" si="1"/>
        <v>0</v>
      </c>
      <c r="AS8" s="151">
        <f t="shared" si="1"/>
        <v>0</v>
      </c>
      <c r="AT8" s="151">
        <f t="shared" si="1"/>
        <v>0</v>
      </c>
    </row>
    <row r="9" spans="1:46" s="148" customFormat="1" ht="131.25" customHeight="1" x14ac:dyDescent="0.3">
      <c r="A9" s="312" t="str">
        <f>'EEM Data Entry'!A87</f>
        <v/>
      </c>
      <c r="B9" s="337" t="str">
        <f>'EEM Data Entry'!B87</f>
        <v/>
      </c>
      <c r="C9" s="296" t="str">
        <f>'EEM Data Entry'!F87</f>
        <v/>
      </c>
      <c r="D9" s="337">
        <f>'EEM Data Entry'!H87</f>
        <v>0</v>
      </c>
      <c r="E9" s="333">
        <f>'EEM Data Entry'!I87</f>
        <v>0</v>
      </c>
      <c r="F9" s="315">
        <f>('Cascading Savings'!D8*'Cascading Savings'!D$4)+('Cascading Savings'!F8*'Cascading Savings'!F$4)+('Cascading Savings'!H8*'Cascading Savings'!H$4)+('Cascading Savings'!J8*'Cascading Savings'!J$4)+('Cascading Savings'!L8*'Cascading Savings'!L$4)+('Cascading Savings'!N8*'Cascading Savings'!N$4)+('Cascading Savings'!P8*'Cascading Savings'!P$4)+('Cascading Savings'!R8*'Cascading Savings'!R$4)</f>
        <v>0</v>
      </c>
      <c r="G9" s="301">
        <f>'Cascading Savings'!T8</f>
        <v>0</v>
      </c>
      <c r="H9" s="334" t="e">
        <f t="shared" ref="H9:H24" si="5">IF(C9=0,"n/a",E9/F9)</f>
        <v>#DIV/0!</v>
      </c>
      <c r="I9" s="335" t="e">
        <f t="shared" ref="I9:I24" si="6">IF(H9=0, "n/a", IF(H9&gt;100, "no",IF(H9&lt;0, "no", "yes")))</f>
        <v>#DIV/0!</v>
      </c>
      <c r="J9" s="299" t="e">
        <f t="shared" si="2"/>
        <v>#NUM!</v>
      </c>
      <c r="K9" s="336">
        <f t="shared" ref="K9:K24" si="7">NPV(0.05,P9:AT9)</f>
        <v>0</v>
      </c>
      <c r="P9" s="151">
        <f t="shared" si="3"/>
        <v>0</v>
      </c>
      <c r="Q9" s="151">
        <f t="shared" si="4"/>
        <v>0</v>
      </c>
      <c r="R9" s="151">
        <f t="shared" ref="R9:AG23" si="8">Q9*1.05</f>
        <v>0</v>
      </c>
      <c r="S9" s="151">
        <f t="shared" si="0"/>
        <v>0</v>
      </c>
      <c r="T9" s="151">
        <f t="shared" si="0"/>
        <v>0</v>
      </c>
      <c r="U9" s="151">
        <f t="shared" si="0"/>
        <v>0</v>
      </c>
      <c r="V9" s="151">
        <f t="shared" si="0"/>
        <v>0</v>
      </c>
      <c r="W9" s="151">
        <f t="shared" si="0"/>
        <v>0</v>
      </c>
      <c r="X9" s="151">
        <f t="shared" si="0"/>
        <v>0</v>
      </c>
      <c r="Y9" s="151">
        <f t="shared" si="0"/>
        <v>0</v>
      </c>
      <c r="Z9" s="151">
        <f t="shared" si="0"/>
        <v>0</v>
      </c>
      <c r="AA9" s="151">
        <f t="shared" si="0"/>
        <v>0</v>
      </c>
      <c r="AB9" s="151">
        <f t="shared" si="0"/>
        <v>0</v>
      </c>
      <c r="AC9" s="151">
        <f t="shared" si="0"/>
        <v>0</v>
      </c>
      <c r="AD9" s="151">
        <f t="shared" si="0"/>
        <v>0</v>
      </c>
      <c r="AE9" s="151">
        <f t="shared" si="0"/>
        <v>0</v>
      </c>
      <c r="AF9" s="151">
        <f t="shared" si="0"/>
        <v>0</v>
      </c>
      <c r="AG9" s="151">
        <f t="shared" si="0"/>
        <v>0</v>
      </c>
      <c r="AH9" s="151">
        <f t="shared" si="1"/>
        <v>0</v>
      </c>
      <c r="AI9" s="151">
        <f t="shared" si="1"/>
        <v>0</v>
      </c>
      <c r="AJ9" s="151">
        <f t="shared" si="1"/>
        <v>0</v>
      </c>
      <c r="AK9" s="151">
        <f t="shared" si="1"/>
        <v>0</v>
      </c>
      <c r="AL9" s="151">
        <f t="shared" si="1"/>
        <v>0</v>
      </c>
      <c r="AM9" s="151">
        <f t="shared" si="1"/>
        <v>0</v>
      </c>
      <c r="AN9" s="151">
        <f t="shared" si="1"/>
        <v>0</v>
      </c>
      <c r="AO9" s="151">
        <f t="shared" si="1"/>
        <v>0</v>
      </c>
      <c r="AP9" s="151">
        <f t="shared" si="1"/>
        <v>0</v>
      </c>
      <c r="AQ9" s="151">
        <f t="shared" si="1"/>
        <v>0</v>
      </c>
      <c r="AR9" s="151">
        <f t="shared" si="1"/>
        <v>0</v>
      </c>
      <c r="AS9" s="151">
        <f t="shared" si="1"/>
        <v>0</v>
      </c>
      <c r="AT9" s="151">
        <f t="shared" si="1"/>
        <v>0</v>
      </c>
    </row>
    <row r="10" spans="1:46" s="148" customFormat="1" ht="131.25" customHeight="1" x14ac:dyDescent="0.3">
      <c r="A10" s="313" t="str">
        <f>'EEM Data Entry'!A88</f>
        <v/>
      </c>
      <c r="B10" s="346" t="str">
        <f>'EEM Data Entry'!B88</f>
        <v/>
      </c>
      <c r="C10" s="296" t="str">
        <f>'EEM Data Entry'!F88</f>
        <v/>
      </c>
      <c r="D10" s="303">
        <v>0</v>
      </c>
      <c r="E10" s="348">
        <f>'EEM Data Entry'!I88</f>
        <v>0</v>
      </c>
      <c r="F10" s="347">
        <f>('Cascading Savings'!D9*'Cascading Savings'!D$4)+('Cascading Savings'!F9*'Cascading Savings'!F$4)+('Cascading Savings'!H9*'Cascading Savings'!H$4)+('Cascading Savings'!J9*'Cascading Savings'!J$4)+('Cascading Savings'!L9*'Cascading Savings'!L$4)+('Cascading Savings'!N9*'Cascading Savings'!N$4)+('Cascading Savings'!P9*'Cascading Savings'!P$4)+('Cascading Savings'!R9*'Cascading Savings'!R$4)</f>
        <v>0</v>
      </c>
      <c r="G10" s="314">
        <f>'Cascading Savings'!T9</f>
        <v>0</v>
      </c>
      <c r="H10" s="349" t="e">
        <f t="shared" si="5"/>
        <v>#DIV/0!</v>
      </c>
      <c r="I10" s="350" t="e">
        <f t="shared" si="6"/>
        <v>#DIV/0!</v>
      </c>
      <c r="J10" s="299" t="e">
        <f t="shared" si="2"/>
        <v>#NUM!</v>
      </c>
      <c r="K10" s="351">
        <f t="shared" si="7"/>
        <v>0</v>
      </c>
      <c r="P10" s="151">
        <f t="shared" si="3"/>
        <v>0</v>
      </c>
      <c r="Q10" s="151">
        <f t="shared" si="4"/>
        <v>0</v>
      </c>
      <c r="R10" s="151">
        <f t="shared" si="8"/>
        <v>0</v>
      </c>
      <c r="S10" s="151">
        <f t="shared" si="0"/>
        <v>0</v>
      </c>
      <c r="T10" s="151">
        <f t="shared" si="0"/>
        <v>0</v>
      </c>
      <c r="U10" s="151">
        <f t="shared" si="0"/>
        <v>0</v>
      </c>
      <c r="V10" s="151">
        <f t="shared" si="0"/>
        <v>0</v>
      </c>
      <c r="W10" s="151">
        <f t="shared" si="0"/>
        <v>0</v>
      </c>
      <c r="X10" s="151">
        <f t="shared" si="0"/>
        <v>0</v>
      </c>
      <c r="Y10" s="151">
        <f t="shared" si="0"/>
        <v>0</v>
      </c>
      <c r="Z10" s="151">
        <f t="shared" si="0"/>
        <v>0</v>
      </c>
      <c r="AA10" s="151">
        <f t="shared" si="0"/>
        <v>0</v>
      </c>
      <c r="AB10" s="151">
        <f t="shared" si="0"/>
        <v>0</v>
      </c>
      <c r="AC10" s="151">
        <f t="shared" si="0"/>
        <v>0</v>
      </c>
      <c r="AD10" s="151">
        <f t="shared" si="0"/>
        <v>0</v>
      </c>
      <c r="AE10" s="151">
        <f t="shared" si="0"/>
        <v>0</v>
      </c>
      <c r="AF10" s="151">
        <f t="shared" si="0"/>
        <v>0</v>
      </c>
      <c r="AG10" s="151">
        <f t="shared" si="0"/>
        <v>0</v>
      </c>
      <c r="AH10" s="151">
        <f t="shared" si="1"/>
        <v>0</v>
      </c>
      <c r="AI10" s="151">
        <f t="shared" si="1"/>
        <v>0</v>
      </c>
      <c r="AJ10" s="151">
        <f t="shared" si="1"/>
        <v>0</v>
      </c>
      <c r="AK10" s="151">
        <f t="shared" si="1"/>
        <v>0</v>
      </c>
      <c r="AL10" s="151">
        <f t="shared" si="1"/>
        <v>0</v>
      </c>
      <c r="AM10" s="151">
        <f t="shared" si="1"/>
        <v>0</v>
      </c>
      <c r="AN10" s="151">
        <f t="shared" si="1"/>
        <v>0</v>
      </c>
      <c r="AO10" s="151">
        <f t="shared" si="1"/>
        <v>0</v>
      </c>
      <c r="AP10" s="151">
        <f t="shared" si="1"/>
        <v>0</v>
      </c>
      <c r="AQ10" s="151">
        <f t="shared" si="1"/>
        <v>0</v>
      </c>
      <c r="AR10" s="151">
        <f t="shared" si="1"/>
        <v>0</v>
      </c>
      <c r="AS10" s="151">
        <f t="shared" si="1"/>
        <v>0</v>
      </c>
      <c r="AT10" s="151">
        <f t="shared" si="1"/>
        <v>0</v>
      </c>
    </row>
    <row r="11" spans="1:46" s="148" customFormat="1" ht="131.25" customHeight="1" x14ac:dyDescent="0.3">
      <c r="A11" s="312" t="str">
        <f>'EEM Data Entry'!A89</f>
        <v/>
      </c>
      <c r="B11" s="337" t="str">
        <f>'EEM Data Entry'!B89</f>
        <v/>
      </c>
      <c r="C11" s="337" t="str">
        <f>'EEM Data Entry'!F89</f>
        <v/>
      </c>
      <c r="D11" s="337">
        <f>'EEM Data Entry'!H89</f>
        <v>0</v>
      </c>
      <c r="E11" s="333">
        <f>'EEM Data Entry'!I89</f>
        <v>0</v>
      </c>
      <c r="F11" s="315">
        <f>('Cascading Savings'!D10*'Cascading Savings'!D$4)+('Cascading Savings'!F10*'Cascading Savings'!F$4)+('Cascading Savings'!H10*'Cascading Savings'!H$4)+('Cascading Savings'!J10*'Cascading Savings'!J$4)+('Cascading Savings'!L10*'Cascading Savings'!L$4)+('Cascading Savings'!N10*'Cascading Savings'!N$4)+('Cascading Savings'!P10*'Cascading Savings'!P$4)+('Cascading Savings'!R10*'Cascading Savings'!R$4)</f>
        <v>0</v>
      </c>
      <c r="G11" s="301">
        <f>'Cascading Savings'!T10</f>
        <v>0</v>
      </c>
      <c r="H11" s="334" t="e">
        <f t="shared" si="5"/>
        <v>#DIV/0!</v>
      </c>
      <c r="I11" s="335" t="e">
        <f t="shared" si="6"/>
        <v>#DIV/0!</v>
      </c>
      <c r="J11" s="299" t="e">
        <f t="shared" si="2"/>
        <v>#NUM!</v>
      </c>
      <c r="K11" s="336">
        <f>NPV(0.05,P11:AT11)</f>
        <v>0</v>
      </c>
      <c r="P11" s="151">
        <f t="shared" si="3"/>
        <v>0</v>
      </c>
      <c r="Q11" s="151">
        <f t="shared" si="4"/>
        <v>0</v>
      </c>
      <c r="R11" s="151">
        <f t="shared" si="8"/>
        <v>0</v>
      </c>
      <c r="S11" s="151">
        <f t="shared" si="0"/>
        <v>0</v>
      </c>
      <c r="T11" s="151">
        <f t="shared" si="0"/>
        <v>0</v>
      </c>
      <c r="U11" s="151">
        <f t="shared" si="0"/>
        <v>0</v>
      </c>
      <c r="V11" s="151">
        <f t="shared" si="0"/>
        <v>0</v>
      </c>
      <c r="W11" s="151">
        <f t="shared" si="0"/>
        <v>0</v>
      </c>
      <c r="X11" s="151">
        <f t="shared" si="0"/>
        <v>0</v>
      </c>
      <c r="Y11" s="151">
        <f t="shared" si="0"/>
        <v>0</v>
      </c>
      <c r="Z11" s="151">
        <f t="shared" si="0"/>
        <v>0</v>
      </c>
      <c r="AA11" s="151">
        <f t="shared" si="0"/>
        <v>0</v>
      </c>
      <c r="AB11" s="151">
        <f t="shared" si="0"/>
        <v>0</v>
      </c>
      <c r="AC11" s="151">
        <f t="shared" si="0"/>
        <v>0</v>
      </c>
      <c r="AD11" s="151">
        <f t="shared" si="0"/>
        <v>0</v>
      </c>
      <c r="AE11" s="151">
        <f t="shared" si="0"/>
        <v>0</v>
      </c>
      <c r="AF11" s="151">
        <f t="shared" si="0"/>
        <v>0</v>
      </c>
      <c r="AG11" s="151">
        <f t="shared" si="0"/>
        <v>0</v>
      </c>
      <c r="AH11" s="151">
        <f t="shared" si="1"/>
        <v>0</v>
      </c>
      <c r="AI11" s="151">
        <f t="shared" si="1"/>
        <v>0</v>
      </c>
      <c r="AJ11" s="151">
        <f t="shared" si="1"/>
        <v>0</v>
      </c>
      <c r="AK11" s="151">
        <f t="shared" si="1"/>
        <v>0</v>
      </c>
      <c r="AL11" s="151">
        <f t="shared" si="1"/>
        <v>0</v>
      </c>
      <c r="AM11" s="151">
        <f t="shared" si="1"/>
        <v>0</v>
      </c>
      <c r="AN11" s="151">
        <f t="shared" si="1"/>
        <v>0</v>
      </c>
      <c r="AO11" s="151">
        <f t="shared" si="1"/>
        <v>0</v>
      </c>
      <c r="AP11" s="151">
        <f t="shared" si="1"/>
        <v>0</v>
      </c>
      <c r="AQ11" s="151">
        <f t="shared" si="1"/>
        <v>0</v>
      </c>
      <c r="AR11" s="151">
        <f t="shared" si="1"/>
        <v>0</v>
      </c>
      <c r="AS11" s="151">
        <f t="shared" si="1"/>
        <v>0</v>
      </c>
      <c r="AT11" s="151">
        <f t="shared" si="1"/>
        <v>0</v>
      </c>
    </row>
    <row r="12" spans="1:46" s="148" customFormat="1" ht="131.25" customHeight="1" x14ac:dyDescent="0.3">
      <c r="A12" s="313" t="str">
        <f>'EEM Data Entry'!A90</f>
        <v/>
      </c>
      <c r="B12" s="346" t="str">
        <f>'EEM Data Entry'!B90</f>
        <v/>
      </c>
      <c r="C12" s="303" t="str">
        <f>'EEM Data Entry'!F90</f>
        <v/>
      </c>
      <c r="D12" s="303">
        <v>0</v>
      </c>
      <c r="E12" s="348">
        <f>'EEM Data Entry'!I90</f>
        <v>0</v>
      </c>
      <c r="F12" s="347">
        <f>('Cascading Savings'!D11*'Cascading Savings'!D$4)+('Cascading Savings'!F11*'Cascading Savings'!F$4)+('Cascading Savings'!H11*'Cascading Savings'!H$4)+('Cascading Savings'!J11*'Cascading Savings'!J$4)+('Cascading Savings'!L11*'Cascading Savings'!L$4)+('Cascading Savings'!N11*'Cascading Savings'!N$4)+('Cascading Savings'!P11*'Cascading Savings'!P$4)+('Cascading Savings'!R11*'Cascading Savings'!R$4)</f>
        <v>0</v>
      </c>
      <c r="G12" s="314">
        <f>'Cascading Savings'!T11</f>
        <v>0</v>
      </c>
      <c r="H12" s="349" t="e">
        <f t="shared" si="5"/>
        <v>#DIV/0!</v>
      </c>
      <c r="I12" s="350" t="e">
        <f t="shared" si="6"/>
        <v>#DIV/0!</v>
      </c>
      <c r="J12" s="299" t="e">
        <f t="shared" si="2"/>
        <v>#NUM!</v>
      </c>
      <c r="K12" s="351">
        <f t="shared" si="7"/>
        <v>0</v>
      </c>
      <c r="P12" s="151">
        <f t="shared" si="3"/>
        <v>0</v>
      </c>
      <c r="Q12" s="151">
        <f t="shared" si="4"/>
        <v>0</v>
      </c>
      <c r="R12" s="151">
        <f t="shared" si="8"/>
        <v>0</v>
      </c>
      <c r="S12" s="151">
        <f t="shared" si="0"/>
        <v>0</v>
      </c>
      <c r="T12" s="151">
        <f t="shared" si="0"/>
        <v>0</v>
      </c>
      <c r="U12" s="151">
        <f t="shared" si="0"/>
        <v>0</v>
      </c>
      <c r="V12" s="151">
        <f t="shared" si="0"/>
        <v>0</v>
      </c>
      <c r="W12" s="151">
        <f t="shared" si="0"/>
        <v>0</v>
      </c>
      <c r="X12" s="151">
        <f t="shared" si="0"/>
        <v>0</v>
      </c>
      <c r="Y12" s="151">
        <f t="shared" si="0"/>
        <v>0</v>
      </c>
      <c r="Z12" s="151">
        <f t="shared" si="0"/>
        <v>0</v>
      </c>
      <c r="AA12" s="151">
        <f t="shared" si="0"/>
        <v>0</v>
      </c>
      <c r="AB12" s="151">
        <f t="shared" si="0"/>
        <v>0</v>
      </c>
      <c r="AC12" s="151">
        <f t="shared" si="0"/>
        <v>0</v>
      </c>
      <c r="AD12" s="151">
        <f t="shared" si="0"/>
        <v>0</v>
      </c>
      <c r="AE12" s="151">
        <f t="shared" si="0"/>
        <v>0</v>
      </c>
      <c r="AF12" s="151">
        <f t="shared" si="0"/>
        <v>0</v>
      </c>
      <c r="AG12" s="151">
        <f t="shared" si="0"/>
        <v>0</v>
      </c>
      <c r="AH12" s="151">
        <f t="shared" si="1"/>
        <v>0</v>
      </c>
      <c r="AI12" s="151">
        <f t="shared" si="1"/>
        <v>0</v>
      </c>
      <c r="AJ12" s="151">
        <f t="shared" si="1"/>
        <v>0</v>
      </c>
      <c r="AK12" s="151">
        <f t="shared" si="1"/>
        <v>0</v>
      </c>
      <c r="AL12" s="151">
        <f t="shared" si="1"/>
        <v>0</v>
      </c>
      <c r="AM12" s="151">
        <f t="shared" si="1"/>
        <v>0</v>
      </c>
      <c r="AN12" s="151">
        <f t="shared" si="1"/>
        <v>0</v>
      </c>
      <c r="AO12" s="151">
        <f t="shared" si="1"/>
        <v>0</v>
      </c>
      <c r="AP12" s="151">
        <f t="shared" si="1"/>
        <v>0</v>
      </c>
      <c r="AQ12" s="151">
        <f t="shared" si="1"/>
        <v>0</v>
      </c>
      <c r="AR12" s="151">
        <f t="shared" si="1"/>
        <v>0</v>
      </c>
      <c r="AS12" s="151">
        <f t="shared" si="1"/>
        <v>0</v>
      </c>
      <c r="AT12" s="151">
        <f t="shared" si="1"/>
        <v>0</v>
      </c>
    </row>
    <row r="13" spans="1:46" s="148" customFormat="1" ht="131.25" customHeight="1" x14ac:dyDescent="0.3">
      <c r="A13" s="312" t="str">
        <f>'EEM Data Entry'!A91</f>
        <v/>
      </c>
      <c r="B13" s="337" t="str">
        <f>'EEM Data Entry'!B91</f>
        <v/>
      </c>
      <c r="C13" s="296" t="str">
        <f>'EEM Data Entry'!F91</f>
        <v/>
      </c>
      <c r="D13" s="296">
        <v>0</v>
      </c>
      <c r="E13" s="333">
        <f>'EEM Data Entry'!I91</f>
        <v>0</v>
      </c>
      <c r="F13" s="315">
        <f>('Cascading Savings'!D12*'Cascading Savings'!D$4)+('Cascading Savings'!F12*'Cascading Savings'!F$4)+('Cascading Savings'!H12*'Cascading Savings'!H$4)+('Cascading Savings'!J12*'Cascading Savings'!J$4)+('Cascading Savings'!L12*'Cascading Savings'!L$4)+('Cascading Savings'!N12*'Cascading Savings'!N$4)+('Cascading Savings'!P12*'Cascading Savings'!P$4)+('Cascading Savings'!R12*'Cascading Savings'!R$4)</f>
        <v>0</v>
      </c>
      <c r="G13" s="301">
        <f>'Cascading Savings'!T12</f>
        <v>0</v>
      </c>
      <c r="H13" s="334" t="e">
        <f t="shared" si="5"/>
        <v>#DIV/0!</v>
      </c>
      <c r="I13" s="335" t="e">
        <f t="shared" si="6"/>
        <v>#DIV/0!</v>
      </c>
      <c r="J13" s="299" t="e">
        <f t="shared" si="2"/>
        <v>#NUM!</v>
      </c>
      <c r="K13" s="336">
        <f t="shared" si="7"/>
        <v>0</v>
      </c>
      <c r="P13" s="151">
        <f t="shared" si="3"/>
        <v>0</v>
      </c>
      <c r="Q13" s="151">
        <f t="shared" si="4"/>
        <v>0</v>
      </c>
      <c r="R13" s="151">
        <f t="shared" si="8"/>
        <v>0</v>
      </c>
      <c r="S13" s="151">
        <f t="shared" si="8"/>
        <v>0</v>
      </c>
      <c r="T13" s="151">
        <f t="shared" si="8"/>
        <v>0</v>
      </c>
      <c r="U13" s="151">
        <f t="shared" si="8"/>
        <v>0</v>
      </c>
      <c r="V13" s="151">
        <f t="shared" si="8"/>
        <v>0</v>
      </c>
      <c r="W13" s="151">
        <f t="shared" si="8"/>
        <v>0</v>
      </c>
      <c r="X13" s="151">
        <f t="shared" si="8"/>
        <v>0</v>
      </c>
      <c r="Y13" s="151">
        <f t="shared" si="8"/>
        <v>0</v>
      </c>
      <c r="Z13" s="151">
        <f t="shared" si="8"/>
        <v>0</v>
      </c>
      <c r="AA13" s="151">
        <f t="shared" si="8"/>
        <v>0</v>
      </c>
      <c r="AB13" s="151">
        <f t="shared" si="8"/>
        <v>0</v>
      </c>
      <c r="AC13" s="151">
        <f t="shared" si="8"/>
        <v>0</v>
      </c>
      <c r="AD13" s="151">
        <f t="shared" si="8"/>
        <v>0</v>
      </c>
      <c r="AE13" s="151">
        <f t="shared" si="8"/>
        <v>0</v>
      </c>
      <c r="AF13" s="151">
        <f t="shared" si="8"/>
        <v>0</v>
      </c>
      <c r="AG13" s="151">
        <f t="shared" si="8"/>
        <v>0</v>
      </c>
      <c r="AH13" s="151">
        <f t="shared" si="1"/>
        <v>0</v>
      </c>
      <c r="AI13" s="151">
        <f t="shared" si="1"/>
        <v>0</v>
      </c>
      <c r="AJ13" s="151">
        <f t="shared" si="1"/>
        <v>0</v>
      </c>
      <c r="AK13" s="151">
        <f t="shared" si="1"/>
        <v>0</v>
      </c>
      <c r="AL13" s="151">
        <f t="shared" si="1"/>
        <v>0</v>
      </c>
      <c r="AM13" s="151">
        <f t="shared" si="1"/>
        <v>0</v>
      </c>
      <c r="AN13" s="151">
        <f t="shared" si="1"/>
        <v>0</v>
      </c>
      <c r="AO13" s="151">
        <f t="shared" si="1"/>
        <v>0</v>
      </c>
      <c r="AP13" s="151">
        <f t="shared" si="1"/>
        <v>0</v>
      </c>
      <c r="AQ13" s="151">
        <f t="shared" si="1"/>
        <v>0</v>
      </c>
      <c r="AR13" s="151">
        <f t="shared" si="1"/>
        <v>0</v>
      </c>
      <c r="AS13" s="151">
        <f t="shared" si="1"/>
        <v>0</v>
      </c>
      <c r="AT13" s="151">
        <f t="shared" si="1"/>
        <v>0</v>
      </c>
    </row>
    <row r="14" spans="1:46" s="148" customFormat="1" ht="131.25" customHeight="1" x14ac:dyDescent="0.3">
      <c r="A14" s="313" t="str">
        <f>'EEM Data Entry'!A92</f>
        <v/>
      </c>
      <c r="B14" s="346" t="str">
        <f>'EEM Data Entry'!B92</f>
        <v/>
      </c>
      <c r="C14" s="303" t="str">
        <f>'EEM Data Entry'!F92</f>
        <v/>
      </c>
      <c r="D14" s="303">
        <v>0</v>
      </c>
      <c r="E14" s="348">
        <f>'EEM Data Entry'!I92</f>
        <v>0</v>
      </c>
      <c r="F14" s="347">
        <f>('Cascading Savings'!D13*'Cascading Savings'!D$4)+('Cascading Savings'!F13*'Cascading Savings'!F$4)+('Cascading Savings'!H13*'Cascading Savings'!H$4)+('Cascading Savings'!J13*'Cascading Savings'!J$4)+('Cascading Savings'!L13*'Cascading Savings'!L$4)+('Cascading Savings'!N13*'Cascading Savings'!N$4)+('Cascading Savings'!P13*'Cascading Savings'!P$4)+('Cascading Savings'!R13*'Cascading Savings'!R$4)</f>
        <v>0</v>
      </c>
      <c r="G14" s="314">
        <f>'Cascading Savings'!T13</f>
        <v>0</v>
      </c>
      <c r="H14" s="349" t="e">
        <f t="shared" si="5"/>
        <v>#DIV/0!</v>
      </c>
      <c r="I14" s="350" t="e">
        <f t="shared" si="6"/>
        <v>#DIV/0!</v>
      </c>
      <c r="J14" s="299" t="e">
        <f t="shared" si="2"/>
        <v>#NUM!</v>
      </c>
      <c r="K14" s="351">
        <f t="shared" si="7"/>
        <v>0</v>
      </c>
      <c r="P14" s="151">
        <f t="shared" si="3"/>
        <v>0</v>
      </c>
      <c r="Q14" s="151">
        <f t="shared" si="4"/>
        <v>0</v>
      </c>
      <c r="R14" s="151">
        <f t="shared" si="8"/>
        <v>0</v>
      </c>
      <c r="S14" s="151">
        <f t="shared" si="8"/>
        <v>0</v>
      </c>
      <c r="T14" s="151">
        <f t="shared" si="8"/>
        <v>0</v>
      </c>
      <c r="U14" s="151">
        <f t="shared" si="8"/>
        <v>0</v>
      </c>
      <c r="V14" s="151">
        <f t="shared" si="8"/>
        <v>0</v>
      </c>
      <c r="W14" s="151">
        <f t="shared" si="8"/>
        <v>0</v>
      </c>
      <c r="X14" s="151">
        <f t="shared" si="8"/>
        <v>0</v>
      </c>
      <c r="Y14" s="151">
        <f t="shared" si="8"/>
        <v>0</v>
      </c>
      <c r="Z14" s="151">
        <f t="shared" si="8"/>
        <v>0</v>
      </c>
      <c r="AA14" s="151">
        <f t="shared" si="8"/>
        <v>0</v>
      </c>
      <c r="AB14" s="151">
        <f t="shared" si="8"/>
        <v>0</v>
      </c>
      <c r="AC14" s="151">
        <f t="shared" si="8"/>
        <v>0</v>
      </c>
      <c r="AD14" s="151">
        <f t="shared" si="8"/>
        <v>0</v>
      </c>
      <c r="AE14" s="151">
        <f t="shared" si="8"/>
        <v>0</v>
      </c>
      <c r="AF14" s="151">
        <f t="shared" si="8"/>
        <v>0</v>
      </c>
      <c r="AG14" s="151">
        <f t="shared" si="8"/>
        <v>0</v>
      </c>
      <c r="AH14" s="151">
        <f t="shared" si="1"/>
        <v>0</v>
      </c>
      <c r="AI14" s="151">
        <f t="shared" si="1"/>
        <v>0</v>
      </c>
      <c r="AJ14" s="151">
        <f t="shared" si="1"/>
        <v>0</v>
      </c>
      <c r="AK14" s="151">
        <f t="shared" si="1"/>
        <v>0</v>
      </c>
      <c r="AL14" s="151">
        <f t="shared" si="1"/>
        <v>0</v>
      </c>
      <c r="AM14" s="151">
        <f t="shared" si="1"/>
        <v>0</v>
      </c>
      <c r="AN14" s="151">
        <f t="shared" si="1"/>
        <v>0</v>
      </c>
      <c r="AO14" s="151">
        <f t="shared" si="1"/>
        <v>0</v>
      </c>
      <c r="AP14" s="151">
        <f t="shared" si="1"/>
        <v>0</v>
      </c>
      <c r="AQ14" s="151">
        <f t="shared" si="1"/>
        <v>0</v>
      </c>
      <c r="AR14" s="151">
        <f t="shared" si="1"/>
        <v>0</v>
      </c>
      <c r="AS14" s="151">
        <f t="shared" si="1"/>
        <v>0</v>
      </c>
      <c r="AT14" s="151">
        <f t="shared" si="1"/>
        <v>0</v>
      </c>
    </row>
    <row r="15" spans="1:46" s="148" customFormat="1" ht="131.25" customHeight="1" x14ac:dyDescent="0.3">
      <c r="A15" s="312" t="str">
        <f>'EEM Data Entry'!A93</f>
        <v/>
      </c>
      <c r="B15" s="337" t="str">
        <f>'EEM Data Entry'!B93</f>
        <v/>
      </c>
      <c r="C15" s="296" t="str">
        <f>'EEM Data Entry'!F93</f>
        <v/>
      </c>
      <c r="D15" s="296">
        <v>0</v>
      </c>
      <c r="E15" s="333">
        <f>'EEM Data Entry'!I93</f>
        <v>0</v>
      </c>
      <c r="F15" s="315">
        <f>('Cascading Savings'!D14*'Cascading Savings'!D$4)+('Cascading Savings'!F14*'Cascading Savings'!F$4)+('Cascading Savings'!H14*'Cascading Savings'!H$4)+('Cascading Savings'!J14*'Cascading Savings'!J$4)+('Cascading Savings'!L14*'Cascading Savings'!L$4)+('Cascading Savings'!N14*'Cascading Savings'!N$4)+('Cascading Savings'!P14*'Cascading Savings'!P$4)+('Cascading Savings'!R14*'Cascading Savings'!R$4)</f>
        <v>0</v>
      </c>
      <c r="G15" s="301">
        <f>'Cascading Savings'!T14</f>
        <v>0</v>
      </c>
      <c r="H15" s="334" t="e">
        <f t="shared" si="5"/>
        <v>#DIV/0!</v>
      </c>
      <c r="I15" s="335" t="e">
        <f t="shared" si="6"/>
        <v>#DIV/0!</v>
      </c>
      <c r="J15" s="299" t="e">
        <f t="shared" si="2"/>
        <v>#VALUE!</v>
      </c>
      <c r="K15" s="336" t="e">
        <f t="shared" si="7"/>
        <v>#REF!</v>
      </c>
      <c r="P15" s="151" t="e">
        <f>-#REF!</f>
        <v>#REF!</v>
      </c>
      <c r="Q15" s="151" t="e">
        <f>#REF!</f>
        <v>#REF!</v>
      </c>
      <c r="R15" s="151" t="e">
        <f t="shared" si="8"/>
        <v>#REF!</v>
      </c>
      <c r="S15" s="151" t="e">
        <f t="shared" si="8"/>
        <v>#REF!</v>
      </c>
      <c r="T15" s="151" t="e">
        <f t="shared" si="8"/>
        <v>#REF!</v>
      </c>
      <c r="U15" s="151" t="e">
        <f t="shared" si="8"/>
        <v>#REF!</v>
      </c>
      <c r="V15" s="151" t="e">
        <f t="shared" si="8"/>
        <v>#REF!</v>
      </c>
      <c r="W15" s="151" t="e">
        <f t="shared" si="8"/>
        <v>#REF!</v>
      </c>
      <c r="X15" s="151" t="e">
        <f t="shared" si="8"/>
        <v>#REF!</v>
      </c>
      <c r="Y15" s="151" t="e">
        <f t="shared" si="8"/>
        <v>#REF!</v>
      </c>
      <c r="Z15" s="151" t="e">
        <f t="shared" si="8"/>
        <v>#REF!</v>
      </c>
      <c r="AA15" s="151" t="e">
        <f t="shared" si="8"/>
        <v>#REF!</v>
      </c>
      <c r="AB15" s="151" t="e">
        <f t="shared" si="8"/>
        <v>#REF!</v>
      </c>
      <c r="AC15" s="151" t="e">
        <f t="shared" si="8"/>
        <v>#REF!</v>
      </c>
      <c r="AD15" s="151" t="e">
        <f t="shared" si="8"/>
        <v>#REF!</v>
      </c>
      <c r="AE15" s="151" t="e">
        <f t="shared" si="8"/>
        <v>#REF!</v>
      </c>
      <c r="AF15" s="151" t="e">
        <f t="shared" si="8"/>
        <v>#REF!</v>
      </c>
      <c r="AG15" s="151" t="e">
        <f t="shared" si="8"/>
        <v>#REF!</v>
      </c>
      <c r="AH15" s="151" t="e">
        <f t="shared" si="1"/>
        <v>#REF!</v>
      </c>
      <c r="AI15" s="151" t="e">
        <f t="shared" si="1"/>
        <v>#REF!</v>
      </c>
      <c r="AJ15" s="151" t="e">
        <f t="shared" si="1"/>
        <v>#REF!</v>
      </c>
      <c r="AK15" s="151" t="e">
        <f t="shared" si="1"/>
        <v>#REF!</v>
      </c>
      <c r="AL15" s="151" t="e">
        <f t="shared" si="1"/>
        <v>#REF!</v>
      </c>
      <c r="AM15" s="151" t="e">
        <f t="shared" si="1"/>
        <v>#REF!</v>
      </c>
      <c r="AN15" s="151" t="e">
        <f t="shared" si="1"/>
        <v>#REF!</v>
      </c>
      <c r="AO15" s="151" t="e">
        <f t="shared" si="1"/>
        <v>#REF!</v>
      </c>
      <c r="AP15" s="151" t="e">
        <f t="shared" si="1"/>
        <v>#REF!</v>
      </c>
      <c r="AQ15" s="151" t="e">
        <f t="shared" si="1"/>
        <v>#REF!</v>
      </c>
      <c r="AR15" s="151" t="e">
        <f t="shared" si="1"/>
        <v>#REF!</v>
      </c>
      <c r="AS15" s="151" t="e">
        <f t="shared" si="1"/>
        <v>#REF!</v>
      </c>
      <c r="AT15" s="151" t="e">
        <f t="shared" si="1"/>
        <v>#REF!</v>
      </c>
    </row>
    <row r="16" spans="1:46" s="148" customFormat="1" ht="131.25" customHeight="1" x14ac:dyDescent="0.3">
      <c r="A16" s="312" t="str">
        <f>'EEM Data Entry'!A94</f>
        <v/>
      </c>
      <c r="B16" s="337" t="str">
        <f>'EEM Data Entry'!B94</f>
        <v/>
      </c>
      <c r="C16" s="296" t="str">
        <f>'EEM Data Entry'!F94</f>
        <v/>
      </c>
      <c r="D16" s="296">
        <v>0</v>
      </c>
      <c r="E16" s="333">
        <f>'EEM Data Entry'!I94</f>
        <v>0</v>
      </c>
      <c r="F16" s="315">
        <f>('Cascading Savings'!D15*'Cascading Savings'!D$4)+('Cascading Savings'!F15*'Cascading Savings'!F$4)+('Cascading Savings'!H15*'Cascading Savings'!H$4)+('Cascading Savings'!J15*'Cascading Savings'!J$4)+('Cascading Savings'!L15*'Cascading Savings'!L$4)+('Cascading Savings'!N15*'Cascading Savings'!N$4)+('Cascading Savings'!P15*'Cascading Savings'!P$4)+('Cascading Savings'!R15*'Cascading Savings'!R$4)</f>
        <v>0</v>
      </c>
      <c r="G16" s="301">
        <f>'Cascading Savings'!T15</f>
        <v>0</v>
      </c>
      <c r="H16" s="334" t="e">
        <f t="shared" si="5"/>
        <v>#DIV/0!</v>
      </c>
      <c r="I16" s="335" t="e">
        <f t="shared" si="6"/>
        <v>#DIV/0!</v>
      </c>
      <c r="J16" s="299" t="e">
        <f t="shared" si="2"/>
        <v>#VALUE!</v>
      </c>
      <c r="K16" s="336" t="e">
        <f t="shared" si="7"/>
        <v>#REF!</v>
      </c>
      <c r="P16" s="151" t="e">
        <f>-#REF!</f>
        <v>#REF!</v>
      </c>
      <c r="Q16" s="151" t="e">
        <f>#REF!</f>
        <v>#REF!</v>
      </c>
      <c r="R16" s="151" t="e">
        <f t="shared" si="8"/>
        <v>#REF!</v>
      </c>
      <c r="S16" s="151" t="e">
        <f t="shared" si="8"/>
        <v>#REF!</v>
      </c>
      <c r="T16" s="151" t="e">
        <f t="shared" si="8"/>
        <v>#REF!</v>
      </c>
      <c r="U16" s="151" t="e">
        <f t="shared" si="8"/>
        <v>#REF!</v>
      </c>
      <c r="V16" s="151" t="e">
        <f t="shared" si="8"/>
        <v>#REF!</v>
      </c>
      <c r="W16" s="151" t="e">
        <f t="shared" si="8"/>
        <v>#REF!</v>
      </c>
      <c r="X16" s="151" t="e">
        <f t="shared" si="8"/>
        <v>#REF!</v>
      </c>
      <c r="Y16" s="151" t="e">
        <f t="shared" si="8"/>
        <v>#REF!</v>
      </c>
      <c r="Z16" s="151" t="e">
        <f t="shared" si="8"/>
        <v>#REF!</v>
      </c>
      <c r="AA16" s="151" t="e">
        <f t="shared" si="8"/>
        <v>#REF!</v>
      </c>
      <c r="AB16" s="151" t="e">
        <f t="shared" si="8"/>
        <v>#REF!</v>
      </c>
      <c r="AC16" s="151" t="e">
        <f t="shared" si="8"/>
        <v>#REF!</v>
      </c>
      <c r="AD16" s="151" t="e">
        <f t="shared" si="8"/>
        <v>#REF!</v>
      </c>
      <c r="AE16" s="151" t="e">
        <f t="shared" si="8"/>
        <v>#REF!</v>
      </c>
      <c r="AF16" s="151" t="e">
        <f t="shared" si="8"/>
        <v>#REF!</v>
      </c>
      <c r="AG16" s="151" t="e">
        <f t="shared" si="8"/>
        <v>#REF!</v>
      </c>
      <c r="AH16" s="151" t="e">
        <f t="shared" si="1"/>
        <v>#REF!</v>
      </c>
      <c r="AI16" s="151" t="e">
        <f t="shared" si="1"/>
        <v>#REF!</v>
      </c>
      <c r="AJ16" s="151" t="e">
        <f t="shared" si="1"/>
        <v>#REF!</v>
      </c>
      <c r="AK16" s="151" t="e">
        <f t="shared" si="1"/>
        <v>#REF!</v>
      </c>
      <c r="AL16" s="151" t="e">
        <f t="shared" si="1"/>
        <v>#REF!</v>
      </c>
      <c r="AM16" s="151" t="e">
        <f t="shared" si="1"/>
        <v>#REF!</v>
      </c>
      <c r="AN16" s="151" t="e">
        <f t="shared" si="1"/>
        <v>#REF!</v>
      </c>
      <c r="AO16" s="151" t="e">
        <f t="shared" si="1"/>
        <v>#REF!</v>
      </c>
      <c r="AP16" s="151" t="e">
        <f t="shared" si="1"/>
        <v>#REF!</v>
      </c>
      <c r="AQ16" s="151" t="e">
        <f t="shared" si="1"/>
        <v>#REF!</v>
      </c>
      <c r="AR16" s="151" t="e">
        <f t="shared" si="1"/>
        <v>#REF!</v>
      </c>
      <c r="AS16" s="151" t="e">
        <f t="shared" si="1"/>
        <v>#REF!</v>
      </c>
      <c r="AT16" s="151" t="e">
        <f t="shared" si="1"/>
        <v>#REF!</v>
      </c>
    </row>
    <row r="17" spans="1:48" s="148" customFormat="1" ht="131.25" customHeight="1" x14ac:dyDescent="0.3">
      <c r="A17" s="312" t="str">
        <f>'EEM Data Entry'!A95</f>
        <v/>
      </c>
      <c r="B17" s="337" t="str">
        <f>'EEM Data Entry'!B95</f>
        <v/>
      </c>
      <c r="C17" s="296" t="str">
        <f>'EEM Data Entry'!F95</f>
        <v/>
      </c>
      <c r="D17" s="296">
        <v>0</v>
      </c>
      <c r="E17" s="333">
        <f>'EEM Data Entry'!I95</f>
        <v>0</v>
      </c>
      <c r="F17" s="315">
        <f>('Cascading Savings'!D16*'Cascading Savings'!D$4)+('Cascading Savings'!F16*'Cascading Savings'!F$4)+('Cascading Savings'!H16*'Cascading Savings'!H$4)+('Cascading Savings'!J16*'Cascading Savings'!J$4)+('Cascading Savings'!L16*'Cascading Savings'!L$4)+('Cascading Savings'!N16*'Cascading Savings'!N$4)+('Cascading Savings'!P16*'Cascading Savings'!P$4)+('Cascading Savings'!R16*'Cascading Savings'!R$4)</f>
        <v>0</v>
      </c>
      <c r="G17" s="301">
        <f>'Cascading Savings'!T16</f>
        <v>0</v>
      </c>
      <c r="H17" s="334" t="e">
        <f t="shared" si="5"/>
        <v>#DIV/0!</v>
      </c>
      <c r="I17" s="335" t="e">
        <f t="shared" si="6"/>
        <v>#DIV/0!</v>
      </c>
      <c r="J17" s="299" t="e">
        <f t="shared" si="2"/>
        <v>#VALUE!</v>
      </c>
      <c r="K17" s="336" t="e">
        <f t="shared" si="7"/>
        <v>#REF!</v>
      </c>
      <c r="P17" s="151" t="e">
        <f>-#REF!</f>
        <v>#REF!</v>
      </c>
      <c r="Q17" s="151" t="e">
        <f>#REF!</f>
        <v>#REF!</v>
      </c>
      <c r="R17" s="151" t="e">
        <f t="shared" si="8"/>
        <v>#REF!</v>
      </c>
      <c r="S17" s="151" t="e">
        <f t="shared" si="8"/>
        <v>#REF!</v>
      </c>
      <c r="T17" s="151" t="e">
        <f t="shared" si="8"/>
        <v>#REF!</v>
      </c>
      <c r="U17" s="151" t="e">
        <f t="shared" si="8"/>
        <v>#REF!</v>
      </c>
      <c r="V17" s="151" t="e">
        <f t="shared" si="8"/>
        <v>#REF!</v>
      </c>
      <c r="W17" s="151" t="e">
        <f t="shared" si="8"/>
        <v>#REF!</v>
      </c>
      <c r="X17" s="151" t="e">
        <f t="shared" si="8"/>
        <v>#REF!</v>
      </c>
      <c r="Y17" s="151" t="e">
        <f t="shared" si="8"/>
        <v>#REF!</v>
      </c>
      <c r="Z17" s="151" t="e">
        <f t="shared" si="8"/>
        <v>#REF!</v>
      </c>
      <c r="AA17" s="151" t="e">
        <f t="shared" si="8"/>
        <v>#REF!</v>
      </c>
      <c r="AB17" s="151" t="e">
        <f t="shared" si="8"/>
        <v>#REF!</v>
      </c>
      <c r="AC17" s="151" t="e">
        <f t="shared" si="8"/>
        <v>#REF!</v>
      </c>
      <c r="AD17" s="151" t="e">
        <f t="shared" si="8"/>
        <v>#REF!</v>
      </c>
      <c r="AE17" s="151" t="e">
        <f t="shared" si="8"/>
        <v>#REF!</v>
      </c>
      <c r="AF17" s="151" t="e">
        <f t="shared" si="8"/>
        <v>#REF!</v>
      </c>
      <c r="AG17" s="151" t="e">
        <f t="shared" si="8"/>
        <v>#REF!</v>
      </c>
      <c r="AH17" s="151" t="e">
        <f t="shared" si="1"/>
        <v>#REF!</v>
      </c>
      <c r="AI17" s="151" t="e">
        <f t="shared" si="1"/>
        <v>#REF!</v>
      </c>
      <c r="AJ17" s="151" t="e">
        <f t="shared" si="1"/>
        <v>#REF!</v>
      </c>
      <c r="AK17" s="151" t="e">
        <f t="shared" si="1"/>
        <v>#REF!</v>
      </c>
      <c r="AL17" s="151" t="e">
        <f t="shared" si="1"/>
        <v>#REF!</v>
      </c>
      <c r="AM17" s="151" t="e">
        <f t="shared" si="1"/>
        <v>#REF!</v>
      </c>
      <c r="AN17" s="151" t="e">
        <f t="shared" si="1"/>
        <v>#REF!</v>
      </c>
      <c r="AO17" s="151" t="e">
        <f t="shared" si="1"/>
        <v>#REF!</v>
      </c>
      <c r="AP17" s="151" t="e">
        <f t="shared" si="1"/>
        <v>#REF!</v>
      </c>
      <c r="AQ17" s="151" t="e">
        <f t="shared" si="1"/>
        <v>#REF!</v>
      </c>
      <c r="AR17" s="151" t="e">
        <f t="shared" si="1"/>
        <v>#REF!</v>
      </c>
      <c r="AS17" s="151" t="e">
        <f t="shared" si="1"/>
        <v>#REF!</v>
      </c>
      <c r="AT17" s="151" t="e">
        <f t="shared" si="1"/>
        <v>#REF!</v>
      </c>
    </row>
    <row r="18" spans="1:48" s="148" customFormat="1" ht="131.25" customHeight="1" x14ac:dyDescent="0.3">
      <c r="A18" s="312" t="str">
        <f>'EEM Data Entry'!A96</f>
        <v/>
      </c>
      <c r="B18" s="337" t="str">
        <f>'EEM Data Entry'!B96</f>
        <v/>
      </c>
      <c r="C18" s="296" t="str">
        <f>'EEM Data Entry'!F96</f>
        <v/>
      </c>
      <c r="D18" s="296">
        <v>0</v>
      </c>
      <c r="E18" s="333">
        <f>'EEM Data Entry'!I96</f>
        <v>0</v>
      </c>
      <c r="F18" s="315">
        <f>('Cascading Savings'!D17*'Cascading Savings'!D$4)+('Cascading Savings'!F17*'Cascading Savings'!F$4)+('Cascading Savings'!H17*'Cascading Savings'!H$4)+('Cascading Savings'!J17*'Cascading Savings'!J$4)+('Cascading Savings'!L17*'Cascading Savings'!L$4)+('Cascading Savings'!N17*'Cascading Savings'!N$4)+('Cascading Savings'!P17*'Cascading Savings'!P$4)+('Cascading Savings'!R17*'Cascading Savings'!R$4)</f>
        <v>0</v>
      </c>
      <c r="G18" s="301">
        <f>'Cascading Savings'!T17</f>
        <v>0</v>
      </c>
      <c r="H18" s="334" t="e">
        <f t="shared" si="5"/>
        <v>#DIV/0!</v>
      </c>
      <c r="I18" s="335" t="e">
        <f t="shared" si="6"/>
        <v>#DIV/0!</v>
      </c>
      <c r="J18" s="299" t="e">
        <f t="shared" si="2"/>
        <v>#VALUE!</v>
      </c>
      <c r="K18" s="336" t="e">
        <f t="shared" si="7"/>
        <v>#REF!</v>
      </c>
      <c r="P18" s="151" t="e">
        <f>-#REF!</f>
        <v>#REF!</v>
      </c>
      <c r="Q18" s="151" t="e">
        <f>#REF!</f>
        <v>#REF!</v>
      </c>
      <c r="R18" s="151" t="e">
        <f t="shared" si="8"/>
        <v>#REF!</v>
      </c>
      <c r="S18" s="151" t="e">
        <f t="shared" si="8"/>
        <v>#REF!</v>
      </c>
      <c r="T18" s="151" t="e">
        <f t="shared" si="8"/>
        <v>#REF!</v>
      </c>
      <c r="U18" s="151" t="e">
        <f t="shared" si="8"/>
        <v>#REF!</v>
      </c>
      <c r="V18" s="151" t="e">
        <f t="shared" si="8"/>
        <v>#REF!</v>
      </c>
      <c r="W18" s="151" t="e">
        <f t="shared" si="8"/>
        <v>#REF!</v>
      </c>
      <c r="X18" s="151" t="e">
        <f t="shared" si="8"/>
        <v>#REF!</v>
      </c>
      <c r="Y18" s="151" t="e">
        <f t="shared" si="8"/>
        <v>#REF!</v>
      </c>
      <c r="Z18" s="151" t="e">
        <f t="shared" si="8"/>
        <v>#REF!</v>
      </c>
      <c r="AA18" s="151" t="e">
        <f t="shared" si="8"/>
        <v>#REF!</v>
      </c>
      <c r="AB18" s="151" t="e">
        <f t="shared" si="8"/>
        <v>#REF!</v>
      </c>
      <c r="AC18" s="151" t="e">
        <f t="shared" si="8"/>
        <v>#REF!</v>
      </c>
      <c r="AD18" s="151" t="e">
        <f t="shared" si="8"/>
        <v>#REF!</v>
      </c>
      <c r="AE18" s="151" t="e">
        <f t="shared" si="8"/>
        <v>#REF!</v>
      </c>
      <c r="AF18" s="151" t="e">
        <f t="shared" si="8"/>
        <v>#REF!</v>
      </c>
      <c r="AG18" s="151" t="e">
        <f t="shared" si="8"/>
        <v>#REF!</v>
      </c>
      <c r="AH18" s="151" t="e">
        <f t="shared" si="1"/>
        <v>#REF!</v>
      </c>
      <c r="AI18" s="151" t="e">
        <f t="shared" si="1"/>
        <v>#REF!</v>
      </c>
      <c r="AJ18" s="151" t="e">
        <f t="shared" si="1"/>
        <v>#REF!</v>
      </c>
      <c r="AK18" s="151" t="e">
        <f t="shared" si="1"/>
        <v>#REF!</v>
      </c>
      <c r="AL18" s="151" t="e">
        <f t="shared" si="1"/>
        <v>#REF!</v>
      </c>
      <c r="AM18" s="151" t="e">
        <f t="shared" si="1"/>
        <v>#REF!</v>
      </c>
      <c r="AN18" s="151" t="e">
        <f t="shared" si="1"/>
        <v>#REF!</v>
      </c>
      <c r="AO18" s="151" t="e">
        <f t="shared" si="1"/>
        <v>#REF!</v>
      </c>
      <c r="AP18" s="151" t="e">
        <f t="shared" si="1"/>
        <v>#REF!</v>
      </c>
      <c r="AQ18" s="151" t="e">
        <f t="shared" si="1"/>
        <v>#REF!</v>
      </c>
      <c r="AR18" s="151" t="e">
        <f t="shared" si="1"/>
        <v>#REF!</v>
      </c>
      <c r="AS18" s="151" t="e">
        <f t="shared" si="1"/>
        <v>#REF!</v>
      </c>
      <c r="AT18" s="151" t="e">
        <f t="shared" si="1"/>
        <v>#REF!</v>
      </c>
    </row>
    <row r="19" spans="1:48" s="148" customFormat="1" ht="131.25" customHeight="1" x14ac:dyDescent="0.3">
      <c r="A19" s="312" t="str">
        <f>'EEM Data Entry'!A97</f>
        <v/>
      </c>
      <c r="B19" s="337" t="str">
        <f>'EEM Data Entry'!B97</f>
        <v/>
      </c>
      <c r="C19" s="296" t="str">
        <f>'EEM Data Entry'!F97</f>
        <v/>
      </c>
      <c r="D19" s="296">
        <v>0</v>
      </c>
      <c r="E19" s="333">
        <f>'EEM Data Entry'!I97</f>
        <v>0</v>
      </c>
      <c r="F19" s="315">
        <f>('Cascading Savings'!D18*'Cascading Savings'!D$4)+('Cascading Savings'!F18*'Cascading Savings'!F$4)+('Cascading Savings'!H18*'Cascading Savings'!H$4)+('Cascading Savings'!J18*'Cascading Savings'!J$4)+('Cascading Savings'!L18*'Cascading Savings'!L$4)+('Cascading Savings'!N18*'Cascading Savings'!N$4)+('Cascading Savings'!P18*'Cascading Savings'!P$4)+('Cascading Savings'!R18*'Cascading Savings'!R$4)</f>
        <v>0</v>
      </c>
      <c r="G19" s="301">
        <f>'Cascading Savings'!T18</f>
        <v>0</v>
      </c>
      <c r="H19" s="334" t="e">
        <f t="shared" si="5"/>
        <v>#DIV/0!</v>
      </c>
      <c r="I19" s="335" t="e">
        <f t="shared" si="6"/>
        <v>#DIV/0!</v>
      </c>
      <c r="J19" s="299" t="e">
        <f t="shared" si="2"/>
        <v>#VALUE!</v>
      </c>
      <c r="K19" s="336" t="e">
        <f t="shared" si="7"/>
        <v>#REF!</v>
      </c>
      <c r="P19" s="151" t="e">
        <f>-#REF!</f>
        <v>#REF!</v>
      </c>
      <c r="Q19" s="151" t="e">
        <f>#REF!</f>
        <v>#REF!</v>
      </c>
      <c r="R19" s="151" t="e">
        <f t="shared" si="8"/>
        <v>#REF!</v>
      </c>
      <c r="S19" s="151" t="e">
        <f t="shared" si="8"/>
        <v>#REF!</v>
      </c>
      <c r="T19" s="151" t="e">
        <f t="shared" si="8"/>
        <v>#REF!</v>
      </c>
      <c r="U19" s="151" t="e">
        <f t="shared" si="8"/>
        <v>#REF!</v>
      </c>
      <c r="V19" s="151" t="e">
        <f t="shared" si="8"/>
        <v>#REF!</v>
      </c>
      <c r="W19" s="151" t="e">
        <f t="shared" si="8"/>
        <v>#REF!</v>
      </c>
      <c r="X19" s="151" t="e">
        <f t="shared" si="8"/>
        <v>#REF!</v>
      </c>
      <c r="Y19" s="151" t="e">
        <f t="shared" si="8"/>
        <v>#REF!</v>
      </c>
      <c r="Z19" s="151" t="e">
        <f t="shared" si="8"/>
        <v>#REF!</v>
      </c>
      <c r="AA19" s="151" t="e">
        <f t="shared" si="8"/>
        <v>#REF!</v>
      </c>
      <c r="AB19" s="151" t="e">
        <f t="shared" si="8"/>
        <v>#REF!</v>
      </c>
      <c r="AC19" s="151" t="e">
        <f t="shared" si="8"/>
        <v>#REF!</v>
      </c>
      <c r="AD19" s="151" t="e">
        <f t="shared" si="8"/>
        <v>#REF!</v>
      </c>
      <c r="AE19" s="151" t="e">
        <f t="shared" si="8"/>
        <v>#REF!</v>
      </c>
      <c r="AF19" s="151" t="e">
        <f t="shared" si="8"/>
        <v>#REF!</v>
      </c>
      <c r="AG19" s="151" t="e">
        <f t="shared" si="8"/>
        <v>#REF!</v>
      </c>
      <c r="AH19" s="151" t="e">
        <f t="shared" si="1"/>
        <v>#REF!</v>
      </c>
      <c r="AI19" s="151" t="e">
        <f t="shared" si="1"/>
        <v>#REF!</v>
      </c>
      <c r="AJ19" s="151" t="e">
        <f t="shared" si="1"/>
        <v>#REF!</v>
      </c>
      <c r="AK19" s="151" t="e">
        <f t="shared" si="1"/>
        <v>#REF!</v>
      </c>
      <c r="AL19" s="151" t="e">
        <f t="shared" si="1"/>
        <v>#REF!</v>
      </c>
      <c r="AM19" s="151" t="e">
        <f t="shared" si="1"/>
        <v>#REF!</v>
      </c>
      <c r="AN19" s="151" t="e">
        <f t="shared" si="1"/>
        <v>#REF!</v>
      </c>
      <c r="AO19" s="151" t="e">
        <f t="shared" si="1"/>
        <v>#REF!</v>
      </c>
      <c r="AP19" s="151" t="e">
        <f t="shared" si="1"/>
        <v>#REF!</v>
      </c>
      <c r="AQ19" s="151" t="e">
        <f t="shared" si="1"/>
        <v>#REF!</v>
      </c>
      <c r="AR19" s="151" t="e">
        <f t="shared" si="1"/>
        <v>#REF!</v>
      </c>
      <c r="AS19" s="151" t="e">
        <f t="shared" si="1"/>
        <v>#REF!</v>
      </c>
      <c r="AT19" s="151" t="e">
        <f t="shared" si="1"/>
        <v>#REF!</v>
      </c>
    </row>
    <row r="20" spans="1:48" s="148" customFormat="1" ht="131.25" customHeight="1" x14ac:dyDescent="0.3">
      <c r="A20" s="312" t="str">
        <f>'EEM Data Entry'!A98</f>
        <v/>
      </c>
      <c r="B20" s="337" t="str">
        <f>'EEM Data Entry'!B98</f>
        <v/>
      </c>
      <c r="C20" s="296" t="str">
        <f>'EEM Data Entry'!F98</f>
        <v/>
      </c>
      <c r="D20" s="296">
        <v>0</v>
      </c>
      <c r="E20" s="333">
        <f>'EEM Data Entry'!I98</f>
        <v>0</v>
      </c>
      <c r="F20" s="315">
        <f>('Cascading Savings'!D19*'Cascading Savings'!D$4)+('Cascading Savings'!F19*'Cascading Savings'!F$4)+('Cascading Savings'!H19*'Cascading Savings'!H$4)+('Cascading Savings'!J19*'Cascading Savings'!J$4)+('Cascading Savings'!L19*'Cascading Savings'!L$4)+('Cascading Savings'!N19*'Cascading Savings'!N$4)+('Cascading Savings'!P19*'Cascading Savings'!P$4)+('Cascading Savings'!R19*'Cascading Savings'!R$4)</f>
        <v>0</v>
      </c>
      <c r="G20" s="301">
        <f>'Cascading Savings'!T19</f>
        <v>0</v>
      </c>
      <c r="H20" s="334" t="e">
        <f t="shared" si="5"/>
        <v>#DIV/0!</v>
      </c>
      <c r="I20" s="335" t="e">
        <f t="shared" si="6"/>
        <v>#DIV/0!</v>
      </c>
      <c r="J20" s="299" t="e">
        <f t="shared" si="2"/>
        <v>#VALUE!</v>
      </c>
      <c r="K20" s="336" t="e">
        <f t="shared" si="7"/>
        <v>#REF!</v>
      </c>
      <c r="P20" s="151" t="e">
        <f>-#REF!</f>
        <v>#REF!</v>
      </c>
      <c r="Q20" s="151" t="e">
        <f>#REF!</f>
        <v>#REF!</v>
      </c>
      <c r="R20" s="151" t="e">
        <f t="shared" si="8"/>
        <v>#REF!</v>
      </c>
      <c r="S20" s="151" t="e">
        <f t="shared" si="8"/>
        <v>#REF!</v>
      </c>
      <c r="T20" s="151" t="e">
        <f t="shared" si="8"/>
        <v>#REF!</v>
      </c>
      <c r="U20" s="151" t="e">
        <f t="shared" si="8"/>
        <v>#REF!</v>
      </c>
      <c r="V20" s="151" t="e">
        <f t="shared" si="8"/>
        <v>#REF!</v>
      </c>
      <c r="W20" s="151" t="e">
        <f t="shared" si="8"/>
        <v>#REF!</v>
      </c>
      <c r="X20" s="151" t="e">
        <f t="shared" si="8"/>
        <v>#REF!</v>
      </c>
      <c r="Y20" s="151" t="e">
        <f t="shared" si="8"/>
        <v>#REF!</v>
      </c>
      <c r="Z20" s="151" t="e">
        <f t="shared" si="8"/>
        <v>#REF!</v>
      </c>
      <c r="AA20" s="151" t="e">
        <f t="shared" si="8"/>
        <v>#REF!</v>
      </c>
      <c r="AB20" s="151" t="e">
        <f t="shared" si="8"/>
        <v>#REF!</v>
      </c>
      <c r="AC20" s="151" t="e">
        <f t="shared" si="8"/>
        <v>#REF!</v>
      </c>
      <c r="AD20" s="151" t="e">
        <f t="shared" si="8"/>
        <v>#REF!</v>
      </c>
      <c r="AE20" s="151" t="e">
        <f t="shared" si="8"/>
        <v>#REF!</v>
      </c>
      <c r="AF20" s="151" t="e">
        <f t="shared" si="8"/>
        <v>#REF!</v>
      </c>
      <c r="AG20" s="151" t="e">
        <f t="shared" si="8"/>
        <v>#REF!</v>
      </c>
      <c r="AH20" s="151" t="e">
        <f t="shared" si="1"/>
        <v>#REF!</v>
      </c>
      <c r="AI20" s="151" t="e">
        <f t="shared" si="1"/>
        <v>#REF!</v>
      </c>
      <c r="AJ20" s="151" t="e">
        <f t="shared" si="1"/>
        <v>#REF!</v>
      </c>
      <c r="AK20" s="151" t="e">
        <f t="shared" si="1"/>
        <v>#REF!</v>
      </c>
      <c r="AL20" s="151" t="e">
        <f t="shared" si="1"/>
        <v>#REF!</v>
      </c>
      <c r="AM20" s="151" t="e">
        <f t="shared" si="1"/>
        <v>#REF!</v>
      </c>
      <c r="AN20" s="151" t="e">
        <f t="shared" si="1"/>
        <v>#REF!</v>
      </c>
      <c r="AO20" s="151" t="e">
        <f t="shared" si="1"/>
        <v>#REF!</v>
      </c>
      <c r="AP20" s="151" t="e">
        <f t="shared" si="1"/>
        <v>#REF!</v>
      </c>
      <c r="AQ20" s="151" t="e">
        <f t="shared" si="1"/>
        <v>#REF!</v>
      </c>
      <c r="AR20" s="151" t="e">
        <f t="shared" si="1"/>
        <v>#REF!</v>
      </c>
      <c r="AS20" s="151" t="e">
        <f t="shared" si="1"/>
        <v>#REF!</v>
      </c>
      <c r="AT20" s="151" t="e">
        <f t="shared" si="1"/>
        <v>#REF!</v>
      </c>
    </row>
    <row r="21" spans="1:48" s="148" customFormat="1" ht="131.25" customHeight="1" x14ac:dyDescent="0.3">
      <c r="A21" s="312" t="str">
        <f>'EEM Data Entry'!A99</f>
        <v/>
      </c>
      <c r="B21" s="337" t="str">
        <f>'EEM Data Entry'!B99</f>
        <v/>
      </c>
      <c r="C21" s="296" t="str">
        <f>'EEM Data Entry'!F99</f>
        <v/>
      </c>
      <c r="D21" s="296">
        <v>0</v>
      </c>
      <c r="E21" s="333">
        <f>'EEM Data Entry'!I99</f>
        <v>0</v>
      </c>
      <c r="F21" s="315"/>
      <c r="G21" s="301">
        <f>'Cascading Savings'!T30</f>
        <v>0</v>
      </c>
      <c r="H21" s="334" t="e">
        <f t="shared" si="5"/>
        <v>#DIV/0!</v>
      </c>
      <c r="I21" s="335" t="e">
        <f t="shared" si="6"/>
        <v>#DIV/0!</v>
      </c>
      <c r="J21" s="299" t="e">
        <f t="shared" si="2"/>
        <v>#VALUE!</v>
      </c>
      <c r="K21" s="336" t="e">
        <f t="shared" si="7"/>
        <v>#REF!</v>
      </c>
      <c r="P21" s="151" t="e">
        <f>-#REF!</f>
        <v>#REF!</v>
      </c>
      <c r="Q21" s="151" t="e">
        <f>#REF!</f>
        <v>#REF!</v>
      </c>
      <c r="R21" s="151" t="e">
        <f t="shared" si="8"/>
        <v>#REF!</v>
      </c>
      <c r="S21" s="151" t="e">
        <f t="shared" si="8"/>
        <v>#REF!</v>
      </c>
      <c r="T21" s="151" t="e">
        <f t="shared" si="8"/>
        <v>#REF!</v>
      </c>
      <c r="U21" s="151" t="e">
        <f t="shared" si="8"/>
        <v>#REF!</v>
      </c>
      <c r="V21" s="151" t="e">
        <f t="shared" si="8"/>
        <v>#REF!</v>
      </c>
      <c r="W21" s="151" t="e">
        <f t="shared" si="8"/>
        <v>#REF!</v>
      </c>
      <c r="X21" s="151" t="e">
        <f t="shared" si="8"/>
        <v>#REF!</v>
      </c>
      <c r="Y21" s="151" t="e">
        <f t="shared" si="8"/>
        <v>#REF!</v>
      </c>
      <c r="Z21" s="151" t="e">
        <f t="shared" si="8"/>
        <v>#REF!</v>
      </c>
      <c r="AA21" s="151" t="e">
        <f t="shared" si="8"/>
        <v>#REF!</v>
      </c>
      <c r="AB21" s="151" t="e">
        <f t="shared" si="8"/>
        <v>#REF!</v>
      </c>
      <c r="AC21" s="151" t="e">
        <f t="shared" si="8"/>
        <v>#REF!</v>
      </c>
      <c r="AD21" s="151" t="e">
        <f t="shared" si="8"/>
        <v>#REF!</v>
      </c>
      <c r="AE21" s="151" t="e">
        <f t="shared" si="8"/>
        <v>#REF!</v>
      </c>
      <c r="AF21" s="151" t="e">
        <f t="shared" si="8"/>
        <v>#REF!</v>
      </c>
      <c r="AG21" s="151" t="e">
        <f t="shared" si="8"/>
        <v>#REF!</v>
      </c>
      <c r="AH21" s="151" t="e">
        <f t="shared" si="1"/>
        <v>#REF!</v>
      </c>
      <c r="AI21" s="151" t="e">
        <f t="shared" si="1"/>
        <v>#REF!</v>
      </c>
      <c r="AJ21" s="151" t="e">
        <f t="shared" si="1"/>
        <v>#REF!</v>
      </c>
      <c r="AK21" s="151" t="e">
        <f t="shared" si="1"/>
        <v>#REF!</v>
      </c>
      <c r="AL21" s="151" t="e">
        <f t="shared" si="1"/>
        <v>#REF!</v>
      </c>
      <c r="AM21" s="151" t="e">
        <f t="shared" si="1"/>
        <v>#REF!</v>
      </c>
      <c r="AN21" s="151" t="e">
        <f t="shared" si="1"/>
        <v>#REF!</v>
      </c>
      <c r="AO21" s="151" t="e">
        <f t="shared" si="1"/>
        <v>#REF!</v>
      </c>
      <c r="AP21" s="151" t="e">
        <f t="shared" si="1"/>
        <v>#REF!</v>
      </c>
      <c r="AQ21" s="151" t="e">
        <f t="shared" si="1"/>
        <v>#REF!</v>
      </c>
      <c r="AR21" s="151" t="e">
        <f t="shared" si="1"/>
        <v>#REF!</v>
      </c>
      <c r="AS21" s="151" t="e">
        <f t="shared" si="1"/>
        <v>#REF!</v>
      </c>
      <c r="AT21" s="151" t="e">
        <f t="shared" si="1"/>
        <v>#REF!</v>
      </c>
    </row>
    <row r="22" spans="1:48" s="148" customFormat="1" ht="131.25" customHeight="1" x14ac:dyDescent="0.3">
      <c r="A22" s="312" t="str">
        <f>'EEM Data Entry'!A100</f>
        <v/>
      </c>
      <c r="B22" s="337" t="str">
        <f>'EEM Data Entry'!B100</f>
        <v/>
      </c>
      <c r="C22" s="296" t="str">
        <f>'EEM Data Entry'!F100</f>
        <v/>
      </c>
      <c r="D22" s="296">
        <v>0</v>
      </c>
      <c r="E22" s="333">
        <f>'EEM Data Entry'!I100</f>
        <v>0</v>
      </c>
      <c r="F22" s="315">
        <f>('Cascading Savings'!D31*'Cascading Savings'!D$4)+('Cascading Savings'!F31*'Cascading Savings'!F$4)+('Cascading Savings'!H31*'Cascading Savings'!H$4)+('Cascading Savings'!J31*'Cascading Savings'!J$4)+('Cascading Savings'!L31*'Cascading Savings'!L$4)+('Cascading Savings'!N31*'Cascading Savings'!N$4)+('Cascading Savings'!P31*'Cascading Savings'!P$4)+('Cascading Savings'!R31*'Cascading Savings'!R$4)</f>
        <v>0</v>
      </c>
      <c r="G22" s="301">
        <f>'Cascading Savings'!T31</f>
        <v>0</v>
      </c>
      <c r="H22" s="334" t="e">
        <f t="shared" si="5"/>
        <v>#DIV/0!</v>
      </c>
      <c r="I22" s="335" t="e">
        <f t="shared" si="6"/>
        <v>#DIV/0!</v>
      </c>
      <c r="J22" s="299" t="e">
        <f t="shared" si="2"/>
        <v>#VALUE!</v>
      </c>
      <c r="K22" s="336" t="e">
        <f t="shared" si="7"/>
        <v>#REF!</v>
      </c>
      <c r="P22" s="151" t="e">
        <f>-#REF!</f>
        <v>#REF!</v>
      </c>
      <c r="Q22" s="151" t="e">
        <f>#REF!</f>
        <v>#REF!</v>
      </c>
      <c r="R22" s="151" t="e">
        <f t="shared" si="8"/>
        <v>#REF!</v>
      </c>
      <c r="S22" s="151" t="e">
        <f t="shared" si="8"/>
        <v>#REF!</v>
      </c>
      <c r="T22" s="151" t="e">
        <f t="shared" si="8"/>
        <v>#REF!</v>
      </c>
      <c r="U22" s="151" t="e">
        <f t="shared" si="8"/>
        <v>#REF!</v>
      </c>
      <c r="V22" s="151" t="e">
        <f t="shared" si="8"/>
        <v>#REF!</v>
      </c>
      <c r="W22" s="151" t="e">
        <f t="shared" si="8"/>
        <v>#REF!</v>
      </c>
      <c r="X22" s="151" t="e">
        <f t="shared" si="8"/>
        <v>#REF!</v>
      </c>
      <c r="Y22" s="151" t="e">
        <f t="shared" si="8"/>
        <v>#REF!</v>
      </c>
      <c r="Z22" s="151" t="e">
        <f t="shared" si="8"/>
        <v>#REF!</v>
      </c>
      <c r="AA22" s="151" t="e">
        <f t="shared" si="8"/>
        <v>#REF!</v>
      </c>
      <c r="AB22" s="151" t="e">
        <f t="shared" si="8"/>
        <v>#REF!</v>
      </c>
      <c r="AC22" s="151" t="e">
        <f t="shared" si="8"/>
        <v>#REF!</v>
      </c>
      <c r="AD22" s="151" t="e">
        <f t="shared" si="8"/>
        <v>#REF!</v>
      </c>
      <c r="AE22" s="151" t="e">
        <f t="shared" si="8"/>
        <v>#REF!</v>
      </c>
      <c r="AF22" s="151" t="e">
        <f t="shared" si="8"/>
        <v>#REF!</v>
      </c>
      <c r="AG22" s="151" t="e">
        <f t="shared" si="8"/>
        <v>#REF!</v>
      </c>
      <c r="AH22" s="151" t="e">
        <f t="shared" si="1"/>
        <v>#REF!</v>
      </c>
      <c r="AI22" s="151" t="e">
        <f t="shared" si="1"/>
        <v>#REF!</v>
      </c>
      <c r="AJ22" s="151" t="e">
        <f t="shared" si="1"/>
        <v>#REF!</v>
      </c>
      <c r="AK22" s="151" t="e">
        <f t="shared" si="1"/>
        <v>#REF!</v>
      </c>
      <c r="AL22" s="151" t="e">
        <f t="shared" si="1"/>
        <v>#REF!</v>
      </c>
      <c r="AM22" s="151" t="e">
        <f t="shared" si="1"/>
        <v>#REF!</v>
      </c>
      <c r="AN22" s="151" t="e">
        <f t="shared" si="1"/>
        <v>#REF!</v>
      </c>
      <c r="AO22" s="151" t="e">
        <f t="shared" si="1"/>
        <v>#REF!</v>
      </c>
      <c r="AP22" s="151" t="e">
        <f t="shared" si="1"/>
        <v>#REF!</v>
      </c>
      <c r="AQ22" s="151" t="e">
        <f t="shared" si="1"/>
        <v>#REF!</v>
      </c>
      <c r="AR22" s="151" t="e">
        <f t="shared" si="1"/>
        <v>#REF!</v>
      </c>
      <c r="AS22" s="151" t="e">
        <f t="shared" si="1"/>
        <v>#REF!</v>
      </c>
      <c r="AT22" s="151" t="e">
        <f t="shared" si="1"/>
        <v>#REF!</v>
      </c>
    </row>
    <row r="23" spans="1:48" s="148" customFormat="1" ht="131.25" customHeight="1" x14ac:dyDescent="0.3">
      <c r="A23" s="312" t="str">
        <f>'EEM Data Entry'!A101</f>
        <v/>
      </c>
      <c r="B23" s="337" t="str">
        <f>'EEM Data Entry'!B101</f>
        <v/>
      </c>
      <c r="C23" s="296" t="str">
        <f>'EEM Data Entry'!F101</f>
        <v/>
      </c>
      <c r="D23" s="296">
        <v>0</v>
      </c>
      <c r="E23" s="333">
        <f>'EEM Data Entry'!I101</f>
        <v>0</v>
      </c>
      <c r="F23" s="315">
        <f>('Cascading Savings'!D32*'Cascading Savings'!D$4)+('Cascading Savings'!F32*'Cascading Savings'!F$4)+('Cascading Savings'!H32*'Cascading Savings'!H$4)+('Cascading Savings'!J32*'Cascading Savings'!J$4)+('Cascading Savings'!L32*'Cascading Savings'!L$4)+('Cascading Savings'!N32*'Cascading Savings'!N$4)+('Cascading Savings'!P32*'Cascading Savings'!P$4)+('Cascading Savings'!R32*'Cascading Savings'!R$4)</f>
        <v>0</v>
      </c>
      <c r="G23" s="301">
        <f>'Cascading Savings'!T32</f>
        <v>0</v>
      </c>
      <c r="H23" s="334" t="e">
        <f t="shared" si="5"/>
        <v>#DIV/0!</v>
      </c>
      <c r="I23" s="335" t="e">
        <f t="shared" si="6"/>
        <v>#DIV/0!</v>
      </c>
      <c r="J23" s="299" t="e">
        <f t="shared" si="2"/>
        <v>#VALUE!</v>
      </c>
      <c r="K23" s="336" t="e">
        <f t="shared" si="7"/>
        <v>#REF!</v>
      </c>
      <c r="P23" s="151" t="e">
        <f>-#REF!</f>
        <v>#REF!</v>
      </c>
      <c r="Q23" s="151" t="e">
        <f>#REF!</f>
        <v>#REF!</v>
      </c>
      <c r="R23" s="151" t="e">
        <f t="shared" si="8"/>
        <v>#REF!</v>
      </c>
      <c r="S23" s="151" t="e">
        <f t="shared" si="8"/>
        <v>#REF!</v>
      </c>
      <c r="T23" s="151" t="e">
        <f t="shared" si="8"/>
        <v>#REF!</v>
      </c>
      <c r="U23" s="151" t="e">
        <f t="shared" si="8"/>
        <v>#REF!</v>
      </c>
      <c r="V23" s="151" t="e">
        <f t="shared" si="8"/>
        <v>#REF!</v>
      </c>
      <c r="W23" s="151" t="e">
        <f t="shared" si="8"/>
        <v>#REF!</v>
      </c>
      <c r="X23" s="151" t="e">
        <f t="shared" si="8"/>
        <v>#REF!</v>
      </c>
      <c r="Y23" s="151" t="e">
        <f t="shared" si="8"/>
        <v>#REF!</v>
      </c>
      <c r="Z23" s="151" t="e">
        <f t="shared" si="8"/>
        <v>#REF!</v>
      </c>
      <c r="AA23" s="151" t="e">
        <f t="shared" si="8"/>
        <v>#REF!</v>
      </c>
      <c r="AB23" s="151" t="e">
        <f t="shared" si="8"/>
        <v>#REF!</v>
      </c>
      <c r="AC23" s="151" t="e">
        <f t="shared" si="8"/>
        <v>#REF!</v>
      </c>
      <c r="AD23" s="151" t="e">
        <f t="shared" si="8"/>
        <v>#REF!</v>
      </c>
      <c r="AE23" s="151" t="e">
        <f t="shared" si="8"/>
        <v>#REF!</v>
      </c>
      <c r="AF23" s="151" t="e">
        <f t="shared" si="8"/>
        <v>#REF!</v>
      </c>
      <c r="AG23" s="151" t="e">
        <f t="shared" si="8"/>
        <v>#REF!</v>
      </c>
      <c r="AH23" s="151" t="e">
        <f t="shared" ref="AH23:AT23" si="9">AG23*1.05</f>
        <v>#REF!</v>
      </c>
      <c r="AI23" s="151" t="e">
        <f t="shared" si="9"/>
        <v>#REF!</v>
      </c>
      <c r="AJ23" s="151" t="e">
        <f t="shared" si="9"/>
        <v>#REF!</v>
      </c>
      <c r="AK23" s="151" t="e">
        <f t="shared" si="9"/>
        <v>#REF!</v>
      </c>
      <c r="AL23" s="151" t="e">
        <f t="shared" si="9"/>
        <v>#REF!</v>
      </c>
      <c r="AM23" s="151" t="e">
        <f t="shared" si="9"/>
        <v>#REF!</v>
      </c>
      <c r="AN23" s="151" t="e">
        <f t="shared" si="9"/>
        <v>#REF!</v>
      </c>
      <c r="AO23" s="151" t="e">
        <f t="shared" si="9"/>
        <v>#REF!</v>
      </c>
      <c r="AP23" s="151" t="e">
        <f t="shared" si="9"/>
        <v>#REF!</v>
      </c>
      <c r="AQ23" s="151" t="e">
        <f t="shared" si="9"/>
        <v>#REF!</v>
      </c>
      <c r="AR23" s="151" t="e">
        <f t="shared" si="9"/>
        <v>#REF!</v>
      </c>
      <c r="AS23" s="151" t="e">
        <f t="shared" si="9"/>
        <v>#REF!</v>
      </c>
      <c r="AT23" s="151" t="e">
        <f t="shared" si="9"/>
        <v>#REF!</v>
      </c>
    </row>
    <row r="24" spans="1:48" s="148" customFormat="1" ht="131.25" customHeight="1" x14ac:dyDescent="0.3">
      <c r="A24" s="312" t="str">
        <f>'EEM Data Entry'!A102</f>
        <v/>
      </c>
      <c r="B24" s="337" t="str">
        <f>'EEM Data Entry'!B102</f>
        <v/>
      </c>
      <c r="C24" s="296" t="str">
        <f>'EEM Data Entry'!F102</f>
        <v/>
      </c>
      <c r="D24" s="296">
        <v>0</v>
      </c>
      <c r="E24" s="333">
        <f>'EEM Data Entry'!I102</f>
        <v>0</v>
      </c>
      <c r="F24" s="315"/>
      <c r="G24" s="301">
        <f>'Cascading Savings'!T33</f>
        <v>0</v>
      </c>
      <c r="H24" s="334" t="e">
        <f t="shared" si="5"/>
        <v>#DIV/0!</v>
      </c>
      <c r="I24" s="335" t="e">
        <f t="shared" si="6"/>
        <v>#DIV/0!</v>
      </c>
      <c r="J24" s="299" t="e">
        <f t="shared" si="2"/>
        <v>#NUM!</v>
      </c>
      <c r="K24" s="336">
        <f t="shared" si="7"/>
        <v>0</v>
      </c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</row>
    <row r="25" spans="1:48" s="159" customFormat="1" ht="131.25" customHeight="1" x14ac:dyDescent="0.4">
      <c r="A25" s="241"/>
      <c r="B25" s="338"/>
      <c r="C25" s="241"/>
      <c r="D25" s="241"/>
      <c r="E25" s="201"/>
      <c r="F25" s="226"/>
      <c r="G25" s="202"/>
      <c r="H25" s="216"/>
      <c r="I25" s="200"/>
      <c r="J25" s="215"/>
      <c r="K25" s="200"/>
      <c r="M25" s="364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</row>
    <row r="26" spans="1:48" s="159" customFormat="1" ht="131.25" customHeight="1" x14ac:dyDescent="0.25">
      <c r="A26" s="267" t="s">
        <v>145</v>
      </c>
      <c r="B26" s="339" t="s">
        <v>43</v>
      </c>
      <c r="C26" s="268" t="s">
        <v>35</v>
      </c>
      <c r="D26" s="268" t="s">
        <v>90</v>
      </c>
      <c r="E26" s="268" t="s">
        <v>119</v>
      </c>
      <c r="F26" s="269" t="s">
        <v>118</v>
      </c>
      <c r="G26" s="268" t="s">
        <v>125</v>
      </c>
      <c r="H26" s="268" t="s">
        <v>124</v>
      </c>
      <c r="I26" s="268" t="s">
        <v>72</v>
      </c>
      <c r="J26" s="268" t="s">
        <v>17</v>
      </c>
      <c r="K26" s="270" t="s">
        <v>22</v>
      </c>
      <c r="M26" s="364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</row>
    <row r="27" spans="1:48" s="148" customFormat="1" ht="131.25" customHeight="1" x14ac:dyDescent="0.3">
      <c r="A27" s="294" t="str">
        <f>'EEM Data Entry'!A110</f>
        <v/>
      </c>
      <c r="B27" s="295" t="str">
        <f>IF('EEM Data Entry'!B110="  ","  ", 'EEM Data Entry'!B110)</f>
        <v/>
      </c>
      <c r="C27" s="288" t="str">
        <f>'EEM Data Entry'!F110</f>
        <v/>
      </c>
      <c r="D27" s="288">
        <v>0</v>
      </c>
      <c r="E27" s="288" t="e">
        <f>C27-D27</f>
        <v>#VALUE!</v>
      </c>
      <c r="F27" s="315">
        <f>('Cascading Savings'!D33*'Cascading Savings'!D$4)+('Cascading Savings'!F33*'Cascading Savings'!F$4)+('Cascading Savings'!H33*'Cascading Savings'!H$4)+('Cascading Savings'!J33*'Cascading Savings'!J$4)+('Cascading Savings'!L33*'Cascading Savings'!L$4)+('Cascading Savings'!N33*'Cascading Savings'!N$4)+('Cascading Savings'!P33*'Cascading Savings'!P$4)+('Cascading Savings'!R33*'Cascading Savings'!R$4)</f>
        <v>0</v>
      </c>
      <c r="G27" s="289">
        <f>'Cascading Savings'!T33</f>
        <v>0</v>
      </c>
      <c r="H27" s="290" t="e">
        <f>IF(C27=0,"n/a",E27/F27)</f>
        <v>#VALUE!</v>
      </c>
      <c r="I27" s="291" t="e">
        <f>IF(H27=0, "n/a", IF(H27&gt;100, "no",IF(H27&lt;0, "no", "yes")))</f>
        <v>#VALUE!</v>
      </c>
      <c r="J27" s="299" t="e">
        <f>IRR(P27:AT27,0.1)</f>
        <v>#VALUE!</v>
      </c>
      <c r="K27" s="336" t="e">
        <f t="shared" ref="K27:K33" si="10">NPV(0.05,P27:AT27)</f>
        <v>#VALUE!</v>
      </c>
      <c r="M27" s="321"/>
      <c r="P27" s="151" t="e">
        <f t="shared" ref="P27:P33" si="11">-E27</f>
        <v>#VALUE!</v>
      </c>
      <c r="Q27" s="151">
        <f t="shared" ref="Q27:Q33" si="12">F27</f>
        <v>0</v>
      </c>
      <c r="R27" s="151">
        <f>Q27*1.05</f>
        <v>0</v>
      </c>
      <c r="S27" s="151">
        <f t="shared" ref="S27:AU40" si="13">R27*1.05</f>
        <v>0</v>
      </c>
      <c r="T27" s="151">
        <f t="shared" si="13"/>
        <v>0</v>
      </c>
      <c r="U27" s="151">
        <f t="shared" si="13"/>
        <v>0</v>
      </c>
      <c r="V27" s="151">
        <f t="shared" si="13"/>
        <v>0</v>
      </c>
      <c r="W27" s="151">
        <f t="shared" si="13"/>
        <v>0</v>
      </c>
      <c r="X27" s="151">
        <f t="shared" si="13"/>
        <v>0</v>
      </c>
      <c r="Y27" s="151">
        <f t="shared" si="13"/>
        <v>0</v>
      </c>
      <c r="Z27" s="151">
        <f t="shared" si="13"/>
        <v>0</v>
      </c>
      <c r="AA27" s="151">
        <f t="shared" si="13"/>
        <v>0</v>
      </c>
      <c r="AB27" s="151">
        <f t="shared" si="13"/>
        <v>0</v>
      </c>
      <c r="AC27" s="151">
        <f t="shared" si="13"/>
        <v>0</v>
      </c>
      <c r="AD27" s="151">
        <f t="shared" si="13"/>
        <v>0</v>
      </c>
      <c r="AE27" s="151">
        <f t="shared" si="13"/>
        <v>0</v>
      </c>
      <c r="AF27" s="151">
        <f t="shared" si="13"/>
        <v>0</v>
      </c>
      <c r="AG27" s="151">
        <f t="shared" si="13"/>
        <v>0</v>
      </c>
      <c r="AH27" s="151">
        <f t="shared" si="13"/>
        <v>0</v>
      </c>
      <c r="AI27" s="151">
        <f t="shared" si="13"/>
        <v>0</v>
      </c>
      <c r="AJ27" s="151">
        <f t="shared" si="13"/>
        <v>0</v>
      </c>
      <c r="AK27" s="151">
        <f t="shared" si="13"/>
        <v>0</v>
      </c>
      <c r="AL27" s="151">
        <f t="shared" si="13"/>
        <v>0</v>
      </c>
      <c r="AM27" s="151">
        <f t="shared" si="13"/>
        <v>0</v>
      </c>
      <c r="AN27" s="151">
        <f t="shared" si="13"/>
        <v>0</v>
      </c>
      <c r="AO27" s="151">
        <f t="shared" si="13"/>
        <v>0</v>
      </c>
      <c r="AP27" s="151">
        <f t="shared" si="13"/>
        <v>0</v>
      </c>
      <c r="AQ27" s="151">
        <f t="shared" si="13"/>
        <v>0</v>
      </c>
      <c r="AR27" s="151">
        <f t="shared" si="13"/>
        <v>0</v>
      </c>
      <c r="AS27" s="151">
        <f t="shared" si="13"/>
        <v>0</v>
      </c>
      <c r="AT27" s="151">
        <f t="shared" si="13"/>
        <v>0</v>
      </c>
      <c r="AU27" s="149">
        <f t="shared" si="13"/>
        <v>0</v>
      </c>
      <c r="AV27" s="159"/>
    </row>
    <row r="28" spans="1:48" s="148" customFormat="1" ht="131.25" customHeight="1" x14ac:dyDescent="0.3">
      <c r="A28" s="294" t="str">
        <f>'EEM Data Entry'!A111</f>
        <v/>
      </c>
      <c r="B28" s="295" t="str">
        <f>IF('EEM Data Entry'!B111="  ","  ", 'EEM Data Entry'!B111)</f>
        <v/>
      </c>
      <c r="C28" s="288" t="str">
        <f>'EEM Data Entry'!F111</f>
        <v/>
      </c>
      <c r="D28" s="288">
        <v>0</v>
      </c>
      <c r="E28" s="288" t="e">
        <f t="shared" ref="E28:E41" si="14">C28-D28</f>
        <v>#VALUE!</v>
      </c>
      <c r="F28" s="315">
        <f>('Cascading Savings'!D34*'Cascading Savings'!D$4)+('Cascading Savings'!F34*'Cascading Savings'!F$4)+('Cascading Savings'!H34*'Cascading Savings'!H$4)+('Cascading Savings'!J34*'Cascading Savings'!J$4)+('Cascading Savings'!L34*'Cascading Savings'!L$4)+('Cascading Savings'!N34*'Cascading Savings'!N$4)+('Cascading Savings'!P34*'Cascading Savings'!P$4)+('Cascading Savings'!R34*'Cascading Savings'!R$4)</f>
        <v>0</v>
      </c>
      <c r="G28" s="289">
        <f>'Cascading Savings'!T34</f>
        <v>0</v>
      </c>
      <c r="H28" s="290" t="e">
        <f>IF(C28=0,"n/a",E28/F28)</f>
        <v>#VALUE!</v>
      </c>
      <c r="I28" s="291" t="e">
        <f>IF(H28=0, "n/a", IF(H28&gt;100, "no",IF(H28&lt;0, "no", "yes")))</f>
        <v>#VALUE!</v>
      </c>
      <c r="J28" s="299" t="e">
        <f t="shared" ref="J28:J33" si="15">IRR(P28:AT28,0.1)</f>
        <v>#VALUE!</v>
      </c>
      <c r="K28" s="336" t="e">
        <f t="shared" si="10"/>
        <v>#VALUE!</v>
      </c>
      <c r="P28" s="151" t="e">
        <f t="shared" si="11"/>
        <v>#VALUE!</v>
      </c>
      <c r="Q28" s="151">
        <f t="shared" si="12"/>
        <v>0</v>
      </c>
      <c r="R28" s="151">
        <f>Q28*1.05</f>
        <v>0</v>
      </c>
      <c r="S28" s="151">
        <f>R28*1.05</f>
        <v>0</v>
      </c>
      <c r="T28" s="151">
        <f t="shared" si="13"/>
        <v>0</v>
      </c>
      <c r="U28" s="151">
        <f t="shared" si="13"/>
        <v>0</v>
      </c>
      <c r="V28" s="151">
        <f t="shared" si="13"/>
        <v>0</v>
      </c>
      <c r="W28" s="151">
        <f t="shared" si="13"/>
        <v>0</v>
      </c>
      <c r="X28" s="151">
        <f t="shared" si="13"/>
        <v>0</v>
      </c>
      <c r="Y28" s="151">
        <f t="shared" si="13"/>
        <v>0</v>
      </c>
      <c r="Z28" s="151">
        <f t="shared" si="13"/>
        <v>0</v>
      </c>
      <c r="AA28" s="151">
        <f t="shared" si="13"/>
        <v>0</v>
      </c>
      <c r="AB28" s="151">
        <f t="shared" si="13"/>
        <v>0</v>
      </c>
      <c r="AC28" s="151">
        <f t="shared" si="13"/>
        <v>0</v>
      </c>
      <c r="AD28" s="151">
        <f t="shared" si="13"/>
        <v>0</v>
      </c>
      <c r="AE28" s="151">
        <f t="shared" si="13"/>
        <v>0</v>
      </c>
      <c r="AF28" s="151">
        <f t="shared" si="13"/>
        <v>0</v>
      </c>
      <c r="AG28" s="151">
        <f t="shared" si="13"/>
        <v>0</v>
      </c>
      <c r="AH28" s="151">
        <f t="shared" si="13"/>
        <v>0</v>
      </c>
      <c r="AI28" s="151">
        <f t="shared" si="13"/>
        <v>0</v>
      </c>
      <c r="AJ28" s="151">
        <f t="shared" si="13"/>
        <v>0</v>
      </c>
      <c r="AK28" s="151">
        <f t="shared" si="13"/>
        <v>0</v>
      </c>
      <c r="AL28" s="151">
        <f t="shared" si="13"/>
        <v>0</v>
      </c>
      <c r="AM28" s="151">
        <f t="shared" si="13"/>
        <v>0</v>
      </c>
      <c r="AN28" s="151">
        <f t="shared" si="13"/>
        <v>0</v>
      </c>
      <c r="AO28" s="151">
        <f t="shared" si="13"/>
        <v>0</v>
      </c>
      <c r="AP28" s="151">
        <f t="shared" si="13"/>
        <v>0</v>
      </c>
      <c r="AQ28" s="151">
        <f t="shared" si="13"/>
        <v>0</v>
      </c>
      <c r="AR28" s="151">
        <f t="shared" si="13"/>
        <v>0</v>
      </c>
      <c r="AS28" s="151">
        <f t="shared" si="13"/>
        <v>0</v>
      </c>
      <c r="AT28" s="151">
        <f t="shared" si="13"/>
        <v>0</v>
      </c>
      <c r="AU28" s="149">
        <f t="shared" si="13"/>
        <v>0</v>
      </c>
    </row>
    <row r="29" spans="1:48" s="148" customFormat="1" ht="131.25" customHeight="1" x14ac:dyDescent="0.3">
      <c r="A29" s="294" t="str">
        <f>'EEM Data Entry'!A112</f>
        <v/>
      </c>
      <c r="B29" s="295" t="str">
        <f>IF('EEM Data Entry'!B112="  ","  ", 'EEM Data Entry'!B112)</f>
        <v/>
      </c>
      <c r="C29" s="295" t="str">
        <f>IF('EEM Data Entry'!F112="  ","  ", 'EEM Data Entry'!F112)</f>
        <v/>
      </c>
      <c r="D29" s="295">
        <f>IF('EEM Data Entry'!H112="  ","  ", 'EEM Data Entry'!H112)</f>
        <v>0</v>
      </c>
      <c r="E29" s="295">
        <f>IF('EEM Data Entry'!I112="  ","  ", 'EEM Data Entry'!I112)</f>
        <v>0</v>
      </c>
      <c r="F29" s="315">
        <f>('Cascading Savings'!D35*'Cascading Savings'!D$4)+('Cascading Savings'!F35*'Cascading Savings'!F$4)+('Cascading Savings'!H35*'Cascading Savings'!H$4)+('Cascading Savings'!J35*'Cascading Savings'!J$4)+('Cascading Savings'!L35*'Cascading Savings'!L$4)+('Cascading Savings'!N35*'Cascading Savings'!N$4)+('Cascading Savings'!P35*'Cascading Savings'!P$4)+('Cascading Savings'!R35*'Cascading Savings'!R$4)</f>
        <v>0</v>
      </c>
      <c r="G29" s="289">
        <f>'Cascading Savings'!T35</f>
        <v>0</v>
      </c>
      <c r="H29" s="290" t="e">
        <f>IF(C29=0,"n/a",E29/F29)</f>
        <v>#DIV/0!</v>
      </c>
      <c r="I29" s="291" t="e">
        <f t="shared" ref="I29:I41" si="16">IF(H29=0, "n/a", IF(H29&gt;100, "no",IF(H29&lt;0, "no", "yes")))</f>
        <v>#DIV/0!</v>
      </c>
      <c r="J29" s="299" t="e">
        <f t="shared" si="15"/>
        <v>#NUM!</v>
      </c>
      <c r="K29" s="336">
        <f t="shared" si="10"/>
        <v>0</v>
      </c>
      <c r="P29" s="151">
        <f t="shared" si="11"/>
        <v>0</v>
      </c>
      <c r="Q29" s="151">
        <f t="shared" si="12"/>
        <v>0</v>
      </c>
      <c r="R29" s="151">
        <f t="shared" ref="R29:AG35" si="17">Q29*1.05</f>
        <v>0</v>
      </c>
      <c r="S29" s="151">
        <f t="shared" si="17"/>
        <v>0</v>
      </c>
      <c r="T29" s="151">
        <f t="shared" si="17"/>
        <v>0</v>
      </c>
      <c r="U29" s="151">
        <f t="shared" si="17"/>
        <v>0</v>
      </c>
      <c r="V29" s="151">
        <f t="shared" si="17"/>
        <v>0</v>
      </c>
      <c r="W29" s="151">
        <f t="shared" si="17"/>
        <v>0</v>
      </c>
      <c r="X29" s="151">
        <f t="shared" si="17"/>
        <v>0</v>
      </c>
      <c r="Y29" s="151">
        <f t="shared" si="17"/>
        <v>0</v>
      </c>
      <c r="Z29" s="151">
        <f t="shared" si="17"/>
        <v>0</v>
      </c>
      <c r="AA29" s="151">
        <f t="shared" si="17"/>
        <v>0</v>
      </c>
      <c r="AB29" s="151">
        <f t="shared" si="17"/>
        <v>0</v>
      </c>
      <c r="AC29" s="151">
        <f t="shared" si="17"/>
        <v>0</v>
      </c>
      <c r="AD29" s="151">
        <f t="shared" si="17"/>
        <v>0</v>
      </c>
      <c r="AE29" s="151">
        <f t="shared" si="17"/>
        <v>0</v>
      </c>
      <c r="AF29" s="151">
        <f t="shared" si="17"/>
        <v>0</v>
      </c>
      <c r="AG29" s="151">
        <f t="shared" si="17"/>
        <v>0</v>
      </c>
      <c r="AH29" s="151">
        <f t="shared" si="13"/>
        <v>0</v>
      </c>
      <c r="AI29" s="151">
        <f t="shared" si="13"/>
        <v>0</v>
      </c>
      <c r="AJ29" s="151">
        <f t="shared" si="13"/>
        <v>0</v>
      </c>
      <c r="AK29" s="151">
        <f t="shared" si="13"/>
        <v>0</v>
      </c>
      <c r="AL29" s="151">
        <f t="shared" si="13"/>
        <v>0</v>
      </c>
      <c r="AM29" s="151">
        <f t="shared" si="13"/>
        <v>0</v>
      </c>
      <c r="AN29" s="151">
        <f t="shared" si="13"/>
        <v>0</v>
      </c>
      <c r="AO29" s="151">
        <f t="shared" si="13"/>
        <v>0</v>
      </c>
      <c r="AP29" s="151">
        <f t="shared" si="13"/>
        <v>0</v>
      </c>
      <c r="AQ29" s="151">
        <f t="shared" si="13"/>
        <v>0</v>
      </c>
      <c r="AR29" s="151">
        <f t="shared" si="13"/>
        <v>0</v>
      </c>
      <c r="AS29" s="151">
        <f t="shared" si="13"/>
        <v>0</v>
      </c>
      <c r="AT29" s="151">
        <f t="shared" si="13"/>
        <v>0</v>
      </c>
      <c r="AU29" s="149">
        <f t="shared" si="13"/>
        <v>0</v>
      </c>
      <c r="AV29" s="149">
        <f>AU29*1.05</f>
        <v>0</v>
      </c>
    </row>
    <row r="30" spans="1:48" s="148" customFormat="1" ht="131.25" customHeight="1" x14ac:dyDescent="0.3">
      <c r="A30" s="294" t="str">
        <f>'EEM Data Entry'!A113</f>
        <v/>
      </c>
      <c r="B30" s="295" t="str">
        <f>IF('EEM Data Entry'!B113="  ","  ", 'EEM Data Entry'!B113)</f>
        <v/>
      </c>
      <c r="C30" s="295" t="str">
        <f>IF('EEM Data Entry'!F113="  ","  ", 'EEM Data Entry'!F113)</f>
        <v/>
      </c>
      <c r="D30" s="295">
        <f>IF('EEM Data Entry'!H113="  ","  ", 'EEM Data Entry'!H113)</f>
        <v>0</v>
      </c>
      <c r="E30" s="295">
        <f>IF('EEM Data Entry'!I113="  ","  ", 'EEM Data Entry'!I113)</f>
        <v>0</v>
      </c>
      <c r="F30" s="315">
        <f>('Cascading Savings'!D36*'Cascading Savings'!D$4)+('Cascading Savings'!F36*'Cascading Savings'!F$4)+('Cascading Savings'!H36*'Cascading Savings'!H$4)+('Cascading Savings'!J39*'Cascading Savings'!J$4)+('Cascading Savings'!L39*'Cascading Savings'!L$4)+('Cascading Savings'!N39*'Cascading Savings'!N$4)+('Cascading Savings'!P39*'Cascading Savings'!P$4)+('Cascading Savings'!R39*'Cascading Savings'!R$4)</f>
        <v>0</v>
      </c>
      <c r="G30" s="289">
        <f>'Cascading Savings'!T36</f>
        <v>0</v>
      </c>
      <c r="H30" s="290" t="e">
        <f>IF(C30=0,"n/a",E30/F30)</f>
        <v>#DIV/0!</v>
      </c>
      <c r="I30" s="291" t="e">
        <f t="shared" si="16"/>
        <v>#DIV/0!</v>
      </c>
      <c r="J30" s="299" t="e">
        <f>IRR(P30:AT30,0.1)</f>
        <v>#NUM!</v>
      </c>
      <c r="K30" s="336">
        <f t="shared" si="10"/>
        <v>0</v>
      </c>
      <c r="P30" s="151">
        <f t="shared" si="11"/>
        <v>0</v>
      </c>
      <c r="Q30" s="151">
        <f>F30</f>
        <v>0</v>
      </c>
      <c r="R30" s="151">
        <f>Q30*1.05</f>
        <v>0</v>
      </c>
      <c r="S30" s="151">
        <f t="shared" si="17"/>
        <v>0</v>
      </c>
      <c r="T30" s="151">
        <f t="shared" si="17"/>
        <v>0</v>
      </c>
      <c r="U30" s="151">
        <f t="shared" si="17"/>
        <v>0</v>
      </c>
      <c r="V30" s="151">
        <f t="shared" si="17"/>
        <v>0</v>
      </c>
      <c r="W30" s="151">
        <f t="shared" si="17"/>
        <v>0</v>
      </c>
      <c r="X30" s="151">
        <f t="shared" si="17"/>
        <v>0</v>
      </c>
      <c r="Y30" s="151">
        <f t="shared" si="17"/>
        <v>0</v>
      </c>
      <c r="Z30" s="151">
        <f t="shared" si="17"/>
        <v>0</v>
      </c>
      <c r="AA30" s="151">
        <f t="shared" si="17"/>
        <v>0</v>
      </c>
      <c r="AB30" s="151">
        <f t="shared" si="17"/>
        <v>0</v>
      </c>
      <c r="AC30" s="151">
        <f t="shared" si="17"/>
        <v>0</v>
      </c>
      <c r="AD30" s="151">
        <f t="shared" si="17"/>
        <v>0</v>
      </c>
      <c r="AE30" s="151">
        <f t="shared" si="17"/>
        <v>0</v>
      </c>
      <c r="AF30" s="151">
        <f t="shared" si="17"/>
        <v>0</v>
      </c>
      <c r="AG30" s="151">
        <f t="shared" si="17"/>
        <v>0</v>
      </c>
      <c r="AH30" s="151">
        <f t="shared" si="13"/>
        <v>0</v>
      </c>
      <c r="AI30" s="151">
        <f t="shared" si="13"/>
        <v>0</v>
      </c>
      <c r="AJ30" s="151">
        <f t="shared" si="13"/>
        <v>0</v>
      </c>
      <c r="AK30" s="151">
        <f t="shared" si="13"/>
        <v>0</v>
      </c>
      <c r="AL30" s="151">
        <f t="shared" si="13"/>
        <v>0</v>
      </c>
      <c r="AM30" s="151">
        <f t="shared" si="13"/>
        <v>0</v>
      </c>
      <c r="AN30" s="151">
        <f t="shared" si="13"/>
        <v>0</v>
      </c>
      <c r="AO30" s="151">
        <f t="shared" si="13"/>
        <v>0</v>
      </c>
      <c r="AP30" s="151">
        <f t="shared" si="13"/>
        <v>0</v>
      </c>
      <c r="AQ30" s="151">
        <f t="shared" si="13"/>
        <v>0</v>
      </c>
      <c r="AR30" s="151">
        <f t="shared" si="13"/>
        <v>0</v>
      </c>
      <c r="AS30" s="151">
        <f t="shared" si="13"/>
        <v>0</v>
      </c>
      <c r="AT30" s="151">
        <f t="shared" si="13"/>
        <v>0</v>
      </c>
      <c r="AU30" s="149">
        <f t="shared" si="13"/>
        <v>0</v>
      </c>
    </row>
    <row r="31" spans="1:48" s="148" customFormat="1" ht="131.25" customHeight="1" x14ac:dyDescent="0.3">
      <c r="A31" s="294" t="str">
        <f>'EEM Data Entry'!A114</f>
        <v/>
      </c>
      <c r="B31" s="295" t="str">
        <f>IF('EEM Data Entry'!B114="  ","  ", 'EEM Data Entry'!B114)</f>
        <v/>
      </c>
      <c r="C31" s="295" t="str">
        <f>IF('EEM Data Entry'!F114="  ","  ", 'EEM Data Entry'!F114)</f>
        <v/>
      </c>
      <c r="D31" s="295">
        <f>IF('EEM Data Entry'!H114="  ","  ", 'EEM Data Entry'!H114)</f>
        <v>0</v>
      </c>
      <c r="E31" s="295">
        <f>IF('EEM Data Entry'!I114="  ","  ", 'EEM Data Entry'!I114)</f>
        <v>0</v>
      </c>
      <c r="F31" s="315">
        <f>('Cascading Savings'!D37*'Cascading Savings'!D$4)+('Cascading Savings'!F37*'Cascading Savings'!F$4)+('Cascading Savings'!H37*'Cascading Savings'!H$4)+('Cascading Savings'!J40*'Cascading Savings'!J$4)+('Cascading Savings'!L40*'Cascading Savings'!L$4)+('Cascading Savings'!N40*'Cascading Savings'!N$4)+('Cascading Savings'!P40*'Cascading Savings'!P$4)+('Cascading Savings'!R40*'Cascading Savings'!R$4)</f>
        <v>0</v>
      </c>
      <c r="G31" s="289">
        <f>'Cascading Savings'!T37</f>
        <v>0</v>
      </c>
      <c r="H31" s="290" t="e">
        <f t="shared" ref="H31:H41" si="18">IF(C31=0,"n/a",E31/F31)</f>
        <v>#DIV/0!</v>
      </c>
      <c r="I31" s="291" t="e">
        <f t="shared" si="16"/>
        <v>#DIV/0!</v>
      </c>
      <c r="J31" s="299" t="e">
        <f t="shared" si="15"/>
        <v>#NUM!</v>
      </c>
      <c r="K31" s="336">
        <f t="shared" si="10"/>
        <v>0</v>
      </c>
      <c r="P31" s="151">
        <f t="shared" si="11"/>
        <v>0</v>
      </c>
      <c r="Q31" s="151">
        <f t="shared" si="12"/>
        <v>0</v>
      </c>
      <c r="R31" s="151">
        <f>Q31*1.05</f>
        <v>0</v>
      </c>
      <c r="S31" s="151">
        <f t="shared" si="17"/>
        <v>0</v>
      </c>
      <c r="T31" s="151">
        <f t="shared" si="17"/>
        <v>0</v>
      </c>
      <c r="U31" s="151">
        <f t="shared" si="17"/>
        <v>0</v>
      </c>
      <c r="V31" s="151">
        <f t="shared" si="17"/>
        <v>0</v>
      </c>
      <c r="W31" s="151">
        <f t="shared" si="17"/>
        <v>0</v>
      </c>
      <c r="X31" s="151">
        <f t="shared" si="17"/>
        <v>0</v>
      </c>
      <c r="Y31" s="151">
        <f t="shared" si="17"/>
        <v>0</v>
      </c>
      <c r="Z31" s="151">
        <f t="shared" si="17"/>
        <v>0</v>
      </c>
      <c r="AA31" s="151">
        <f t="shared" si="17"/>
        <v>0</v>
      </c>
      <c r="AB31" s="151">
        <f t="shared" si="17"/>
        <v>0</v>
      </c>
      <c r="AC31" s="151">
        <f t="shared" si="17"/>
        <v>0</v>
      </c>
      <c r="AD31" s="151">
        <f t="shared" si="17"/>
        <v>0</v>
      </c>
      <c r="AE31" s="151">
        <f t="shared" si="17"/>
        <v>0</v>
      </c>
      <c r="AF31" s="151">
        <f t="shared" si="17"/>
        <v>0</v>
      </c>
      <c r="AG31" s="151">
        <f t="shared" si="17"/>
        <v>0</v>
      </c>
      <c r="AH31" s="151">
        <f t="shared" si="13"/>
        <v>0</v>
      </c>
      <c r="AI31" s="151">
        <f t="shared" si="13"/>
        <v>0</v>
      </c>
      <c r="AJ31" s="151">
        <f t="shared" si="13"/>
        <v>0</v>
      </c>
      <c r="AK31" s="151">
        <f t="shared" si="13"/>
        <v>0</v>
      </c>
      <c r="AL31" s="151">
        <f t="shared" si="13"/>
        <v>0</v>
      </c>
      <c r="AM31" s="151">
        <f t="shared" si="13"/>
        <v>0</v>
      </c>
      <c r="AN31" s="151">
        <f t="shared" si="13"/>
        <v>0</v>
      </c>
      <c r="AO31" s="151">
        <f t="shared" si="13"/>
        <v>0</v>
      </c>
      <c r="AP31" s="151">
        <f t="shared" si="13"/>
        <v>0</v>
      </c>
      <c r="AQ31" s="151">
        <f t="shared" si="13"/>
        <v>0</v>
      </c>
      <c r="AR31" s="151">
        <f t="shared" si="13"/>
        <v>0</v>
      </c>
      <c r="AS31" s="151">
        <f t="shared" si="13"/>
        <v>0</v>
      </c>
      <c r="AT31" s="151">
        <f t="shared" si="13"/>
        <v>0</v>
      </c>
      <c r="AU31" s="149">
        <f t="shared" si="13"/>
        <v>0</v>
      </c>
    </row>
    <row r="32" spans="1:48" s="148" customFormat="1" ht="131.25" customHeight="1" x14ac:dyDescent="0.3">
      <c r="A32" s="294" t="str">
        <f>'EEM Data Entry'!A115</f>
        <v/>
      </c>
      <c r="B32" s="295" t="str">
        <f>IF('EEM Data Entry'!B115="  ","  ", 'EEM Data Entry'!B115)</f>
        <v/>
      </c>
      <c r="C32" s="288" t="str">
        <f>'EEM Data Entry'!F115</f>
        <v/>
      </c>
      <c r="D32" s="316">
        <v>0</v>
      </c>
      <c r="E32" s="288" t="e">
        <f t="shared" si="14"/>
        <v>#VALUE!</v>
      </c>
      <c r="F32" s="315">
        <f>('Cascading Savings'!D38*'Cascading Savings'!D$4)+('Cascading Savings'!F38*'Cascading Savings'!F$4)+('Cascading Savings'!H38*'Cascading Savings'!H$4)+('Cascading Savings'!J41*'Cascading Savings'!J$4)+('Cascading Savings'!L41*'Cascading Savings'!L$4)+('Cascading Savings'!N41*'Cascading Savings'!N$4)+('Cascading Savings'!P41*'Cascading Savings'!P$4)+('Cascading Savings'!R41*'Cascading Savings'!R$4)</f>
        <v>0</v>
      </c>
      <c r="G32" s="289">
        <f>'Cascading Savings'!T38</f>
        <v>0</v>
      </c>
      <c r="H32" s="317" t="e">
        <f>IF(C32=0,"n/a",E32/F32)</f>
        <v>#VALUE!</v>
      </c>
      <c r="I32" s="318" t="e">
        <f>IF(H32=0, "n/a", IF(H32&gt;100, "no",IF(H32&lt;0, "no", "yes")))</f>
        <v>#VALUE!</v>
      </c>
      <c r="J32" s="299" t="e">
        <f>IRR(P32:AT32,0.1)</f>
        <v>#VALUE!</v>
      </c>
      <c r="K32" s="336" t="e">
        <f>NPV(0.05,P32:AT32)</f>
        <v>#VALUE!</v>
      </c>
      <c r="P32" s="151" t="e">
        <f>-E32</f>
        <v>#VALUE!</v>
      </c>
      <c r="Q32" s="151">
        <f>F32</f>
        <v>0</v>
      </c>
      <c r="R32" s="151">
        <f>Q32*1.05</f>
        <v>0</v>
      </c>
      <c r="S32" s="151">
        <f t="shared" si="17"/>
        <v>0</v>
      </c>
      <c r="T32" s="151">
        <f t="shared" si="17"/>
        <v>0</v>
      </c>
      <c r="U32" s="151">
        <f t="shared" si="17"/>
        <v>0</v>
      </c>
      <c r="V32" s="151">
        <f t="shared" si="17"/>
        <v>0</v>
      </c>
      <c r="W32" s="151">
        <f t="shared" si="17"/>
        <v>0</v>
      </c>
      <c r="X32" s="151">
        <f t="shared" si="17"/>
        <v>0</v>
      </c>
      <c r="Y32" s="151">
        <f t="shared" si="17"/>
        <v>0</v>
      </c>
      <c r="Z32" s="151">
        <f t="shared" si="17"/>
        <v>0</v>
      </c>
      <c r="AA32" s="151">
        <f t="shared" si="17"/>
        <v>0</v>
      </c>
      <c r="AB32" s="151">
        <f t="shared" si="17"/>
        <v>0</v>
      </c>
      <c r="AC32" s="151">
        <f t="shared" si="17"/>
        <v>0</v>
      </c>
      <c r="AD32" s="151">
        <f t="shared" si="17"/>
        <v>0</v>
      </c>
      <c r="AE32" s="151">
        <f t="shared" si="17"/>
        <v>0</v>
      </c>
      <c r="AF32" s="151">
        <f t="shared" si="17"/>
        <v>0</v>
      </c>
      <c r="AG32" s="151">
        <f t="shared" si="17"/>
        <v>0</v>
      </c>
      <c r="AH32" s="151">
        <f t="shared" si="13"/>
        <v>0</v>
      </c>
      <c r="AI32" s="151">
        <f t="shared" si="13"/>
        <v>0</v>
      </c>
      <c r="AJ32" s="151">
        <f t="shared" si="13"/>
        <v>0</v>
      </c>
      <c r="AK32" s="151">
        <f t="shared" si="13"/>
        <v>0</v>
      </c>
      <c r="AL32" s="151">
        <f t="shared" si="13"/>
        <v>0</v>
      </c>
      <c r="AM32" s="151">
        <f t="shared" si="13"/>
        <v>0</v>
      </c>
      <c r="AN32" s="151">
        <f t="shared" si="13"/>
        <v>0</v>
      </c>
      <c r="AO32" s="151">
        <f t="shared" si="13"/>
        <v>0</v>
      </c>
      <c r="AP32" s="151">
        <f t="shared" si="13"/>
        <v>0</v>
      </c>
      <c r="AQ32" s="151">
        <f t="shared" si="13"/>
        <v>0</v>
      </c>
      <c r="AR32" s="151">
        <f t="shared" si="13"/>
        <v>0</v>
      </c>
      <c r="AS32" s="151">
        <f t="shared" si="13"/>
        <v>0</v>
      </c>
      <c r="AT32" s="151">
        <f t="shared" si="13"/>
        <v>0</v>
      </c>
      <c r="AU32" s="149">
        <f t="shared" si="13"/>
        <v>0</v>
      </c>
    </row>
    <row r="33" spans="1:48" s="148" customFormat="1" ht="131.25" customHeight="1" x14ac:dyDescent="0.3">
      <c r="A33" s="294" t="str">
        <f>'EEM Data Entry'!A116</f>
        <v/>
      </c>
      <c r="B33" s="295" t="str">
        <f>IF('EEM Data Entry'!B116="  ","  ", 'EEM Data Entry'!B116)</f>
        <v/>
      </c>
      <c r="C33" s="288" t="str">
        <f>'EEM Data Entry'!F116</f>
        <v/>
      </c>
      <c r="D33" s="316">
        <v>0</v>
      </c>
      <c r="E33" s="288" t="e">
        <f t="shared" si="14"/>
        <v>#VALUE!</v>
      </c>
      <c r="F33" s="315">
        <f>('Cascading Savings'!D39*'Cascading Savings'!D$4)+('Cascading Savings'!F39*'Cascading Savings'!F$4)+('Cascading Savings'!H39*'Cascading Savings'!H$4)+('Cascading Savings'!J42*'Cascading Savings'!J$4)+('Cascading Savings'!L42*'Cascading Savings'!L$4)+('Cascading Savings'!N42*'Cascading Savings'!N$4)+('Cascading Savings'!P42*'Cascading Savings'!P$4)+('Cascading Savings'!R42*'Cascading Savings'!R$4)</f>
        <v>0</v>
      </c>
      <c r="G33" s="289">
        <v>0</v>
      </c>
      <c r="H33" s="317" t="e">
        <f t="shared" si="18"/>
        <v>#VALUE!</v>
      </c>
      <c r="I33" s="318" t="e">
        <f t="shared" si="16"/>
        <v>#VALUE!</v>
      </c>
      <c r="J33" s="299" t="e">
        <f t="shared" si="15"/>
        <v>#VALUE!</v>
      </c>
      <c r="K33" s="336" t="e">
        <f t="shared" si="10"/>
        <v>#VALUE!</v>
      </c>
      <c r="P33" s="151" t="e">
        <f t="shared" si="11"/>
        <v>#VALUE!</v>
      </c>
      <c r="Q33" s="151">
        <f t="shared" si="12"/>
        <v>0</v>
      </c>
      <c r="R33" s="151">
        <f>Q33*1.05</f>
        <v>0</v>
      </c>
      <c r="S33" s="151">
        <f t="shared" si="17"/>
        <v>0</v>
      </c>
      <c r="T33" s="151">
        <f t="shared" si="17"/>
        <v>0</v>
      </c>
      <c r="U33" s="151">
        <f t="shared" si="17"/>
        <v>0</v>
      </c>
      <c r="V33" s="151">
        <f t="shared" si="17"/>
        <v>0</v>
      </c>
      <c r="W33" s="151">
        <f t="shared" si="17"/>
        <v>0</v>
      </c>
      <c r="X33" s="151">
        <f t="shared" si="17"/>
        <v>0</v>
      </c>
      <c r="Y33" s="151">
        <f t="shared" si="17"/>
        <v>0</v>
      </c>
      <c r="Z33" s="151">
        <f t="shared" si="17"/>
        <v>0</v>
      </c>
      <c r="AA33" s="151">
        <f t="shared" si="17"/>
        <v>0</v>
      </c>
      <c r="AB33" s="151">
        <f t="shared" si="17"/>
        <v>0</v>
      </c>
      <c r="AC33" s="151">
        <f t="shared" si="17"/>
        <v>0</v>
      </c>
      <c r="AD33" s="151">
        <f t="shared" si="17"/>
        <v>0</v>
      </c>
      <c r="AE33" s="151">
        <f t="shared" si="17"/>
        <v>0</v>
      </c>
      <c r="AF33" s="151">
        <f t="shared" si="17"/>
        <v>0</v>
      </c>
      <c r="AG33" s="151">
        <f t="shared" si="17"/>
        <v>0</v>
      </c>
      <c r="AH33" s="151">
        <f t="shared" si="13"/>
        <v>0</v>
      </c>
      <c r="AI33" s="151">
        <f t="shared" si="13"/>
        <v>0</v>
      </c>
      <c r="AJ33" s="151">
        <f t="shared" si="13"/>
        <v>0</v>
      </c>
      <c r="AK33" s="151">
        <f t="shared" si="13"/>
        <v>0</v>
      </c>
      <c r="AL33" s="151">
        <f t="shared" si="13"/>
        <v>0</v>
      </c>
      <c r="AM33" s="151">
        <f t="shared" si="13"/>
        <v>0</v>
      </c>
      <c r="AN33" s="151">
        <f t="shared" si="13"/>
        <v>0</v>
      </c>
      <c r="AO33" s="151">
        <f t="shared" si="13"/>
        <v>0</v>
      </c>
      <c r="AP33" s="151">
        <f t="shared" si="13"/>
        <v>0</v>
      </c>
      <c r="AQ33" s="151">
        <f t="shared" si="13"/>
        <v>0</v>
      </c>
      <c r="AR33" s="151">
        <f t="shared" si="13"/>
        <v>0</v>
      </c>
      <c r="AS33" s="151">
        <f t="shared" si="13"/>
        <v>0</v>
      </c>
      <c r="AT33" s="151">
        <f t="shared" si="13"/>
        <v>0</v>
      </c>
      <c r="AU33" s="149">
        <f t="shared" si="13"/>
        <v>0</v>
      </c>
    </row>
    <row r="34" spans="1:48" s="148" customFormat="1" ht="131.25" customHeight="1" x14ac:dyDescent="0.3">
      <c r="A34" s="294" t="str">
        <f>'EEM Data Entry'!A116</f>
        <v/>
      </c>
      <c r="B34" s="295" t="str">
        <f>IF('EEM Data Entry'!B116="  ","  ", 'EEM Data Entry'!B116)</f>
        <v/>
      </c>
      <c r="C34" s="288" t="str">
        <f>'EEM Data Entry'!F116</f>
        <v/>
      </c>
      <c r="D34" s="288">
        <v>0</v>
      </c>
      <c r="E34" s="288" t="e">
        <f t="shared" si="14"/>
        <v>#VALUE!</v>
      </c>
      <c r="F34" s="308">
        <f>('Savings Summary'!D40*'Savings Summary'!D$5)+('Savings Summary'!F40*'Savings Summary'!F$5)+('Savings Summary'!H40*'Savings Summary'!H$5)+('Savings Summary'!J40*'Savings Summary'!J$5)+('Savings Summary'!L40*'Savings Summary'!L$5)+('Savings Summary'!N40*'Savings Summary'!N$5)+('Savings Summary'!P40*'Savings Summary'!P$5)+('Savings Summary'!R40*'Savings Summary'!R$5)</f>
        <v>0</v>
      </c>
      <c r="G34" s="289">
        <f>'Savings Summary'!T40</f>
        <v>0</v>
      </c>
      <c r="H34" s="290" t="e">
        <f t="shared" si="18"/>
        <v>#VALUE!</v>
      </c>
      <c r="I34" s="291" t="e">
        <f>IF(H34=0, "n/a", IF(H34&gt;100, "no",IF(H34&lt;0, "no", "yes")))</f>
        <v>#VALUE!</v>
      </c>
      <c r="J34" s="292" t="e">
        <f>IRR(#REF!,0.1)</f>
        <v>#REF!</v>
      </c>
      <c r="K34" s="293" t="e">
        <f>NPV(0.05,#REF!)</f>
        <v>#REF!</v>
      </c>
      <c r="P34" s="151">
        <f t="shared" ref="P34:P41" si="19">-E52</f>
        <v>0</v>
      </c>
      <c r="Q34" s="151">
        <f t="shared" ref="Q34:Q41" si="20">F52</f>
        <v>0</v>
      </c>
      <c r="R34" s="151">
        <f t="shared" ref="R34:AG41" si="21">Q34*1.05</f>
        <v>0</v>
      </c>
      <c r="S34" s="151">
        <f t="shared" si="17"/>
        <v>0</v>
      </c>
      <c r="T34" s="151">
        <f t="shared" si="17"/>
        <v>0</v>
      </c>
      <c r="U34" s="151">
        <f t="shared" si="17"/>
        <v>0</v>
      </c>
      <c r="V34" s="151">
        <f t="shared" si="17"/>
        <v>0</v>
      </c>
      <c r="W34" s="151">
        <f t="shared" si="17"/>
        <v>0</v>
      </c>
      <c r="X34" s="151">
        <f t="shared" si="17"/>
        <v>0</v>
      </c>
      <c r="Y34" s="151">
        <f t="shared" si="17"/>
        <v>0</v>
      </c>
      <c r="Z34" s="151">
        <f t="shared" si="17"/>
        <v>0</v>
      </c>
      <c r="AA34" s="151">
        <f t="shared" si="17"/>
        <v>0</v>
      </c>
      <c r="AB34" s="151">
        <f t="shared" si="17"/>
        <v>0</v>
      </c>
      <c r="AC34" s="151">
        <f t="shared" si="17"/>
        <v>0</v>
      </c>
      <c r="AD34" s="151">
        <f t="shared" si="17"/>
        <v>0</v>
      </c>
      <c r="AE34" s="151">
        <f t="shared" si="17"/>
        <v>0</v>
      </c>
      <c r="AF34" s="151">
        <f t="shared" si="17"/>
        <v>0</v>
      </c>
      <c r="AG34" s="151">
        <f t="shared" si="17"/>
        <v>0</v>
      </c>
      <c r="AH34" s="151">
        <f t="shared" si="13"/>
        <v>0</v>
      </c>
      <c r="AI34" s="151">
        <f t="shared" si="13"/>
        <v>0</v>
      </c>
      <c r="AJ34" s="151">
        <f t="shared" si="13"/>
        <v>0</v>
      </c>
      <c r="AK34" s="151">
        <f t="shared" si="13"/>
        <v>0</v>
      </c>
      <c r="AL34" s="151">
        <f t="shared" si="13"/>
        <v>0</v>
      </c>
      <c r="AM34" s="151">
        <f t="shared" si="13"/>
        <v>0</v>
      </c>
      <c r="AN34" s="151">
        <f t="shared" si="13"/>
        <v>0</v>
      </c>
      <c r="AO34" s="151">
        <f t="shared" si="13"/>
        <v>0</v>
      </c>
      <c r="AP34" s="151">
        <f t="shared" si="13"/>
        <v>0</v>
      </c>
      <c r="AQ34" s="151">
        <f t="shared" si="13"/>
        <v>0</v>
      </c>
      <c r="AR34" s="151">
        <f t="shared" si="13"/>
        <v>0</v>
      </c>
      <c r="AS34" s="151">
        <f t="shared" si="13"/>
        <v>0</v>
      </c>
      <c r="AT34" s="151">
        <f t="shared" si="13"/>
        <v>0</v>
      </c>
    </row>
    <row r="35" spans="1:48" s="148" customFormat="1" ht="131.25" customHeight="1" x14ac:dyDescent="0.3">
      <c r="A35" s="294" t="str">
        <f>'EEM Data Entry'!A117</f>
        <v/>
      </c>
      <c r="B35" s="295" t="str">
        <f>IF('EEM Data Entry'!B117="  ","  ", 'EEM Data Entry'!B117)</f>
        <v/>
      </c>
      <c r="C35" s="288" t="str">
        <f>'EEM Data Entry'!F117</f>
        <v/>
      </c>
      <c r="D35" s="288">
        <v>0</v>
      </c>
      <c r="E35" s="288" t="e">
        <f t="shared" si="14"/>
        <v>#VALUE!</v>
      </c>
      <c r="F35" s="308">
        <f>('Savings Summary'!D41*'Savings Summary'!D$5)+('Savings Summary'!F41*'Savings Summary'!F$5)+('Savings Summary'!H41*'Savings Summary'!H$5)+('Savings Summary'!J41*'Savings Summary'!J$5)+('Savings Summary'!L41*'Savings Summary'!L$5)+('Savings Summary'!N41*'Savings Summary'!N$5)+('Savings Summary'!P41*'Savings Summary'!P$5)+('Savings Summary'!R41*'Savings Summary'!R$5)</f>
        <v>0</v>
      </c>
      <c r="G35" s="289">
        <f>'Savings Summary'!T41</f>
        <v>0</v>
      </c>
      <c r="H35" s="290" t="e">
        <f t="shared" si="18"/>
        <v>#VALUE!</v>
      </c>
      <c r="I35" s="291" t="e">
        <f t="shared" si="16"/>
        <v>#VALUE!</v>
      </c>
      <c r="J35" s="292" t="e">
        <f>IRR(#REF!,0.1)</f>
        <v>#REF!</v>
      </c>
      <c r="K35" s="293" t="e">
        <f>NPV(0.05,#REF!)</f>
        <v>#REF!</v>
      </c>
      <c r="P35" s="151">
        <f t="shared" si="19"/>
        <v>0</v>
      </c>
      <c r="Q35" s="151">
        <f t="shared" si="20"/>
        <v>0</v>
      </c>
      <c r="R35" s="151">
        <f t="shared" si="21"/>
        <v>0</v>
      </c>
      <c r="S35" s="151">
        <f t="shared" si="21"/>
        <v>0</v>
      </c>
      <c r="T35" s="151">
        <f t="shared" si="21"/>
        <v>0</v>
      </c>
      <c r="U35" s="151">
        <f t="shared" si="21"/>
        <v>0</v>
      </c>
      <c r="V35" s="151">
        <f t="shared" si="17"/>
        <v>0</v>
      </c>
      <c r="W35" s="151">
        <f t="shared" si="17"/>
        <v>0</v>
      </c>
      <c r="X35" s="151">
        <f t="shared" si="17"/>
        <v>0</v>
      </c>
      <c r="Y35" s="151">
        <f t="shared" si="17"/>
        <v>0</v>
      </c>
      <c r="Z35" s="151">
        <f t="shared" si="17"/>
        <v>0</v>
      </c>
      <c r="AA35" s="151">
        <f t="shared" si="17"/>
        <v>0</v>
      </c>
      <c r="AB35" s="151">
        <f t="shared" si="17"/>
        <v>0</v>
      </c>
      <c r="AC35" s="151">
        <f t="shared" si="17"/>
        <v>0</v>
      </c>
      <c r="AD35" s="151">
        <f t="shared" si="17"/>
        <v>0</v>
      </c>
      <c r="AE35" s="151">
        <f t="shared" si="17"/>
        <v>0</v>
      </c>
      <c r="AF35" s="151">
        <f t="shared" si="17"/>
        <v>0</v>
      </c>
      <c r="AG35" s="151">
        <f t="shared" si="17"/>
        <v>0</v>
      </c>
      <c r="AH35" s="151">
        <f t="shared" si="13"/>
        <v>0</v>
      </c>
      <c r="AI35" s="151">
        <f t="shared" si="13"/>
        <v>0</v>
      </c>
      <c r="AJ35" s="151">
        <f t="shared" si="13"/>
        <v>0</v>
      </c>
      <c r="AK35" s="151">
        <f t="shared" si="13"/>
        <v>0</v>
      </c>
      <c r="AL35" s="151">
        <f t="shared" si="13"/>
        <v>0</v>
      </c>
      <c r="AM35" s="151">
        <f t="shared" si="13"/>
        <v>0</v>
      </c>
      <c r="AN35" s="151">
        <f t="shared" si="13"/>
        <v>0</v>
      </c>
      <c r="AO35" s="151">
        <f t="shared" si="13"/>
        <v>0</v>
      </c>
      <c r="AP35" s="151">
        <f t="shared" si="13"/>
        <v>0</v>
      </c>
      <c r="AQ35" s="151">
        <f t="shared" si="13"/>
        <v>0</v>
      </c>
      <c r="AR35" s="151">
        <f t="shared" si="13"/>
        <v>0</v>
      </c>
      <c r="AS35" s="151">
        <f t="shared" si="13"/>
        <v>0</v>
      </c>
      <c r="AT35" s="151">
        <f t="shared" si="13"/>
        <v>0</v>
      </c>
    </row>
    <row r="36" spans="1:48" s="148" customFormat="1" ht="131.25" customHeight="1" x14ac:dyDescent="0.3">
      <c r="A36" s="294" t="str">
        <f>'EEM Data Entry'!A118</f>
        <v/>
      </c>
      <c r="B36" s="295" t="str">
        <f>IF('EEM Data Entry'!B118="  ","  ", 'EEM Data Entry'!B118)</f>
        <v/>
      </c>
      <c r="C36" s="288" t="str">
        <f>'EEM Data Entry'!F118</f>
        <v/>
      </c>
      <c r="D36" s="288">
        <v>0</v>
      </c>
      <c r="E36" s="288" t="e">
        <f t="shared" si="14"/>
        <v>#VALUE!</v>
      </c>
      <c r="F36" s="308">
        <f>('Savings Summary'!D42*'Savings Summary'!D$5)+('Savings Summary'!F42*'Savings Summary'!F$5)+('Savings Summary'!H42*'Savings Summary'!H$5)+('Savings Summary'!J42*'Savings Summary'!J$5)+('Savings Summary'!L42*'Savings Summary'!L$5)+('Savings Summary'!N42*'Savings Summary'!N$5)+('Savings Summary'!P42*'Savings Summary'!P$5)+('Savings Summary'!R42*'Savings Summary'!R$5)</f>
        <v>0</v>
      </c>
      <c r="G36" s="289">
        <f>'Savings Summary'!T42</f>
        <v>0</v>
      </c>
      <c r="H36" s="290" t="e">
        <f t="shared" si="18"/>
        <v>#VALUE!</v>
      </c>
      <c r="I36" s="291" t="e">
        <f t="shared" si="16"/>
        <v>#VALUE!</v>
      </c>
      <c r="J36" s="292" t="e">
        <f>IRR(#REF!,0.1)</f>
        <v>#REF!</v>
      </c>
      <c r="K36" s="293" t="e">
        <f>NPV(0.05,#REF!)</f>
        <v>#REF!</v>
      </c>
      <c r="P36" s="151" t="e">
        <f t="shared" si="19"/>
        <v>#VALUE!</v>
      </c>
      <c r="Q36" s="151">
        <f t="shared" si="20"/>
        <v>0</v>
      </c>
      <c r="R36" s="151">
        <f t="shared" si="21"/>
        <v>0</v>
      </c>
      <c r="S36" s="151">
        <f t="shared" si="21"/>
        <v>0</v>
      </c>
      <c r="T36" s="151">
        <f t="shared" si="21"/>
        <v>0</v>
      </c>
      <c r="U36" s="151">
        <f t="shared" si="21"/>
        <v>0</v>
      </c>
      <c r="V36" s="151">
        <f t="shared" si="13"/>
        <v>0</v>
      </c>
      <c r="W36" s="151">
        <f t="shared" si="13"/>
        <v>0</v>
      </c>
      <c r="X36" s="151">
        <f t="shared" si="13"/>
        <v>0</v>
      </c>
      <c r="Y36" s="151">
        <f t="shared" si="13"/>
        <v>0</v>
      </c>
      <c r="Z36" s="151">
        <f t="shared" si="13"/>
        <v>0</v>
      </c>
      <c r="AA36" s="151">
        <f t="shared" si="13"/>
        <v>0</v>
      </c>
      <c r="AB36" s="151">
        <f t="shared" si="13"/>
        <v>0</v>
      </c>
      <c r="AC36" s="151">
        <f t="shared" si="13"/>
        <v>0</v>
      </c>
      <c r="AD36" s="151">
        <f t="shared" si="13"/>
        <v>0</v>
      </c>
      <c r="AE36" s="151">
        <f t="shared" si="13"/>
        <v>0</v>
      </c>
      <c r="AF36" s="151">
        <f t="shared" si="13"/>
        <v>0</v>
      </c>
      <c r="AG36" s="151">
        <f t="shared" si="13"/>
        <v>0</v>
      </c>
      <c r="AH36" s="151">
        <f t="shared" si="13"/>
        <v>0</v>
      </c>
      <c r="AI36" s="151">
        <f t="shared" si="13"/>
        <v>0</v>
      </c>
      <c r="AJ36" s="151">
        <f t="shared" si="13"/>
        <v>0</v>
      </c>
      <c r="AK36" s="151">
        <f t="shared" si="13"/>
        <v>0</v>
      </c>
      <c r="AL36" s="151">
        <f t="shared" si="13"/>
        <v>0</v>
      </c>
      <c r="AM36" s="151">
        <f t="shared" si="13"/>
        <v>0</v>
      </c>
      <c r="AN36" s="151">
        <f t="shared" si="13"/>
        <v>0</v>
      </c>
      <c r="AO36" s="151">
        <f t="shared" si="13"/>
        <v>0</v>
      </c>
      <c r="AP36" s="151">
        <f t="shared" si="13"/>
        <v>0</v>
      </c>
      <c r="AQ36" s="151">
        <f t="shared" si="13"/>
        <v>0</v>
      </c>
      <c r="AR36" s="151">
        <f t="shared" si="13"/>
        <v>0</v>
      </c>
      <c r="AS36" s="151">
        <f t="shared" si="13"/>
        <v>0</v>
      </c>
      <c r="AT36" s="151">
        <f t="shared" si="13"/>
        <v>0</v>
      </c>
    </row>
    <row r="37" spans="1:48" s="148" customFormat="1" ht="131.25" customHeight="1" x14ac:dyDescent="0.3">
      <c r="A37" s="294" t="str">
        <f>'EEM Data Entry'!A119</f>
        <v/>
      </c>
      <c r="B37" s="295" t="str">
        <f>IF('EEM Data Entry'!B119="  ","  ", 'EEM Data Entry'!B119)</f>
        <v/>
      </c>
      <c r="C37" s="288" t="str">
        <f>'EEM Data Entry'!F119</f>
        <v/>
      </c>
      <c r="D37" s="288">
        <v>0</v>
      </c>
      <c r="E37" s="288" t="e">
        <f t="shared" si="14"/>
        <v>#VALUE!</v>
      </c>
      <c r="F37" s="308">
        <f>('Savings Summary'!D43*'Savings Summary'!D$5)+('Savings Summary'!F43*'Savings Summary'!F$5)+('Savings Summary'!H43*'Savings Summary'!H$5)+('Savings Summary'!J43*'Savings Summary'!J$5)+('Savings Summary'!L43*'Savings Summary'!L$5)+('Savings Summary'!N43*'Savings Summary'!N$5)+('Savings Summary'!P43*'Savings Summary'!P$5)+('Savings Summary'!R43*'Savings Summary'!R$5)</f>
        <v>0</v>
      </c>
      <c r="G37" s="289">
        <f>'Savings Summary'!T43</f>
        <v>0</v>
      </c>
      <c r="H37" s="290" t="s">
        <v>139</v>
      </c>
      <c r="I37" s="291" t="str">
        <f t="shared" si="16"/>
        <v>no</v>
      </c>
      <c r="J37" s="292" t="s">
        <v>139</v>
      </c>
      <c r="K37" s="293" t="e">
        <f>NPV(0.05,#REF!)</f>
        <v>#REF!</v>
      </c>
      <c r="P37" s="151" t="e">
        <f t="shared" si="19"/>
        <v>#VALUE!</v>
      </c>
      <c r="Q37" s="151">
        <f t="shared" si="20"/>
        <v>0</v>
      </c>
      <c r="R37" s="151">
        <f t="shared" si="21"/>
        <v>0</v>
      </c>
      <c r="S37" s="151">
        <f t="shared" si="21"/>
        <v>0</v>
      </c>
      <c r="T37" s="151">
        <f t="shared" si="21"/>
        <v>0</v>
      </c>
      <c r="U37" s="151">
        <f t="shared" si="21"/>
        <v>0</v>
      </c>
      <c r="V37" s="151">
        <f t="shared" si="13"/>
        <v>0</v>
      </c>
      <c r="W37" s="151">
        <f t="shared" si="13"/>
        <v>0</v>
      </c>
      <c r="X37" s="151">
        <f t="shared" si="13"/>
        <v>0</v>
      </c>
      <c r="Y37" s="151">
        <f t="shared" si="13"/>
        <v>0</v>
      </c>
      <c r="Z37" s="151">
        <f t="shared" si="13"/>
        <v>0</v>
      </c>
      <c r="AA37" s="151">
        <f t="shared" si="13"/>
        <v>0</v>
      </c>
      <c r="AB37" s="151">
        <f t="shared" si="13"/>
        <v>0</v>
      </c>
      <c r="AC37" s="151">
        <f t="shared" si="13"/>
        <v>0</v>
      </c>
      <c r="AD37" s="151">
        <f t="shared" si="13"/>
        <v>0</v>
      </c>
      <c r="AE37" s="151">
        <f t="shared" si="13"/>
        <v>0</v>
      </c>
      <c r="AF37" s="151">
        <f t="shared" si="13"/>
        <v>0</v>
      </c>
      <c r="AG37" s="151">
        <f t="shared" si="13"/>
        <v>0</v>
      </c>
      <c r="AH37" s="151">
        <f t="shared" si="13"/>
        <v>0</v>
      </c>
      <c r="AI37" s="151">
        <f t="shared" si="13"/>
        <v>0</v>
      </c>
      <c r="AJ37" s="151">
        <f t="shared" si="13"/>
        <v>0</v>
      </c>
      <c r="AK37" s="151">
        <f t="shared" si="13"/>
        <v>0</v>
      </c>
      <c r="AL37" s="151">
        <f t="shared" si="13"/>
        <v>0</v>
      </c>
      <c r="AM37" s="151">
        <f t="shared" si="13"/>
        <v>0</v>
      </c>
      <c r="AN37" s="151">
        <f t="shared" si="13"/>
        <v>0</v>
      </c>
      <c r="AO37" s="151">
        <f t="shared" si="13"/>
        <v>0</v>
      </c>
      <c r="AP37" s="151">
        <f t="shared" si="13"/>
        <v>0</v>
      </c>
      <c r="AQ37" s="151">
        <f t="shared" si="13"/>
        <v>0</v>
      </c>
      <c r="AR37" s="151">
        <f t="shared" si="13"/>
        <v>0</v>
      </c>
      <c r="AS37" s="151">
        <f t="shared" si="13"/>
        <v>0</v>
      </c>
      <c r="AT37" s="151">
        <f t="shared" si="13"/>
        <v>0</v>
      </c>
    </row>
    <row r="38" spans="1:48" s="148" customFormat="1" ht="131.25" customHeight="1" x14ac:dyDescent="0.3">
      <c r="A38" s="294" t="str">
        <f>'EEM Data Entry'!A120</f>
        <v/>
      </c>
      <c r="B38" s="295" t="str">
        <f>IF('EEM Data Entry'!B120="  ","  ", 'EEM Data Entry'!B120)</f>
        <v/>
      </c>
      <c r="C38" s="288" t="str">
        <f>'EEM Data Entry'!F120</f>
        <v/>
      </c>
      <c r="D38" s="288">
        <v>0</v>
      </c>
      <c r="E38" s="288" t="e">
        <f t="shared" si="14"/>
        <v>#VALUE!</v>
      </c>
      <c r="F38" s="308">
        <f>('Savings Summary'!D44*'Savings Summary'!D$5)+('Savings Summary'!F44*'Savings Summary'!F$5)+('Savings Summary'!H44*'Savings Summary'!H$5)+('Savings Summary'!J44*'Savings Summary'!J$5)+('Savings Summary'!L44*'Savings Summary'!L$5)+('Savings Summary'!N44*'Savings Summary'!N$5)+('Savings Summary'!P44*'Savings Summary'!P$5)+('Savings Summary'!R44*'Savings Summary'!R$5)</f>
        <v>0</v>
      </c>
      <c r="G38" s="289">
        <f>'Savings Summary'!T44</f>
        <v>0</v>
      </c>
      <c r="H38" s="290" t="e">
        <f t="shared" si="18"/>
        <v>#VALUE!</v>
      </c>
      <c r="I38" s="291" t="e">
        <f t="shared" si="16"/>
        <v>#VALUE!</v>
      </c>
      <c r="J38" s="292" t="e">
        <f>IRR(#REF!,0.1)</f>
        <v>#REF!</v>
      </c>
      <c r="K38" s="293" t="e">
        <f>NPV(0.05,#REF!)</f>
        <v>#REF!</v>
      </c>
      <c r="P38" s="151" t="e">
        <f t="shared" si="19"/>
        <v>#VALUE!</v>
      </c>
      <c r="Q38" s="151">
        <f t="shared" si="20"/>
        <v>0</v>
      </c>
      <c r="R38" s="151">
        <f t="shared" si="21"/>
        <v>0</v>
      </c>
      <c r="S38" s="151">
        <f t="shared" si="21"/>
        <v>0</v>
      </c>
      <c r="T38" s="151">
        <f t="shared" si="21"/>
        <v>0</v>
      </c>
      <c r="U38" s="151">
        <f t="shared" si="21"/>
        <v>0</v>
      </c>
      <c r="V38" s="151">
        <f t="shared" si="13"/>
        <v>0</v>
      </c>
      <c r="W38" s="151">
        <f t="shared" si="13"/>
        <v>0</v>
      </c>
      <c r="X38" s="151">
        <f t="shared" si="13"/>
        <v>0</v>
      </c>
      <c r="Y38" s="151">
        <f t="shared" si="13"/>
        <v>0</v>
      </c>
      <c r="Z38" s="151">
        <f t="shared" si="13"/>
        <v>0</v>
      </c>
      <c r="AA38" s="151">
        <f t="shared" si="13"/>
        <v>0</v>
      </c>
      <c r="AB38" s="151">
        <f t="shared" si="13"/>
        <v>0</v>
      </c>
      <c r="AC38" s="151">
        <f t="shared" si="13"/>
        <v>0</v>
      </c>
      <c r="AD38" s="151">
        <f t="shared" si="13"/>
        <v>0</v>
      </c>
      <c r="AE38" s="151">
        <f t="shared" si="13"/>
        <v>0</v>
      </c>
      <c r="AF38" s="151">
        <f t="shared" si="13"/>
        <v>0</v>
      </c>
      <c r="AG38" s="151">
        <f t="shared" si="13"/>
        <v>0</v>
      </c>
      <c r="AH38" s="151">
        <f t="shared" si="13"/>
        <v>0</v>
      </c>
      <c r="AI38" s="151">
        <f t="shared" si="13"/>
        <v>0</v>
      </c>
      <c r="AJ38" s="151">
        <f t="shared" si="13"/>
        <v>0</v>
      </c>
      <c r="AK38" s="151">
        <f t="shared" si="13"/>
        <v>0</v>
      </c>
      <c r="AL38" s="151">
        <f t="shared" si="13"/>
        <v>0</v>
      </c>
      <c r="AM38" s="151">
        <f t="shared" si="13"/>
        <v>0</v>
      </c>
      <c r="AN38" s="151">
        <f t="shared" si="13"/>
        <v>0</v>
      </c>
      <c r="AO38" s="151">
        <f t="shared" si="13"/>
        <v>0</v>
      </c>
      <c r="AP38" s="151">
        <f t="shared" si="13"/>
        <v>0</v>
      </c>
      <c r="AQ38" s="151">
        <f t="shared" si="13"/>
        <v>0</v>
      </c>
      <c r="AR38" s="151">
        <f t="shared" si="13"/>
        <v>0</v>
      </c>
      <c r="AS38" s="151">
        <f t="shared" si="13"/>
        <v>0</v>
      </c>
      <c r="AT38" s="151">
        <f t="shared" si="13"/>
        <v>0</v>
      </c>
    </row>
    <row r="39" spans="1:48" s="148" customFormat="1" ht="131.25" customHeight="1" x14ac:dyDescent="0.3">
      <c r="A39" s="294" t="str">
        <f>'EEM Data Entry'!A121</f>
        <v/>
      </c>
      <c r="B39" s="295" t="str">
        <f>IF('EEM Data Entry'!B121="  ","  ", 'EEM Data Entry'!B121)</f>
        <v/>
      </c>
      <c r="C39" s="288" t="str">
        <f>'EEM Data Entry'!F121</f>
        <v/>
      </c>
      <c r="D39" s="288">
        <v>0</v>
      </c>
      <c r="E39" s="288" t="e">
        <f t="shared" si="14"/>
        <v>#VALUE!</v>
      </c>
      <c r="F39" s="308">
        <f>('Savings Summary'!D45*'Savings Summary'!D$5)+('Savings Summary'!F45*'Savings Summary'!F$5)+('Savings Summary'!H45*'Savings Summary'!H$5)+('Savings Summary'!J45*'Savings Summary'!J$5)+('Savings Summary'!L45*'Savings Summary'!L$5)+('Savings Summary'!N45*'Savings Summary'!N$5)+('Savings Summary'!P45*'Savings Summary'!P$5)+('Savings Summary'!R45*'Savings Summary'!R$5)</f>
        <v>0</v>
      </c>
      <c r="G39" s="289">
        <f>'Savings Summary'!T45</f>
        <v>0</v>
      </c>
      <c r="H39" s="290" t="e">
        <f t="shared" si="18"/>
        <v>#VALUE!</v>
      </c>
      <c r="I39" s="291" t="e">
        <f t="shared" si="16"/>
        <v>#VALUE!</v>
      </c>
      <c r="J39" s="292" t="e">
        <f>IRR(#REF!,0.1)</f>
        <v>#REF!</v>
      </c>
      <c r="K39" s="293" t="e">
        <f>NPV(0.05,#REF!)</f>
        <v>#REF!</v>
      </c>
      <c r="P39" s="151" t="e">
        <f t="shared" si="19"/>
        <v>#VALUE!</v>
      </c>
      <c r="Q39" s="151">
        <f t="shared" si="20"/>
        <v>0</v>
      </c>
      <c r="R39" s="151">
        <f t="shared" si="21"/>
        <v>0</v>
      </c>
      <c r="S39" s="151">
        <f t="shared" si="21"/>
        <v>0</v>
      </c>
      <c r="T39" s="151">
        <f t="shared" si="21"/>
        <v>0</v>
      </c>
      <c r="U39" s="151">
        <f t="shared" si="21"/>
        <v>0</v>
      </c>
      <c r="V39" s="151">
        <f t="shared" si="13"/>
        <v>0</v>
      </c>
      <c r="W39" s="151">
        <f t="shared" si="13"/>
        <v>0</v>
      </c>
      <c r="X39" s="151">
        <f t="shared" si="13"/>
        <v>0</v>
      </c>
      <c r="Y39" s="151">
        <f t="shared" si="13"/>
        <v>0</v>
      </c>
      <c r="Z39" s="151">
        <f t="shared" si="13"/>
        <v>0</v>
      </c>
      <c r="AA39" s="151">
        <f t="shared" si="13"/>
        <v>0</v>
      </c>
      <c r="AB39" s="151">
        <f t="shared" si="13"/>
        <v>0</v>
      </c>
      <c r="AC39" s="151">
        <f t="shared" si="13"/>
        <v>0</v>
      </c>
      <c r="AD39" s="151">
        <f t="shared" si="13"/>
        <v>0</v>
      </c>
      <c r="AE39" s="151">
        <f t="shared" si="13"/>
        <v>0</v>
      </c>
      <c r="AF39" s="151">
        <f t="shared" si="13"/>
        <v>0</v>
      </c>
      <c r="AG39" s="151">
        <f t="shared" si="13"/>
        <v>0</v>
      </c>
      <c r="AH39" s="151">
        <f t="shared" si="13"/>
        <v>0</v>
      </c>
      <c r="AI39" s="151">
        <f t="shared" si="13"/>
        <v>0</v>
      </c>
      <c r="AJ39" s="151">
        <f t="shared" si="13"/>
        <v>0</v>
      </c>
      <c r="AK39" s="151">
        <f t="shared" si="13"/>
        <v>0</v>
      </c>
      <c r="AL39" s="151">
        <f t="shared" si="13"/>
        <v>0</v>
      </c>
      <c r="AM39" s="151">
        <f t="shared" si="13"/>
        <v>0</v>
      </c>
      <c r="AN39" s="151">
        <f t="shared" si="13"/>
        <v>0</v>
      </c>
      <c r="AO39" s="151">
        <f t="shared" si="13"/>
        <v>0</v>
      </c>
      <c r="AP39" s="151">
        <f t="shared" si="13"/>
        <v>0</v>
      </c>
      <c r="AQ39" s="151">
        <f t="shared" si="13"/>
        <v>0</v>
      </c>
      <c r="AR39" s="151">
        <f t="shared" si="13"/>
        <v>0</v>
      </c>
      <c r="AS39" s="151">
        <f t="shared" si="13"/>
        <v>0</v>
      </c>
      <c r="AT39" s="151">
        <f t="shared" si="13"/>
        <v>0</v>
      </c>
    </row>
    <row r="40" spans="1:48" s="148" customFormat="1" ht="131.25" customHeight="1" thickBot="1" x14ac:dyDescent="0.35">
      <c r="A40" s="247" t="str">
        <f>'EEM Data Entry'!A122</f>
        <v/>
      </c>
      <c r="B40" s="340" t="str">
        <f>IF('EEM Data Entry'!B122="  ","  ", 'EEM Data Entry'!B122)</f>
        <v/>
      </c>
      <c r="C40" s="248" t="str">
        <f>'EEM Data Entry'!F122</f>
        <v/>
      </c>
      <c r="D40" s="310">
        <v>0</v>
      </c>
      <c r="E40" s="248" t="e">
        <f t="shared" si="14"/>
        <v>#VALUE!</v>
      </c>
      <c r="F40" s="311">
        <f>('Savings Summary'!D46*'Savings Summary'!D$5)+('Savings Summary'!F46*'Savings Summary'!F$5)+('Savings Summary'!H46*'Savings Summary'!H$5)+('Savings Summary'!J46*'Savings Summary'!J$5)+('Savings Summary'!L46*'Savings Summary'!L$5)+('Savings Summary'!N46*'Savings Summary'!N$5)+('Savings Summary'!P46*'Savings Summary'!P$5)+('Savings Summary'!R46*'Savings Summary'!R$5)</f>
        <v>0</v>
      </c>
      <c r="G40" s="256">
        <f>'Savings Summary'!T46</f>
        <v>0</v>
      </c>
      <c r="H40" s="213" t="e">
        <f t="shared" si="18"/>
        <v>#VALUE!</v>
      </c>
      <c r="I40" s="214" t="e">
        <f>IF(H40=0, "n/a", IF(H40&gt;100, "no",IF(H40&lt;0, "no", "yes")))</f>
        <v>#VALUE!</v>
      </c>
      <c r="J40" s="249" t="e">
        <f>IRR(#REF!,0.1)</f>
        <v>#REF!</v>
      </c>
      <c r="K40" s="250" t="e">
        <f>NPV(0.05,#REF!)</f>
        <v>#REF!</v>
      </c>
      <c r="P40" s="151" t="e">
        <f t="shared" si="19"/>
        <v>#VALUE!</v>
      </c>
      <c r="Q40" s="151">
        <f t="shared" si="20"/>
        <v>0</v>
      </c>
      <c r="R40" s="151">
        <f t="shared" si="21"/>
        <v>0</v>
      </c>
      <c r="S40" s="151">
        <f t="shared" si="21"/>
        <v>0</v>
      </c>
      <c r="T40" s="151">
        <f t="shared" si="21"/>
        <v>0</v>
      </c>
      <c r="U40" s="151">
        <f t="shared" si="21"/>
        <v>0</v>
      </c>
      <c r="V40" s="151">
        <f t="shared" si="13"/>
        <v>0</v>
      </c>
      <c r="W40" s="151">
        <f t="shared" si="13"/>
        <v>0</v>
      </c>
      <c r="X40" s="151">
        <f t="shared" ref="X40:AT41" si="22">W40*1.05</f>
        <v>0</v>
      </c>
      <c r="Y40" s="151">
        <f t="shared" si="22"/>
        <v>0</v>
      </c>
      <c r="Z40" s="151">
        <f t="shared" si="22"/>
        <v>0</v>
      </c>
      <c r="AA40" s="151">
        <f t="shared" si="22"/>
        <v>0</v>
      </c>
      <c r="AB40" s="151">
        <f t="shared" si="22"/>
        <v>0</v>
      </c>
      <c r="AC40" s="151">
        <f t="shared" si="22"/>
        <v>0</v>
      </c>
      <c r="AD40" s="151">
        <f t="shared" si="22"/>
        <v>0</v>
      </c>
      <c r="AE40" s="151">
        <f t="shared" si="22"/>
        <v>0</v>
      </c>
      <c r="AF40" s="151">
        <f t="shared" si="22"/>
        <v>0</v>
      </c>
      <c r="AG40" s="151">
        <f t="shared" si="22"/>
        <v>0</v>
      </c>
      <c r="AH40" s="151">
        <f t="shared" si="22"/>
        <v>0</v>
      </c>
      <c r="AI40" s="151">
        <f t="shared" si="22"/>
        <v>0</v>
      </c>
      <c r="AJ40" s="151">
        <f t="shared" si="22"/>
        <v>0</v>
      </c>
      <c r="AK40" s="151">
        <f t="shared" si="22"/>
        <v>0</v>
      </c>
      <c r="AL40" s="151">
        <f t="shared" si="22"/>
        <v>0</v>
      </c>
      <c r="AM40" s="151">
        <f t="shared" si="22"/>
        <v>0</v>
      </c>
      <c r="AN40" s="151">
        <f t="shared" si="22"/>
        <v>0</v>
      </c>
      <c r="AO40" s="151">
        <f t="shared" si="22"/>
        <v>0</v>
      </c>
      <c r="AP40" s="151">
        <f t="shared" si="22"/>
        <v>0</v>
      </c>
      <c r="AQ40" s="151">
        <f t="shared" si="22"/>
        <v>0</v>
      </c>
      <c r="AR40" s="151">
        <f t="shared" si="22"/>
        <v>0</v>
      </c>
      <c r="AS40" s="151">
        <f t="shared" si="22"/>
        <v>0</v>
      </c>
      <c r="AT40" s="151">
        <f t="shared" si="22"/>
        <v>0</v>
      </c>
    </row>
    <row r="41" spans="1:48" s="148" customFormat="1" ht="131.25" customHeight="1" x14ac:dyDescent="0.3">
      <c r="A41" s="242" t="str">
        <f>'EEM Data Entry'!A123</f>
        <v/>
      </c>
      <c r="B41" s="341" t="str">
        <f>IF('EEM Data Entry'!B123="  ","  ", 'EEM Data Entry'!B123)</f>
        <v/>
      </c>
      <c r="C41" s="243" t="str">
        <f>'EEM Data Entry'!F123</f>
        <v/>
      </c>
      <c r="D41" s="253">
        <v>0</v>
      </c>
      <c r="E41" s="243" t="e">
        <f t="shared" si="14"/>
        <v>#VALUE!</v>
      </c>
      <c r="F41" s="254">
        <f>('Savings Summary'!D47*'Savings Summary'!D$5)+('Savings Summary'!F47*'Savings Summary'!F$5)+('Savings Summary'!H47*'Savings Summary'!H$5)+('Savings Summary'!J47*'Savings Summary'!J$5)+('Savings Summary'!L47*'Savings Summary'!L$5)+('Savings Summary'!N47*'Savings Summary'!N$5)+('Savings Summary'!P47*'Savings Summary'!P$5)+('Savings Summary'!R47*'Savings Summary'!R$5)</f>
        <v>0</v>
      </c>
      <c r="G41" s="244">
        <f>'Savings Summary'!T47</f>
        <v>0</v>
      </c>
      <c r="H41" s="210" t="e">
        <f t="shared" si="18"/>
        <v>#VALUE!</v>
      </c>
      <c r="I41" s="211" t="e">
        <f t="shared" si="16"/>
        <v>#VALUE!</v>
      </c>
      <c r="J41" s="245" t="e">
        <f>IRR(#REF!,0.1)</f>
        <v>#REF!</v>
      </c>
      <c r="K41" s="246" t="e">
        <f>NPV(0.05,#REF!)</f>
        <v>#REF!</v>
      </c>
      <c r="P41" s="151" t="e">
        <f t="shared" si="19"/>
        <v>#VALUE!</v>
      </c>
      <c r="Q41" s="151">
        <f t="shared" si="20"/>
        <v>0</v>
      </c>
      <c r="R41" s="151">
        <f t="shared" si="21"/>
        <v>0</v>
      </c>
      <c r="S41" s="151">
        <f t="shared" si="21"/>
        <v>0</v>
      </c>
      <c r="T41" s="151">
        <f t="shared" si="21"/>
        <v>0</v>
      </c>
      <c r="U41" s="151">
        <f t="shared" si="21"/>
        <v>0</v>
      </c>
      <c r="V41" s="151">
        <f t="shared" si="21"/>
        <v>0</v>
      </c>
      <c r="W41" s="151">
        <f t="shared" si="21"/>
        <v>0</v>
      </c>
      <c r="X41" s="151">
        <f t="shared" si="21"/>
        <v>0</v>
      </c>
      <c r="Y41" s="151">
        <f t="shared" si="21"/>
        <v>0</v>
      </c>
      <c r="Z41" s="151">
        <f t="shared" si="21"/>
        <v>0</v>
      </c>
      <c r="AA41" s="151">
        <f t="shared" si="21"/>
        <v>0</v>
      </c>
      <c r="AB41" s="151">
        <f t="shared" si="21"/>
        <v>0</v>
      </c>
      <c r="AC41" s="151">
        <f t="shared" si="21"/>
        <v>0</v>
      </c>
      <c r="AD41" s="151">
        <f t="shared" si="21"/>
        <v>0</v>
      </c>
      <c r="AE41" s="151">
        <f t="shared" si="21"/>
        <v>0</v>
      </c>
      <c r="AF41" s="151">
        <f t="shared" si="21"/>
        <v>0</v>
      </c>
      <c r="AG41" s="151">
        <f t="shared" si="21"/>
        <v>0</v>
      </c>
      <c r="AH41" s="151">
        <f t="shared" si="22"/>
        <v>0</v>
      </c>
      <c r="AI41" s="151">
        <f t="shared" si="22"/>
        <v>0</v>
      </c>
      <c r="AJ41" s="151">
        <f t="shared" si="22"/>
        <v>0</v>
      </c>
      <c r="AK41" s="151">
        <f t="shared" si="22"/>
        <v>0</v>
      </c>
      <c r="AL41" s="151">
        <f t="shared" si="22"/>
        <v>0</v>
      </c>
      <c r="AM41" s="151">
        <f t="shared" si="22"/>
        <v>0</v>
      </c>
      <c r="AN41" s="151">
        <f t="shared" si="22"/>
        <v>0</v>
      </c>
      <c r="AO41" s="151">
        <f t="shared" si="22"/>
        <v>0</v>
      </c>
      <c r="AP41" s="151">
        <f t="shared" si="22"/>
        <v>0</v>
      </c>
      <c r="AQ41" s="151">
        <f t="shared" si="22"/>
        <v>0</v>
      </c>
      <c r="AR41" s="151">
        <f t="shared" si="22"/>
        <v>0</v>
      </c>
      <c r="AS41" s="151">
        <f t="shared" si="22"/>
        <v>0</v>
      </c>
      <c r="AT41" s="151">
        <f t="shared" si="22"/>
        <v>0</v>
      </c>
    </row>
    <row r="42" spans="1:48" s="148" customFormat="1" ht="131.25" customHeight="1" x14ac:dyDescent="0.3">
      <c r="A42" s="198"/>
      <c r="B42" s="369"/>
      <c r="C42" s="370"/>
      <c r="D42" s="370"/>
      <c r="E42" s="370"/>
      <c r="F42" s="371"/>
      <c r="G42" s="202"/>
      <c r="H42" s="372"/>
      <c r="I42" s="212"/>
      <c r="J42" s="215"/>
      <c r="K42" s="373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</row>
    <row r="43" spans="1:48" s="148" customFormat="1" ht="131.25" customHeight="1" x14ac:dyDescent="0.4">
      <c r="A43" s="217"/>
      <c r="B43" s="342"/>
      <c r="C43" s="218"/>
      <c r="D43" s="200"/>
      <c r="E43" s="218"/>
      <c r="F43" s="227"/>
      <c r="G43" s="219"/>
      <c r="H43" s="220"/>
      <c r="I43" s="200"/>
      <c r="J43" s="200"/>
      <c r="K43" s="200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</row>
    <row r="44" spans="1:48" s="159" customFormat="1" ht="131.25" customHeight="1" x14ac:dyDescent="0.3">
      <c r="A44" s="267" t="s">
        <v>145</v>
      </c>
      <c r="B44" s="339" t="s">
        <v>406</v>
      </c>
      <c r="C44" s="268" t="s">
        <v>35</v>
      </c>
      <c r="D44" s="268" t="s">
        <v>90</v>
      </c>
      <c r="E44" s="268" t="s">
        <v>119</v>
      </c>
      <c r="F44" s="269" t="s">
        <v>118</v>
      </c>
      <c r="G44" s="268" t="s">
        <v>125</v>
      </c>
      <c r="H44" s="268" t="s">
        <v>124</v>
      </c>
      <c r="I44" s="268" t="s">
        <v>72</v>
      </c>
      <c r="J44" s="268" t="s">
        <v>17</v>
      </c>
      <c r="K44" s="270" t="s">
        <v>22</v>
      </c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48"/>
      <c r="AV44" s="148"/>
    </row>
    <row r="45" spans="1:48" s="148" customFormat="1" ht="131.25" customHeight="1" x14ac:dyDescent="0.3">
      <c r="A45" s="294" t="str">
        <f>'EEM Data Entry'!A125</f>
        <v/>
      </c>
      <c r="B45" s="295" t="str">
        <f>IF('EEM Data Entry'!B125="  ","  ", 'EEM Data Entry'!B125)</f>
        <v/>
      </c>
      <c r="C45" s="295" t="str">
        <f>IF('EEM Data Entry'!F125="  ","  ", 'EEM Data Entry'!F125)</f>
        <v/>
      </c>
      <c r="D45" s="295">
        <f>IF('EEM Data Entry'!H125="  ","  ", 'EEM Data Entry'!H125)</f>
        <v>0</v>
      </c>
      <c r="E45" s="295">
        <f>IF('EEM Data Entry'!I125="  ","  ", 'EEM Data Entry'!I125)</f>
        <v>0</v>
      </c>
      <c r="F45" s="315">
        <f>('Cascading Savings'!D50*'Cascading Savings'!D$4)+('Cascading Savings'!F50*'Cascading Savings'!F$4)+('Cascading Savings'!H50*'Cascading Savings'!H$4)+('Cascading Savings'!J50*'Cascading Savings'!J$4)+('Cascading Savings'!L50*'Cascading Savings'!L$4)+('Cascading Savings'!N50*'Cascading Savings'!N$4)+('Cascading Savings'!P50*'Cascading Savings'!P$4)+('Cascading Savings'!R50*'Cascading Savings'!R$4)</f>
        <v>0</v>
      </c>
      <c r="G45" s="289">
        <f>'Cascading Savings'!T50</f>
        <v>0</v>
      </c>
      <c r="H45" s="290" t="e">
        <f>IF(C45=0,"n/a",E45/F45)</f>
        <v>#DIV/0!</v>
      </c>
      <c r="I45" s="291" t="e">
        <f>IF(H45=0, "n/a", IF(H45&gt;100, "no",IF(H45&lt;0, "no", "yes")))</f>
        <v>#DIV/0!</v>
      </c>
      <c r="J45" s="292" t="e">
        <f>IRR(P45:AT45,0.1)</f>
        <v>#NUM!</v>
      </c>
      <c r="K45" s="293">
        <f>NPV(0.05,P45:AT45)</f>
        <v>0</v>
      </c>
      <c r="P45" s="151">
        <f>-E45</f>
        <v>0</v>
      </c>
      <c r="Q45" s="151">
        <f>Table31416[[#This Row],[ANNUAL ENERGY COST SAVINGS]]</f>
        <v>0</v>
      </c>
      <c r="R45" s="151">
        <f t="shared" ref="R45:AG58" si="23">Q45*1.05</f>
        <v>0</v>
      </c>
      <c r="S45" s="151">
        <f t="shared" si="23"/>
        <v>0</v>
      </c>
      <c r="T45" s="151">
        <f t="shared" si="23"/>
        <v>0</v>
      </c>
      <c r="U45" s="151">
        <f t="shared" si="23"/>
        <v>0</v>
      </c>
      <c r="V45" s="151">
        <f t="shared" si="23"/>
        <v>0</v>
      </c>
      <c r="W45" s="151">
        <f t="shared" si="23"/>
        <v>0</v>
      </c>
      <c r="X45" s="151">
        <f t="shared" si="23"/>
        <v>0</v>
      </c>
      <c r="Y45" s="151">
        <f t="shared" si="23"/>
        <v>0</v>
      </c>
      <c r="Z45" s="151">
        <f t="shared" si="23"/>
        <v>0</v>
      </c>
      <c r="AA45" s="151">
        <f t="shared" si="23"/>
        <v>0</v>
      </c>
      <c r="AB45" s="151">
        <f t="shared" si="23"/>
        <v>0</v>
      </c>
      <c r="AC45" s="151">
        <f t="shared" si="23"/>
        <v>0</v>
      </c>
      <c r="AD45" s="151">
        <f t="shared" si="23"/>
        <v>0</v>
      </c>
      <c r="AE45" s="151">
        <f t="shared" si="23"/>
        <v>0</v>
      </c>
      <c r="AF45" s="151">
        <f t="shared" si="23"/>
        <v>0</v>
      </c>
      <c r="AG45" s="151">
        <f t="shared" si="23"/>
        <v>0</v>
      </c>
      <c r="AH45" s="151">
        <f t="shared" ref="AH45:AT58" si="24">AG45*1.05</f>
        <v>0</v>
      </c>
      <c r="AI45" s="151">
        <f t="shared" si="24"/>
        <v>0</v>
      </c>
      <c r="AJ45" s="151">
        <f t="shared" si="24"/>
        <v>0</v>
      </c>
      <c r="AK45" s="151">
        <f t="shared" si="24"/>
        <v>0</v>
      </c>
      <c r="AL45" s="151">
        <f t="shared" si="24"/>
        <v>0</v>
      </c>
      <c r="AM45" s="151">
        <f t="shared" si="24"/>
        <v>0</v>
      </c>
      <c r="AN45" s="151">
        <f t="shared" si="24"/>
        <v>0</v>
      </c>
      <c r="AO45" s="151">
        <f t="shared" si="24"/>
        <v>0</v>
      </c>
      <c r="AP45" s="151">
        <f t="shared" si="24"/>
        <v>0</v>
      </c>
      <c r="AQ45" s="151">
        <f t="shared" si="24"/>
        <v>0</v>
      </c>
      <c r="AR45" s="151">
        <f t="shared" si="24"/>
        <v>0</v>
      </c>
      <c r="AS45" s="151">
        <f t="shared" si="24"/>
        <v>0</v>
      </c>
      <c r="AT45" s="151">
        <f t="shared" si="24"/>
        <v>0</v>
      </c>
      <c r="AU45" s="159"/>
      <c r="AV45" s="159"/>
    </row>
    <row r="46" spans="1:48" s="148" customFormat="1" ht="131.25" customHeight="1" x14ac:dyDescent="0.3">
      <c r="A46" s="294" t="str">
        <f>'EEM Data Entry'!A126</f>
        <v/>
      </c>
      <c r="B46" s="295" t="str">
        <f>IF('EEM Data Entry'!B126="  ","  ", 'EEM Data Entry'!B126)</f>
        <v/>
      </c>
      <c r="C46" s="295" t="str">
        <f>IF('EEM Data Entry'!F126="  ","  ", 'EEM Data Entry'!F126)</f>
        <v/>
      </c>
      <c r="D46" s="295">
        <f>IF('EEM Data Entry'!H126="  ","  ", 'EEM Data Entry'!H126)</f>
        <v>0</v>
      </c>
      <c r="E46" s="295">
        <f>IF('EEM Data Entry'!I126="  ","  ", 'EEM Data Entry'!I126)</f>
        <v>0</v>
      </c>
      <c r="F46" s="315">
        <f>('Cascading Savings'!D51*'Cascading Savings'!D$4)+('Cascading Savings'!F51*'Cascading Savings'!F$4)+('Cascading Savings'!H51*'Cascading Savings'!H$4)+('Cascading Savings'!J51*'Cascading Savings'!J$4)+('Cascading Savings'!L51*'Cascading Savings'!L$4)+('Cascading Savings'!N51*'Cascading Savings'!N$4)+('Cascading Savings'!P51*'Cascading Savings'!P$4)+('Cascading Savings'!R51*'Cascading Savings'!R$4)</f>
        <v>0</v>
      </c>
      <c r="G46" s="289">
        <f>'Cascading Savings'!T51</f>
        <v>0</v>
      </c>
      <c r="H46" s="290" t="e">
        <f>IF(C46=0,"n/a",E46/F46)</f>
        <v>#DIV/0!</v>
      </c>
      <c r="I46" s="291" t="e">
        <f t="shared" ref="I46:I59" si="25">IF(H46=0, "n/a", IF(H46&gt;100, "no",IF(H46&lt;0, "no", "yes")))</f>
        <v>#DIV/0!</v>
      </c>
      <c r="J46" s="292" t="e">
        <f>IRR(P46:AT46,0.1)</f>
        <v>#VALUE!</v>
      </c>
      <c r="K46" s="293" t="e">
        <f>NPV(0.05,P46:AT46)</f>
        <v>#VALUE!</v>
      </c>
      <c r="P46" s="151" t="e">
        <f>-Table31416[[#This Row],[CAPITAL INVESTMENT]]</f>
        <v>#VALUE!</v>
      </c>
      <c r="Q46" s="151">
        <f>Table31416[[#This Row],[ANNUAL ENERGY COST SAVINGS]]</f>
        <v>0</v>
      </c>
      <c r="R46" s="151">
        <f t="shared" si="23"/>
        <v>0</v>
      </c>
      <c r="S46" s="151">
        <f t="shared" si="23"/>
        <v>0</v>
      </c>
      <c r="T46" s="151">
        <f t="shared" si="23"/>
        <v>0</v>
      </c>
      <c r="U46" s="151">
        <f t="shared" si="23"/>
        <v>0</v>
      </c>
      <c r="V46" s="151">
        <f t="shared" si="23"/>
        <v>0</v>
      </c>
      <c r="W46" s="151">
        <f t="shared" si="23"/>
        <v>0</v>
      </c>
      <c r="X46" s="151">
        <f t="shared" si="23"/>
        <v>0</v>
      </c>
      <c r="Y46" s="151">
        <f t="shared" si="23"/>
        <v>0</v>
      </c>
      <c r="Z46" s="151">
        <f t="shared" si="23"/>
        <v>0</v>
      </c>
      <c r="AA46" s="151">
        <f t="shared" si="23"/>
        <v>0</v>
      </c>
      <c r="AB46" s="151">
        <f t="shared" si="23"/>
        <v>0</v>
      </c>
      <c r="AC46" s="151">
        <f t="shared" si="23"/>
        <v>0</v>
      </c>
      <c r="AD46" s="151">
        <f t="shared" si="23"/>
        <v>0</v>
      </c>
      <c r="AE46" s="151">
        <f t="shared" si="23"/>
        <v>0</v>
      </c>
      <c r="AF46" s="151">
        <f t="shared" si="23"/>
        <v>0</v>
      </c>
      <c r="AG46" s="151">
        <f t="shared" si="23"/>
        <v>0</v>
      </c>
      <c r="AH46" s="151">
        <f t="shared" si="24"/>
        <v>0</v>
      </c>
      <c r="AI46" s="151">
        <f t="shared" si="24"/>
        <v>0</v>
      </c>
      <c r="AJ46" s="151">
        <f t="shared" si="24"/>
        <v>0</v>
      </c>
      <c r="AK46" s="151">
        <f t="shared" si="24"/>
        <v>0</v>
      </c>
      <c r="AL46" s="151">
        <f t="shared" si="24"/>
        <v>0</v>
      </c>
      <c r="AM46" s="151">
        <f t="shared" si="24"/>
        <v>0</v>
      </c>
      <c r="AN46" s="151">
        <f t="shared" si="24"/>
        <v>0</v>
      </c>
      <c r="AO46" s="151">
        <f t="shared" si="24"/>
        <v>0</v>
      </c>
      <c r="AP46" s="151">
        <f t="shared" si="24"/>
        <v>0</v>
      </c>
      <c r="AQ46" s="151">
        <f t="shared" si="24"/>
        <v>0</v>
      </c>
      <c r="AR46" s="151">
        <f t="shared" si="24"/>
        <v>0</v>
      </c>
      <c r="AS46" s="151">
        <f t="shared" si="24"/>
        <v>0</v>
      </c>
      <c r="AT46" s="151">
        <f t="shared" si="24"/>
        <v>0</v>
      </c>
    </row>
    <row r="47" spans="1:48" s="148" customFormat="1" ht="131.25" customHeight="1" x14ac:dyDescent="0.3">
      <c r="A47" s="294" t="s">
        <v>56</v>
      </c>
      <c r="B47" s="295" t="str">
        <f>IF('EEM Data Entry'!B127="  ","  ", 'EEM Data Entry'!B127)</f>
        <v/>
      </c>
      <c r="C47" s="288" t="str">
        <f>'EEM Data Entry'!F127</f>
        <v/>
      </c>
      <c r="D47" s="288">
        <v>0</v>
      </c>
      <c r="E47" s="288" t="e">
        <f t="shared" ref="E47:E59" si="26">C47-D47</f>
        <v>#VALUE!</v>
      </c>
      <c r="F47" s="315">
        <f>('Cascading Savings'!D52*'Cascading Savings'!D$4)+('Cascading Savings'!F52*'Cascading Savings'!F$4)+('Cascading Savings'!H52*'Cascading Savings'!H$4)+('Cascading Savings'!J52*'Cascading Savings'!J$4)+('Cascading Savings'!L52*'Cascading Savings'!L$4)+('Cascading Savings'!N52*'Cascading Savings'!N$4)+('Cascading Savings'!P52*'Cascading Savings'!P$4)+('Cascading Savings'!R52*'Cascading Savings'!R$4)</f>
        <v>0</v>
      </c>
      <c r="G47" s="289">
        <f>'Cascading Savings'!T52</f>
        <v>0</v>
      </c>
      <c r="H47" s="290" t="e">
        <f>IF(C47=0,"n/a",E47/F47)</f>
        <v>#VALUE!</v>
      </c>
      <c r="I47" s="291" t="e">
        <f t="shared" si="25"/>
        <v>#VALUE!</v>
      </c>
      <c r="J47" s="292" t="e">
        <f>IRR(P47:AT47,0.1)</f>
        <v>#VALUE!</v>
      </c>
      <c r="K47" s="293" t="e">
        <f>NPV(0.05,P47:AT47)</f>
        <v>#VALUE!</v>
      </c>
      <c r="P47" s="151" t="e">
        <f>-Table31416[[#This Row],[CAPITAL INVESTMENT]]</f>
        <v>#VALUE!</v>
      </c>
      <c r="Q47" s="151">
        <f>Table31416[[#This Row],[ANNUAL ENERGY COST SAVINGS]]</f>
        <v>0</v>
      </c>
      <c r="R47" s="151">
        <f t="shared" si="23"/>
        <v>0</v>
      </c>
      <c r="S47" s="151">
        <f t="shared" si="23"/>
        <v>0</v>
      </c>
      <c r="T47" s="151">
        <f t="shared" si="23"/>
        <v>0</v>
      </c>
      <c r="U47" s="151">
        <f t="shared" si="23"/>
        <v>0</v>
      </c>
      <c r="V47" s="151">
        <f t="shared" si="23"/>
        <v>0</v>
      </c>
      <c r="W47" s="151">
        <f t="shared" si="23"/>
        <v>0</v>
      </c>
      <c r="X47" s="151">
        <f t="shared" si="23"/>
        <v>0</v>
      </c>
      <c r="Y47" s="151">
        <f t="shared" si="23"/>
        <v>0</v>
      </c>
      <c r="Z47" s="151">
        <f t="shared" si="23"/>
        <v>0</v>
      </c>
      <c r="AA47" s="151">
        <f t="shared" si="23"/>
        <v>0</v>
      </c>
      <c r="AB47" s="151">
        <f t="shared" si="23"/>
        <v>0</v>
      </c>
      <c r="AC47" s="151">
        <f t="shared" si="23"/>
        <v>0</v>
      </c>
      <c r="AD47" s="151">
        <f t="shared" si="23"/>
        <v>0</v>
      </c>
      <c r="AE47" s="151">
        <f t="shared" si="23"/>
        <v>0</v>
      </c>
      <c r="AF47" s="151">
        <f t="shared" si="23"/>
        <v>0</v>
      </c>
      <c r="AG47" s="151">
        <f t="shared" si="23"/>
        <v>0</v>
      </c>
      <c r="AH47" s="151">
        <f t="shared" si="24"/>
        <v>0</v>
      </c>
      <c r="AI47" s="151">
        <f t="shared" si="24"/>
        <v>0</v>
      </c>
      <c r="AJ47" s="151">
        <f t="shared" si="24"/>
        <v>0</v>
      </c>
      <c r="AK47" s="151">
        <f t="shared" si="24"/>
        <v>0</v>
      </c>
      <c r="AL47" s="151">
        <f t="shared" si="24"/>
        <v>0</v>
      </c>
      <c r="AM47" s="151">
        <f t="shared" si="24"/>
        <v>0</v>
      </c>
      <c r="AN47" s="151">
        <f t="shared" si="24"/>
        <v>0</v>
      </c>
      <c r="AO47" s="151">
        <f t="shared" si="24"/>
        <v>0</v>
      </c>
      <c r="AP47" s="151">
        <f t="shared" si="24"/>
        <v>0</v>
      </c>
      <c r="AQ47" s="151">
        <f t="shared" si="24"/>
        <v>0</v>
      </c>
      <c r="AR47" s="151">
        <f t="shared" si="24"/>
        <v>0</v>
      </c>
      <c r="AS47" s="151">
        <f t="shared" si="24"/>
        <v>0</v>
      </c>
      <c r="AT47" s="151">
        <f t="shared" si="24"/>
        <v>0</v>
      </c>
    </row>
    <row r="48" spans="1:48" s="148" customFormat="1" ht="131.25" customHeight="1" x14ac:dyDescent="0.3">
      <c r="A48" s="294"/>
      <c r="B48" s="295"/>
      <c r="C48" s="288"/>
      <c r="D48" s="288"/>
      <c r="E48" s="288"/>
      <c r="F48" s="315"/>
      <c r="G48" s="289"/>
      <c r="H48" s="290"/>
      <c r="I48" s="291"/>
      <c r="J48" s="292"/>
      <c r="K48" s="293"/>
      <c r="P48" s="151" t="e">
        <f t="shared" ref="P48:P58" si="27">-E65</f>
        <v>#VALUE!</v>
      </c>
      <c r="Q48" s="151" t="e">
        <f t="shared" ref="Q48:Q58" si="28">F65</f>
        <v>#REF!</v>
      </c>
      <c r="R48" s="151" t="e">
        <f t="shared" si="23"/>
        <v>#REF!</v>
      </c>
      <c r="S48" s="151" t="e">
        <f t="shared" si="23"/>
        <v>#REF!</v>
      </c>
      <c r="T48" s="151" t="e">
        <f t="shared" si="23"/>
        <v>#REF!</v>
      </c>
      <c r="U48" s="151" t="e">
        <f t="shared" si="23"/>
        <v>#REF!</v>
      </c>
      <c r="V48" s="151" t="e">
        <f t="shared" si="23"/>
        <v>#REF!</v>
      </c>
      <c r="W48" s="151" t="e">
        <f t="shared" si="23"/>
        <v>#REF!</v>
      </c>
      <c r="X48" s="151" t="e">
        <f t="shared" si="23"/>
        <v>#REF!</v>
      </c>
      <c r="Y48" s="151" t="e">
        <f t="shared" si="23"/>
        <v>#REF!</v>
      </c>
      <c r="Z48" s="151" t="e">
        <f t="shared" si="23"/>
        <v>#REF!</v>
      </c>
      <c r="AA48" s="151" t="e">
        <f t="shared" si="23"/>
        <v>#REF!</v>
      </c>
      <c r="AB48" s="151" t="e">
        <f t="shared" si="23"/>
        <v>#REF!</v>
      </c>
      <c r="AC48" s="151" t="e">
        <f t="shared" si="23"/>
        <v>#REF!</v>
      </c>
      <c r="AD48" s="151" t="e">
        <f t="shared" si="23"/>
        <v>#REF!</v>
      </c>
      <c r="AE48" s="151" t="e">
        <f t="shared" si="23"/>
        <v>#REF!</v>
      </c>
      <c r="AF48" s="151" t="e">
        <f t="shared" si="23"/>
        <v>#REF!</v>
      </c>
      <c r="AG48" s="151" t="e">
        <f t="shared" si="23"/>
        <v>#REF!</v>
      </c>
      <c r="AH48" s="151" t="e">
        <f t="shared" si="24"/>
        <v>#REF!</v>
      </c>
      <c r="AI48" s="151" t="e">
        <f t="shared" si="24"/>
        <v>#REF!</v>
      </c>
      <c r="AJ48" s="151" t="e">
        <f t="shared" si="24"/>
        <v>#REF!</v>
      </c>
      <c r="AK48" s="151" t="e">
        <f t="shared" si="24"/>
        <v>#REF!</v>
      </c>
      <c r="AL48" s="151" t="e">
        <f t="shared" si="24"/>
        <v>#REF!</v>
      </c>
      <c r="AM48" s="151" t="e">
        <f t="shared" si="24"/>
        <v>#REF!</v>
      </c>
      <c r="AN48" s="151" t="e">
        <f t="shared" si="24"/>
        <v>#REF!</v>
      </c>
      <c r="AO48" s="151" t="e">
        <f t="shared" si="24"/>
        <v>#REF!</v>
      </c>
      <c r="AP48" s="151" t="e">
        <f t="shared" si="24"/>
        <v>#REF!</v>
      </c>
      <c r="AQ48" s="151" t="e">
        <f t="shared" si="24"/>
        <v>#REF!</v>
      </c>
      <c r="AR48" s="151" t="e">
        <f t="shared" si="24"/>
        <v>#REF!</v>
      </c>
      <c r="AS48" s="151" t="e">
        <f t="shared" si="24"/>
        <v>#REF!</v>
      </c>
      <c r="AT48" s="151" t="e">
        <f t="shared" si="24"/>
        <v>#REF!</v>
      </c>
    </row>
    <row r="49" spans="1:48" s="148" customFormat="1" ht="131.25" customHeight="1" x14ac:dyDescent="0.3">
      <c r="A49" s="294"/>
      <c r="B49" s="295"/>
      <c r="C49" s="288"/>
      <c r="D49" s="288"/>
      <c r="E49" s="288"/>
      <c r="F49" s="315"/>
      <c r="G49" s="289"/>
      <c r="H49" s="290"/>
      <c r="I49" s="291"/>
      <c r="J49" s="292"/>
      <c r="K49" s="293"/>
      <c r="P49" s="151" t="e">
        <f t="shared" si="27"/>
        <v>#VALUE!</v>
      </c>
      <c r="Q49" s="151" t="e">
        <f t="shared" si="28"/>
        <v>#REF!</v>
      </c>
      <c r="R49" s="151" t="e">
        <f t="shared" si="23"/>
        <v>#REF!</v>
      </c>
      <c r="S49" s="151" t="e">
        <f t="shared" si="23"/>
        <v>#REF!</v>
      </c>
      <c r="T49" s="151" t="e">
        <f t="shared" si="23"/>
        <v>#REF!</v>
      </c>
      <c r="U49" s="151" t="e">
        <f t="shared" si="23"/>
        <v>#REF!</v>
      </c>
      <c r="V49" s="151" t="e">
        <f t="shared" si="23"/>
        <v>#REF!</v>
      </c>
      <c r="W49" s="151" t="e">
        <f t="shared" si="23"/>
        <v>#REF!</v>
      </c>
      <c r="X49" s="151" t="e">
        <f t="shared" si="23"/>
        <v>#REF!</v>
      </c>
      <c r="Y49" s="151" t="e">
        <f t="shared" si="23"/>
        <v>#REF!</v>
      </c>
      <c r="Z49" s="151" t="e">
        <f t="shared" si="23"/>
        <v>#REF!</v>
      </c>
      <c r="AA49" s="151" t="e">
        <f t="shared" si="23"/>
        <v>#REF!</v>
      </c>
      <c r="AB49" s="151" t="e">
        <f t="shared" si="23"/>
        <v>#REF!</v>
      </c>
      <c r="AC49" s="151" t="e">
        <f t="shared" si="23"/>
        <v>#REF!</v>
      </c>
      <c r="AD49" s="151" t="e">
        <f t="shared" si="23"/>
        <v>#REF!</v>
      </c>
      <c r="AE49" s="151" t="e">
        <f t="shared" si="23"/>
        <v>#REF!</v>
      </c>
      <c r="AF49" s="151" t="e">
        <f t="shared" si="23"/>
        <v>#REF!</v>
      </c>
      <c r="AG49" s="151" t="e">
        <f t="shared" si="23"/>
        <v>#REF!</v>
      </c>
      <c r="AH49" s="151" t="e">
        <f t="shared" si="24"/>
        <v>#REF!</v>
      </c>
      <c r="AI49" s="151" t="e">
        <f t="shared" si="24"/>
        <v>#REF!</v>
      </c>
      <c r="AJ49" s="151" t="e">
        <f t="shared" si="24"/>
        <v>#REF!</v>
      </c>
      <c r="AK49" s="151" t="e">
        <f t="shared" si="24"/>
        <v>#REF!</v>
      </c>
      <c r="AL49" s="151" t="e">
        <f t="shared" si="24"/>
        <v>#REF!</v>
      </c>
      <c r="AM49" s="151" t="e">
        <f t="shared" si="24"/>
        <v>#REF!</v>
      </c>
      <c r="AN49" s="151" t="e">
        <f t="shared" si="24"/>
        <v>#REF!</v>
      </c>
      <c r="AO49" s="151" t="e">
        <f t="shared" si="24"/>
        <v>#REF!</v>
      </c>
      <c r="AP49" s="151" t="e">
        <f t="shared" si="24"/>
        <v>#REF!</v>
      </c>
      <c r="AQ49" s="151" t="e">
        <f t="shared" si="24"/>
        <v>#REF!</v>
      </c>
      <c r="AR49" s="151" t="e">
        <f t="shared" si="24"/>
        <v>#REF!</v>
      </c>
      <c r="AS49" s="151" t="e">
        <f t="shared" si="24"/>
        <v>#REF!</v>
      </c>
      <c r="AT49" s="151" t="e">
        <f t="shared" si="24"/>
        <v>#REF!</v>
      </c>
    </row>
    <row r="50" spans="1:48" s="148" customFormat="1" ht="131.25" customHeight="1" x14ac:dyDescent="0.3">
      <c r="A50" s="294"/>
      <c r="B50" s="295"/>
      <c r="C50" s="288"/>
      <c r="D50" s="288"/>
      <c r="E50" s="288"/>
      <c r="F50" s="308"/>
      <c r="G50" s="289"/>
      <c r="H50" s="290"/>
      <c r="I50" s="291"/>
      <c r="J50" s="292"/>
      <c r="K50" s="293"/>
      <c r="P50" s="151" t="e">
        <f t="shared" si="27"/>
        <v>#VALUE!</v>
      </c>
      <c r="Q50" s="151" t="e">
        <f t="shared" si="28"/>
        <v>#REF!</v>
      </c>
      <c r="R50" s="151" t="e">
        <f t="shared" si="23"/>
        <v>#REF!</v>
      </c>
      <c r="S50" s="151" t="e">
        <f t="shared" si="23"/>
        <v>#REF!</v>
      </c>
      <c r="T50" s="151" t="e">
        <f t="shared" si="23"/>
        <v>#REF!</v>
      </c>
      <c r="U50" s="151" t="e">
        <f t="shared" si="23"/>
        <v>#REF!</v>
      </c>
      <c r="V50" s="151" t="e">
        <f t="shared" si="23"/>
        <v>#REF!</v>
      </c>
      <c r="W50" s="151" t="e">
        <f t="shared" si="23"/>
        <v>#REF!</v>
      </c>
      <c r="X50" s="151" t="e">
        <f t="shared" si="23"/>
        <v>#REF!</v>
      </c>
      <c r="Y50" s="151" t="e">
        <f t="shared" si="23"/>
        <v>#REF!</v>
      </c>
      <c r="Z50" s="151" t="e">
        <f t="shared" si="23"/>
        <v>#REF!</v>
      </c>
      <c r="AA50" s="151" t="e">
        <f t="shared" si="23"/>
        <v>#REF!</v>
      </c>
      <c r="AB50" s="151" t="e">
        <f t="shared" si="23"/>
        <v>#REF!</v>
      </c>
      <c r="AC50" s="151" t="e">
        <f t="shared" si="23"/>
        <v>#REF!</v>
      </c>
      <c r="AD50" s="151" t="e">
        <f t="shared" si="23"/>
        <v>#REF!</v>
      </c>
      <c r="AE50" s="151" t="e">
        <f t="shared" si="23"/>
        <v>#REF!</v>
      </c>
      <c r="AF50" s="151" t="e">
        <f t="shared" si="23"/>
        <v>#REF!</v>
      </c>
      <c r="AG50" s="151" t="e">
        <f t="shared" si="23"/>
        <v>#REF!</v>
      </c>
      <c r="AH50" s="151" t="e">
        <f t="shared" si="24"/>
        <v>#REF!</v>
      </c>
      <c r="AI50" s="151" t="e">
        <f t="shared" si="24"/>
        <v>#REF!</v>
      </c>
      <c r="AJ50" s="151" t="e">
        <f t="shared" si="24"/>
        <v>#REF!</v>
      </c>
      <c r="AK50" s="151" t="e">
        <f t="shared" si="24"/>
        <v>#REF!</v>
      </c>
      <c r="AL50" s="151" t="e">
        <f t="shared" si="24"/>
        <v>#REF!</v>
      </c>
      <c r="AM50" s="151" t="e">
        <f t="shared" si="24"/>
        <v>#REF!</v>
      </c>
      <c r="AN50" s="151" t="e">
        <f t="shared" si="24"/>
        <v>#REF!</v>
      </c>
      <c r="AO50" s="151" t="e">
        <f t="shared" si="24"/>
        <v>#REF!</v>
      </c>
      <c r="AP50" s="151" t="e">
        <f t="shared" si="24"/>
        <v>#REF!</v>
      </c>
      <c r="AQ50" s="151" t="e">
        <f t="shared" si="24"/>
        <v>#REF!</v>
      </c>
      <c r="AR50" s="151" t="e">
        <f t="shared" si="24"/>
        <v>#REF!</v>
      </c>
      <c r="AS50" s="151" t="e">
        <f t="shared" si="24"/>
        <v>#REF!</v>
      </c>
      <c r="AT50" s="151" t="e">
        <f t="shared" si="24"/>
        <v>#REF!</v>
      </c>
    </row>
    <row r="51" spans="1:48" s="148" customFormat="1" ht="131.25" customHeight="1" x14ac:dyDescent="0.3">
      <c r="A51" s="294"/>
      <c r="B51" s="295"/>
      <c r="C51" s="288"/>
      <c r="D51" s="288"/>
      <c r="E51" s="288"/>
      <c r="F51" s="308"/>
      <c r="G51" s="289"/>
      <c r="H51" s="290"/>
      <c r="I51" s="291"/>
      <c r="J51" s="292"/>
      <c r="K51" s="293"/>
      <c r="P51" s="151" t="e">
        <f t="shared" si="27"/>
        <v>#VALUE!</v>
      </c>
      <c r="Q51" s="151">
        <f t="shared" si="28"/>
        <v>0</v>
      </c>
      <c r="R51" s="151">
        <f t="shared" si="23"/>
        <v>0</v>
      </c>
      <c r="S51" s="151">
        <f t="shared" si="23"/>
        <v>0</v>
      </c>
      <c r="T51" s="151">
        <f t="shared" si="23"/>
        <v>0</v>
      </c>
      <c r="U51" s="151">
        <f t="shared" si="23"/>
        <v>0</v>
      </c>
      <c r="V51" s="151">
        <f t="shared" si="23"/>
        <v>0</v>
      </c>
      <c r="W51" s="151">
        <f t="shared" si="23"/>
        <v>0</v>
      </c>
      <c r="X51" s="151">
        <f t="shared" si="23"/>
        <v>0</v>
      </c>
      <c r="Y51" s="151">
        <f t="shared" si="23"/>
        <v>0</v>
      </c>
      <c r="Z51" s="151">
        <f t="shared" si="23"/>
        <v>0</v>
      </c>
      <c r="AA51" s="151">
        <f t="shared" si="23"/>
        <v>0</v>
      </c>
      <c r="AB51" s="151">
        <f t="shared" si="23"/>
        <v>0</v>
      </c>
      <c r="AC51" s="151">
        <f t="shared" si="23"/>
        <v>0</v>
      </c>
      <c r="AD51" s="151">
        <f t="shared" si="23"/>
        <v>0</v>
      </c>
      <c r="AE51" s="151">
        <f t="shared" si="23"/>
        <v>0</v>
      </c>
      <c r="AF51" s="151">
        <f t="shared" si="23"/>
        <v>0</v>
      </c>
      <c r="AG51" s="151">
        <f t="shared" si="23"/>
        <v>0</v>
      </c>
      <c r="AH51" s="151">
        <f t="shared" si="24"/>
        <v>0</v>
      </c>
      <c r="AI51" s="151">
        <f t="shared" si="24"/>
        <v>0</v>
      </c>
      <c r="AJ51" s="151">
        <f t="shared" si="24"/>
        <v>0</v>
      </c>
      <c r="AK51" s="151">
        <f t="shared" si="24"/>
        <v>0</v>
      </c>
      <c r="AL51" s="151">
        <f t="shared" si="24"/>
        <v>0</v>
      </c>
      <c r="AM51" s="151">
        <f t="shared" si="24"/>
        <v>0</v>
      </c>
      <c r="AN51" s="151">
        <f t="shared" si="24"/>
        <v>0</v>
      </c>
      <c r="AO51" s="151">
        <f t="shared" si="24"/>
        <v>0</v>
      </c>
      <c r="AP51" s="151">
        <f t="shared" si="24"/>
        <v>0</v>
      </c>
      <c r="AQ51" s="151">
        <f t="shared" si="24"/>
        <v>0</v>
      </c>
      <c r="AR51" s="151">
        <f t="shared" si="24"/>
        <v>0</v>
      </c>
      <c r="AS51" s="151">
        <f t="shared" si="24"/>
        <v>0</v>
      </c>
      <c r="AT51" s="151">
        <f t="shared" si="24"/>
        <v>0</v>
      </c>
    </row>
    <row r="52" spans="1:48" s="148" customFormat="1" ht="131.25" customHeight="1" x14ac:dyDescent="0.3">
      <c r="A52" s="294"/>
      <c r="B52" s="295"/>
      <c r="C52" s="288"/>
      <c r="D52" s="288"/>
      <c r="E52" s="288"/>
      <c r="F52" s="308"/>
      <c r="G52" s="289"/>
      <c r="H52" s="290"/>
      <c r="I52" s="291"/>
      <c r="J52" s="292"/>
      <c r="K52" s="293"/>
      <c r="P52" s="151" t="e">
        <f t="shared" si="27"/>
        <v>#VALUE!</v>
      </c>
      <c r="Q52" s="151">
        <f t="shared" si="28"/>
        <v>0</v>
      </c>
      <c r="R52" s="151">
        <f t="shared" si="23"/>
        <v>0</v>
      </c>
      <c r="S52" s="151">
        <f t="shared" si="23"/>
        <v>0</v>
      </c>
      <c r="T52" s="151">
        <f t="shared" si="23"/>
        <v>0</v>
      </c>
      <c r="U52" s="151">
        <f t="shared" si="23"/>
        <v>0</v>
      </c>
      <c r="V52" s="151">
        <f t="shared" si="23"/>
        <v>0</v>
      </c>
      <c r="W52" s="151">
        <f t="shared" si="23"/>
        <v>0</v>
      </c>
      <c r="X52" s="151">
        <f t="shared" si="23"/>
        <v>0</v>
      </c>
      <c r="Y52" s="151">
        <f t="shared" si="23"/>
        <v>0</v>
      </c>
      <c r="Z52" s="151">
        <f t="shared" si="23"/>
        <v>0</v>
      </c>
      <c r="AA52" s="151">
        <f t="shared" si="23"/>
        <v>0</v>
      </c>
      <c r="AB52" s="151">
        <f t="shared" si="23"/>
        <v>0</v>
      </c>
      <c r="AC52" s="151">
        <f t="shared" si="23"/>
        <v>0</v>
      </c>
      <c r="AD52" s="151">
        <f t="shared" si="23"/>
        <v>0</v>
      </c>
      <c r="AE52" s="151">
        <f t="shared" si="23"/>
        <v>0</v>
      </c>
      <c r="AF52" s="151">
        <f t="shared" si="23"/>
        <v>0</v>
      </c>
      <c r="AG52" s="151">
        <f t="shared" si="23"/>
        <v>0</v>
      </c>
      <c r="AH52" s="151">
        <f t="shared" si="24"/>
        <v>0</v>
      </c>
      <c r="AI52" s="151">
        <f t="shared" si="24"/>
        <v>0</v>
      </c>
      <c r="AJ52" s="151">
        <f t="shared" si="24"/>
        <v>0</v>
      </c>
      <c r="AK52" s="151">
        <f t="shared" si="24"/>
        <v>0</v>
      </c>
      <c r="AL52" s="151">
        <f t="shared" si="24"/>
        <v>0</v>
      </c>
      <c r="AM52" s="151">
        <f t="shared" si="24"/>
        <v>0</v>
      </c>
      <c r="AN52" s="151">
        <f t="shared" si="24"/>
        <v>0</v>
      </c>
      <c r="AO52" s="151">
        <f t="shared" si="24"/>
        <v>0</v>
      </c>
      <c r="AP52" s="151">
        <f t="shared" si="24"/>
        <v>0</v>
      </c>
      <c r="AQ52" s="151">
        <f t="shared" si="24"/>
        <v>0</v>
      </c>
      <c r="AR52" s="151">
        <f t="shared" si="24"/>
        <v>0</v>
      </c>
      <c r="AS52" s="151">
        <f t="shared" si="24"/>
        <v>0</v>
      </c>
      <c r="AT52" s="151">
        <f t="shared" si="24"/>
        <v>0</v>
      </c>
    </row>
    <row r="53" spans="1:48" s="148" customFormat="1" ht="131.25" customHeight="1" thickBot="1" x14ac:dyDescent="0.35">
      <c r="A53" s="198"/>
      <c r="B53" s="257"/>
      <c r="C53" s="259"/>
      <c r="D53" s="258"/>
      <c r="E53" s="259"/>
      <c r="F53" s="302"/>
      <c r="G53" s="260"/>
      <c r="H53" s="261"/>
      <c r="I53" s="247"/>
      <c r="J53" s="262"/>
      <c r="K53" s="263"/>
      <c r="P53" s="151" t="e">
        <f t="shared" si="27"/>
        <v>#VALUE!</v>
      </c>
      <c r="Q53" s="151">
        <f t="shared" si="28"/>
        <v>0</v>
      </c>
      <c r="R53" s="151">
        <f t="shared" si="23"/>
        <v>0</v>
      </c>
      <c r="S53" s="151">
        <f t="shared" si="23"/>
        <v>0</v>
      </c>
      <c r="T53" s="151">
        <f t="shared" si="23"/>
        <v>0</v>
      </c>
      <c r="U53" s="151">
        <f t="shared" si="23"/>
        <v>0</v>
      </c>
      <c r="V53" s="151">
        <f t="shared" si="23"/>
        <v>0</v>
      </c>
      <c r="W53" s="151">
        <f t="shared" si="23"/>
        <v>0</v>
      </c>
      <c r="X53" s="151">
        <f t="shared" si="23"/>
        <v>0</v>
      </c>
      <c r="Y53" s="151">
        <f t="shared" si="23"/>
        <v>0</v>
      </c>
      <c r="Z53" s="151">
        <f t="shared" si="23"/>
        <v>0</v>
      </c>
      <c r="AA53" s="151">
        <f t="shared" si="23"/>
        <v>0</v>
      </c>
      <c r="AB53" s="151">
        <f t="shared" si="23"/>
        <v>0</v>
      </c>
      <c r="AC53" s="151">
        <f t="shared" si="23"/>
        <v>0</v>
      </c>
      <c r="AD53" s="151">
        <f t="shared" si="23"/>
        <v>0</v>
      </c>
      <c r="AE53" s="151">
        <f t="shared" si="23"/>
        <v>0</v>
      </c>
      <c r="AF53" s="151">
        <f t="shared" si="23"/>
        <v>0</v>
      </c>
      <c r="AG53" s="151">
        <f t="shared" si="23"/>
        <v>0</v>
      </c>
      <c r="AH53" s="151">
        <f t="shared" si="24"/>
        <v>0</v>
      </c>
      <c r="AI53" s="151">
        <f t="shared" si="24"/>
        <v>0</v>
      </c>
      <c r="AJ53" s="151">
        <f t="shared" si="24"/>
        <v>0</v>
      </c>
      <c r="AK53" s="151">
        <f t="shared" si="24"/>
        <v>0</v>
      </c>
      <c r="AL53" s="151">
        <f t="shared" si="24"/>
        <v>0</v>
      </c>
      <c r="AM53" s="151">
        <f t="shared" si="24"/>
        <v>0</v>
      </c>
      <c r="AN53" s="151">
        <f t="shared" si="24"/>
        <v>0</v>
      </c>
      <c r="AO53" s="151">
        <f t="shared" si="24"/>
        <v>0</v>
      </c>
      <c r="AP53" s="151">
        <f t="shared" si="24"/>
        <v>0</v>
      </c>
      <c r="AQ53" s="151">
        <f t="shared" si="24"/>
        <v>0</v>
      </c>
      <c r="AR53" s="151">
        <f t="shared" si="24"/>
        <v>0</v>
      </c>
      <c r="AS53" s="151">
        <f t="shared" si="24"/>
        <v>0</v>
      </c>
      <c r="AT53" s="151">
        <f t="shared" si="24"/>
        <v>0</v>
      </c>
    </row>
    <row r="54" spans="1:48" s="148" customFormat="1" ht="131.25" customHeight="1" thickBot="1" x14ac:dyDescent="0.35">
      <c r="A54" s="242" t="str">
        <f>'EEM Data Entry'!A134</f>
        <v/>
      </c>
      <c r="B54" s="203" t="str">
        <f>IF('EEM Data Entry'!B134="  ","  ", 'EEM Data Entry'!B134)</f>
        <v/>
      </c>
      <c r="C54" s="199" t="str">
        <f>'EEM Data Entry'!F134</f>
        <v/>
      </c>
      <c r="D54" s="190">
        <v>0</v>
      </c>
      <c r="E54" s="199" t="e">
        <f t="shared" si="26"/>
        <v>#VALUE!</v>
      </c>
      <c r="F54" s="228">
        <f>('Cascading Savings'!D58*'Cascading Savings'!D$4)+('Cascading Savings'!F58*'Cascading Savings'!F$4)+('Cascading Savings'!H58*'Cascading Savings'!H$4)+('Cascading Savings'!J58*'Cascading Savings'!J$4)+('Cascading Savings'!L58*'Cascading Savings'!L$4)+('Cascading Savings'!N58*'Cascading Savings'!N$4)+('Cascading Savings'!P58*'Cascading Savings'!P$4)+('Cascading Savings'!R58*'Cascading Savings'!R$4)</f>
        <v>0</v>
      </c>
      <c r="G54" s="196">
        <f>'Savings Summary'!T59</f>
        <v>0</v>
      </c>
      <c r="H54" s="192" t="e">
        <f t="shared" ref="H54:H59" si="29">IF(C54=0,"n/a",E54/F54)</f>
        <v>#VALUE!</v>
      </c>
      <c r="I54" s="193" t="e">
        <f t="shared" si="25"/>
        <v>#VALUE!</v>
      </c>
      <c r="J54" s="194" t="e">
        <f t="shared" ref="J54:J59" si="30">IRR(P36:AT36,0.1)</f>
        <v>#VALUE!</v>
      </c>
      <c r="K54" s="251" t="e">
        <f t="shared" ref="K54:K59" si="31">NPV(0.05,P36:AT36)</f>
        <v>#VALUE!</v>
      </c>
      <c r="P54" s="151" t="e">
        <f t="shared" si="27"/>
        <v>#VALUE!</v>
      </c>
      <c r="Q54" s="151">
        <f t="shared" si="28"/>
        <v>0</v>
      </c>
      <c r="R54" s="151">
        <f t="shared" si="23"/>
        <v>0</v>
      </c>
      <c r="S54" s="151">
        <f t="shared" si="23"/>
        <v>0</v>
      </c>
      <c r="T54" s="151">
        <f t="shared" si="23"/>
        <v>0</v>
      </c>
      <c r="U54" s="151">
        <f t="shared" si="23"/>
        <v>0</v>
      </c>
      <c r="V54" s="151">
        <f t="shared" si="23"/>
        <v>0</v>
      </c>
      <c r="W54" s="151">
        <f t="shared" si="23"/>
        <v>0</v>
      </c>
      <c r="X54" s="151">
        <f t="shared" si="23"/>
        <v>0</v>
      </c>
      <c r="Y54" s="151">
        <f t="shared" si="23"/>
        <v>0</v>
      </c>
      <c r="Z54" s="151">
        <f t="shared" si="23"/>
        <v>0</v>
      </c>
      <c r="AA54" s="151">
        <f t="shared" si="23"/>
        <v>0</v>
      </c>
      <c r="AB54" s="151">
        <f t="shared" si="23"/>
        <v>0</v>
      </c>
      <c r="AC54" s="151">
        <f t="shared" si="23"/>
        <v>0</v>
      </c>
      <c r="AD54" s="151">
        <f t="shared" si="23"/>
        <v>0</v>
      </c>
      <c r="AE54" s="151">
        <f t="shared" si="23"/>
        <v>0</v>
      </c>
      <c r="AF54" s="151">
        <f t="shared" si="23"/>
        <v>0</v>
      </c>
      <c r="AG54" s="151">
        <f t="shared" si="23"/>
        <v>0</v>
      </c>
      <c r="AH54" s="151">
        <f t="shared" si="24"/>
        <v>0</v>
      </c>
      <c r="AI54" s="151">
        <f t="shared" si="24"/>
        <v>0</v>
      </c>
      <c r="AJ54" s="151">
        <f t="shared" si="24"/>
        <v>0</v>
      </c>
      <c r="AK54" s="151">
        <f t="shared" si="24"/>
        <v>0</v>
      </c>
      <c r="AL54" s="151">
        <f t="shared" si="24"/>
        <v>0</v>
      </c>
      <c r="AM54" s="151">
        <f t="shared" si="24"/>
        <v>0</v>
      </c>
      <c r="AN54" s="151">
        <f t="shared" si="24"/>
        <v>0</v>
      </c>
      <c r="AO54" s="151">
        <f t="shared" si="24"/>
        <v>0</v>
      </c>
      <c r="AP54" s="151">
        <f t="shared" si="24"/>
        <v>0</v>
      </c>
      <c r="AQ54" s="151">
        <f t="shared" si="24"/>
        <v>0</v>
      </c>
      <c r="AR54" s="151">
        <f t="shared" si="24"/>
        <v>0</v>
      </c>
      <c r="AS54" s="151">
        <f t="shared" si="24"/>
        <v>0</v>
      </c>
      <c r="AT54" s="151">
        <f t="shared" si="24"/>
        <v>0</v>
      </c>
    </row>
    <row r="55" spans="1:48" s="148" customFormat="1" ht="131.25" customHeight="1" thickBot="1" x14ac:dyDescent="0.35">
      <c r="A55" s="242" t="str">
        <f>'EEM Data Entry'!A135</f>
        <v/>
      </c>
      <c r="B55" s="203" t="str">
        <f>IF('EEM Data Entry'!B135="  ","  ", 'EEM Data Entry'!B135)</f>
        <v/>
      </c>
      <c r="C55" s="199" t="str">
        <f>'EEM Data Entry'!F135</f>
        <v/>
      </c>
      <c r="D55" s="190">
        <v>0</v>
      </c>
      <c r="E55" s="199" t="e">
        <f t="shared" si="26"/>
        <v>#VALUE!</v>
      </c>
      <c r="F55" s="228">
        <f>('Cascading Savings'!D59*'Cascading Savings'!D$4)+('Cascading Savings'!F59*'Cascading Savings'!F$4)+('Cascading Savings'!H59*'Cascading Savings'!H$4)+('Cascading Savings'!J59*'Cascading Savings'!J$4)+('Cascading Savings'!L59*'Cascading Savings'!L$4)+('Cascading Savings'!N59*'Cascading Savings'!N$4)+('Cascading Savings'!P59*'Cascading Savings'!P$4)+('Cascading Savings'!R59*'Cascading Savings'!R$4)</f>
        <v>0</v>
      </c>
      <c r="G55" s="196">
        <f>'Savings Summary'!T60</f>
        <v>0</v>
      </c>
      <c r="H55" s="192" t="e">
        <f t="shared" si="29"/>
        <v>#VALUE!</v>
      </c>
      <c r="I55" s="193" t="e">
        <f t="shared" si="25"/>
        <v>#VALUE!</v>
      </c>
      <c r="J55" s="194" t="e">
        <f t="shared" si="30"/>
        <v>#VALUE!</v>
      </c>
      <c r="K55" s="251" t="e">
        <f t="shared" si="31"/>
        <v>#VALUE!</v>
      </c>
      <c r="P55" s="151" t="e">
        <f t="shared" si="27"/>
        <v>#VALUE!</v>
      </c>
      <c r="Q55" s="151">
        <f t="shared" si="28"/>
        <v>0</v>
      </c>
      <c r="R55" s="151">
        <f t="shared" si="23"/>
        <v>0</v>
      </c>
      <c r="S55" s="151">
        <f t="shared" si="23"/>
        <v>0</v>
      </c>
      <c r="T55" s="151">
        <f t="shared" si="23"/>
        <v>0</v>
      </c>
      <c r="U55" s="151">
        <f t="shared" si="23"/>
        <v>0</v>
      </c>
      <c r="V55" s="151">
        <f t="shared" si="23"/>
        <v>0</v>
      </c>
      <c r="W55" s="151">
        <f t="shared" si="23"/>
        <v>0</v>
      </c>
      <c r="X55" s="151">
        <f t="shared" si="23"/>
        <v>0</v>
      </c>
      <c r="Y55" s="151">
        <f t="shared" si="23"/>
        <v>0</v>
      </c>
      <c r="Z55" s="151">
        <f t="shared" si="23"/>
        <v>0</v>
      </c>
      <c r="AA55" s="151">
        <f t="shared" si="23"/>
        <v>0</v>
      </c>
      <c r="AB55" s="151">
        <f t="shared" si="23"/>
        <v>0</v>
      </c>
      <c r="AC55" s="151">
        <f t="shared" si="23"/>
        <v>0</v>
      </c>
      <c r="AD55" s="151">
        <f t="shared" si="23"/>
        <v>0</v>
      </c>
      <c r="AE55" s="151">
        <f t="shared" si="23"/>
        <v>0</v>
      </c>
      <c r="AF55" s="151">
        <f t="shared" si="23"/>
        <v>0</v>
      </c>
      <c r="AG55" s="151">
        <f t="shared" si="23"/>
        <v>0</v>
      </c>
      <c r="AH55" s="151">
        <f t="shared" si="24"/>
        <v>0</v>
      </c>
      <c r="AI55" s="151">
        <f t="shared" si="24"/>
        <v>0</v>
      </c>
      <c r="AJ55" s="151">
        <f t="shared" si="24"/>
        <v>0</v>
      </c>
      <c r="AK55" s="151">
        <f t="shared" si="24"/>
        <v>0</v>
      </c>
      <c r="AL55" s="151">
        <f t="shared" si="24"/>
        <v>0</v>
      </c>
      <c r="AM55" s="151">
        <f t="shared" si="24"/>
        <v>0</v>
      </c>
      <c r="AN55" s="151">
        <f t="shared" si="24"/>
        <v>0</v>
      </c>
      <c r="AO55" s="151">
        <f t="shared" si="24"/>
        <v>0</v>
      </c>
      <c r="AP55" s="151">
        <f t="shared" si="24"/>
        <v>0</v>
      </c>
      <c r="AQ55" s="151">
        <f t="shared" si="24"/>
        <v>0</v>
      </c>
      <c r="AR55" s="151">
        <f t="shared" si="24"/>
        <v>0</v>
      </c>
      <c r="AS55" s="151">
        <f t="shared" si="24"/>
        <v>0</v>
      </c>
      <c r="AT55" s="151">
        <f t="shared" si="24"/>
        <v>0</v>
      </c>
    </row>
    <row r="56" spans="1:48" s="148" customFormat="1" ht="131.25" customHeight="1" thickBot="1" x14ac:dyDescent="0.35">
      <c r="A56" s="242" t="str">
        <f>'EEM Data Entry'!A136</f>
        <v/>
      </c>
      <c r="B56" s="203" t="str">
        <f>IF('EEM Data Entry'!B136="  ","  ", 'EEM Data Entry'!B136)</f>
        <v/>
      </c>
      <c r="C56" s="199" t="str">
        <f>'EEM Data Entry'!F136</f>
        <v/>
      </c>
      <c r="D56" s="190">
        <v>0</v>
      </c>
      <c r="E56" s="199" t="e">
        <f t="shared" si="26"/>
        <v>#VALUE!</v>
      </c>
      <c r="F56" s="228">
        <f>('Cascading Savings'!D60*'Cascading Savings'!D$4)+('Cascading Savings'!F60*'Cascading Savings'!F$4)+('Cascading Savings'!H60*'Cascading Savings'!H$4)+('Cascading Savings'!J60*'Cascading Savings'!J$4)+('Cascading Savings'!L60*'Cascading Savings'!L$4)+('Cascading Savings'!N60*'Cascading Savings'!N$4)+('Cascading Savings'!P60*'Cascading Savings'!P$4)+('Cascading Savings'!R60*'Cascading Savings'!R$4)</f>
        <v>0</v>
      </c>
      <c r="G56" s="196">
        <f>'Savings Summary'!T61</f>
        <v>0</v>
      </c>
      <c r="H56" s="192" t="e">
        <f t="shared" si="29"/>
        <v>#VALUE!</v>
      </c>
      <c r="I56" s="193" t="e">
        <f t="shared" si="25"/>
        <v>#VALUE!</v>
      </c>
      <c r="J56" s="194" t="e">
        <f t="shared" si="30"/>
        <v>#VALUE!</v>
      </c>
      <c r="K56" s="251" t="e">
        <f t="shared" si="31"/>
        <v>#VALUE!</v>
      </c>
      <c r="P56" s="151" t="e">
        <f t="shared" si="27"/>
        <v>#VALUE!</v>
      </c>
      <c r="Q56" s="151">
        <f t="shared" si="28"/>
        <v>0</v>
      </c>
      <c r="R56" s="151">
        <f t="shared" si="23"/>
        <v>0</v>
      </c>
      <c r="S56" s="151">
        <f t="shared" si="23"/>
        <v>0</v>
      </c>
      <c r="T56" s="151">
        <f t="shared" si="23"/>
        <v>0</v>
      </c>
      <c r="U56" s="151">
        <f t="shared" si="23"/>
        <v>0</v>
      </c>
      <c r="V56" s="151">
        <f t="shared" si="23"/>
        <v>0</v>
      </c>
      <c r="W56" s="151">
        <f t="shared" si="23"/>
        <v>0</v>
      </c>
      <c r="X56" s="151">
        <f t="shared" si="23"/>
        <v>0</v>
      </c>
      <c r="Y56" s="151">
        <f t="shared" si="23"/>
        <v>0</v>
      </c>
      <c r="Z56" s="151">
        <f t="shared" si="23"/>
        <v>0</v>
      </c>
      <c r="AA56" s="151">
        <f t="shared" si="23"/>
        <v>0</v>
      </c>
      <c r="AB56" s="151">
        <f t="shared" si="23"/>
        <v>0</v>
      </c>
      <c r="AC56" s="151">
        <f t="shared" si="23"/>
        <v>0</v>
      </c>
      <c r="AD56" s="151">
        <f t="shared" si="23"/>
        <v>0</v>
      </c>
      <c r="AE56" s="151">
        <f t="shared" si="23"/>
        <v>0</v>
      </c>
      <c r="AF56" s="151">
        <f t="shared" si="23"/>
        <v>0</v>
      </c>
      <c r="AG56" s="151">
        <f t="shared" si="23"/>
        <v>0</v>
      </c>
      <c r="AH56" s="151">
        <f t="shared" si="24"/>
        <v>0</v>
      </c>
      <c r="AI56" s="151">
        <f t="shared" si="24"/>
        <v>0</v>
      </c>
      <c r="AJ56" s="151">
        <f t="shared" si="24"/>
        <v>0</v>
      </c>
      <c r="AK56" s="151">
        <f t="shared" si="24"/>
        <v>0</v>
      </c>
      <c r="AL56" s="151">
        <f t="shared" si="24"/>
        <v>0</v>
      </c>
      <c r="AM56" s="151">
        <f t="shared" si="24"/>
        <v>0</v>
      </c>
      <c r="AN56" s="151">
        <f t="shared" si="24"/>
        <v>0</v>
      </c>
      <c r="AO56" s="151">
        <f t="shared" si="24"/>
        <v>0</v>
      </c>
      <c r="AP56" s="151">
        <f t="shared" si="24"/>
        <v>0</v>
      </c>
      <c r="AQ56" s="151">
        <f t="shared" si="24"/>
        <v>0</v>
      </c>
      <c r="AR56" s="151">
        <f t="shared" si="24"/>
        <v>0</v>
      </c>
      <c r="AS56" s="151">
        <f t="shared" si="24"/>
        <v>0</v>
      </c>
      <c r="AT56" s="151">
        <f t="shared" si="24"/>
        <v>0</v>
      </c>
    </row>
    <row r="57" spans="1:48" s="148" customFormat="1" ht="131.25" customHeight="1" thickBot="1" x14ac:dyDescent="0.35">
      <c r="A57" s="242" t="str">
        <f>'EEM Data Entry'!A137</f>
        <v/>
      </c>
      <c r="B57" s="203" t="str">
        <f>IF('EEM Data Entry'!B137="  ","  ", 'EEM Data Entry'!B137)</f>
        <v/>
      </c>
      <c r="C57" s="199" t="str">
        <f>'EEM Data Entry'!F137</f>
        <v/>
      </c>
      <c r="D57" s="190">
        <v>0</v>
      </c>
      <c r="E57" s="199" t="e">
        <f t="shared" si="26"/>
        <v>#VALUE!</v>
      </c>
      <c r="F57" s="228">
        <f>('Cascading Savings'!D61*'Cascading Savings'!D$4)+('Cascading Savings'!F61*'Cascading Savings'!F$4)+('Cascading Savings'!H61*'Cascading Savings'!H$4)+('Cascading Savings'!J61*'Cascading Savings'!J$4)+('Cascading Savings'!L61*'Cascading Savings'!L$4)+('Cascading Savings'!N61*'Cascading Savings'!N$4)+('Cascading Savings'!P61*'Cascading Savings'!P$4)+('Cascading Savings'!R61*'Cascading Savings'!R$4)</f>
        <v>0</v>
      </c>
      <c r="G57" s="196">
        <f>'Savings Summary'!T62</f>
        <v>0</v>
      </c>
      <c r="H57" s="192" t="e">
        <f t="shared" si="29"/>
        <v>#VALUE!</v>
      </c>
      <c r="I57" s="193" t="e">
        <f t="shared" si="25"/>
        <v>#VALUE!</v>
      </c>
      <c r="J57" s="194" t="e">
        <f t="shared" si="30"/>
        <v>#VALUE!</v>
      </c>
      <c r="K57" s="251" t="e">
        <f t="shared" si="31"/>
        <v>#VALUE!</v>
      </c>
      <c r="P57" s="151" t="e">
        <f t="shared" si="27"/>
        <v>#VALUE!</v>
      </c>
      <c r="Q57" s="151">
        <f t="shared" si="28"/>
        <v>0</v>
      </c>
      <c r="R57" s="151">
        <f t="shared" si="23"/>
        <v>0</v>
      </c>
      <c r="S57" s="151">
        <f t="shared" si="23"/>
        <v>0</v>
      </c>
      <c r="T57" s="151">
        <f t="shared" si="23"/>
        <v>0</v>
      </c>
      <c r="U57" s="151">
        <f t="shared" si="23"/>
        <v>0</v>
      </c>
      <c r="V57" s="151">
        <f t="shared" si="23"/>
        <v>0</v>
      </c>
      <c r="W57" s="151">
        <f t="shared" si="23"/>
        <v>0</v>
      </c>
      <c r="X57" s="151">
        <f t="shared" si="23"/>
        <v>0</v>
      </c>
      <c r="Y57" s="151">
        <f t="shared" si="23"/>
        <v>0</v>
      </c>
      <c r="Z57" s="151">
        <f t="shared" si="23"/>
        <v>0</v>
      </c>
      <c r="AA57" s="151">
        <f t="shared" si="23"/>
        <v>0</v>
      </c>
      <c r="AB57" s="151">
        <f t="shared" si="23"/>
        <v>0</v>
      </c>
      <c r="AC57" s="151">
        <f t="shared" si="23"/>
        <v>0</v>
      </c>
      <c r="AD57" s="151">
        <f t="shared" si="23"/>
        <v>0</v>
      </c>
      <c r="AE57" s="151">
        <f t="shared" si="23"/>
        <v>0</v>
      </c>
      <c r="AF57" s="151">
        <f t="shared" si="23"/>
        <v>0</v>
      </c>
      <c r="AG57" s="151">
        <f t="shared" si="23"/>
        <v>0</v>
      </c>
      <c r="AH57" s="151">
        <f t="shared" si="24"/>
        <v>0</v>
      </c>
      <c r="AI57" s="151">
        <f t="shared" si="24"/>
        <v>0</v>
      </c>
      <c r="AJ57" s="151">
        <f t="shared" si="24"/>
        <v>0</v>
      </c>
      <c r="AK57" s="151">
        <f t="shared" si="24"/>
        <v>0</v>
      </c>
      <c r="AL57" s="151">
        <f t="shared" si="24"/>
        <v>0</v>
      </c>
      <c r="AM57" s="151">
        <f t="shared" si="24"/>
        <v>0</v>
      </c>
      <c r="AN57" s="151">
        <f t="shared" si="24"/>
        <v>0</v>
      </c>
      <c r="AO57" s="151">
        <f t="shared" si="24"/>
        <v>0</v>
      </c>
      <c r="AP57" s="151">
        <f t="shared" si="24"/>
        <v>0</v>
      </c>
      <c r="AQ57" s="151">
        <f t="shared" si="24"/>
        <v>0</v>
      </c>
      <c r="AR57" s="151">
        <f t="shared" si="24"/>
        <v>0</v>
      </c>
      <c r="AS57" s="151">
        <f t="shared" si="24"/>
        <v>0</v>
      </c>
      <c r="AT57" s="151">
        <f t="shared" si="24"/>
        <v>0</v>
      </c>
    </row>
    <row r="58" spans="1:48" s="148" customFormat="1" ht="131.25" customHeight="1" thickBot="1" x14ac:dyDescent="0.35">
      <c r="A58" s="242" t="str">
        <f>'EEM Data Entry'!A138</f>
        <v/>
      </c>
      <c r="B58" s="203" t="str">
        <f>IF('EEM Data Entry'!B138="  ","  ", 'EEM Data Entry'!B138)</f>
        <v/>
      </c>
      <c r="C58" s="199" t="str">
        <f>'EEM Data Entry'!F138</f>
        <v/>
      </c>
      <c r="D58" s="190">
        <v>0</v>
      </c>
      <c r="E58" s="199" t="e">
        <f t="shared" si="26"/>
        <v>#VALUE!</v>
      </c>
      <c r="F58" s="228">
        <f>('Cascading Savings'!D62*'Cascading Savings'!D$4)+('Cascading Savings'!F62*'Cascading Savings'!F$4)+('Cascading Savings'!H62*'Cascading Savings'!H$4)+('Cascading Savings'!J62*'Cascading Savings'!J$4)+('Cascading Savings'!L62*'Cascading Savings'!L$4)+('Cascading Savings'!N62*'Cascading Savings'!N$4)+('Cascading Savings'!P62*'Cascading Savings'!P$4)+('Cascading Savings'!R62*'Cascading Savings'!R$4)</f>
        <v>0</v>
      </c>
      <c r="G58" s="196">
        <f>'Savings Summary'!T63</f>
        <v>0</v>
      </c>
      <c r="H58" s="192" t="e">
        <f t="shared" si="29"/>
        <v>#VALUE!</v>
      </c>
      <c r="I58" s="193" t="e">
        <f t="shared" si="25"/>
        <v>#VALUE!</v>
      </c>
      <c r="J58" s="194" t="e">
        <f t="shared" si="30"/>
        <v>#VALUE!</v>
      </c>
      <c r="K58" s="251" t="e">
        <f t="shared" si="31"/>
        <v>#VALUE!</v>
      </c>
      <c r="P58" s="151" t="e">
        <f t="shared" si="27"/>
        <v>#VALUE!</v>
      </c>
      <c r="Q58" s="151">
        <f t="shared" si="28"/>
        <v>0</v>
      </c>
      <c r="R58" s="151">
        <f t="shared" si="23"/>
        <v>0</v>
      </c>
      <c r="S58" s="151">
        <f t="shared" si="23"/>
        <v>0</v>
      </c>
      <c r="T58" s="151">
        <f t="shared" si="23"/>
        <v>0</v>
      </c>
      <c r="U58" s="151">
        <f t="shared" si="23"/>
        <v>0</v>
      </c>
      <c r="V58" s="151">
        <f t="shared" si="23"/>
        <v>0</v>
      </c>
      <c r="W58" s="151">
        <f t="shared" si="23"/>
        <v>0</v>
      </c>
      <c r="X58" s="151">
        <f t="shared" si="23"/>
        <v>0</v>
      </c>
      <c r="Y58" s="151">
        <f t="shared" si="23"/>
        <v>0</v>
      </c>
      <c r="Z58" s="151">
        <f t="shared" si="23"/>
        <v>0</v>
      </c>
      <c r="AA58" s="151">
        <f t="shared" si="23"/>
        <v>0</v>
      </c>
      <c r="AB58" s="151">
        <f t="shared" si="23"/>
        <v>0</v>
      </c>
      <c r="AC58" s="151">
        <f t="shared" si="23"/>
        <v>0</v>
      </c>
      <c r="AD58" s="151">
        <f t="shared" si="23"/>
        <v>0</v>
      </c>
      <c r="AE58" s="151">
        <f t="shared" si="23"/>
        <v>0</v>
      </c>
      <c r="AF58" s="151">
        <f t="shared" si="23"/>
        <v>0</v>
      </c>
      <c r="AG58" s="151">
        <f t="shared" si="23"/>
        <v>0</v>
      </c>
      <c r="AH58" s="151">
        <f t="shared" si="24"/>
        <v>0</v>
      </c>
      <c r="AI58" s="151">
        <f t="shared" si="24"/>
        <v>0</v>
      </c>
      <c r="AJ58" s="151">
        <f t="shared" si="24"/>
        <v>0</v>
      </c>
      <c r="AK58" s="151">
        <f t="shared" si="24"/>
        <v>0</v>
      </c>
      <c r="AL58" s="151">
        <f t="shared" si="24"/>
        <v>0</v>
      </c>
      <c r="AM58" s="151">
        <f t="shared" si="24"/>
        <v>0</v>
      </c>
      <c r="AN58" s="151">
        <f t="shared" si="24"/>
        <v>0</v>
      </c>
      <c r="AO58" s="151">
        <f t="shared" si="24"/>
        <v>0</v>
      </c>
      <c r="AP58" s="151">
        <f t="shared" si="24"/>
        <v>0</v>
      </c>
      <c r="AQ58" s="151">
        <f t="shared" si="24"/>
        <v>0</v>
      </c>
      <c r="AR58" s="151">
        <f t="shared" si="24"/>
        <v>0</v>
      </c>
      <c r="AS58" s="151">
        <f t="shared" si="24"/>
        <v>0</v>
      </c>
      <c r="AT58" s="151">
        <f t="shared" si="24"/>
        <v>0</v>
      </c>
    </row>
    <row r="59" spans="1:48" s="148" customFormat="1" ht="131.25" customHeight="1" thickBot="1" x14ac:dyDescent="0.35">
      <c r="A59" s="193" t="str">
        <f>'EEM Data Entry'!A139</f>
        <v/>
      </c>
      <c r="B59" s="203" t="str">
        <f>IF('EEM Data Entry'!B139="  ","  ", 'EEM Data Entry'!B139)</f>
        <v/>
      </c>
      <c r="C59" s="199" t="str">
        <f>'EEM Data Entry'!F139</f>
        <v/>
      </c>
      <c r="D59" s="190">
        <v>0</v>
      </c>
      <c r="E59" s="199" t="e">
        <f t="shared" si="26"/>
        <v>#VALUE!</v>
      </c>
      <c r="F59" s="228">
        <f>('Cascading Savings'!D63*'Cascading Savings'!D$4)+('Cascading Savings'!F63*'Cascading Savings'!F$4)+('Cascading Savings'!H63*'Cascading Savings'!H$4)+('Cascading Savings'!J63*'Cascading Savings'!J$4)+('Cascading Savings'!L63*'Cascading Savings'!L$4)+('Cascading Savings'!N63*'Cascading Savings'!N$4)+('Cascading Savings'!P63*'Cascading Savings'!P$4)+('Cascading Savings'!R63*'Cascading Savings'!R$4)</f>
        <v>0</v>
      </c>
      <c r="G59" s="196">
        <f>'Savings Summary'!T64</f>
        <v>0</v>
      </c>
      <c r="H59" s="192" t="e">
        <f t="shared" si="29"/>
        <v>#VALUE!</v>
      </c>
      <c r="I59" s="193" t="e">
        <f t="shared" si="25"/>
        <v>#VALUE!</v>
      </c>
      <c r="J59" s="191" t="e">
        <f t="shared" si="30"/>
        <v>#VALUE!</v>
      </c>
      <c r="K59" s="252" t="e">
        <f t="shared" si="31"/>
        <v>#VALUE!</v>
      </c>
      <c r="M59" s="321"/>
      <c r="N59" s="32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  <c r="AT59" s="151"/>
    </row>
    <row r="60" spans="1:48" s="148" customFormat="1" ht="131.25" customHeight="1" x14ac:dyDescent="0.4">
      <c r="A60" s="204"/>
      <c r="B60" s="343"/>
      <c r="C60" s="200"/>
      <c r="D60" s="200"/>
      <c r="E60" s="200"/>
      <c r="F60" s="229"/>
      <c r="G60" s="200"/>
      <c r="H60" s="200"/>
      <c r="I60" s="200"/>
      <c r="J60" s="231"/>
      <c r="K60" s="232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0"/>
      <c r="AP60" s="150"/>
      <c r="AQ60" s="150"/>
      <c r="AR60" s="150"/>
      <c r="AS60" s="150"/>
      <c r="AT60" s="150"/>
    </row>
    <row r="61" spans="1:48" s="148" customFormat="1" ht="131.25" customHeight="1" x14ac:dyDescent="0.3">
      <c r="A61" s="267" t="s">
        <v>145</v>
      </c>
      <c r="B61" s="339" t="s">
        <v>73</v>
      </c>
      <c r="C61" s="268" t="s">
        <v>122</v>
      </c>
      <c r="D61" s="268" t="s">
        <v>90</v>
      </c>
      <c r="E61" s="268" t="s">
        <v>123</v>
      </c>
      <c r="F61" s="269" t="s">
        <v>118</v>
      </c>
      <c r="G61" s="271" t="s">
        <v>125</v>
      </c>
      <c r="H61" s="271" t="s">
        <v>124</v>
      </c>
      <c r="I61" s="268" t="s">
        <v>72</v>
      </c>
      <c r="J61" s="268" t="s">
        <v>17</v>
      </c>
      <c r="K61" s="270" t="s">
        <v>22</v>
      </c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0"/>
      <c r="AO61" s="150"/>
      <c r="AP61" s="150"/>
      <c r="AQ61" s="150"/>
      <c r="AR61" s="150"/>
      <c r="AS61" s="150"/>
      <c r="AT61" s="150"/>
    </row>
    <row r="62" spans="1:48" s="148" customFormat="1" ht="131.25" customHeight="1" x14ac:dyDescent="0.3">
      <c r="A62" s="294" t="str">
        <f>'EEM Data Entry'!A141</f>
        <v/>
      </c>
      <c r="B62" s="295" t="str">
        <f>IF('Packaged EEMs'!B57="  ","  ", 'EEM Data Entry'!B141)</f>
        <v/>
      </c>
      <c r="C62" s="295" t="str">
        <f>IF('Packaged EEMs'!C57="  ","  ", 'EEM Data Entry'!F141)</f>
        <v/>
      </c>
      <c r="D62" s="295">
        <f>IF('Packaged EEMs'!D57="  ","  ", 'EEM Data Entry'!H141)</f>
        <v>0</v>
      </c>
      <c r="E62" s="295" t="e">
        <f>IF('Packaged EEMs'!E57="  ","  ", 'EEM Data Entry'!I141)</f>
        <v>#VALUE!</v>
      </c>
      <c r="F62" s="315">
        <f>('Cascading Savings'!D69*'Cascading Savings'!D$4)+('Cascading Savings'!F69*'Cascading Savings'!F$4)+('Cascading Savings'!H69*'Cascading Savings'!H$4)+('Cascading Savings'!J69*'Cascading Savings'!J$4)+('Cascading Savings'!L69*'Cascading Savings'!L$4)+('Cascading Savings'!N69*'Cascading Savings'!N$4)+('Cascading Savings'!P69*'Cascading Savings'!P$4)+('Cascading Savings'!R69*'Cascading Savings'!R$4)</f>
        <v>0</v>
      </c>
      <c r="G62" s="289">
        <f>'Savings Summary'!T69</f>
        <v>0</v>
      </c>
      <c r="H62" s="290" t="e">
        <f>IF(C62=0,"n/a",E62/F62)</f>
        <v>#VALUE!</v>
      </c>
      <c r="I62" s="291" t="e">
        <f t="shared" ref="I62:I75" si="32">IF(H62=0, "n/a", IF(H62&gt;100, "no",IF(H62&lt;0, "no", "yes")))</f>
        <v>#VALUE!</v>
      </c>
      <c r="J62" s="292" t="e">
        <f t="shared" ref="J62:J75" si="33">IRR(P62:AT62,0.1)</f>
        <v>#VALUE!</v>
      </c>
      <c r="K62" s="293" t="e">
        <f>NPV(0.05,P62:AT62)</f>
        <v>#VALUE!</v>
      </c>
      <c r="P62" s="151" t="e">
        <f>-E62</f>
        <v>#VALUE!</v>
      </c>
      <c r="Q62" s="151">
        <f>F62</f>
        <v>0</v>
      </c>
      <c r="R62" s="151">
        <f>Q62*1.05</f>
        <v>0</v>
      </c>
      <c r="S62" s="151">
        <f t="shared" ref="S62:AT62" si="34">R62*1.05</f>
        <v>0</v>
      </c>
      <c r="T62" s="151">
        <f t="shared" si="34"/>
        <v>0</v>
      </c>
      <c r="U62" s="151">
        <f t="shared" si="34"/>
        <v>0</v>
      </c>
      <c r="V62" s="151">
        <f t="shared" si="34"/>
        <v>0</v>
      </c>
      <c r="W62" s="151">
        <f t="shared" si="34"/>
        <v>0</v>
      </c>
      <c r="X62" s="151">
        <f t="shared" si="34"/>
        <v>0</v>
      </c>
      <c r="Y62" s="151">
        <f t="shared" si="34"/>
        <v>0</v>
      </c>
      <c r="Z62" s="151">
        <f t="shared" si="34"/>
        <v>0</v>
      </c>
      <c r="AA62" s="151">
        <f t="shared" si="34"/>
        <v>0</v>
      </c>
      <c r="AB62" s="151">
        <f t="shared" si="34"/>
        <v>0</v>
      </c>
      <c r="AC62" s="151">
        <f t="shared" si="34"/>
        <v>0</v>
      </c>
      <c r="AD62" s="151">
        <f t="shared" si="34"/>
        <v>0</v>
      </c>
      <c r="AE62" s="151">
        <f t="shared" si="34"/>
        <v>0</v>
      </c>
      <c r="AF62" s="151">
        <f t="shared" si="34"/>
        <v>0</v>
      </c>
      <c r="AG62" s="151">
        <f t="shared" si="34"/>
        <v>0</v>
      </c>
      <c r="AH62" s="151">
        <f t="shared" si="34"/>
        <v>0</v>
      </c>
      <c r="AI62" s="151">
        <f t="shared" si="34"/>
        <v>0</v>
      </c>
      <c r="AJ62" s="151">
        <f t="shared" si="34"/>
        <v>0</v>
      </c>
      <c r="AK62" s="151">
        <f t="shared" si="34"/>
        <v>0</v>
      </c>
      <c r="AL62" s="151">
        <f t="shared" si="34"/>
        <v>0</v>
      </c>
      <c r="AM62" s="151">
        <f t="shared" si="34"/>
        <v>0</v>
      </c>
      <c r="AN62" s="151">
        <f t="shared" si="34"/>
        <v>0</v>
      </c>
      <c r="AO62" s="151">
        <f t="shared" si="34"/>
        <v>0</v>
      </c>
      <c r="AP62" s="151">
        <f t="shared" si="34"/>
        <v>0</v>
      </c>
      <c r="AQ62" s="151">
        <f t="shared" si="34"/>
        <v>0</v>
      </c>
      <c r="AR62" s="151">
        <f t="shared" si="34"/>
        <v>0</v>
      </c>
      <c r="AS62" s="151">
        <f t="shared" si="34"/>
        <v>0</v>
      </c>
      <c r="AT62" s="151">
        <f t="shared" si="34"/>
        <v>0</v>
      </c>
    </row>
    <row r="63" spans="1:48" s="148" customFormat="1" ht="131.25" customHeight="1" thickBot="1" x14ac:dyDescent="0.35">
      <c r="A63" s="247" t="str">
        <f>'EEM Data Entry'!A142</f>
        <v/>
      </c>
      <c r="B63" s="257" t="str">
        <f>IF('Packaged EEMs'!B58="  ","  ", 'EEM Data Entry'!B142)</f>
        <v/>
      </c>
      <c r="C63" s="258" t="str">
        <f>'EEM Data Entry'!F142</f>
        <v/>
      </c>
      <c r="D63" s="258">
        <v>0</v>
      </c>
      <c r="E63" s="259" t="e">
        <f t="shared" ref="E63:E75" si="35">C63-D63</f>
        <v>#VALUE!</v>
      </c>
      <c r="F63" s="302">
        <f>'Cascading  for package'!J68*'Cascading  for package'!J6</f>
        <v>0</v>
      </c>
      <c r="G63" s="319">
        <f>'Savings Summary'!T70</f>
        <v>0</v>
      </c>
      <c r="H63" s="261" t="e">
        <f t="shared" ref="H63:H75" si="36">IF(C63=0,"n/a",E63/F63)</f>
        <v>#VALUE!</v>
      </c>
      <c r="I63" s="247" t="e">
        <f t="shared" si="32"/>
        <v>#VALUE!</v>
      </c>
      <c r="J63" s="262" t="e">
        <f t="shared" si="33"/>
        <v>#NUM!</v>
      </c>
      <c r="K63" s="293">
        <f t="shared" ref="K63:K75" si="37">NPV(0.05,P63:AT63)</f>
        <v>0</v>
      </c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150"/>
      <c r="AC63" s="150"/>
      <c r="AD63" s="150"/>
      <c r="AE63" s="150"/>
      <c r="AF63" s="150"/>
      <c r="AG63" s="150"/>
      <c r="AH63" s="150"/>
      <c r="AI63" s="150"/>
      <c r="AJ63" s="150"/>
      <c r="AK63" s="150"/>
      <c r="AL63" s="150"/>
      <c r="AM63" s="150"/>
      <c r="AN63" s="150"/>
      <c r="AO63" s="150"/>
      <c r="AP63" s="150"/>
      <c r="AQ63" s="150"/>
      <c r="AR63" s="150"/>
      <c r="AS63" s="150"/>
      <c r="AT63" s="150"/>
    </row>
    <row r="64" spans="1:48" ht="131.25" customHeight="1" thickBot="1" x14ac:dyDescent="0.35">
      <c r="A64" s="193" t="str">
        <f>'EEM Data Entry'!A143</f>
        <v/>
      </c>
      <c r="B64" s="203" t="str">
        <f>IF('Packaged EEMs'!B59="  ","  ", 'EEM Data Entry'!B143)</f>
        <v/>
      </c>
      <c r="C64" s="190" t="str">
        <f>'EEM Data Entry'!F143</f>
        <v/>
      </c>
      <c r="D64" s="190">
        <v>0</v>
      </c>
      <c r="E64" s="199" t="e">
        <f t="shared" si="35"/>
        <v>#VALUE!</v>
      </c>
      <c r="F64" s="228">
        <f>'Cascading  for package'!J69*'Cascading  for package'!J7</f>
        <v>0</v>
      </c>
      <c r="G64" s="205">
        <f>'Savings Summary'!T71</f>
        <v>0</v>
      </c>
      <c r="H64" s="192" t="e">
        <f t="shared" si="36"/>
        <v>#VALUE!</v>
      </c>
      <c r="I64" s="193" t="e">
        <f t="shared" si="32"/>
        <v>#VALUE!</v>
      </c>
      <c r="J64" s="194" t="e">
        <f t="shared" si="33"/>
        <v>#NUM!</v>
      </c>
      <c r="K64" s="293">
        <f t="shared" si="37"/>
        <v>0</v>
      </c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48"/>
      <c r="AV64" s="148"/>
    </row>
    <row r="65" spans="1:46" ht="131.25" customHeight="1" thickBot="1" x14ac:dyDescent="0.3">
      <c r="A65" s="193" t="str">
        <f>'EEM Data Entry'!A144</f>
        <v/>
      </c>
      <c r="B65" s="203" t="str">
        <f>IF('Packaged EEMs'!B60="  ","  ", 'EEM Data Entry'!B144)</f>
        <v/>
      </c>
      <c r="C65" s="190" t="str">
        <f>'EEM Data Entry'!F144</f>
        <v/>
      </c>
      <c r="D65" s="190">
        <v>0</v>
      </c>
      <c r="E65" s="199" t="e">
        <f t="shared" si="35"/>
        <v>#VALUE!</v>
      </c>
      <c r="F65" s="228" t="e">
        <f>'Cascading  for package'!J70*'Cascading  for package'!#REF!</f>
        <v>#REF!</v>
      </c>
      <c r="G65" s="205">
        <f>'Savings Summary'!T72</f>
        <v>0</v>
      </c>
      <c r="H65" s="192" t="e">
        <f t="shared" si="36"/>
        <v>#VALUE!</v>
      </c>
      <c r="I65" s="193" t="e">
        <f t="shared" si="32"/>
        <v>#VALUE!</v>
      </c>
      <c r="J65" s="194" t="e">
        <f t="shared" si="33"/>
        <v>#NUM!</v>
      </c>
      <c r="K65" s="293">
        <f t="shared" si="37"/>
        <v>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spans="1:46" ht="131.25" customHeight="1" thickBot="1" x14ac:dyDescent="0.3">
      <c r="A66" s="193" t="str">
        <f>'EEM Data Entry'!A145</f>
        <v/>
      </c>
      <c r="B66" s="203" t="str">
        <f>IF('Packaged EEMs'!B61="  ","  ", 'EEM Data Entry'!B145)</f>
        <v/>
      </c>
      <c r="C66" s="190" t="str">
        <f>'EEM Data Entry'!F145</f>
        <v/>
      </c>
      <c r="D66" s="190">
        <v>0</v>
      </c>
      <c r="E66" s="199" t="e">
        <f t="shared" si="35"/>
        <v>#VALUE!</v>
      </c>
      <c r="F66" s="228" t="e">
        <f>'Cascading  for package'!J71*'Cascading  for package'!#REF!</f>
        <v>#REF!</v>
      </c>
      <c r="G66" s="205">
        <f>'Savings Summary'!T73</f>
        <v>0</v>
      </c>
      <c r="H66" s="192" t="e">
        <f t="shared" si="36"/>
        <v>#VALUE!</v>
      </c>
      <c r="I66" s="193" t="e">
        <f t="shared" si="32"/>
        <v>#VALUE!</v>
      </c>
      <c r="J66" s="194" t="e">
        <f t="shared" si="33"/>
        <v>#NUM!</v>
      </c>
      <c r="K66" s="293">
        <f t="shared" si="37"/>
        <v>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spans="1:46" ht="131.25" customHeight="1" thickBot="1" x14ac:dyDescent="0.3">
      <c r="A67" s="193" t="str">
        <f>'EEM Data Entry'!A146</f>
        <v/>
      </c>
      <c r="B67" s="203" t="str">
        <f>IF('Packaged EEMs'!B62="  ","  ", 'EEM Data Entry'!B146)</f>
        <v/>
      </c>
      <c r="C67" s="190" t="str">
        <f>'EEM Data Entry'!F146</f>
        <v/>
      </c>
      <c r="D67" s="190">
        <v>0</v>
      </c>
      <c r="E67" s="199" t="e">
        <f t="shared" si="35"/>
        <v>#VALUE!</v>
      </c>
      <c r="F67" s="228" t="e">
        <f>'Cascading  for package'!J72*'Cascading  for package'!#REF!</f>
        <v>#REF!</v>
      </c>
      <c r="G67" s="205">
        <f>'Savings Summary'!T74</f>
        <v>0</v>
      </c>
      <c r="H67" s="192" t="e">
        <f t="shared" si="36"/>
        <v>#VALUE!</v>
      </c>
      <c r="I67" s="193" t="e">
        <f t="shared" si="32"/>
        <v>#VALUE!</v>
      </c>
      <c r="J67" s="194" t="e">
        <f t="shared" si="33"/>
        <v>#NUM!</v>
      </c>
      <c r="K67" s="293">
        <f t="shared" si="37"/>
        <v>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 spans="1:46" ht="131.25" customHeight="1" thickBot="1" x14ac:dyDescent="0.3">
      <c r="A68" s="193" t="str">
        <f>'EEM Data Entry'!A147</f>
        <v/>
      </c>
      <c r="B68" s="203" t="str">
        <f>IF('Packaged EEMs'!B63="  ","  ", 'EEM Data Entry'!B147)</f>
        <v/>
      </c>
      <c r="C68" s="190" t="str">
        <f>'EEM Data Entry'!F147</f>
        <v/>
      </c>
      <c r="D68" s="190">
        <v>0</v>
      </c>
      <c r="E68" s="199" t="e">
        <f t="shared" si="35"/>
        <v>#VALUE!</v>
      </c>
      <c r="F68" s="228">
        <f>'Cascading  for package'!J73*'Cascading  for package'!J8</f>
        <v>0</v>
      </c>
      <c r="G68" s="205">
        <f>'Savings Summary'!T75</f>
        <v>0</v>
      </c>
      <c r="H68" s="192" t="e">
        <f t="shared" si="36"/>
        <v>#VALUE!</v>
      </c>
      <c r="I68" s="193" t="e">
        <f t="shared" si="32"/>
        <v>#VALUE!</v>
      </c>
      <c r="J68" s="194" t="e">
        <f t="shared" si="33"/>
        <v>#NUM!</v>
      </c>
      <c r="K68" s="293">
        <f t="shared" si="37"/>
        <v>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 spans="1:46" ht="131.25" customHeight="1" thickBot="1" x14ac:dyDescent="0.3">
      <c r="A69" s="193" t="str">
        <f>'EEM Data Entry'!A148</f>
        <v/>
      </c>
      <c r="B69" s="203" t="str">
        <f>IF('Packaged EEMs'!B64="  ","  ", 'EEM Data Entry'!B148)</f>
        <v/>
      </c>
      <c r="C69" s="190" t="str">
        <f>'EEM Data Entry'!F148</f>
        <v/>
      </c>
      <c r="D69" s="190">
        <v>0</v>
      </c>
      <c r="E69" s="199" t="e">
        <f t="shared" si="35"/>
        <v>#VALUE!</v>
      </c>
      <c r="F69" s="228">
        <f>'Cascading  for package'!J74*'Cascading  for package'!J9</f>
        <v>0</v>
      </c>
      <c r="G69" s="205">
        <f>'Savings Summary'!T76</f>
        <v>0</v>
      </c>
      <c r="H69" s="192" t="e">
        <f t="shared" si="36"/>
        <v>#VALUE!</v>
      </c>
      <c r="I69" s="193" t="e">
        <f t="shared" si="32"/>
        <v>#VALUE!</v>
      </c>
      <c r="J69" s="194" t="e">
        <f t="shared" si="33"/>
        <v>#NUM!</v>
      </c>
      <c r="K69" s="293">
        <f t="shared" si="37"/>
        <v>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</row>
    <row r="70" spans="1:46" ht="131.25" customHeight="1" thickBot="1" x14ac:dyDescent="0.3">
      <c r="A70" s="193" t="str">
        <f>'EEM Data Entry'!A149</f>
        <v/>
      </c>
      <c r="B70" s="203" t="str">
        <f>IF('Packaged EEMs'!B65="  ","  ", 'EEM Data Entry'!B149)</f>
        <v/>
      </c>
      <c r="C70" s="190" t="str">
        <f>'EEM Data Entry'!F149</f>
        <v/>
      </c>
      <c r="D70" s="190">
        <v>0</v>
      </c>
      <c r="E70" s="199" t="e">
        <f t="shared" si="35"/>
        <v>#VALUE!</v>
      </c>
      <c r="F70" s="228">
        <f>'Cascading  for package'!J75*'Cascading  for package'!J10</f>
        <v>0</v>
      </c>
      <c r="G70" s="205">
        <f>'Savings Summary'!T77</f>
        <v>0</v>
      </c>
      <c r="H70" s="192" t="e">
        <f t="shared" si="36"/>
        <v>#VALUE!</v>
      </c>
      <c r="I70" s="193" t="e">
        <f t="shared" si="32"/>
        <v>#VALUE!</v>
      </c>
      <c r="J70" s="194" t="e">
        <f t="shared" si="33"/>
        <v>#NUM!</v>
      </c>
      <c r="K70" s="293">
        <f t="shared" si="37"/>
        <v>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</row>
    <row r="71" spans="1:46" ht="131.25" customHeight="1" thickBot="1" x14ac:dyDescent="0.3">
      <c r="A71" s="193" t="str">
        <f>'EEM Data Entry'!A150</f>
        <v/>
      </c>
      <c r="B71" s="203" t="str">
        <f>IF('Packaged EEMs'!B66="  ","  ", 'EEM Data Entry'!B150)</f>
        <v/>
      </c>
      <c r="C71" s="190" t="str">
        <f>'EEM Data Entry'!F150</f>
        <v/>
      </c>
      <c r="D71" s="190">
        <v>0</v>
      </c>
      <c r="E71" s="199" t="e">
        <f t="shared" si="35"/>
        <v>#VALUE!</v>
      </c>
      <c r="F71" s="228">
        <f>'Cascading  for package'!J76*'Cascading  for package'!J11</f>
        <v>0</v>
      </c>
      <c r="G71" s="205">
        <f>'Savings Summary'!T78</f>
        <v>0</v>
      </c>
      <c r="H71" s="192" t="e">
        <f t="shared" si="36"/>
        <v>#VALUE!</v>
      </c>
      <c r="I71" s="193" t="e">
        <f t="shared" si="32"/>
        <v>#VALUE!</v>
      </c>
      <c r="J71" s="194" t="e">
        <f t="shared" si="33"/>
        <v>#NUM!</v>
      </c>
      <c r="K71" s="293">
        <f t="shared" si="37"/>
        <v>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</row>
    <row r="72" spans="1:46" ht="131.25" customHeight="1" thickBot="1" x14ac:dyDescent="0.3">
      <c r="A72" s="193" t="str">
        <f>'EEM Data Entry'!A151</f>
        <v/>
      </c>
      <c r="B72" s="203" t="e">
        <f>IF('Packaged EEMs'!#REF!="  ","  ", 'EEM Data Entry'!B151)</f>
        <v>#REF!</v>
      </c>
      <c r="C72" s="190" t="str">
        <f>'EEM Data Entry'!F151</f>
        <v/>
      </c>
      <c r="D72" s="190">
        <v>0</v>
      </c>
      <c r="E72" s="199" t="e">
        <f t="shared" si="35"/>
        <v>#VALUE!</v>
      </c>
      <c r="F72" s="228">
        <f>'Cascading  for package'!J77*'Cascading  for package'!J12</f>
        <v>0</v>
      </c>
      <c r="G72" s="205">
        <f>'Savings Summary'!T79</f>
        <v>0</v>
      </c>
      <c r="H72" s="192" t="e">
        <f t="shared" si="36"/>
        <v>#VALUE!</v>
      </c>
      <c r="I72" s="193" t="e">
        <f t="shared" si="32"/>
        <v>#VALUE!</v>
      </c>
      <c r="J72" s="194" t="e">
        <f t="shared" si="33"/>
        <v>#NUM!</v>
      </c>
      <c r="K72" s="293">
        <f t="shared" si="37"/>
        <v>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</row>
    <row r="73" spans="1:46" ht="131.25" customHeight="1" thickBot="1" x14ac:dyDescent="0.3">
      <c r="A73" s="193" t="str">
        <f>'EEM Data Entry'!A152</f>
        <v/>
      </c>
      <c r="B73" s="203" t="str">
        <f>IF('Packaged EEMs'!B67="  ","  ", 'EEM Data Entry'!B152)</f>
        <v/>
      </c>
      <c r="C73" s="190" t="str">
        <f>'EEM Data Entry'!F152</f>
        <v/>
      </c>
      <c r="D73" s="190">
        <v>0</v>
      </c>
      <c r="E73" s="199" t="e">
        <f t="shared" si="35"/>
        <v>#VALUE!</v>
      </c>
      <c r="F73" s="228">
        <f>'Cascading  for package'!J78*'Cascading  for package'!J13</f>
        <v>0</v>
      </c>
      <c r="G73" s="205">
        <f>'Savings Summary'!T80</f>
        <v>0</v>
      </c>
      <c r="H73" s="192" t="e">
        <f t="shared" si="36"/>
        <v>#VALUE!</v>
      </c>
      <c r="I73" s="193" t="e">
        <f t="shared" si="32"/>
        <v>#VALUE!</v>
      </c>
      <c r="J73" s="194" t="e">
        <f t="shared" si="33"/>
        <v>#NUM!</v>
      </c>
      <c r="K73" s="293">
        <f t="shared" si="37"/>
        <v>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 spans="1:46" ht="131.25" customHeight="1" thickBot="1" x14ac:dyDescent="0.3">
      <c r="A74" s="193" t="str">
        <f>'EEM Data Entry'!A153</f>
        <v/>
      </c>
      <c r="B74" s="203" t="str">
        <f>IF('Packaged EEMs'!B68="  ","  ", 'EEM Data Entry'!B153)</f>
        <v/>
      </c>
      <c r="C74" s="190" t="str">
        <f>'EEM Data Entry'!F153</f>
        <v/>
      </c>
      <c r="D74" s="190">
        <v>0</v>
      </c>
      <c r="E74" s="199" t="e">
        <f t="shared" si="35"/>
        <v>#VALUE!</v>
      </c>
      <c r="F74" s="228">
        <f>'Cascading  for package'!J79*'Cascading  for package'!J14</f>
        <v>0</v>
      </c>
      <c r="G74" s="205">
        <f>'Savings Summary'!T81</f>
        <v>0</v>
      </c>
      <c r="H74" s="192" t="e">
        <f t="shared" si="36"/>
        <v>#VALUE!</v>
      </c>
      <c r="I74" s="193" t="e">
        <f t="shared" si="32"/>
        <v>#VALUE!</v>
      </c>
      <c r="J74" s="194" t="e">
        <f t="shared" si="33"/>
        <v>#NUM!</v>
      </c>
      <c r="K74" s="293">
        <f t="shared" si="37"/>
        <v>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spans="1:46" ht="131.25" customHeight="1" x14ac:dyDescent="0.25">
      <c r="A75" s="242" t="str">
        <f>'EEM Data Entry'!A154</f>
        <v/>
      </c>
      <c r="B75" s="206" t="str">
        <f>IF('Packaged EEMs'!B69="  ","  ", 'EEM Data Entry'!B154)</f>
        <v/>
      </c>
      <c r="C75" s="197" t="str">
        <f>'EEM Data Entry'!F154</f>
        <v/>
      </c>
      <c r="D75" s="197">
        <v>0</v>
      </c>
      <c r="E75" s="207" t="e">
        <f t="shared" si="35"/>
        <v>#VALUE!</v>
      </c>
      <c r="F75" s="230">
        <f>'Cascading  for package'!J80*'Cascading  for package'!J15</f>
        <v>0</v>
      </c>
      <c r="G75" s="208">
        <f>'Savings Summary'!T82</f>
        <v>0</v>
      </c>
      <c r="H75" s="209" t="e">
        <f t="shared" si="36"/>
        <v>#VALUE!</v>
      </c>
      <c r="I75" s="198" t="e">
        <f t="shared" si="32"/>
        <v>#VALUE!</v>
      </c>
      <c r="J75" s="191" t="e">
        <f t="shared" si="33"/>
        <v>#NUM!</v>
      </c>
      <c r="K75" s="293">
        <f t="shared" si="37"/>
        <v>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spans="1:46" ht="131.25" customHeight="1" thickBot="1" x14ac:dyDescent="0.3">
      <c r="A76" s="198"/>
      <c r="B76" s="206"/>
      <c r="C76" s="233"/>
      <c r="D76" s="233"/>
      <c r="E76" s="233"/>
      <c r="F76" s="234"/>
      <c r="G76" s="208"/>
      <c r="H76" s="235"/>
      <c r="I76" s="198"/>
      <c r="J76" s="231"/>
      <c r="K76" s="232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 spans="1:46" ht="131.25" customHeight="1" thickBot="1" x14ac:dyDescent="0.3">
      <c r="A77" s="198"/>
      <c r="B77" s="255" t="s">
        <v>141</v>
      </c>
      <c r="C77" s="199" t="e">
        <f>SUM(C7:C24,C27:C39,C45:C52,C62)-C8</f>
        <v>#VALUE!</v>
      </c>
      <c r="D77" s="199">
        <f>SUM(D7:D24,D27:D39,D45:D52,D62)-D8</f>
        <v>0</v>
      </c>
      <c r="E77" s="199" t="e">
        <f>SUM(E7:E24,E27:E39,E45:E52,E62)-E8</f>
        <v>#VALUE!</v>
      </c>
      <c r="F77" s="199">
        <f>SUM(F7:F24,F27:F39,F45:F47,F62)-F8</f>
        <v>0</v>
      </c>
      <c r="G77" s="365">
        <f>SUM(G7:G24,G27:G39,G45:G52,G62)-G8</f>
        <v>0</v>
      </c>
      <c r="H77" s="236" t="e">
        <f>E77/F77</f>
        <v>#VALUE!</v>
      </c>
      <c r="I77" s="199" t="e">
        <f>I7+I8+#REF!+I28+I29+I30+I31+I45+I46+I47</f>
        <v>#DIV/0!</v>
      </c>
      <c r="J77" s="237" t="e">
        <f>IRR(P77:AT77,0.1)</f>
        <v>#VALUE!</v>
      </c>
      <c r="K77" s="195" t="e">
        <f>NPV(0.05,P77:AT77)</f>
        <v>#VALUE!</v>
      </c>
      <c r="P77" s="151" t="e">
        <f>-E77</f>
        <v>#VALUE!</v>
      </c>
      <c r="Q77" s="151">
        <f>F77</f>
        <v>0</v>
      </c>
      <c r="R77" s="151">
        <f t="shared" ref="R77:AT77" si="38">Q77*1.05</f>
        <v>0</v>
      </c>
      <c r="S77" s="151">
        <f t="shared" si="38"/>
        <v>0</v>
      </c>
      <c r="T77" s="151">
        <f t="shared" si="38"/>
        <v>0</v>
      </c>
      <c r="U77" s="151">
        <f t="shared" si="38"/>
        <v>0</v>
      </c>
      <c r="V77" s="151">
        <f t="shared" si="38"/>
        <v>0</v>
      </c>
      <c r="W77" s="151">
        <f t="shared" si="38"/>
        <v>0</v>
      </c>
      <c r="X77" s="151">
        <f t="shared" si="38"/>
        <v>0</v>
      </c>
      <c r="Y77" s="151">
        <f t="shared" si="38"/>
        <v>0</v>
      </c>
      <c r="Z77" s="151">
        <f t="shared" si="38"/>
        <v>0</v>
      </c>
      <c r="AA77" s="151">
        <f t="shared" si="38"/>
        <v>0</v>
      </c>
      <c r="AB77" s="151">
        <f t="shared" si="38"/>
        <v>0</v>
      </c>
      <c r="AC77" s="151">
        <f t="shared" si="38"/>
        <v>0</v>
      </c>
      <c r="AD77" s="151">
        <f t="shared" si="38"/>
        <v>0</v>
      </c>
      <c r="AE77" s="151">
        <f t="shared" si="38"/>
        <v>0</v>
      </c>
      <c r="AF77" s="151">
        <f t="shared" si="38"/>
        <v>0</v>
      </c>
      <c r="AG77" s="151">
        <f t="shared" si="38"/>
        <v>0</v>
      </c>
      <c r="AH77" s="151">
        <f t="shared" si="38"/>
        <v>0</v>
      </c>
      <c r="AI77" s="151">
        <f t="shared" si="38"/>
        <v>0</v>
      </c>
      <c r="AJ77" s="151">
        <f t="shared" si="38"/>
        <v>0</v>
      </c>
      <c r="AK77" s="151">
        <f t="shared" si="38"/>
        <v>0</v>
      </c>
      <c r="AL77" s="151">
        <f t="shared" si="38"/>
        <v>0</v>
      </c>
      <c r="AM77" s="151">
        <f t="shared" si="38"/>
        <v>0</v>
      </c>
      <c r="AN77" s="151">
        <f t="shared" si="38"/>
        <v>0</v>
      </c>
      <c r="AO77" s="151">
        <f t="shared" si="38"/>
        <v>0</v>
      </c>
      <c r="AP77" s="151">
        <f t="shared" si="38"/>
        <v>0</v>
      </c>
      <c r="AQ77" s="151">
        <f t="shared" si="38"/>
        <v>0</v>
      </c>
      <c r="AR77" s="151">
        <f t="shared" si="38"/>
        <v>0</v>
      </c>
      <c r="AS77" s="151">
        <f t="shared" si="38"/>
        <v>0</v>
      </c>
      <c r="AT77" s="151">
        <f t="shared" si="38"/>
        <v>0</v>
      </c>
    </row>
    <row r="78" spans="1:46" ht="13" x14ac:dyDescent="0.3">
      <c r="A78" s="153"/>
      <c r="B78" s="154"/>
      <c r="C78" s="152"/>
      <c r="D78" s="152"/>
      <c r="E78" s="152"/>
      <c r="F78" s="152"/>
      <c r="G78" s="152"/>
      <c r="H78" s="152"/>
      <c r="I78" s="152"/>
      <c r="J78" s="152"/>
      <c r="K78" s="155"/>
    </row>
    <row r="79" spans="1:46" ht="13" x14ac:dyDescent="0.3">
      <c r="A79" s="153"/>
      <c r="B79" s="156" t="s">
        <v>120</v>
      </c>
      <c r="C79" s="152"/>
      <c r="D79" s="152"/>
      <c r="E79" s="152"/>
      <c r="F79" s="152"/>
      <c r="G79" s="152"/>
      <c r="H79" s="152"/>
      <c r="I79" s="152"/>
      <c r="J79" s="152"/>
      <c r="K79" s="152"/>
    </row>
    <row r="80" spans="1:46" ht="13" x14ac:dyDescent="0.3">
      <c r="A80" s="152"/>
      <c r="B80" s="148"/>
      <c r="C80" s="152"/>
      <c r="D80" s="152"/>
      <c r="E80" s="152"/>
      <c r="F80" s="152"/>
      <c r="G80" s="152"/>
      <c r="H80" s="152"/>
      <c r="I80" s="152"/>
      <c r="J80" s="152"/>
      <c r="K80" s="152"/>
    </row>
    <row r="81" spans="1:46" ht="13" x14ac:dyDescent="0.3">
      <c r="A81" s="152"/>
      <c r="B81" s="148"/>
      <c r="C81" s="152"/>
      <c r="D81" s="152"/>
      <c r="E81" s="152"/>
      <c r="F81" s="280"/>
      <c r="G81" s="221"/>
      <c r="H81" s="221"/>
      <c r="I81" s="152"/>
      <c r="J81" s="152"/>
      <c r="K81" s="152"/>
    </row>
    <row r="82" spans="1:46" x14ac:dyDescent="0.25">
      <c r="A82" s="3"/>
      <c r="F82" s="223"/>
      <c r="H82" s="222"/>
      <c r="J82" s="223"/>
    </row>
    <row r="83" spans="1:46" s="3" customFormat="1" x14ac:dyDescent="0.25">
      <c r="B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 spans="1:46" ht="12" customHeight="1" x14ac:dyDescent="0.25">
      <c r="A84" s="3"/>
    </row>
    <row r="85" spans="1:46" ht="24.75" customHeight="1" x14ac:dyDescent="0.3">
      <c r="A85" s="3"/>
      <c r="B85" s="368" t="s">
        <v>150</v>
      </c>
    </row>
    <row r="86" spans="1:46" ht="13" x14ac:dyDescent="0.3">
      <c r="A86" s="374" t="s">
        <v>51</v>
      </c>
      <c r="B86" t="s">
        <v>152</v>
      </c>
    </row>
    <row r="87" spans="1:46" ht="13" x14ac:dyDescent="0.3">
      <c r="A87" s="374"/>
      <c r="B87" t="s">
        <v>151</v>
      </c>
    </row>
    <row r="88" spans="1:46" ht="13" x14ac:dyDescent="0.3">
      <c r="A88" s="374"/>
      <c r="B88" t="s">
        <v>153</v>
      </c>
    </row>
    <row r="89" spans="1:46" ht="13" x14ac:dyDescent="0.3">
      <c r="A89" s="374" t="s">
        <v>65</v>
      </c>
      <c r="B89" t="s">
        <v>154</v>
      </c>
    </row>
    <row r="91" spans="1:46" ht="13" x14ac:dyDescent="0.3">
      <c r="A91" s="374" t="s">
        <v>83</v>
      </c>
      <c r="B91" t="s">
        <v>156</v>
      </c>
    </row>
    <row r="93" spans="1:46" x14ac:dyDescent="0.25">
      <c r="B93" t="s">
        <v>155</v>
      </c>
    </row>
    <row r="100" spans="4:11" ht="20" x14ac:dyDescent="0.4">
      <c r="D100" s="139"/>
    </row>
    <row r="108" spans="4:11" ht="14" x14ac:dyDescent="0.3">
      <c r="K108" s="320"/>
    </row>
  </sheetData>
  <mergeCells count="4">
    <mergeCell ref="D1:E1"/>
    <mergeCell ref="F1:G1"/>
    <mergeCell ref="H1:J1"/>
    <mergeCell ref="K1:L1"/>
  </mergeCells>
  <printOptions horizontalCentered="1"/>
  <pageMargins left="0.25" right="0.25" top="0.25" bottom="0.25" header="0.05" footer="0.05"/>
  <pageSetup paperSize="3" scale="86" orientation="landscape" r:id="rId1"/>
  <headerFooter scaleWithDoc="0" alignWithMargins="0">
    <oddFooter>&amp;LResilient Buildings Group&amp;CNobis</oddFooter>
  </headerFooter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AD2108D7A10949B9BD72BCE662A072" ma:contentTypeVersion="15" ma:contentTypeDescription="Create a new document." ma:contentTypeScope="" ma:versionID="bacee3a15266d9e1851c439e7fc44643">
  <xsd:schema xmlns:xsd="http://www.w3.org/2001/XMLSchema" xmlns:xs="http://www.w3.org/2001/XMLSchema" xmlns:p="http://schemas.microsoft.com/office/2006/metadata/properties" xmlns:ns2="1b3c7588-9799-4aaf-98dc-4fd77a699504" xmlns:ns3="49ff18ef-456a-42c0-a88d-f7a7baace51c" targetNamespace="http://schemas.microsoft.com/office/2006/metadata/properties" ma:root="true" ma:fieldsID="6d8f52b570ef3512f0ad456845084371" ns2:_="" ns3:_="">
    <xsd:import namespace="1b3c7588-9799-4aaf-98dc-4fd77a699504"/>
    <xsd:import namespace="49ff18ef-456a-42c0-a88d-f7a7baace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3c7588-9799-4aaf-98dc-4fd77a6995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b6fd494-2a13-412c-91bc-7be3d7bbbf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ff18ef-456a-42c0-a88d-f7a7baace51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9030c89-106c-4ebd-ad15-f940e7e4d2d6}" ma:internalName="TaxCatchAll" ma:showField="CatchAllData" ma:web="49ff18ef-456a-42c0-a88d-f7a7baace5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ff18ef-456a-42c0-a88d-f7a7baace51c" xsi:nil="true"/>
    <lcf76f155ced4ddcb4097134ff3c332f xmlns="1b3c7588-9799-4aaf-98dc-4fd77a69950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23CB8F-9693-4403-B0AC-AC0F4763F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3c7588-9799-4aaf-98dc-4fd77a699504"/>
    <ds:schemaRef ds:uri="49ff18ef-456a-42c0-a88d-f7a7baace5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D69128-DDA6-4235-8C8D-EDB1EC10B6CC}">
  <ds:schemaRefs>
    <ds:schemaRef ds:uri="http://schemas.microsoft.com/office/2006/metadata/properties"/>
    <ds:schemaRef ds:uri="http://schemas.microsoft.com/office/infopath/2007/PartnerControls"/>
    <ds:schemaRef ds:uri="49ff18ef-456a-42c0-a88d-f7a7baace51c"/>
    <ds:schemaRef ds:uri="1b3c7588-9799-4aaf-98dc-4fd77a699504"/>
  </ds:schemaRefs>
</ds:datastoreItem>
</file>

<file path=customXml/itemProps3.xml><?xml version="1.0" encoding="utf-8"?>
<ds:datastoreItem xmlns:ds="http://schemas.openxmlformats.org/officeDocument/2006/customXml" ds:itemID="{5489EEC2-D874-46CC-9527-CFA2230B02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7</vt:i4>
      </vt:variant>
    </vt:vector>
  </HeadingPairs>
  <TitlesOfParts>
    <vt:vector size="24" baseType="lpstr">
      <vt:lpstr>INSTRUCTIONS</vt:lpstr>
      <vt:lpstr>EEM Data Entry</vt:lpstr>
      <vt:lpstr>EEM Lifetimes</vt:lpstr>
      <vt:lpstr>In-House Pricing</vt:lpstr>
      <vt:lpstr>Interest Rate</vt:lpstr>
      <vt:lpstr>RESULTS</vt:lpstr>
      <vt:lpstr>RESULTS kBtu</vt:lpstr>
      <vt:lpstr>RESULTS by Fuel</vt:lpstr>
      <vt:lpstr>RESULTS Eversource</vt:lpstr>
      <vt:lpstr>Individual Measure List</vt:lpstr>
      <vt:lpstr>Savings Summary</vt:lpstr>
      <vt:lpstr>Packaged EEMs</vt:lpstr>
      <vt:lpstr>Cascading Cap Cost &amp; Savings</vt:lpstr>
      <vt:lpstr>Cascading Savings</vt:lpstr>
      <vt:lpstr>Cascading Qualifying Test</vt:lpstr>
      <vt:lpstr>Cascading  for package</vt:lpstr>
      <vt:lpstr>Packaged with REBATES</vt:lpstr>
      <vt:lpstr>'RESULTS Eversource'!_Hlk50967569</vt:lpstr>
      <vt:lpstr>'Cascading Qualifying Test'!Print_Area</vt:lpstr>
      <vt:lpstr>'Individual Measure List'!Print_Area</vt:lpstr>
      <vt:lpstr>'Packaged EEMs'!Print_Area</vt:lpstr>
      <vt:lpstr>'Packaged with REBATES'!Print_Area</vt:lpstr>
      <vt:lpstr>'Cascading Cap Cost &amp; Savings'!Print_Titles</vt:lpstr>
      <vt:lpstr>'EEM Data Entry'!Print_Titles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Administratr</dc:creator>
  <cp:lastModifiedBy>Jake Gehrung</cp:lastModifiedBy>
  <cp:lastPrinted>2018-10-16T16:06:49Z</cp:lastPrinted>
  <dcterms:created xsi:type="dcterms:W3CDTF">2009-08-06T16:39:52Z</dcterms:created>
  <dcterms:modified xsi:type="dcterms:W3CDTF">2025-08-06T14:07:45Z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0x010100B9AD2108D7A10949B9BD72BCE662A072</vt:lpwstr>
  </property>
  <property fmtid="{D5CDD505-2E9C-101B-9397-08002B2CF9AE}" pid="3" name="Order">
    <vt:r8>94200</vt:r8>
  </property>
  <property fmtid="{D5CDD505-2E9C-101B-9397-08002B2CF9AE}" pid="4" name="MediaServiceImageTags">
    <vt:lpwstr/>
  </property>
</Properties>
</file>